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_Defaults" sheetId="13" state="hidden" r:id="rId15"/>
  </sheets>
  <definedNames>
    <definedName function="false" hidden="false" name="CHK_Errors" vbProcedure="false">Checks!$C$147</definedName>
    <definedName function="false" hidden="false" name="CHK_Warnings" vbProcedure="false">Checks!$C$148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<sst xmlns="http://schemas.openxmlformats.org/spreadsheetml/2006/main" count="20030" uniqueCount="6327">
  <si>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WenQuanYi Zen Hei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v0.1.3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v0.1.3-A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</si>
  <si>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WenQuanYi Zen Hei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</si>
  <si>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</si>
  <si>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v0.1.3-A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WenQuanYi Zen Hei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WenQuanYi Zen Hei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WenQuanYi Zen Hei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WenQuanYi Zen Hei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</si>
  <si>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WenQuanYi Zen Hei"/>
        <family val="2"/>
      </rPr>
      <t xml:space="preserve">段更新</t>
    </r>
  </si>
  <si>
    <r>
      <rPr>
        <sz val="10"/>
        <color rgb="FF000000"/>
        <rFont val="WenQuanYi Zen Hei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WenQuanYi Zen Hei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WenQuanYi Zen Hei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WenQuanYi Zen Hei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WenQuanYi Zen Hei"/>
        <family val="2"/>
      </rPr>
      <t xml:space="preserve">結論改條件式。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診斷、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WenQuanYi Zen Hei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替換程序）尚未開始。新列皆附加在頁尾，既有列編號不變。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</si>
  <si>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</si>
  <si>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WenQuanYi Zen Hei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WenQuanYi Zen Hei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</si>
  <si>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WenQuanYi Zen Hei"/>
        <family val="2"/>
      </rPr>
      <t xml:space="preserve">更新</t>
    </r>
  </si>
  <si>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WenQuanYi Zen Hei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WenQuanYi Zen Hei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WenQuanYi Zen Hei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WenQuanYi Zen Hei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WenQuanYi Zen Hei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。</t>
    </r>
  </si>
  <si>
    <t xml:space="preserve">Compute</t>
  </si>
  <si>
    <r>
      <rPr>
        <sz val="10"/>
        <color rgb="FF000000"/>
        <rFont val="WenQuanYi Zen Hei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WenQuanYi Zen Hei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WenQuanYi Zen Hei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WenQuanYi Zen Hei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WenQuanYi Zen Hei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WenQuanYi Zen Hei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產能比。</t>
    </r>
  </si>
  <si>
    <t xml:space="preserve">Cost</t>
  </si>
  <si>
    <r>
      <rPr>
        <sz val="10"/>
        <color rgb="FF000000"/>
        <rFont val="WenQuanYi Zen Hei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WenQuanYi Zen Hei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</si>
  <si>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</si>
  <si>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WenQuanYi Zen Hei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WenQuanYi Zen Hei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WenQuanYi Zen Hei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WenQuanYi Zen Hei"/>
        <family val="2"/>
      </rPr>
      <t xml:space="preserve">）。</t>
    </r>
  </si>
  <si>
    <t xml:space="preserve">Reverse</t>
  </si>
  <si>
    <r>
      <rPr>
        <sz val="10"/>
        <color rgb="FF000000"/>
        <rFont val="WenQuanYi Zen Hei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</si>
  <si>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為唯一計算引擎</t>
    </r>
  </si>
  <si>
    <r>
      <rPr>
        <sz val="10"/>
        <color rgb="FF000000"/>
        <rFont val="WenQuanYi Zen Hei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WenQuanYi Zen Hei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</si>
  <si>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</si>
  <si>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WenQuanYi Zen Hei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WenQuanYi Zen Hei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WenQuanYi Zen Hei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</si>
  <si>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</si>
  <si>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v19.0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20261022_Tokenomics_v19.0.xlsx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WenQuanYi Zen Hei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1916a06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WenQuanYi Zen Hei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WenQuanYi Zen Hei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WenQuanYi Zen Hei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WenQuanYi Zen Hei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WenQuanYi Zen Hei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WenQuanYi Zen Hei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WenQuanYi Zen Hei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</si>
  <si>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</si>
  <si>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WenQuanYi Zen Hei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WenQuanYi Zen Hei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</si>
  <si>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</si>
  <si>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190 </t>
    </r>
    <r>
      <rPr>
        <sz val="10"/>
        <color rgb="FF000000"/>
        <rFont val="WenQuanYi Zen Hei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：公式不含常數）。</t>
    </r>
  </si>
  <si>
    <t xml:space="preserve">Demand</t>
  </si>
  <si>
    <r>
      <rPr>
        <sz val="10"/>
        <color rgb="FF000000"/>
        <rFont val="WenQuanYi Zen Hei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WenQuanYi Zen Hei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</si>
  <si>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</si>
  <si>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</si>
  <si>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</si>
  <si>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WenQuanYi Zen Hei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WenQuanYi Zen Hei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WenQuanYi Zen Hei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</si>
  <si>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</si>
  <si>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</si>
  <si>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</si>
  <si>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一律附區間）。</t>
    </r>
  </si>
  <si>
    <t xml:space="preserve">分層</t>
  </si>
  <si>
    <r>
      <rPr>
        <sz val="10"/>
        <color rgb="FF000000"/>
        <rFont val="WenQuanYi Zen Hei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</si>
  <si>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WenQuanYi Zen Hei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</si>
  <si>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WenQuanYi Zen Hei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</si>
  <si>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WenQuanYi Zen Hei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WenQuanYi Zen Hei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WenQuanYi Zen Hei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</si>
  <si>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</si>
  <si>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</si>
  <si>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</si>
  <si>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</si>
  <si>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</si>
  <si>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</si>
  <si>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</si>
  <si>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</si>
  <si>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</si>
  <si>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</si>
  <si>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</si>
  <si>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</si>
  <si>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</si>
  <si>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</si>
  <si>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</si>
  <si>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</si>
  <si>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</si>
  <si>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</si>
  <si>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</si>
  <si>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</si>
  <si>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</si>
  <si>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</si>
  <si>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</si>
  <si>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</si>
  <si>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</si>
  <si>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WenQuanYi Zen Hei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</si>
  <si>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</si>
  <si>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</si>
  <si>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</si>
  <si>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</si>
  <si>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</si>
  <si>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</si>
  <si>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</si>
  <si>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</si>
  <si>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WenQuanYi Zen Hei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</si>
  <si>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</si>
  <si>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</si>
  <si>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</si>
  <si>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</si>
  <si>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</si>
  <si>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</si>
  <si>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</si>
  <si>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</si>
  <si>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</si>
  <si>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WenQuanYi Zen Hei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</si>
  <si>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</si>
  <si>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</si>
  <si>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</si>
  <si>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WenQuanYi Zen Hei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</si>
  <si>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</si>
  <si>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</si>
  <si>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WenQuanYi Zen Hei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</si>
  <si>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</si>
  <si>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</si>
  <si>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年成長率反推）</t>
    </r>
  </si>
  <si>
    <t xml:space="preserve">2024</t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</si>
  <si>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WenQuanYi Zen Hei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</si>
  <si>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</si>
  <si>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</si>
  <si>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</si>
  <si>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WenQuanYi Zen Hei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</si>
  <si>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</si>
  <si>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WenQuanYi Zen Hei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WenQuanYi Zen Hei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</si>
  <si>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</si>
  <si>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</si>
  <si>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</si>
  <si>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</si>
  <si>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</si>
  <si>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WenQuanYi Zen Hei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</si>
  <si>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</si>
  <si>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</si>
  <si>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</si>
  <si>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WenQuanYi Zen Hei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WenQuanYi Zen Hei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</si>
  <si>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</si>
  <si>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</si>
  <si>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</si>
  <si>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</si>
  <si>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</si>
  <si>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</si>
  <si>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WenQuanYi Zen Hei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</si>
  <si>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</si>
  <si>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</si>
  <si>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WenQuanYi Zen Hei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</si>
  <si>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</si>
  <si>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WenQuanYi Zen Hei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</si>
  <si>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</si>
  <si>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</si>
  <si>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取得之文件）</t>
    </r>
  </si>
  <si>
    <r>
      <rPr>
        <sz val="10"/>
        <color rgb="FF000000"/>
        <rFont val="WenQuanYi Zen Hei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</si>
  <si>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</si>
  <si>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</si>
  <si>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WenQuanYi Zen Hei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</si>
  <si>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半年</t>
    </r>
  </si>
  <si>
    <t xml:space="preserve">2026-H1</t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</si>
  <si>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WenQuanYi Zen Hei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</si>
  <si>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</si>
  <si>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WenQuanYi Zen Hei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</si>
  <si>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</si>
  <si>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</si>
  <si>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WenQuanYi Zen Hei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</si>
  <si>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</si>
  <si>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</si>
  <si>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</si>
  <si>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</si>
  <si>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</si>
  <si>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</si>
  <si>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</si>
  <si>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</si>
  <si>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</si>
  <si>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</si>
  <si>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</si>
  <si>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WenQuanYi Zen Hei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</si>
  <si>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</si>
  <si>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</si>
  <si>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</si>
  <si>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</si>
  <si>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</si>
  <si>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</si>
  <si>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WenQuanYi Zen Hei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</si>
  <si>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WenQuanYi Zen Hei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</si>
  <si>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</si>
  <si>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</si>
  <si>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</si>
  <si>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</si>
  <si>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</si>
  <si>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WenQuanYi Zen Hei"/>
        <family val="2"/>
      </rPr>
      <t xml:space="preserve">（月底）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</si>
  <si>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WenQuanYi Zen Hei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WenQuanYi Zen Hei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</si>
  <si>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</si>
  <si>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</si>
  <si>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</si>
  <si>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</si>
  <si>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</si>
  <si>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</si>
  <si>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</si>
  <si>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WenQuanYi Zen Hei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</si>
  <si>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</si>
  <si>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</si>
  <si>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</si>
  <si>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</si>
  <si>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</si>
  <si>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</si>
  <si>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WenQuanYi Zen Hei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</si>
  <si>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</si>
  <si>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</si>
  <si>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</si>
  <si>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</si>
  <si>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</si>
  <si>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</si>
  <si>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WenQuanYi Zen Hei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</si>
  <si>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</si>
  <si>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</si>
  <si>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</si>
  <si>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</si>
  <si>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</si>
  <si>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</si>
  <si>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表示；募資誘因）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</si>
  <si>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WenQuanYi Zen Hei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</si>
  <si>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</si>
  <si>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</si>
  <si>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</si>
  <si>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</si>
  <si>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</si>
  <si>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</si>
  <si>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</si>
  <si>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</si>
  <si>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</si>
  <si>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</si>
  <si>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WenQuanYi Zen Hei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</si>
  <si>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</si>
  <si>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</si>
  <si>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</si>
  <si>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</si>
  <si>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</si>
  <si>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</si>
  <si>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</si>
  <si>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</si>
  <si>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</si>
  <si>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</si>
  <si>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WenQuanYi Zen Hei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</si>
  <si>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</si>
  <si>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</si>
  <si>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</si>
  <si>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</si>
  <si>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</si>
  <si>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</si>
  <si>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WenQuanYi Zen Hei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</si>
  <si>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</si>
  <si>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</si>
  <si>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</si>
  <si>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</si>
  <si>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</si>
  <si>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</si>
  <si>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</si>
  <si>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</si>
  <si>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</si>
  <si>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</si>
  <si>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</si>
  <si>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</si>
  <si>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</si>
  <si>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WenQuanYi Zen Hei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WenQuanYi Zen Hei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</si>
  <si>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</si>
  <si>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</si>
  <si>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</si>
  <si>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</si>
  <si>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</si>
  <si>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</si>
  <si>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</si>
  <si>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WenQuanYi Zen Hei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</si>
  <si>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</si>
  <si>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</si>
  <si>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</si>
  <si>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</si>
  <si>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</si>
  <si>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</si>
  <si>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</si>
  <si>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WenQuanYi Zen Hei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WenQuanYi Zen Hei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</si>
  <si>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</si>
  <si>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</si>
  <si>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</si>
  <si>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</si>
  <si>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WenQuanYi Zen Hei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WenQuanYi Zen Hei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</si>
  <si>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</si>
  <si>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</si>
  <si>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雲端通路之營收占比</t>
    </r>
  </si>
  <si>
    <t xml:space="preserve">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</si>
  <si>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WenQuanYi Zen Hei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</si>
  <si>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</si>
  <si>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</si>
  <si>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</si>
  <si>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</si>
  <si>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</si>
  <si>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</si>
  <si>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</si>
  <si>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</si>
  <si>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</si>
  <si>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</si>
  <si>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</si>
  <si>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WenQuanYi Zen Hei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WenQuanYi Zen Hei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</si>
  <si>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</si>
  <si>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</si>
  <si>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</si>
  <si>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</si>
  <si>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保留報導值（報導者計算後公布）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</si>
  <si>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</si>
  <si>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</si>
  <si>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</si>
  <si>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WenQuanYi Zen Hei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</si>
  <si>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WenQuanYi Zen Hei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</si>
  <si>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</si>
  <si>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</si>
  <si>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</si>
  <si>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WenQuanYi Zen Hei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</si>
  <si>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</si>
  <si>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</si>
  <si>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</si>
  <si>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</si>
  <si>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</si>
  <si>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WenQuanYi Zen Hei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WenQuanYi Zen Hei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</si>
  <si>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</si>
  <si>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</si>
  <si>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</si>
  <si>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</si>
  <si>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</si>
  <si>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</si>
  <si>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</si>
  <si>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</si>
  <si>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</si>
  <si>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</si>
  <si>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WenQuanYi Zen Hei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</si>
  <si>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</si>
  <si>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</si>
  <si>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（競爭對手；貶低對手誘因）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</si>
  <si>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WenQuanYi Zen Hei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WenQuanYi Zen Hei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</si>
  <si>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</si>
  <si>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</si>
  <si>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</si>
  <si>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</si>
  <si>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</si>
  <si>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</si>
  <si>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</si>
  <si>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</si>
  <si>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</si>
  <si>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WenQuanYi Zen Hei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</si>
  <si>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</si>
  <si>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</si>
  <si>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WenQuanYi Zen Hei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營收比例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</si>
  <si>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WenQuanYi Zen Hei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</si>
  <si>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</si>
  <si>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</si>
  <si>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</si>
  <si>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</si>
  <si>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</si>
  <si>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（外流招股書；媒體推論）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</si>
  <si>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WenQuanYi Zen Hei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</si>
  <si>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</si>
  <si>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</si>
  <si>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WenQuanYi Zen Hei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</si>
  <si>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WenQuanYi Zen Hei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</si>
  <si>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</si>
  <si>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</si>
  <si>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</si>
  <si>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</si>
  <si>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</si>
  <si>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</si>
  <si>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</si>
  <si>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WenQuanYi Zen Hei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</si>
  <si>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</si>
  <si>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（知情人士）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</si>
  <si>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WenQuanYi Zen Hei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WenQuanYi Zen Hei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</si>
  <si>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</si>
  <si>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</si>
  <si>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</si>
  <si>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</si>
  <si>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（投資人預測文件）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</si>
  <si>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</si>
  <si>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</si>
  <si>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</si>
  <si>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</si>
  <si>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WenQuanYi Zen Hei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</si>
  <si>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</si>
  <si>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</si>
  <si>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WenQuanYi Zen Hei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</si>
  <si>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</si>
  <si>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</si>
  <si>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毛利率（含免費用戶推論成本）</t>
    </r>
  </si>
  <si>
    <r>
      <rPr>
        <sz val="10"/>
        <color rgb="FF000000"/>
        <rFont val="WenQuanYi Zen Hei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WenQuanYi Zen Hei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</si>
  <si>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</si>
  <si>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</si>
  <si>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</si>
  <si>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</si>
  <si>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</si>
  <si>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推論成本超出原預測幅度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</si>
  <si>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WenQuanYi Zen Hei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</si>
  <si>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</si>
  <si>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</si>
  <si>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訓練成本（預測）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</si>
  <si>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</si>
  <si>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</si>
  <si>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</si>
  <si>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</si>
  <si>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WenQuanYi Zen Hei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WenQuanYi Zen Hei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</si>
  <si>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</si>
  <si>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</si>
  <si>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</si>
  <si>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WenQuanYi Zen Hei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</si>
  <si>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</si>
  <si>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（執行長公開談話；市場地位誘因）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</si>
  <si>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WenQuanYi Zen Hei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WenQuanYi Zen Hei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</si>
  <si>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</si>
  <si>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</si>
  <si>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</si>
  <si>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</si>
  <si>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WenQuanYi Zen Hei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</si>
  <si>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</si>
  <si>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</si>
  <si>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WenQuanYi Zen Hei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</si>
  <si>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</si>
  <si>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</si>
  <si>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</si>
  <si>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</si>
  <si>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</si>
  <si>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</si>
  <si>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WenQuanYi Zen Hei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</si>
  <si>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</si>
  <si>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</si>
  <si>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</si>
  <si>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</si>
  <si>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</si>
  <si>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</si>
  <si>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</si>
  <si>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取得之投資人預測）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</si>
  <si>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</si>
  <si>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</si>
  <si>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</si>
  <si>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</si>
  <si>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</si>
  <si>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</si>
  <si>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</si>
  <si>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</si>
  <si>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</si>
  <si>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WenQuanYi Zen Hei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</si>
  <si>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</si>
  <si>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</si>
  <si>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營收（季前預測）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</si>
  <si>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WenQuanYi Zen Hei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</si>
  <si>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</si>
  <si>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</si>
  <si>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</si>
  <si>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</si>
  <si>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（募資、招募、市場地位誘因）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</si>
  <si>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WenQuanYi Zen Hei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WenQuanYi Zen Hei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</si>
  <si>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</si>
  <si>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</si>
  <si>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WenQuanYi Zen Hei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</si>
  <si>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</si>
  <si>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</si>
  <si>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</si>
  <si>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</si>
  <si>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</si>
  <si>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</si>
  <si>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WenQuanYi Zen Hei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</si>
  <si>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</si>
  <si>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</si>
  <si>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</si>
  <si>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WenQuanYi Zen Hei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</si>
  <si>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</si>
  <si>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</si>
  <si>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WenQuanYi Zen Hei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營收比例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</si>
  <si>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WenQuanYi Zen Hei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</si>
  <si>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</si>
  <si>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</si>
  <si>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</si>
  <si>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WenQuanYi Zen Hei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WenQuanYi Zen Hei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</si>
  <si>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</si>
  <si>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WenQuanYi Zen Hei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</si>
  <si>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</si>
  <si>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</si>
  <si>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</si>
  <si>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WenQuanYi Zen Hei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</si>
  <si>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</si>
  <si>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</si>
  <si>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WenQuanYi Zen Hei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WenQuanYi Zen Hei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</si>
  <si>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</si>
  <si>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</si>
  <si>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</si>
  <si>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</si>
  <si>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</si>
  <si>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</si>
  <si>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</si>
  <si>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</si>
  <si>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WenQuanYi Zen Hei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</si>
  <si>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</si>
  <si>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</si>
  <si>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WenQuanYi Zen Hei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</si>
  <si>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</si>
  <si>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</si>
  <si>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</si>
  <si>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</si>
  <si>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</si>
  <si>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WenQuanYi Zen Hei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WenQuanYi Zen Hei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</si>
  <si>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</si>
  <si>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</si>
  <si>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</si>
  <si>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</si>
  <si>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</si>
  <si>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</si>
  <si>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</si>
  <si>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</si>
  <si>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（官方牌價；市場地位誘因）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</si>
  <si>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</si>
  <si>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</si>
  <si>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</si>
  <si>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</si>
  <si>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</si>
  <si>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</si>
  <si>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</si>
  <si>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</si>
  <si>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</si>
  <si>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</si>
  <si>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</si>
  <si>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</si>
  <si>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</si>
  <si>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</si>
  <si>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</si>
  <si>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</si>
  <si>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</si>
  <si>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</si>
  <si>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</si>
  <si>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</si>
  <si>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</si>
  <si>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</si>
  <si>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</si>
  <si>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</si>
  <si>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</si>
  <si>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WenQuanYi Zen Hei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</si>
  <si>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</si>
  <si>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</si>
  <si>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</si>
  <si>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</si>
  <si>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</si>
  <si>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WenQuanYi Zen Hei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</si>
  <si>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</si>
  <si>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</si>
  <si>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</si>
  <si>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（牌價經第三方轉述）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</si>
  <si>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WenQuanYi Zen Hei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</si>
  <si>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</si>
  <si>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</si>
  <si>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WenQuanYi Zen Hei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</si>
  <si>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</si>
  <si>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</si>
  <si>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</si>
  <si>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</si>
  <si>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WenQuanYi Zen Hei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</si>
  <si>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</si>
  <si>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</si>
  <si>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</si>
  <si>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</si>
  <si>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</si>
  <si>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</si>
  <si>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</si>
  <si>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</si>
  <si>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</si>
  <si>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</si>
  <si>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</si>
  <si>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</si>
  <si>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</si>
  <si>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</si>
  <si>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</si>
  <si>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</si>
  <si>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</si>
  <si>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</si>
  <si>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</si>
  <si>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</si>
  <si>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</si>
  <si>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</si>
  <si>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</si>
  <si>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</si>
  <si>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</si>
  <si>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</si>
  <si>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</si>
  <si>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</si>
  <si>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</si>
  <si>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</si>
  <si>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</si>
  <si>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</si>
  <si>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</si>
  <si>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</si>
  <si>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</si>
  <si>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</si>
  <si>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</si>
  <si>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</si>
  <si>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WenQuanYi Zen Hei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WenQuanYi Zen Hei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</si>
  <si>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</si>
  <si>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</si>
  <si>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</si>
  <si>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</si>
  <si>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</si>
  <si>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</si>
  <si>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</si>
  <si>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</si>
  <si>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</si>
  <si>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</si>
  <si>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</si>
  <si>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</si>
  <si>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</si>
  <si>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</si>
  <si>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</si>
  <si>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</si>
  <si>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</si>
  <si>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</si>
  <si>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</si>
  <si>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</si>
  <si>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</si>
  <si>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</si>
  <si>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</si>
  <si>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</si>
  <si>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</si>
  <si>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</si>
  <si>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</si>
  <si>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</si>
  <si>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WenQuanYi Zen Hei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WenQuanYi Zen Hei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</si>
  <si>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</si>
  <si>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</si>
  <si>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</si>
  <si>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</si>
  <si>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</si>
  <si>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</si>
  <si>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</si>
  <si>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</si>
  <si>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</si>
  <si>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</si>
  <si>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</si>
  <si>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</si>
  <si>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</si>
  <si>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</si>
  <si>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</si>
  <si>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</si>
  <si>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</si>
  <si>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</si>
  <si>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</si>
  <si>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</si>
  <si>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</si>
  <si>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</si>
  <si>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</si>
  <si>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</si>
  <si>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</si>
  <si>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WenQuanYi Zen Hei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WenQuanYi Zen Hei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</si>
  <si>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</si>
  <si>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WenQuanYi Zen Hei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</si>
  <si>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</si>
  <si>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WenQuanYi Zen Hei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</si>
  <si>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</si>
  <si>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</si>
  <si>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WenQuanYi Zen Hei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WenQuanYi Zen Hei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</si>
  <si>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</si>
  <si>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</si>
  <si>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</si>
  <si>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</si>
  <si>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</si>
  <si>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</si>
  <si>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WenQuanYi Zen Hei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WenQuanYi Zen Hei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</si>
  <si>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</si>
  <si>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</si>
  <si>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</si>
  <si>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</si>
  <si>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</si>
  <si>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</si>
  <si>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</si>
  <si>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</si>
  <si>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</si>
  <si>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</si>
  <si>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</si>
  <si>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</si>
  <si>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</si>
  <si>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</si>
  <si>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</si>
  <si>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</si>
  <si>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</si>
  <si>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</si>
  <si>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WenQuanYi Zen Hei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WenQuanYi Zen Hei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</si>
  <si>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</si>
  <si>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</si>
  <si>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</si>
  <si>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</si>
  <si>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</si>
  <si>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</si>
  <si>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</si>
  <si>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</si>
  <si>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</si>
  <si>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</si>
  <si>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</si>
  <si>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</si>
  <si>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</si>
  <si>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</si>
  <si>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</si>
  <si>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</si>
  <si>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WenQuanYi Zen Hei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WenQuanYi Zen Hei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</si>
  <si>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</si>
  <si>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</si>
  <si>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</si>
  <si>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</si>
  <si>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</si>
  <si>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</si>
  <si>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</si>
  <si>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</si>
  <si>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</si>
  <si>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</si>
  <si>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</si>
  <si>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</si>
  <si>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</si>
  <si>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</si>
  <si>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</si>
  <si>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WenQuanYi Zen Hei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</si>
  <si>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</si>
  <si>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WenQuanYi Zen Hei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</si>
  <si>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</si>
  <si>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WenQuanYi Zen Hei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</si>
  <si>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</si>
  <si>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</si>
  <si>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WenQuanYi Zen Hei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</si>
  <si>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</si>
  <si>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</si>
  <si>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</si>
  <si>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</si>
  <si>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</si>
  <si>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</si>
  <si>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</si>
  <si>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</si>
  <si>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</si>
  <si>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</si>
  <si>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</si>
  <si>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</si>
  <si>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</si>
  <si>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</si>
  <si>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</si>
  <si>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</si>
  <si>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</si>
  <si>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</si>
  <si>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</si>
  <si>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</si>
  <si>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</si>
  <si>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</si>
  <si>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</si>
  <si>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</si>
  <si>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</si>
  <si>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</si>
  <si>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</si>
  <si>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</si>
  <si>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</si>
  <si>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</si>
  <si>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</si>
  <si>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</si>
  <si>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WenQuanYi Zen Hei"/>
        <family val="2"/>
      </rPr>
      <t xml:space="preserve">）輸入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</si>
  <si>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WenQuanYi Zen Hei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WenQuanYi Zen Hei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</si>
  <si>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</si>
  <si>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</si>
  <si>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WenQuanYi Zen Hei"/>
        <family val="2"/>
      </rPr>
      <t xml:space="preserve">）輸出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</si>
  <si>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WenQuanYi Zen Hei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</si>
  <si>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</si>
  <si>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</si>
  <si>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WenQuanYi Zen Hei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WenQuanYi Zen Hei"/>
        <family val="2"/>
      </rPr>
      <t xml:space="preserve">）加價倍數</t>
    </r>
  </si>
  <si>
    <t xml:space="preserve">倍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</si>
  <si>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</si>
  <si>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</si>
  <si>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</si>
  <si>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</si>
  <si>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WenQuanYi Zen Hei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</si>
  <si>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</si>
  <si>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</si>
  <si>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</si>
  <si>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</si>
  <si>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</si>
  <si>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</si>
  <si>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WenQuanYi Zen Hei"/>
        <family val="2"/>
      </rPr>
      <t xml:space="preserve">加價倍數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</si>
  <si>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</si>
  <si>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</si>
  <si>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</si>
  <si>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</si>
  <si>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</si>
  <si>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</si>
  <si>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</si>
  <si>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</si>
  <si>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</si>
  <si>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</si>
  <si>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</si>
  <si>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</si>
  <si>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WenQuanYi Zen Hei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WenQuanYi Zen Hei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</si>
  <si>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</si>
  <si>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</si>
  <si>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</si>
  <si>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</si>
  <si>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</si>
  <si>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</si>
  <si>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快取讀取（上市時）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</si>
  <si>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</si>
  <si>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</si>
  <si>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</si>
  <si>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WenQuanYi Zen Hei"/>
        <family val="2"/>
      </rPr>
      <t xml:space="preserve">降價後）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</si>
  <si>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WenQuanYi Zen Hei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WenQuanYi Zen Hei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</si>
  <si>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</si>
  <si>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</si>
  <si>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</si>
  <si>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WenQuanYi Zen Hei"/>
        <family val="2"/>
      </rPr>
      <t xml:space="preserve">〉價格表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</si>
  <si>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WenQuanYi Zen Hei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</si>
  <si>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</si>
  <si>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</si>
  <si>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</si>
  <si>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WenQuanYi Zen Hei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</si>
  <si>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</si>
  <si>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</si>
  <si>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</si>
  <si>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</si>
  <si>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</si>
  <si>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</si>
  <si>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</si>
  <si>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</si>
  <si>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</si>
  <si>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</si>
  <si>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快取寫入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</si>
  <si>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WenQuanYi Zen Hei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</si>
  <si>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</si>
  <si>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</si>
  <si>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</si>
  <si>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</si>
  <si>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</si>
  <si>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</si>
  <si>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</si>
  <si>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</si>
  <si>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WenQuanYi Zen Hei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WenQuanYi Zen Hei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</si>
  <si>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</si>
  <si>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</si>
  <si>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WenQuanYi Zen Hei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</si>
  <si>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</si>
  <si>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</si>
  <si>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</si>
  <si>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</si>
  <si>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</si>
  <si>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</si>
  <si>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</si>
  <si>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</si>
  <si>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</si>
  <si>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</si>
  <si>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</si>
  <si>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WenQuanYi Zen Hei"/>
        <family val="2"/>
      </rPr>
      <t xml:space="preserve">折扣</t>
    </r>
  </si>
  <si>
    <t xml:space="preserve">比例（折扣）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</si>
  <si>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</si>
  <si>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</si>
  <si>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</si>
  <si>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WenQuanYi Zen Hei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</si>
  <si>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</si>
  <si>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</si>
  <si>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</si>
  <si>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</si>
  <si>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</si>
  <si>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WenQuanYi Zen Hei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WenQuanYi Zen Hei"/>
        <family val="2"/>
      </rPr>
      <t xml:space="preserve">後加價</t>
    </r>
  </si>
  <si>
    <t xml:space="preserve">加價比例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</si>
  <si>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WenQuanYi Zen Hei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WenQuanYi Zen Hei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</si>
  <si>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</si>
  <si>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</si>
  <si>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</si>
  <si>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</si>
  <si>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</si>
  <si>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WenQuanYi Zen Hei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</si>
  <si>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</si>
  <si>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（牌價經第三方轉述；官方定價頁本次無法開啟）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</si>
  <si>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</si>
  <si>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</si>
  <si>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</si>
  <si>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WenQuanYi Zen Hei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</si>
  <si>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</si>
  <si>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WenQuanYi Zen Hei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</si>
  <si>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</si>
  <si>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</si>
  <si>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</si>
  <si>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</si>
  <si>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</si>
  <si>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</si>
  <si>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</si>
  <si>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</si>
  <si>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</si>
  <si>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</si>
  <si>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WenQuanYi Zen Hei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WenQuanYi Zen Hei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</si>
  <si>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</si>
  <si>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WenQuanYi Zen Hei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</si>
  <si>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</si>
  <si>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</si>
  <si>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</si>
  <si>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</si>
  <si>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</si>
  <si>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</si>
  <si>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</si>
  <si>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</si>
  <si>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WenQuanYi Zen Hei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</si>
  <si>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</si>
  <si>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</si>
  <si>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WenQuanYi Zen Hei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</si>
  <si>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</si>
  <si>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</si>
  <si>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</si>
  <si>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</si>
  <si>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</si>
  <si>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</si>
  <si>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</si>
  <si>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席位（年付，月均）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</si>
  <si>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</si>
  <si>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</si>
  <si>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</si>
  <si>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席位（月付）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</si>
  <si>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</si>
  <si>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</si>
  <si>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</si>
  <si>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標準席位（年付，月均）— 舊報導值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</si>
  <si>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WenQuanYi Zen Hei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WenQuanYi Zen Hei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</si>
  <si>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</si>
  <si>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</si>
  <si>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</si>
  <si>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</si>
  <si>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WenQuanYi Zen Hei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</si>
  <si>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</si>
  <si>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WenQuanYi Zen Hei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WenQuanYi Zen Hei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</si>
  <si>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</si>
  <si>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</si>
  <si>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</si>
  <si>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WenQuanYi Zen Hei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</si>
  <si>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</si>
  <si>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（經媒體轉述）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</si>
  <si>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WenQuanYi Zen Hei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</si>
  <si>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</si>
  <si>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</si>
  <si>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</si>
  <si>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WenQuanYi Zen Hei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</si>
  <si>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</si>
  <si>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</si>
  <si>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WenQuanYi Zen Hei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</si>
  <si>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</si>
  <si>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</si>
  <si>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</si>
  <si>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</si>
  <si>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WenQuanYi Zen Hei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</si>
  <si>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</si>
  <si>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</si>
  <si>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WenQuanYi Zen Hei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</si>
  <si>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</si>
  <si>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</si>
  <si>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</si>
  <si>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</si>
  <si>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WenQuanYi Zen Hei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</si>
  <si>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</si>
  <si>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</si>
  <si>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WenQuanYi Zen Hei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WenQuanYi Zen Hei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</si>
  <si>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</si>
  <si>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</si>
  <si>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</si>
  <si>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WenQuanYi Zen Hei"/>
        <family val="2"/>
      </rPr>
      <t xml:space="preserve">）</t>
    </r>
  </si>
  <si>
    <t xml:space="preserve">變動比例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</si>
  <si>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WenQuanYi Zen Hei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WenQuanYi Zen Hei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WenQuanYi Zen Hei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</si>
  <si>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</si>
  <si>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</si>
  <si>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</si>
  <si>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</si>
  <si>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</si>
  <si>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</si>
  <si>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</si>
  <si>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WenQuanYi Zen Hei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</si>
  <si>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</si>
  <si>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</si>
  <si>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WenQuanYi Zen Hei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WenQuanYi Zen Hei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</si>
  <si>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WenQuanYi Zen Hei"/>
        <family val="2"/>
      </rPr>
      <t xml:space="preserve">更新）</t>
    </r>
  </si>
  <si>
    <t xml:space="preserve">2026-08-10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</si>
  <si>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</si>
  <si>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</si>
  <si>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</si>
  <si>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</si>
  <si>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</si>
  <si>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</si>
  <si>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WenQuanYi Zen Hei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</si>
  <si>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</si>
  <si>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</si>
  <si>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</si>
  <si>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</si>
  <si>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</si>
  <si>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</si>
  <si>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WenQuanYi Zen Hei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</si>
  <si>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</si>
  <si>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</si>
  <si>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</si>
  <si>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</si>
  <si>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</si>
  <si>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</si>
  <si>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</si>
  <si>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WenQuanYi Zen Hei"/>
        <family val="2"/>
      </rPr>
      <t xml:space="preserve">客戶數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</si>
  <si>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WenQuanYi Zen Hei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</si>
  <si>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</si>
  <si>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</si>
  <si>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</si>
  <si>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</si>
  <si>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</si>
  <si>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</si>
  <si>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</si>
  <si>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</si>
  <si>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</si>
  <si>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WenQuanYi Zen Hei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</si>
  <si>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</si>
  <si>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</si>
  <si>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</si>
  <si>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</si>
  <si>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</si>
  <si>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</si>
  <si>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</si>
  <si>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</si>
  <si>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</si>
  <si>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</si>
  <si>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</si>
  <si>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WenQuanYi Zen Hei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</si>
  <si>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</si>
  <si>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</si>
  <si>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</si>
  <si>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</si>
  <si>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</si>
  <si>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</si>
  <si>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</si>
  <si>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</si>
  <si>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WenQuanYi Zen Hei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</si>
  <si>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WenQuanYi Zen Hei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</si>
  <si>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</si>
  <si>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</si>
  <si>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WenQuanYi Zen Hei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</si>
  <si>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</si>
  <si>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</si>
  <si>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WenQuanYi Zen Hei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</si>
  <si>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</si>
  <si>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WenQuanYi Zen Hei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</si>
  <si>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</si>
  <si>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WenQuanYi Zen Hei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WenQuanYi Zen Hei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</si>
  <si>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</si>
  <si>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</si>
  <si>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</si>
  <si>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</si>
  <si>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WenQuanYi Zen Hei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</si>
  <si>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</si>
  <si>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</si>
  <si>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</si>
  <si>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</si>
  <si>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</si>
  <si>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</si>
  <si>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</si>
  <si>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WenQuanYi Zen Hei"/>
        <family val="2"/>
      </rPr>
      <t xml:space="preserve">（雙方宣傳誘因）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</si>
  <si>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WenQuanYi Zen Hei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</si>
  <si>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</si>
  <si>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</si>
  <si>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</si>
  <si>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</si>
  <si>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</si>
  <si>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</si>
  <si>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WenQuanYi Zen Hei"/>
        <family val="2"/>
      </rPr>
      <t xml:space="preserve">（雙方宣傳誘因）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</si>
  <si>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WenQuanYi Zen Hei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</si>
  <si>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</si>
  <si>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</si>
  <si>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WenQuanYi Zen Hei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</si>
  <si>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</si>
  <si>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WenQuanYi Zen Hei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</si>
  <si>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</si>
  <si>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WenQuanYi Zen Hei"/>
        <family val="2"/>
      </rPr>
      <t xml:space="preserve">（合作方宣傳誘因）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</si>
  <si>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WenQuanYi Zen Hei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</si>
  <si>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</si>
  <si>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</si>
  <si>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WenQuanYi Zen Hei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</si>
  <si>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</si>
  <si>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</si>
  <si>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</si>
  <si>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</si>
  <si>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WenQuanYi Zen Hei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</si>
  <si>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</si>
  <si>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</si>
  <si>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</si>
  <si>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</si>
  <si>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</si>
  <si>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</si>
  <si>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</si>
  <si>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</si>
  <si>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</si>
  <si>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</si>
  <si>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WenQuanYi Zen Hei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</si>
  <si>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</si>
  <si>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</si>
  <si>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WenQuanYi Zen Hei"/>
        <family val="2"/>
      </rPr>
      <t xml:space="preserve">（經分析機構轉述）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</si>
  <si>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WenQuanYi Zen Hei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</si>
  <si>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</si>
  <si>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</si>
  <si>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WenQuanYi Zen Hei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WenQuanYi Zen Hei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</si>
  <si>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</si>
  <si>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</si>
  <si>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</si>
  <si>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</si>
  <si>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</si>
  <si>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</si>
  <si>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</si>
  <si>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</si>
  <si>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WenQuanYi Zen Hei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</si>
  <si>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</si>
  <si>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</si>
  <si>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WenQuanYi Zen Hei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</si>
  <si>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</si>
  <si>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</si>
  <si>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WenQuanYi Zen Hei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WenQuanYi Zen Hei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WenQuanYi Zen Hei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</si>
  <si>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WenQuanYi Zen Hei"/>
        <family val="2"/>
      </rPr>
      <t xml:space="preserve">年中報告）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</si>
  <si>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</si>
  <si>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</si>
  <si>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</si>
  <si>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</si>
  <si>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數量上限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</si>
  <si>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</si>
  <si>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</si>
  <si>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</si>
  <si>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</si>
  <si>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</si>
  <si>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WenQuanYi Zen Hei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</si>
  <si>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</si>
  <si>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</si>
  <si>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上線容量</t>
    </r>
  </si>
  <si>
    <t xml:space="preserve">GW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</si>
  <si>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WenQuanYi Zen Hei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</si>
  <si>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</si>
  <si>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</si>
  <si>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</si>
  <si>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（合約總額）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</si>
  <si>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WenQuanYi Zen Hei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</si>
  <si>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</si>
  <si>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</si>
  <si>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</si>
  <si>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（市場地位誘因）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</si>
  <si>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WenQuanYi Zen Hei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</si>
  <si>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</si>
  <si>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</si>
  <si>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</si>
  <si>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</si>
  <si>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</si>
  <si>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WenQuanYi Zen Hei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WenQuanYi Zen Hei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</si>
  <si>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</si>
  <si>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</si>
  <si>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</si>
  <si>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WenQuanYi Zen Hei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</si>
  <si>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</si>
  <si>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</si>
  <si>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</si>
  <si>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WenQuanYi Zen Hei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</si>
  <si>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</si>
  <si>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WenQuanYi Zen Hei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WenQuanYi Zen Hei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WenQuanYi Zen Hei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</si>
  <si>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</si>
  <si>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</si>
  <si>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WenQuanYi Zen Hei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</si>
  <si>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</si>
  <si>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</si>
  <si>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WenQuanYi Zen Hei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WenQuanYi Zen Hei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WenQuanYi Zen Hei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</si>
  <si>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</si>
  <si>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</si>
  <si>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</si>
  <si>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WenQuanYi Zen Hei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</si>
  <si>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</si>
  <si>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WenQuanYi Zen Hei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</si>
  <si>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</si>
  <si>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</si>
  <si>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</si>
  <si>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</si>
  <si>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</si>
  <si>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WenQuanYi Zen Hei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</si>
  <si>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</si>
  <si>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</si>
  <si>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</si>
  <si>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</si>
  <si>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WenQuanYi Zen Hei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</si>
  <si>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</si>
  <si>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（媒體轉述公司說法）</t>
    </r>
  </si>
  <si>
    <r>
      <rPr>
        <sz val="10"/>
        <color rgb="FF000000"/>
        <rFont val="WenQuanYi Zen Hei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WenQuanYi Zen Hei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WenQuanYi Zen Hei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</si>
  <si>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</si>
  <si>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</si>
  <si>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</si>
  <si>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WenQuanYi Zen Hei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</si>
  <si>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</si>
  <si>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WenQuanYi Zen Hei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</si>
  <si>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WenQuanYi Zen Hei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WenQuanYi Zen Hei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</si>
  <si>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</si>
  <si>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</si>
  <si>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</si>
  <si>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（五年總額）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</si>
  <si>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WenQuanYi Zen Hei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</si>
  <si>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WenQuanYi Zen Hei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</si>
  <si>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</si>
  <si>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未能證實）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</si>
  <si>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WenQuanYi Zen Hei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WenQuanYi Zen Hei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</si>
  <si>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</si>
  <si>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</si>
  <si>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WenQuanYi Zen Hei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</si>
  <si>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</si>
  <si>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</si>
  <si>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WenQuanYi Zen Hei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</si>
  <si>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</si>
  <si>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</si>
  <si>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</si>
  <si>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WenQuanYi Zen Hei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WenQuanYi Zen Hei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</si>
  <si>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</si>
  <si>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</si>
  <si>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</si>
  <si>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</si>
  <si>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</si>
  <si>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</si>
  <si>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</si>
  <si>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</si>
  <si>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WenQuanYi Zen Hei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</si>
  <si>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</si>
  <si>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WenQuanYi Zen Hei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</si>
  <si>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</si>
  <si>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</si>
  <si>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（雲端業務宣傳誘因）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</si>
  <si>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WenQuanYi Zen Hei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</si>
  <si>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</si>
  <si>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</si>
  <si>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WenQuanYi Zen Hei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</si>
  <si>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</si>
  <si>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</si>
  <si>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WenQuanYi Zen Hei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</si>
  <si>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</si>
  <si>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</si>
  <si>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WenQuanYi Zen Hei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</si>
  <si>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</si>
  <si>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</si>
  <si>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WenQuanYi Zen Hei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WenQuanYi Zen Hei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</si>
  <si>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</si>
  <si>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</si>
  <si>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出資）</t>
    </r>
  </si>
  <si>
    <t xml:space="preserve">2024–2025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</si>
  <si>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</si>
  <si>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</si>
  <si>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</si>
  <si>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</si>
  <si>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</si>
  <si>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</si>
  <si>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WenQuanYi Zen Hei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</si>
  <si>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</si>
  <si>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WenQuanYi Zen Hei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WenQuanYi Zen Hei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WenQuanYi Zen Hei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WenQuanYi Zen Hei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</si>
  <si>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</si>
  <si>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</si>
  <si>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WenQuanYi Zen Hei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</si>
  <si>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</si>
  <si>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</si>
  <si>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WenQuanYi Zen Hei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WenQuanYi Zen Hei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WenQuanYi Zen Hei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</si>
  <si>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</si>
  <si>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</si>
  <si>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</si>
  <si>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</si>
  <si>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</si>
  <si>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WenQuanYi Zen Hei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</si>
  <si>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</si>
  <si>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</si>
  <si>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</si>
  <si>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（十年總額）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</si>
  <si>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WenQuanYi Zen Hei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</si>
  <si>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</si>
  <si>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</si>
  <si>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</si>
  <si>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（約）</t>
    </r>
  </si>
  <si>
    <t xml:space="preserve">2026-12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</si>
  <si>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WenQuanYi Zen Hei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WenQuanYi Zen Hei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</si>
  <si>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</si>
  <si>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</si>
  <si>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WenQuanYi Zen Hei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</si>
  <si>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WenQuanYi Zen Hei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</si>
  <si>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</si>
  <si>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</si>
  <si>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WenQuanYi Zen Hei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為主要雲端與訓練夥伴（定性）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</si>
  <si>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WenQuanYi Zen Hei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</si>
  <si>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</si>
  <si>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</si>
  <si>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</si>
  <si>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</si>
  <si>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WenQuanYi Zen Hei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</si>
  <si>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</si>
  <si>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</si>
  <si>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／知情人士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</si>
  <si>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WenQuanYi Zen Hei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WenQuanYi Zen Hei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WenQuanYi Zen Hei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</si>
  <si>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</si>
  <si>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</si>
  <si>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WenQuanYi Zen Hei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</si>
  <si>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</si>
  <si>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</si>
  <si>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</si>
  <si>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</si>
  <si>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</si>
  <si>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（募資與雲端業務宣傳誘因）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</si>
  <si>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WenQuanYi Zen Hei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</si>
  <si>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</si>
  <si>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</si>
  <si>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</si>
  <si>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</si>
  <si>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（募資與晶片銷售誘因）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</si>
  <si>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WenQuanYi Zen Hei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</si>
  <si>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</si>
  <si>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</si>
  <si>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</si>
  <si>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</si>
  <si>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</si>
  <si>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</si>
  <si>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WenQuanYi Zen Hei"/>
        <family val="2"/>
      </rPr>
      <t xml:space="preserve">）</t>
    </r>
  </si>
  <si>
    <t xml:space="preserve">二手（含一手轉載）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</si>
  <si>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WenQuanYi Zen Hei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</si>
  <si>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</si>
  <si>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</si>
  <si>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WenQuanYi Zen Hei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</si>
  <si>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</si>
  <si>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</si>
  <si>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</si>
  <si>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</si>
  <si>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（募資、政策形象誘因）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</si>
  <si>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WenQuanYi Zen Hei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WenQuanYi Zen Hei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</si>
  <si>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</si>
  <si>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</si>
  <si>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</si>
  <si>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</si>
  <si>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</si>
  <si>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</si>
  <si>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WenQuanYi Zen Hei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WenQuanYi Zen Hei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WenQuanYi Zen Hei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</si>
  <si>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</si>
  <si>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</si>
  <si>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WenQuanYi Zen Hei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</si>
  <si>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WenQuanYi Zen Hei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</si>
  <si>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</si>
  <si>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</si>
  <si>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</si>
  <si>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WenQuanYi Zen Hei"/>
        <family val="2"/>
      </rPr>
      <t xml:space="preserve">（房東，業務宣傳誘因）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</si>
  <si>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WenQuanYi Zen Hei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WenQuanYi Zen Hei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WenQuanYi Zen Hei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</si>
  <si>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</si>
  <si>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</si>
  <si>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WenQuanYi Zen Hei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</si>
  <si>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WenQuanYi Zen Hei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</si>
  <si>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</si>
  <si>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</si>
  <si>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WenQuanYi Zen Hei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WenQuanYi Zen Hei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</si>
  <si>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</si>
  <si>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</si>
  <si>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</si>
  <si>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WenQuanYi Zen Hei"/>
        <family val="2"/>
      </rPr>
      <t xml:space="preserve">（業務宣傳誘因）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</si>
  <si>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WenQuanYi Zen Hei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</si>
  <si>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</si>
  <si>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</si>
  <si>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WenQuanYi Zen Hei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</si>
  <si>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WenQuanYi Zen Hei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</si>
  <si>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WenQuanYi Zen Hei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</si>
  <si>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</si>
  <si>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</si>
  <si>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WenQuanYi Zen Hei"/>
        <family val="2"/>
      </rPr>
      <t xml:space="preserve">（房東，業務宣傳誘因）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</si>
  <si>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WenQuanYi Zen Hei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</si>
  <si>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</si>
  <si>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</si>
  <si>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WenQuanYi Zen Hei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</si>
  <si>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年總額）</t>
    </r>
  </si>
  <si>
    <t xml:space="preserve">2027–2047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</si>
  <si>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WenQuanYi Zen Hei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</si>
  <si>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</si>
  <si>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</si>
  <si>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</si>
  <si>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WenQuanYi Zen Hei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</si>
  <si>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</si>
  <si>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</si>
  <si>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</si>
  <si>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WenQuanYi Zen Hei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引述知情人士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</si>
  <si>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WenQuanYi Zen Hei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WenQuanYi Zen Hei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</si>
  <si>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</si>
  <si>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</si>
  <si>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WenQuanYi Zen Hei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</si>
  <si>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WenQuanYi Zen Hei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</si>
  <si>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WenQuanYi Zen Hei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</si>
  <si>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WenQuanYi Zen Hei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</si>
  <si>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</si>
  <si>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</si>
  <si>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WenQuanYi Zen Hei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</si>
  <si>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（六年總額）</t>
    </r>
  </si>
  <si>
    <r>
      <rPr>
        <sz val="10"/>
        <color rgb="FF000000"/>
        <rFont val="WenQuanYi Zen Hei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</si>
  <si>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</si>
  <si>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</si>
  <si>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</si>
  <si>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知情人士（未經公司確認）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</si>
  <si>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WenQuanYi Zen Hei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WenQuanYi Zen Hei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</si>
  <si>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</si>
  <si>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</si>
  <si>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</si>
  <si>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</si>
  <si>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</si>
  <si>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WenQuanYi Zen Hei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</si>
  <si>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</si>
  <si>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</si>
  <si>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</si>
  <si>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</si>
  <si>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</si>
  <si>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</si>
  <si>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</si>
  <si>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</si>
  <si>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</si>
  <si>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</si>
  <si>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</si>
  <si>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</si>
  <si>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</si>
  <si>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</si>
  <si>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</si>
  <si>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WenQuanYi Zen Hei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</si>
  <si>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</si>
  <si>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</si>
  <si>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WenQuanYi Zen Hei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</si>
  <si>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</si>
  <si>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（市場地位、用量額度宣傳誘因）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</si>
  <si>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WenQuanYi Zen Hei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</si>
  <si>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</si>
  <si>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</si>
  <si>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</si>
  <si>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</si>
  <si>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WenQuanYi Zen Hei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</si>
  <si>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</si>
  <si>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</si>
  <si>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</si>
  <si>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</si>
  <si>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</si>
  <si>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</si>
  <si>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</si>
  <si>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WenQuanYi Zen Hei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WenQuanYi Zen Hei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WenQuanYi Zen Hei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WenQuanYi Zen Hei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</si>
  <si>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</si>
  <si>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</si>
  <si>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WenQuanYi Zen Hei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</si>
  <si>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</si>
  <si>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</si>
  <si>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</si>
  <si>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</si>
  <si>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</si>
  <si>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</si>
  <si>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WenQuanYi Zen Hei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WenQuanYi Zen Hei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</si>
  <si>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</si>
  <si>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</si>
  <si>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</si>
  <si>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</si>
  <si>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</si>
  <si>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WenQuanYi Zen Hei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</si>
  <si>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</si>
  <si>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</si>
  <si>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WenQuanYi Zen Hei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WenQuanYi Zen Hei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</si>
  <si>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</si>
  <si>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</si>
  <si>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</si>
  <si>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</si>
  <si>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</si>
  <si>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WenQuanYi Zen Hei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WenQuanYi Zen Hei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WenQuanYi Zen Hei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</si>
  <si>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</si>
  <si>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</si>
  <si>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）部署容量</t>
    </r>
  </si>
  <si>
    <r>
      <rPr>
        <sz val="10"/>
        <color rgb="FF000000"/>
        <rFont val="WenQuanYi Zen Hei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</si>
  <si>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WenQuanYi Zen Hei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</si>
  <si>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</si>
  <si>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</si>
  <si>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（晶片銷售與股價誘因）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</si>
  <si>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</si>
  <si>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</si>
  <si>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</si>
  <si>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</si>
  <si>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</si>
  <si>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</si>
  <si>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WenQuanYi Zen Hei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WenQuanYi Zen Hei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WenQuanYi Zen Hei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</si>
  <si>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</si>
  <si>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</si>
  <si>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</si>
  <si>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</si>
  <si>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WenQuanYi Zen Hei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</si>
  <si>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</si>
  <si>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</si>
  <si>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（業務宣傳誘因）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</si>
  <si>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WenQuanYi Zen Hei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</si>
  <si>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</si>
  <si>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</si>
  <si>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WenQuanYi Zen Hei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</si>
  <si>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</si>
  <si>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</si>
  <si>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</si>
  <si>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</si>
  <si>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</si>
  <si>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</si>
  <si>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WenQuanYi Zen Hei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</si>
  <si>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</si>
  <si>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</si>
  <si>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合約－晶片世代</t>
    </r>
  </si>
  <si>
    <r>
      <rPr>
        <sz val="10"/>
        <color rgb="FF000000"/>
        <rFont val="WenQuanYi Zen Hei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</si>
  <si>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</si>
  <si>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</si>
  <si>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</si>
  <si>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WenQuanYi Zen Hei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WenQuanYi Zen Hei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WenQuanYi Zen Hei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</si>
  <si>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</si>
  <si>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</si>
  <si>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WenQuanYi Zen Hei"/>
        <family val="2"/>
      </rPr>
      <t xml:space="preserve">）算力合約金額</t>
    </r>
  </si>
  <si>
    <r>
      <rPr>
        <sz val="10"/>
        <color rgb="FF000000"/>
        <rFont val="WenQuanYi Zen Hei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WenQuanYi Zen Hei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</si>
  <si>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</si>
  <si>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</si>
  <si>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WenQuanYi Zen Hei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未評論）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</si>
  <si>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WenQuanYi Zen Hei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</si>
  <si>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</si>
  <si>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</si>
  <si>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</si>
  <si>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</si>
  <si>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WenQuanYi Zen Hei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</si>
  <si>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</si>
  <si>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</si>
  <si>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WenQuanYi Zen Hei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</si>
  <si>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</si>
  <si>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</si>
  <si>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</si>
  <si>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WenQuanYi Zen Hei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</si>
  <si>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</si>
  <si>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</si>
  <si>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</si>
  <si>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</si>
  <si>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</si>
  <si>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WenQuanYi Zen Hei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</si>
  <si>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</si>
  <si>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</si>
  <si>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WenQuanYi Zen Hei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</si>
  <si>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</si>
  <si>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</si>
  <si>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</si>
  <si>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WenQuanYi Zen Hei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</si>
  <si>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</si>
  <si>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</si>
  <si>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</si>
  <si>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WenQuanYi Zen Hei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</si>
  <si>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WenQuanYi Zen Hei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</si>
  <si>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</si>
  <si>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WenQuanYi Zen Hei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</si>
  <si>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</si>
  <si>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</si>
  <si>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</si>
  <si>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</si>
  <si>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</si>
  <si>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</si>
  <si>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</si>
  <si>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</si>
  <si>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（彙整公開與知情人士報導）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</si>
  <si>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WenQuanYi Zen Hei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</si>
  <si>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</si>
  <si>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</si>
  <si>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</si>
  <si>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WenQuanYi Zen Hei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</si>
  <si>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</si>
  <si>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</si>
  <si>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WenQuanYi Zen Hei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WenQuanYi Zen Hei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</si>
  <si>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</si>
  <si>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</si>
  <si>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</si>
  <si>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WenQuanYi Zen Hei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</si>
  <si>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</si>
  <si>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WenQuanYi Zen Hei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（未具名來源）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</si>
  <si>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WenQuanYi Zen Hei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</si>
  <si>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</si>
  <si>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</si>
  <si>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WenQuanYi Zen Hei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</si>
  <si>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</si>
  <si>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</si>
  <si>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</si>
  <si>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</si>
  <si>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WenQuanYi Zen Hei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</si>
  <si>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</si>
  <si>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</si>
  <si>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</si>
  <si>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</si>
  <si>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</si>
  <si>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取得）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</si>
  <si>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</si>
  <si>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</si>
  <si>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</si>
  <si>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</si>
  <si>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（招股書草稿）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</si>
  <si>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WenQuanYi Zen Hei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</si>
  <si>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</si>
  <si>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</si>
  <si>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</si>
  <si>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</si>
  <si>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</si>
  <si>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</si>
  <si>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WenQuanYi Zen Hei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</si>
  <si>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</si>
  <si>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</si>
  <si>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</si>
  <si>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</si>
  <si>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WenQuanYi Zen Hei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</si>
  <si>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</si>
  <si>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</si>
  <si>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相關設備租賃義務（招股書草稿）</t>
    </r>
  </si>
  <si>
    <r>
      <rPr>
        <sz val="10"/>
        <color rgb="FF000000"/>
        <rFont val="WenQuanYi Zen Hei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</si>
  <si>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WenQuanYi Zen Hei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WenQuanYi Zen Hei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</si>
  <si>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</si>
  <si>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</si>
  <si>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算力五年租賃承諾</t>
    </r>
  </si>
  <si>
    <r>
      <rPr>
        <sz val="10"/>
        <color rgb="FF000000"/>
        <rFont val="WenQuanYi Zen Hei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</si>
  <si>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WenQuanYi Zen Hei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</si>
  <si>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</si>
  <si>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WenQuanYi Zen Hei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WenQuanYi Zen Hei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WenQuanYi Zen Hei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</si>
  <si>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</si>
  <si>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</si>
  <si>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</si>
  <si>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</si>
  <si>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</si>
  <si>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（供應商融資誘因）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</si>
  <si>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WenQuanYi Zen Hei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</si>
  <si>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</si>
  <si>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</si>
  <si>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</si>
  <si>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</si>
  <si>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</si>
  <si>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</si>
  <si>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WenQuanYi Zen Hei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</si>
  <si>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</si>
  <si>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</si>
  <si>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</si>
  <si>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WenQuanYi Zen Hei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</si>
  <si>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</si>
  <si>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</si>
  <si>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WenQuanYi Zen Hei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</si>
  <si>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</si>
  <si>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</si>
  <si>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</si>
  <si>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WenQuanYi Zen Hei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</si>
  <si>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</si>
  <si>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</si>
  <si>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推論等非訓練算力支出（推導）</t>
    </r>
  </si>
  <si>
    <r>
      <rPr>
        <sz val="10"/>
        <color rgb="FF000000"/>
        <rFont val="WenQuanYi Zen Hei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WenQuanYi Zen Hei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</si>
  <si>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WenQuanYi Zen Hei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</si>
  <si>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</si>
  <si>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</si>
  <si>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</si>
  <si>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</si>
  <si>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</si>
  <si>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</si>
  <si>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WenQuanYi Zen Hei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泡沫論者）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</si>
  <si>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WenQuanYi Zen Hei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</si>
  <si>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</si>
  <si>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</si>
  <si>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WenQuanYi Zen Hei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</si>
  <si>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</si>
  <si>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</si>
  <si>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WenQuanYi Zen Hei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WenQuanYi Zen Hei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</si>
  <si>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</si>
  <si>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</si>
  <si>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</si>
  <si>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</si>
  <si>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</si>
  <si>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</si>
  <si>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</si>
  <si>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</si>
  <si>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</si>
  <si>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</si>
  <si>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</si>
  <si>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</si>
  <si>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WenQuanYi Zen Hei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</si>
  <si>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</si>
  <si>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</si>
  <si>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WenQuanYi Zen Hei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</si>
  <si>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</si>
  <si>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WenQuanYi Zen Hei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</si>
  <si>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</si>
  <si>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</si>
  <si>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WenQuanYi Zen Hei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WenQuanYi Zen Hei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</si>
  <si>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</si>
  <si>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</si>
  <si>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WenQuanYi Zen Hei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</si>
  <si>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</si>
  <si>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WenQuanYi Zen Hei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</si>
  <si>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</si>
  <si>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</si>
  <si>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WenQuanYi Zen Hei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</si>
  <si>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</si>
  <si>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</si>
  <si>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</si>
  <si>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</si>
  <si>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</si>
  <si>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</si>
  <si>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</si>
  <si>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WenQuanYi Zen Hei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</si>
  <si>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</si>
  <si>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</si>
  <si>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</si>
  <si>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</si>
  <si>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</si>
  <si>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WenQuanYi Zen Hei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</si>
  <si>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</si>
  <si>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</si>
  <si>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WenQuanYi Zen Hei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WenQuanYi Zen Hei"/>
        <family val="2"/>
      </rPr>
      <t xml:space="preserve">定性）</t>
    </r>
  </si>
  <si>
    <r>
      <rPr>
        <sz val="10"/>
        <color rgb="FF000000"/>
        <rFont val="WenQuanYi Zen Hei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</si>
  <si>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</si>
  <si>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</si>
  <si>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</si>
  <si>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WenQuanYi Zen Hei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</si>
  <si>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WenQuanYi Zen Hei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WenQuanYi Zen Hei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</si>
  <si>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</si>
  <si>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</si>
  <si>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WenQuanYi Zen Hei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WenQuanYi Zen Hei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</si>
  <si>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</si>
  <si>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</si>
  <si>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WenQuanYi Zen Hei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</si>
  <si>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</si>
  <si>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</si>
  <si>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WenQuanYi Zen Hei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WenQuanYi Zen Hei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</si>
  <si>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</si>
  <si>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</si>
  <si>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</si>
  <si>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WenQuanYi Zen Hei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</si>
  <si>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</si>
  <si>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</si>
  <si>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</si>
  <si>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</si>
  <si>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</si>
  <si>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WenQuanYi Zen Hei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</si>
  <si>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</si>
  <si>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</si>
  <si>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</si>
  <si>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</si>
  <si>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WenQuanYi Zen Hei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</si>
  <si>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</si>
  <si>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</si>
  <si>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WenQuanYi Zen Hei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</si>
  <si>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</si>
  <si>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</si>
  <si>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WenQuanYi Zen Hei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</si>
  <si>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</si>
  <si>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WenQuanYi Zen Hei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WenQuanYi Zen Hei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</si>
  <si>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</si>
  <si>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</si>
  <si>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</si>
  <si>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WenQuanYi Zen Hei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</si>
  <si>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</si>
  <si>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</si>
  <si>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WenQuanYi Zen Hei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</si>
  <si>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</si>
  <si>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</si>
  <si>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</si>
  <si>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WenQuanYi Zen Hei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</si>
  <si>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</si>
  <si>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</si>
  <si>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WenQuanYi Zen Hei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</si>
  <si>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</si>
  <si>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</si>
  <si>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</si>
  <si>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（六年）</t>
    </r>
  </si>
  <si>
    <t xml:space="preserve">六年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</si>
  <si>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WenQuanYi Zen Hei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WenQuanYi Zen Hei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WenQuanYi Zen Hei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</si>
  <si>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</si>
  <si>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</si>
  <si>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</si>
  <si>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</si>
  <si>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WenQuanYi Zen Hei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</si>
  <si>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</si>
  <si>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</si>
  <si>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</si>
  <si>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</si>
  <si>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</si>
  <si>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</si>
  <si>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WenQuanYi Zen Hei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</si>
  <si>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</si>
  <si>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</si>
  <si>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</si>
  <si>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</si>
  <si>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</si>
  <si>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</si>
  <si>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</si>
  <si>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</si>
  <si>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WenQuanYi Zen Hei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</si>
  <si>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</si>
  <si>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</si>
  <si>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</si>
  <si>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WenQuanYi Zen Hei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</si>
  <si>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</si>
  <si>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WenQuanYi Zen Hei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WenQuanYi Zen Hei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</si>
  <si>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</si>
  <si>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</si>
  <si>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算力與基礎設施支出（費用口徑）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</si>
  <si>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WenQuanYi Zen Hei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</si>
  <si>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</si>
  <si>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</si>
  <si>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</si>
  <si>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WenQuanYi Zen Hei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</si>
  <si>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WenQuanYi Zen Hei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WenQuanYi Zen Hei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WenQuanYi Zen Hei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</si>
  <si>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</si>
  <si>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</si>
  <si>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營業虧損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</si>
  <si>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</si>
  <si>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</si>
  <si>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</si>
  <si>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營業虧損</t>
    </r>
  </si>
  <si>
    <t xml:space="preserve">FY2024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</si>
  <si>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</si>
  <si>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</si>
  <si>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</si>
  <si>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淨虧損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</si>
  <si>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WenQuanYi Zen Hei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WenQuanYi Zen Hei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</si>
  <si>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</si>
  <si>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</si>
  <si>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淨虧損中之非現金會計費用（可轉換融資重估）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</si>
  <si>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</si>
  <si>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</si>
  <si>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</si>
  <si>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</si>
  <si>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</si>
  <si>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</si>
  <si>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</si>
  <si>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（投資人資料；募資誘因）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</si>
  <si>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</si>
  <si>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</si>
  <si>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</si>
  <si>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WenQuanYi Zen Hei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WenQuanYi Zen Hei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</si>
  <si>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</si>
  <si>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</si>
  <si>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</si>
  <si>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WenQuanYi Zen Hei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WenQuanYi Zen Hei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WenQuanYi Zen Hei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</si>
  <si>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</si>
  <si>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</si>
  <si>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</si>
  <si>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</si>
  <si>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</si>
  <si>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</si>
  <si>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</si>
  <si>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</si>
  <si>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WenQuanYi Zen Hei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</si>
  <si>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</si>
  <si>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</si>
  <si>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</si>
  <si>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</si>
  <si>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</si>
  <si>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</si>
  <si>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</si>
  <si>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</si>
  <si>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</si>
  <si>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WenQuanYi Zen Hei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</si>
  <si>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</si>
  <si>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</si>
  <si>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</si>
  <si>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WenQuanYi Zen Hei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</si>
  <si>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</si>
  <si>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</si>
  <si>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</si>
  <si>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</si>
  <si>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</si>
  <si>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</si>
  <si>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WenQuanYi Zen Hei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</si>
  <si>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</si>
  <si>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</si>
  <si>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</si>
  <si>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</si>
  <si>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</si>
  <si>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</si>
  <si>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</si>
  <si>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</si>
  <si>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</si>
  <si>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</si>
  <si>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</si>
  <si>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</si>
  <si>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WenQuanYi Zen Hei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</si>
  <si>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</si>
  <si>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</si>
  <si>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</si>
  <si>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</si>
  <si>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WenQuanYi Zen Hei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</si>
  <si>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</si>
  <si>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</si>
  <si>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</si>
  <si>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</si>
  <si>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</si>
  <si>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</si>
  <si>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WenQuanYi Zen Hei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</si>
  <si>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</si>
  <si>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</si>
  <si>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</si>
  <si>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</si>
  <si>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</si>
  <si>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WenQuanYi Zen Hei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WenQuanYi Zen Hei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</si>
  <si>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</si>
  <si>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</si>
  <si>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</si>
  <si>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WenQuanYi Zen Hei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WenQuanYi Zen Hei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</si>
  <si>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</si>
  <si>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（招募、市場地位誘因）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</si>
  <si>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WenQuanYi Zen Hei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WenQuanYi Zen Hei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</si>
  <si>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</si>
  <si>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</si>
  <si>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WenQuanYi Zen Hei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</si>
  <si>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</si>
  <si>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</si>
  <si>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揭露（來源文件未標明）；二手媒體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</si>
  <si>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</si>
  <si>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</si>
  <si>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</si>
  <si>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</si>
  <si>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</si>
  <si>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WenQuanYi Zen Hei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</si>
  <si>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</si>
  <si>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</si>
  <si>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</si>
  <si>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</si>
  <si>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WenQuanYi Zen Hei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</si>
  <si>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</si>
  <si>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</si>
  <si>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</si>
  <si>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</si>
  <si>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</si>
  <si>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</si>
  <si>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</si>
  <si>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</si>
  <si>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</si>
  <si>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中先前承諾的雲端業者投資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</si>
  <si>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WenQuanYi Zen Hei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</si>
  <si>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</si>
  <si>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</si>
  <si>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共同領投（文字）</t>
    </r>
  </si>
  <si>
    <t xml:space="preserve">文字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</si>
  <si>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WenQuanYi Zen Hei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WenQuanYi Zen Hei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</si>
  <si>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</si>
  <si>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</si>
  <si>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</si>
  <si>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</si>
  <si>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</si>
  <si>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（募資誘因；律所為公司代表）</t>
    </r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</si>
  <si>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</si>
  <si>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</si>
  <si>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</si>
  <si>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</si>
  <si>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</si>
  <si>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</si>
  <si>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</si>
  <si>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</si>
  <si>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</si>
  <si>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</si>
  <si>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WenQuanYi Zen Hei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</si>
  <si>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</si>
  <si>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</si>
  <si>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WenQuanYi Zen Hei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</si>
  <si>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招股書草稿，未公開；募資誘因）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</si>
  <si>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</si>
  <si>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</si>
  <si>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</si>
  <si>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</si>
  <si>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</si>
  <si>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</si>
  <si>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WenQuanYi Zen Hei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WenQuanYi Zen Hei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</si>
  <si>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</si>
  <si>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</si>
  <si>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WenQuanYi Zen Hei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</si>
  <si>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WenQuanYi Zen Hei"/>
        <family val="2"/>
      </rPr>
      <t xml:space="preserve">為二手評論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</si>
  <si>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WenQuanYi Zen Hei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</si>
  <si>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</si>
  <si>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</si>
  <si>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WenQuanYi Zen Hei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</si>
  <si>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</si>
  <si>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</si>
  <si>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</si>
  <si>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WenQuanYi Zen Hei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</si>
  <si>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</si>
  <si>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</si>
  <si>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</si>
  <si>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</si>
  <si>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</si>
  <si>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</si>
  <si>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</si>
  <si>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</si>
  <si>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</si>
  <si>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</si>
  <si>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</si>
  <si>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</si>
  <si>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／投資人；募資誘因）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</si>
  <si>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</si>
  <si>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</si>
  <si>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</si>
  <si>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WenQuanYi Zen Hei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WenQuanYi Zen Hei"/>
        <family val="2"/>
      </rPr>
      <t xml:space="preserve">掌握投票權</t>
    </r>
  </si>
  <si>
    <t xml:space="preserve">%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</si>
  <si>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</si>
  <si>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</si>
  <si>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</si>
  <si>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</si>
  <si>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</si>
  <si>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</si>
  <si>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</si>
  <si>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</si>
  <si>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</si>
  <si>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</si>
  <si>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</si>
  <si>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WenQuanYi Zen Hei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</si>
  <si>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</si>
  <si>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</si>
  <si>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</si>
  <si>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</si>
  <si>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</si>
  <si>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</si>
  <si>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</si>
  <si>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</si>
  <si>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</si>
  <si>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</si>
  <si>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</si>
  <si>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領投與結構（文字）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</si>
  <si>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WenQuanYi Zen Hei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</si>
  <si>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</si>
  <si>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</si>
  <si>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</si>
  <si>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WenQuanYi Zen Hei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</si>
  <si>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</si>
  <si>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</si>
  <si>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WenQuanYi Zen Hei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</si>
  <si>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</si>
  <si>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</si>
  <si>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WenQuanYi Zen Hei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WenQuanYi Zen Hei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</si>
  <si>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</si>
  <si>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</si>
  <si>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</si>
  <si>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</si>
  <si>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</si>
  <si>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</si>
  <si>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</si>
  <si>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WenQuanYi Zen Hei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</si>
  <si>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</si>
  <si>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</si>
  <si>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WenQuanYi Zen Hei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</si>
  <si>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</si>
  <si>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</si>
  <si>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WenQuanYi Zen Hei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</si>
  <si>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</si>
  <si>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</si>
  <si>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</si>
  <si>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</si>
  <si>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WenQuanYi Zen Hei"/>
        <family val="2"/>
      </rPr>
      <t xml:space="preserve">季，期後事項）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</si>
  <si>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WenQuanYi Zen Hei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</si>
  <si>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</si>
  <si>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</si>
  <si>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</si>
  <si>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WenQuanYi Zen Hei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</si>
  <si>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</si>
  <si>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</si>
  <si>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</si>
  <si>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</si>
  <si>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WenQuanYi Zen Hei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</si>
  <si>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</si>
  <si>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</si>
  <si>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WenQuanYi Zen Hei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</si>
  <si>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WenQuanYi Zen Hei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</si>
  <si>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</si>
  <si>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（雲端業務宣傳、募資誘因）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</si>
  <si>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</si>
  <si>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</si>
  <si>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</si>
  <si>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</si>
  <si>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WenQuanYi Zen Hei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</si>
  <si>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</si>
  <si>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</si>
  <si>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</si>
  <si>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WenQuanYi Zen Hei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WenQuanYi Zen Hei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</si>
  <si>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</si>
  <si>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</si>
  <si>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WenQuanYi Zen Hei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</si>
  <si>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</si>
  <si>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WenQuanYi Zen Hei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</si>
  <si>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</si>
  <si>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</si>
  <si>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WenQuanYi Zen Hei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WenQuanYi Zen Hei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WenQuanYi Zen Hei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WenQuanYi Zen Hei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</si>
  <si>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</si>
  <si>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</si>
  <si>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WenQuanYi Zen Hei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</si>
  <si>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</si>
  <si>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</si>
  <si>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</si>
  <si>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（雲端業務宣傳、募資誘因）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</si>
  <si>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WenQuanYi Zen Hei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</si>
  <si>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</si>
  <si>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</si>
  <si>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</si>
  <si>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</si>
  <si>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</si>
  <si>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</si>
  <si>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</si>
  <si>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</si>
  <si>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</si>
  <si>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（募資、雲端與晶片業務宣傳）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</si>
  <si>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</si>
  <si>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</si>
  <si>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</si>
  <si>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</si>
  <si>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</si>
  <si>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</si>
  <si>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</si>
  <si>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</si>
  <si>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WenQuanYi Zen Hei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財報（雲端業務誘因）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</si>
  <si>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WenQuanYi Zen Hei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WenQuanYi Zen Hei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</si>
  <si>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</si>
  <si>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</si>
  <si>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股票上限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</si>
  <si>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</si>
  <si>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</si>
  <si>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</si>
  <si>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</si>
  <si>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</si>
  <si>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</si>
  <si>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</si>
  <si>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</si>
  <si>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WenQuanYi Zen Hei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</si>
  <si>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</si>
  <si>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</si>
  <si>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</si>
  <si>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</si>
  <si>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</si>
  <si>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</si>
  <si>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</si>
  <si>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；招募誘因）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</si>
  <si>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WenQuanYi Zen Hei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WenQuanYi Zen Hei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</si>
  <si>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</si>
  <si>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</si>
  <si>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WenQuanYi Zen Hei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</si>
  <si>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</si>
  <si>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</si>
  <si>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</si>
  <si>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WenQuanYi Zen Hei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</si>
  <si>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</si>
  <si>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</si>
  <si>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</si>
  <si>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WenQuanYi Zen Hei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</si>
  <si>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</si>
  <si>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</si>
  <si>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</si>
  <si>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WenQuanYi Zen Hei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</si>
  <si>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</si>
  <si>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</si>
  <si>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WenQuanYi Zen Hei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</si>
  <si>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</si>
  <si>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</si>
  <si>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</si>
  <si>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WenQuanYi Zen Hei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</si>
  <si>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</si>
  <si>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</si>
  <si>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WenQuanYi Zen Hei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WenQuanYi Zen Hei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</si>
  <si>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</si>
  <si>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</si>
  <si>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</si>
  <si>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</si>
  <si>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WenQuanYi Zen Hei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</si>
  <si>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</si>
  <si>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</si>
  <si>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WenQuanYi Zen Hei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</si>
  <si>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</si>
  <si>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</si>
  <si>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</si>
  <si>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WenQuanYi Zen Hei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WenQuanYi Zen Hei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</si>
  <si>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</si>
  <si>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</si>
  <si>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</si>
  <si>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</si>
  <si>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</si>
  <si>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</si>
  <si>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</si>
  <si>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／承銷商；募資誘因）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</si>
  <si>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</si>
  <si>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</si>
  <si>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</si>
  <si>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</si>
  <si>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</si>
  <si>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WenQuanYi Zen Hei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</si>
  <si>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</si>
  <si>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</si>
  <si>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估值（潛在投資人區間）</t>
    </r>
  </si>
  <si>
    <r>
      <rPr>
        <sz val="10"/>
        <color rgb="FF000000"/>
        <rFont val="WenQuanYi Zen Hei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</si>
  <si>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WenQuanYi Zen Hei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</si>
  <si>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</si>
  <si>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</si>
  <si>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WenQuanYi Zen Hei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</si>
  <si>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WenQuanYi Zen Hei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</si>
  <si>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</si>
  <si>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</si>
  <si>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WenQuanYi Zen Hei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WenQuanYi Zen Hei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</si>
  <si>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</si>
  <si>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</si>
  <si>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</si>
  <si>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</si>
  <si>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WenQuanYi Zen Hei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</si>
  <si>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</si>
  <si>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</si>
  <si>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WenQuanYi Zen Hei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</si>
  <si>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</si>
  <si>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</si>
  <si>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</si>
  <si>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WenQuanYi Zen Hei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</si>
  <si>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</si>
  <si>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招股書草稿）；二手媒體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</si>
  <si>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WenQuanYi Zen Hei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</si>
  <si>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</si>
  <si>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</si>
  <si>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</si>
  <si>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美元營收之算力支出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</si>
  <si>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</si>
  <si>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</si>
  <si>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</si>
  <si>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月時）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</si>
  <si>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</si>
  <si>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</si>
  <si>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</si>
  <si>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營業利益預測（首次轉正）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</si>
  <si>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WenQuanYi Zen Hei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</si>
  <si>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</si>
  <si>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</si>
  <si>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WenQuanYi Zen Hei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</si>
  <si>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</si>
  <si>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</si>
  <si>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</si>
  <si>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</si>
  <si>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</si>
  <si>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</si>
  <si>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</si>
  <si>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</si>
  <si>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（投資人文件；募資誘因）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</si>
  <si>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</si>
  <si>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</si>
  <si>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</si>
  <si>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WenQuanYi Zen Hei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</si>
  <si>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</si>
  <si>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WenQuanYi Zen Hei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</si>
  <si>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</si>
  <si>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</si>
  <si>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</si>
  <si>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</si>
  <si>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</si>
  <si>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</si>
  <si>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</si>
  <si>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</si>
  <si>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</si>
  <si>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</si>
  <si>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</si>
  <si>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</si>
  <si>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</si>
  <si>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</si>
  <si>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</si>
  <si>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</si>
  <si>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</si>
  <si>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</si>
  <si>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</si>
  <si>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</si>
  <si>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</si>
  <si>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</si>
  <si>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</si>
  <si>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</si>
  <si>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</si>
  <si>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</si>
  <si>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</si>
  <si>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WenQuanYi Zen Hei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</si>
  <si>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</si>
  <si>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</si>
  <si>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WenQuanYi Zen Hei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</si>
  <si>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</si>
  <si>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（投資人資料；募資誘因）；二手轉述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</si>
  <si>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WenQuanYi Zen Hei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</si>
  <si>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</si>
  <si>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</si>
  <si>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</si>
  <si>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</si>
  <si>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</si>
  <si>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</si>
  <si>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</si>
  <si>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</si>
  <si>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</si>
  <si>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</si>
  <si>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</si>
  <si>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WenQuanYi Zen Hei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</si>
  <si>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</si>
  <si>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</si>
  <si>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</si>
  <si>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</si>
  <si>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</si>
  <si>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</si>
  <si>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</si>
  <si>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</si>
  <si>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</si>
  <si>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</si>
  <si>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WenQuanYi Zen Hei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</si>
  <si>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</si>
  <si>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</si>
  <si>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</si>
  <si>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WenQuanYi Zen Hei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WenQuanYi Zen Hei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WenQuanYi Zen Hei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</si>
  <si>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</si>
  <si>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</si>
  <si>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</si>
  <si>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</si>
  <si>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</si>
  <si>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</si>
  <si>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現金流（預測）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</si>
  <si>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</si>
  <si>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</si>
  <si>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</si>
  <si>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</si>
  <si>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</si>
  <si>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</si>
  <si>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</si>
  <si>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WenQuanYi Zen Hei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WenQuanYi Zen Hei"/>
        <family val="2"/>
      </rPr>
      <t xml:space="preserve">版本）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</si>
  <si>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</si>
  <si>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</si>
  <si>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</si>
  <si>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</si>
  <si>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WenQuanYi Zen Hei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</si>
  <si>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</si>
  <si>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WenQuanYi Zen Hei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</si>
  <si>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</si>
  <si>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</si>
  <si>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</si>
  <si>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</si>
  <si>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</si>
  <si>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</si>
  <si>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</si>
  <si>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，樂觀）</t>
    </r>
  </si>
  <si>
    <t xml:space="preserve">FY2029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</si>
  <si>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</si>
  <si>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</si>
  <si>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</si>
  <si>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</si>
  <si>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WenQuanYi Zen Hei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</si>
  <si>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</si>
  <si>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</si>
  <si>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WenQuanYi Zen Hei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WenQuanYi Zen Hei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</si>
  <si>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</si>
  <si>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</si>
  <si>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WenQuanYi Zen Hei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</si>
  <si>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</si>
  <si>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</si>
  <si>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</si>
  <si>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</si>
  <si>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估值誘因）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</si>
  <si>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WenQuanYi Zen Hei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</si>
  <si>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</si>
  <si>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</si>
  <si>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WenQuanYi Zen Hei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WenQuanYi Zen Hei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</si>
  <si>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</si>
  <si>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</si>
  <si>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</si>
  <si>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WenQuanYi Zen Hei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</si>
  <si>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</si>
  <si>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</si>
  <si>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</si>
  <si>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WenQuanYi Zen Hei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</si>
  <si>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</si>
  <si>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</si>
  <si>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毛利率目標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</si>
  <si>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WenQuanYi Zen Hei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</si>
  <si>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</si>
  <si>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</si>
  <si>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</si>
  <si>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</si>
  <si>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WenQuanYi Zen Hei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</si>
  <si>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</si>
  <si>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</si>
  <si>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WenQuanYi Zen Hei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</si>
  <si>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WenQuanYi Zen Hei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</si>
  <si>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</si>
  <si>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</si>
  <si>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</si>
  <si>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WenQuanYi Zen Hei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WenQuanYi Zen Hei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</si>
  <si>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</si>
  <si>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</si>
  <si>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</si>
  <si>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</si>
  <si>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</si>
  <si>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</si>
  <si>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</si>
  <si>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WenQuanYi Zen Hei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WenQuanYi Zen Hei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WenQuanYi Zen Hei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WenQuanYi Zen Hei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</si>
  <si>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</si>
  <si>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</si>
  <si>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</si>
  <si>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</si>
  <si>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WenQuanYi Zen Hei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</si>
  <si>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</si>
  <si>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</si>
  <si>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WenQuanYi Zen Hei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</si>
  <si>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</si>
  <si>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</si>
  <si>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</si>
  <si>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WenQuanYi Zen Hei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</si>
  <si>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WenQuanYi Zen Hei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WenQuanYi Zen Hei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WenQuanYi Zen Hei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WenQuanYi Zen Hei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</si>
  <si>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</si>
  <si>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</si>
  <si>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WenQuanYi Zen Hei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</si>
  <si>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</si>
  <si>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</si>
  <si>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WenQuanYi Zen Hei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WenQuanYi Zen Hei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</si>
  <si>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</si>
  <si>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</si>
  <si>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</si>
  <si>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</si>
  <si>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WenQuanYi Zen Hei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WenQuanYi Zen Hei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</si>
  <si>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</si>
  <si>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</si>
  <si>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</si>
  <si>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</si>
  <si>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WenQuanYi Zen Hei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</si>
  <si>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</si>
  <si>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</si>
  <si>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</si>
  <si>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</si>
  <si>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WenQuanYi Zen Hei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</si>
  <si>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</si>
  <si>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</si>
  <si>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</si>
  <si>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</si>
  <si>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WenQuanYi Zen Hei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</si>
  <si>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</si>
  <si>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</si>
  <si>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WenQuanYi Zen Hei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</si>
  <si>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</si>
  <si>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</si>
  <si>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</si>
  <si>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WenQuanYi Zen Hei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WenQuanYi Zen Hei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WenQuanYi Zen Hei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</si>
  <si>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</si>
  <si>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</si>
  <si>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WenQuanYi Zen Hei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</si>
  <si>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</si>
  <si>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</si>
  <si>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WenQuanYi Zen Hei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WenQuanYi Zen Hei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</si>
  <si>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</si>
  <si>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</si>
  <si>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WenQuanYi Zen Hei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</si>
  <si>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</si>
  <si>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</si>
  <si>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WenQuanYi Zen Hei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WenQuanYi Zen Hei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</si>
  <si>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</si>
  <si>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</si>
  <si>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</si>
  <si>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WenQuanYi Zen Hei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</si>
  <si>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</si>
  <si>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</si>
  <si>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WenQuanYi Zen Hei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</si>
  <si>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</si>
  <si>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</si>
  <si>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</si>
  <si>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WenQuanYi Zen Hei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</si>
  <si>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</si>
  <si>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</si>
  <si>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</si>
  <si>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WenQuanYi Zen Hei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</si>
  <si>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</si>
  <si>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</si>
  <si>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</si>
  <si>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WenQuanYi Zen Hei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</si>
  <si>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</si>
  <si>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</si>
  <si>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</si>
  <si>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WenQuanYi Zen Hei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</si>
  <si>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</si>
  <si>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</si>
  <si>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WenQuanYi Zen Hei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年，多數不可取消）</t>
    </r>
  </si>
  <si>
    <r>
      <rPr>
        <sz val="10"/>
        <color rgb="FF000000"/>
        <rFont val="WenQuanYi Zen Hei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</si>
  <si>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WenQuanYi Zen Hei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WenQuanYi Zen Hei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</si>
  <si>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</si>
  <si>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</si>
  <si>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</si>
  <si>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WenQuanYi Zen Hei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</si>
  <si>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</si>
  <si>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</si>
  <si>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</si>
  <si>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WenQuanYi Zen Hei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WenQuanYi Zen Hei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</si>
  <si>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</si>
  <si>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</si>
  <si>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</si>
  <si>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WenQuanYi Zen Hei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WenQuanYi Zen Hei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</si>
  <si>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</si>
  <si>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</si>
  <si>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WenQuanYi Zen Hei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</si>
  <si>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</si>
  <si>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</si>
  <si>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</si>
  <si>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</si>
  <si>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WenQuanYi Zen Hei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WenQuanYi Zen Hei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</si>
  <si>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</si>
  <si>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</si>
  <si>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WenQuanYi Zen Hei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</si>
  <si>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</si>
  <si>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WenQuanYi Zen Hei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WenQuanYi Zen Hei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</si>
  <si>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</si>
  <si>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</si>
  <si>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WenQuanYi Zen Hei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WenQuanYi Zen Hei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</si>
  <si>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WenQuanYi Zen Hei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</si>
  <si>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</si>
  <si>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</si>
  <si>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WenQuanYi Zen Hei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WenQuanYi Zen Hei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</si>
  <si>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</si>
  <si>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WenQuanYi Zen Hei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</si>
  <si>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</si>
  <si>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</si>
  <si>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WenQuanYi Zen Hei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</si>
  <si>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WenQuanYi Zen Hei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WenQuanYi Zen Hei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WenQuanYi Zen Hei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</si>
  <si>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</si>
  <si>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</si>
  <si>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</si>
  <si>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WenQuanYi Zen Hei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</si>
  <si>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</si>
  <si>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</si>
  <si>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</si>
  <si>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WenQuanYi Zen Hei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</si>
  <si>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</si>
  <si>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</si>
  <si>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</si>
  <si>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WenQuanYi Zen Hei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WenQuanYi Zen Hei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WenQuanYi Zen Hei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</si>
  <si>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</si>
  <si>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</si>
  <si>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</si>
  <si>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WenQuanYi Zen Hei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</si>
  <si>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WenQuanYi Zen Hei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WenQuanYi Zen Hei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</si>
  <si>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</si>
  <si>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</si>
  <si>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</si>
  <si>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WenQuanYi Zen Hei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</si>
  <si>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</si>
  <si>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WenQuanYi Zen Hei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</si>
  <si>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WenQuanYi Zen Hei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WenQuanYi Zen Hei"/>
        <family val="2"/>
      </rPr>
      <t xml:space="preserve">外部連結）</t>
    </r>
  </si>
  <si>
    <r>
      <rPr>
        <sz val="9"/>
        <color rgb="FF595959"/>
        <rFont val="WenQuanYi Zen Hei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WenQuanYi Zen Hei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WenQuanYi Zen Hei"/>
        <family val="2"/>
      </rPr>
      <t xml:space="preserve">等對照名稱，只對照、不回饋計算）；其後為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</si>
  <si>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檔案</t>
    </r>
  </si>
  <si>
    <t xml:space="preserve">20261022_Tokenomics_v19.0.xlsx</t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</si>
  <si>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d1728705daaf19bfdfa7657b667f3617ac57d67a4c8e55404ac66522b970b9d8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</si>
  <si>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版本</t>
    </r>
  </si>
  <si>
    <t xml:space="preserve">v19.0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</si>
  <si>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WenQuanYi Zen Hei"/>
        <family val="2"/>
      </rPr>
      <t xml:space="preserve">）</t>
    </r>
  </si>
  <si>
    <t xml:space="preserve">1916a06465bb0c7efed21383075f2ae098508e24</t>
  </si>
  <si>
    <t xml:space="preserve">讀取日期</t>
  </si>
  <si>
    <t xml:space="preserve">2026-10-22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</si>
  <si>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</si>
  <si>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</si>
  <si>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</si>
  <si>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</si>
  <si>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</si>
  <si>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</si>
  <si>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</si>
  <si>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</si>
  <si>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</si>
  <si>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</si>
  <si>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</si>
  <si>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</si>
  <si>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</si>
  <si>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</si>
  <si>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</si>
  <si>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</si>
  <si>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</si>
  <si>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</si>
  <si>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</si>
  <si>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</si>
  <si>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</si>
  <si>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</si>
  <si>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</si>
  <si>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</si>
  <si>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</si>
  <si>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</si>
  <si>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</si>
  <si>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</si>
  <si>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</si>
  <si>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</si>
  <si>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</si>
  <si>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</si>
  <si>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</si>
  <si>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</si>
  <si>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</si>
  <si>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t xml:space="preserve">OK</t>
  </si>
  <si>
    <t xml:space="preserve">1916a06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</si>
  <si>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</si>
  <si>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</si>
  <si>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</si>
  <si>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</si>
  <si>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</si>
  <si>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</si>
  <si>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</si>
  <si>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</si>
  <si>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</si>
  <si>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</si>
  <si>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</si>
  <si>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</si>
  <si>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</si>
  <si>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</si>
  <si>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</si>
  <si>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</si>
  <si>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</si>
  <si>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</si>
  <si>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</si>
  <si>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</si>
  <si>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</si>
  <si>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</si>
  <si>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</si>
  <si>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</si>
  <si>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</si>
  <si>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</si>
  <si>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</si>
  <si>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</si>
  <si>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</si>
  <si>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</si>
  <si>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</si>
  <si>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</si>
  <si>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</si>
  <si>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</si>
  <si>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</si>
  <si>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</si>
  <si>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</si>
  <si>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</si>
  <si>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</si>
  <si>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</si>
  <si>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</si>
  <si>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</si>
  <si>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</si>
  <si>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</si>
  <si>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</si>
  <si>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</si>
  <si>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</si>
  <si>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</si>
  <si>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</si>
  <si>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</si>
  <si>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</si>
  <si>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</si>
  <si>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</si>
  <si>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</si>
  <si>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</si>
  <si>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</si>
  <si>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</si>
  <si>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</si>
  <si>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</si>
  <si>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</si>
  <si>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</si>
  <si>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</si>
  <si>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</si>
  <si>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</si>
  <si>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</si>
  <si>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</si>
  <si>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</si>
  <si>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</si>
  <si>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</si>
  <si>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</si>
  <si>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</si>
  <si>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</si>
  <si>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</si>
  <si>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</si>
  <si>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</si>
  <si>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</si>
  <si>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</si>
  <si>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WenQuanYi Zen Hei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WenQuanYi Zen Hei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</si>
  <si>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</si>
  <si>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</si>
  <si>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</si>
  <si>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</si>
  <si>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</si>
  <si>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</si>
  <si>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</si>
  <si>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</si>
  <si>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</si>
  <si>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</si>
  <si>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</si>
  <si>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</si>
  <si>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</si>
  <si>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</si>
  <si>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</si>
  <si>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</si>
  <si>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</si>
  <si>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</si>
  <si>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</si>
  <si>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</si>
  <si>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</si>
  <si>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</si>
  <si>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</si>
  <si>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</si>
  <si>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</si>
  <si>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</si>
  <si>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</si>
  <si>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</si>
  <si>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WenQuanYi Zen Hei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</si>
  <si>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</si>
  <si>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</si>
  <si>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</si>
  <si>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</si>
  <si>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</si>
  <si>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</si>
  <si>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</si>
  <si>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</si>
  <si>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</si>
  <si>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</si>
  <si>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WenQuanYi Zen Hei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</si>
  <si>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</si>
  <si>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</si>
  <si>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WenQuanYi Zen Hei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</si>
  <si>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</si>
  <si>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</si>
  <si>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</si>
  <si>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</si>
  <si>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</si>
  <si>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WenQuanYi Zen Hei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</si>
  <si>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</si>
  <si>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</si>
  <si>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</si>
  <si>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</si>
  <si>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</si>
  <si>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</si>
  <si>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</si>
  <si>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</si>
  <si>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</si>
  <si>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</si>
  <si>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</si>
  <si>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</si>
  <si>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</si>
  <si>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</si>
  <si>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</si>
  <si>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</si>
  <si>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</si>
  <si>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</si>
  <si>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</si>
  <si>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</si>
  <si>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</si>
  <si>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</si>
  <si>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</si>
  <si>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</si>
  <si>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</si>
  <si>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</si>
  <si>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</si>
  <si>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</si>
  <si>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</si>
  <si>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</si>
  <si>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</si>
  <si>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</si>
  <si>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</si>
  <si>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</si>
  <si>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</si>
  <si>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</si>
  <si>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</si>
  <si>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</si>
  <si>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</si>
  <si>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</si>
  <si>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</si>
  <si>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</si>
  <si>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</si>
  <si>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</si>
  <si>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</si>
  <si>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</si>
  <si>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</si>
  <si>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</si>
  <si>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</si>
  <si>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</si>
  <si>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</si>
  <si>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</si>
  <si>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</si>
  <si>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WenQuanYi Zen Hei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</si>
  <si>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</si>
  <si>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</si>
  <si>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</si>
  <si>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</si>
  <si>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</si>
  <si>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</si>
  <si>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</si>
  <si>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</si>
  <si>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</si>
  <si>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</si>
  <si>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</si>
  <si>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</si>
  <si>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</si>
  <si>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</si>
  <si>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</si>
  <si>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</si>
  <si>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</si>
  <si>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</si>
  <si>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</si>
  <si>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</si>
  <si>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</si>
  <si>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</si>
  <si>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</si>
  <si>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</si>
  <si>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</si>
  <si>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</si>
  <si>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</si>
  <si>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</si>
  <si>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</si>
  <si>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</si>
  <si>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</si>
  <si>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</si>
  <si>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</si>
  <si>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</si>
  <si>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</si>
  <si>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</si>
  <si>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</si>
  <si>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</si>
  <si>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</si>
  <si>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</si>
  <si>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</si>
  <si>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</si>
  <si>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</si>
  <si>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</si>
  <si>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</si>
  <si>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</si>
  <si>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</si>
  <si>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</si>
  <si>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</si>
  <si>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</si>
  <si>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</si>
  <si>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</si>
  <si>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</si>
  <si>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WenQuanYi Zen Hei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</si>
  <si>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</si>
  <si>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</si>
  <si>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WenQuanYi Zen Hei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WenQuanYi Zen Hei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WenQuanYi Zen Hei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</si>
  <si>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</si>
  <si>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</si>
  <si>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WenQuanYi Zen Hei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</si>
  <si>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</si>
  <si>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</si>
  <si>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</si>
  <si>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</si>
  <si>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</si>
  <si>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</si>
  <si>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</si>
  <si>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</si>
  <si>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</si>
  <si>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</si>
  <si>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</si>
  <si>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</si>
  <si>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</si>
  <si>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</si>
  <si>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</si>
  <si>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</si>
  <si>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</si>
  <si>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</si>
  <si>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</si>
  <si>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</si>
  <si>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</si>
  <si>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</si>
  <si>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</si>
  <si>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</si>
  <si>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</si>
  <si>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</si>
  <si>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</si>
  <si>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</si>
  <si>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</si>
  <si>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</si>
  <si>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</si>
  <si>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</si>
  <si>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</si>
  <si>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</si>
  <si>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</si>
  <si>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</si>
  <si>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</si>
  <si>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</si>
  <si>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</si>
  <si>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</si>
  <si>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</si>
  <si>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</si>
  <si>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</si>
  <si>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</si>
  <si>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</si>
  <si>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</si>
  <si>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</si>
  <si>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</si>
  <si>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</si>
  <si>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</si>
  <si>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</si>
  <si>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</si>
  <si>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</si>
  <si>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</si>
  <si>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WenQuanYi Zen Hei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</si>
  <si>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WenQuanYi Zen Hei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</si>
  <si>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</si>
  <si>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</si>
  <si>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WenQuanYi Zen Hei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</si>
  <si>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</si>
  <si>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</si>
  <si>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WenQuanYi Zen Hei"/>
        <family val="2"/>
      </rPr>
      <t xml:space="preserve">；非具名）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</si>
  <si>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WenQuanYi Zen Hei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WenQuanYi Zen Hei"/>
        <family val="2"/>
      </rPr>
      <t xml:space="preserve">；只作並排對照）</t>
    </r>
  </si>
  <si>
    <r>
      <rPr>
        <sz val="9"/>
        <color rgb="FF595959"/>
        <rFont val="WenQuanYi Zen Hei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</si>
  <si>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WenQuanYi Zen Hei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</si>
  <si>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檔案</t>
    </r>
  </si>
  <si>
    <t xml:space="preserve">20261008_OpenAI_v0.6.xlsx</t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</si>
  <si>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</si>
  <si>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</si>
  <si>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WenQuanYi Zen Hei"/>
        <family val="2"/>
      </rPr>
      <t xml:space="preserve">提交（建置時）</t>
    </r>
  </si>
  <si>
    <r>
      <rPr>
        <sz val="10"/>
        <color rgb="FF000000"/>
        <rFont val="WenQuanYi Zen Hei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git </t>
    </r>
    <r>
      <rPr>
        <sz val="10"/>
        <color rgb="FF000000"/>
        <rFont val="WenQuanYi Zen Hei"/>
        <family val="2"/>
      </rPr>
      <t xml:space="preserve">工作目錄）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</si>
  <si>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</si>
  <si>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</si>
  <si>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</si>
  <si>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</si>
  <si>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</si>
  <si>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</si>
  <si>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</si>
  <si>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</si>
  <si>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</si>
  <si>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</si>
  <si>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</si>
  <si>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WenQuanYi Zen Hei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</si>
  <si>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</si>
  <si>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</si>
  <si>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</si>
  <si>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</si>
  <si>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</si>
  <si>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</si>
  <si>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</si>
  <si>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</si>
  <si>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</si>
  <si>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</si>
  <si>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</si>
  <si>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</si>
  <si>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</si>
  <si>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</si>
  <si>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</si>
  <si>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</si>
  <si>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</si>
  <si>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</si>
  <si>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</si>
  <si>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</si>
  <si>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</si>
  <si>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</si>
  <si>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</si>
  <si>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</si>
  <si>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</si>
  <si>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</si>
  <si>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</si>
  <si>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</si>
  <si>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</si>
  <si>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</si>
  <si>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</si>
  <si>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</si>
  <si>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</si>
  <si>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</si>
  <si>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</si>
  <si>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</si>
  <si>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</si>
  <si>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</si>
  <si>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</si>
  <si>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</si>
  <si>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</si>
  <si>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</si>
  <si>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</si>
  <si>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</si>
  <si>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</si>
  <si>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</si>
  <si>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</si>
  <si>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</si>
  <si>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WenQuanYi Zen Hei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</si>
  <si>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</si>
  <si>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</si>
  <si>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</si>
  <si>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</si>
  <si>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</si>
  <si>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</si>
  <si>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</si>
  <si>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WenQuanYi Zen Hei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</si>
  <si>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</si>
  <si>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</si>
  <si>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</si>
  <si>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</si>
  <si>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</si>
  <si>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假設輸入（藍字）：值、低、高、標記、依據、區間理由</t>
    </r>
  </si>
  <si>
    <r>
      <rPr>
        <sz val="9"/>
        <color rgb="FF595959"/>
        <rFont val="WenQuanYi Zen Hei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固定。</t>
    </r>
  </si>
  <si>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WenQuanYi Zen Hei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</si>
  <si>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</si>
  <si>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</si>
  <si>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</si>
  <si>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</si>
  <si>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</si>
  <si>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WenQuanYi Zen Hei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</si>
  <si>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</si>
  <si>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</si>
  <si>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</t>
    </r>
  </si>
  <si>
    <t xml:space="preserve">Decision</t>
  </si>
  <si>
    <r>
      <rPr>
        <sz val="10"/>
        <color rgb="FF000000"/>
        <rFont val="WenQuanYi Zen Hei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</si>
  <si>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</si>
  <si>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</si>
  <si>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</si>
  <si>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</si>
  <si>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</si>
  <si>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</si>
  <si>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</si>
  <si>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</si>
  <si>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</si>
  <si>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</si>
  <si>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</si>
  <si>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</si>
  <si>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</si>
  <si>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</si>
  <si>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</si>
  <si>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</si>
  <si>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</si>
  <si>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</si>
  <si>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</si>
  <si>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</si>
  <si>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</si>
  <si>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</si>
  <si>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</si>
  <si>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</si>
  <si>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</si>
  <si>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</si>
  <si>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WenQuanYi Zen Hei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</si>
  <si>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</si>
  <si>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</si>
  <si>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</si>
  <si>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</si>
  <si>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WenQuanYi Zen Hei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WenQuanYi Zen Hei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</si>
  <si>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</si>
  <si>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</si>
  <si>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</si>
  <si>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WenQuanYi Zen Hei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WenQuanYi Zen Hei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</si>
  <si>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</si>
  <si>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</si>
  <si>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</si>
  <si>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</si>
  <si>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WenQuanYi Zen Hei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</si>
  <si>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</si>
  <si>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</si>
  <si>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</si>
  <si>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</si>
  <si>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</si>
  <si>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</si>
  <si>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</si>
  <si>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</si>
  <si>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</si>
  <si>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</si>
  <si>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</si>
  <si>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</si>
  <si>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</si>
  <si>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</si>
  <si>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</si>
  <si>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</si>
  <si>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</si>
  <si>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</si>
  <si>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WenQuanYi Zen Hei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</si>
  <si>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</si>
  <si>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</si>
  <si>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</si>
  <si>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</si>
  <si>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</si>
  <si>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</si>
  <si>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WenQuanYi Zen Hei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</si>
  <si>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</si>
  <si>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</si>
  <si>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WenQuanYi Zen Hei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</si>
  <si>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</si>
  <si>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</si>
  <si>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</si>
  <si>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</si>
  <si>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</si>
  <si>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</si>
  <si>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WenQuanYi Zen Hei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WenQuanYi Zen Hei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</si>
  <si>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</si>
  <si>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</si>
  <si>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</si>
  <si>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WenQuanYi Zen Hei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</t>
    </r>
  </si>
  <si>
    <t xml:space="preserve">開關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</si>
  <si>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WenQuanYi Zen Hei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實際）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</si>
  <si>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</si>
  <si>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</si>
  <si>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</si>
  <si>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WenQuanYi Zen Hei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＝持平，保守）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</si>
  <si>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WenQuanYi Zen Hei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WenQuanYi Zen Hei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年化口徑下亦等於持平</t>
    </r>
  </si>
  <si>
    <r>
      <rPr>
        <sz val="10"/>
        <color rgb="FF000000"/>
        <rFont val="WenQuanYi Zen Hei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WenQuanYi Zen Hei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</si>
  <si>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</si>
  <si>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</si>
  <si>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</si>
  <si>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WenQuanYi Zen Hei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</si>
  <si>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</si>
  <si>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</si>
  <si>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</si>
  <si>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</si>
  <si>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WenQuanYi Zen Hei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</si>
  <si>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WenQuanYi Zen Hei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WenQuanYi Zen Hei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</si>
  <si>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</si>
  <si>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</si>
  <si>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</si>
  <si>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年付占比</t>
    </r>
  </si>
  <si>
    <t xml:space="preserve">Assumed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</si>
  <si>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</si>
  <si>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</si>
  <si>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</si>
  <si>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</si>
  <si>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</si>
  <si>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席位）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</si>
  <si>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WenQuanYi Zen Hei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</si>
  <si>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</si>
  <si>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</si>
  <si>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占付費人數</t>
    </r>
  </si>
  <si>
    <r>
      <rPr>
        <sz val="10"/>
        <color rgb="FF000000"/>
        <rFont val="WenQuanYi Zen Hei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WenQuanYi Zen Hei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</si>
  <si>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</si>
  <si>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</si>
  <si>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</si>
  <si>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</si>
  <si>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占付費人數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</si>
  <si>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WenQuanYi Zen Hei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WenQuanYi Zen Hei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</si>
  <si>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</si>
  <si>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</si>
  <si>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</si>
  <si>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</si>
  <si>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WenQuanYi Zen Hei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</si>
  <si>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</si>
  <si>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</si>
  <si>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</si>
  <si>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</si>
  <si>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</si>
  <si>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</si>
  <si>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標準席位占席位數</t>
    </r>
  </si>
  <si>
    <r>
      <rPr>
        <sz val="10"/>
        <color rgb="FF000000"/>
        <rFont val="WenQuanYi Zen Hei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WenQuanYi Zen Hei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WenQuanYi Zen Hei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</si>
  <si>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</si>
  <si>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</si>
  <si>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</si>
  <si>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</si>
  <si>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</si>
  <si>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</si>
  <si>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</si>
  <si>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</si>
  <si>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WenQuanYi Zen Hei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</si>
  <si>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</si>
  <si>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</si>
  <si>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</si>
  <si>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</si>
  <si>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</si>
  <si>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WenQuanYi Zen Hei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</si>
  <si>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WenQuanYi Zen Hei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WenQuanYi Zen Hei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</si>
  <si>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</si>
  <si>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WenQuanYi Zen Hei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</si>
  <si>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</si>
  <si>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</si>
  <si>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</si>
  <si>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</si>
  <si>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WenQuanYi Zen Hei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</si>
  <si>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WenQuanYi Zen Hei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</si>
  <si>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WenQuanYi Zen Hei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</si>
  <si>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</si>
  <si>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</si>
  <si>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</si>
  <si>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</si>
  <si>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</si>
  <si>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</si>
  <si>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</si>
  <si>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</si>
  <si>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</si>
  <si>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</si>
  <si>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</si>
  <si>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</si>
  <si>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</si>
  <si>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WenQuanYi Zen Hei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</si>
  <si>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</si>
  <si>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WenQuanYi Zen Hei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</si>
  <si>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</si>
  <si>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</si>
  <si>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</si>
  <si>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</si>
  <si>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</si>
  <si>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</si>
  <si>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</si>
  <si>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</si>
  <si>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</si>
  <si>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</si>
  <si>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</si>
  <si>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</si>
  <si>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</si>
  <si>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WenQuanYi Zen Hei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萬</t>
    </r>
  </si>
  <si>
    <r>
      <rPr>
        <sz val="10"/>
        <color rgb="FF000000"/>
        <rFont val="WenQuanYi Zen Hei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</si>
  <si>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WenQuanYi Zen Hei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WenQuanYi Zen Hei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WenQuanYi Zen Hei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</si>
  <si>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</si>
  <si>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</si>
  <si>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</si>
  <si>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</si>
  <si>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</si>
  <si>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</si>
  <si>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</si>
  <si>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</si>
  <si>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</si>
  <si>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</si>
  <si>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</si>
  <si>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</si>
  <si>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WenQuanYi Zen Hei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</si>
  <si>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WenQuanYi Zen Hei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</si>
  <si>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</si>
  <si>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</si>
  <si>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</si>
  <si>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</si>
  <si>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</si>
  <si>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</si>
  <si>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</si>
  <si>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</si>
  <si>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</si>
  <si>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</si>
  <si>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</si>
  <si>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</si>
  <si>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</si>
  <si>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</si>
  <si>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</si>
  <si>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</si>
  <si>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</si>
  <si>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WenQuanYi Zen Hei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</si>
  <si>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</si>
  <si>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</si>
  <si>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</si>
  <si>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</si>
  <si>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</si>
  <si>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</si>
  <si>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</si>
  <si>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WenQuanYi Zen Hei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</si>
  <si>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</si>
  <si>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</si>
  <si>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</si>
  <si>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</si>
  <si>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</si>
  <si>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</si>
  <si>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</si>
  <si>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</si>
  <si>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</si>
  <si>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</si>
  <si>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WenQuanYi Zen Hei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</si>
  <si>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</si>
  <si>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WenQuanYi Zen Hei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</si>
  <si>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</si>
  <si>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</si>
  <si>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</si>
  <si>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</si>
  <si>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</si>
  <si>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</si>
  <si>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</si>
  <si>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</si>
  <si>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</si>
  <si>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</si>
  <si>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</si>
  <si>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</si>
  <si>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</si>
  <si>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WenQuanYi Zen Hei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</si>
  <si>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</si>
  <si>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</si>
  <si>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</si>
  <si>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</si>
  <si>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</si>
  <si>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</si>
  <si>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</si>
  <si>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</si>
  <si>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</si>
  <si>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</si>
  <si>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</si>
  <si>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</si>
  <si>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</si>
  <si>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</si>
  <si>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</si>
  <si>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</si>
  <si>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</si>
  <si>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</si>
  <si>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</si>
  <si>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</si>
  <si>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</si>
  <si>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</si>
  <si>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</si>
  <si>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</si>
  <si>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</si>
  <si>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</si>
  <si>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</si>
  <si>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</si>
  <si>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任務：對話</t>
    </r>
  </si>
  <si>
    <t xml:space="preserve">對話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</si>
  <si>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WenQuanYi Zen Hei"/>
        <family val="2"/>
      </rPr>
      <t xml:space="preserve">的鍵）</t>
    </r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</si>
  <si>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WenQuanYi Zen Hei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</si>
  <si>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</si>
  <si>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WenQuanYi Zen Hei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</si>
  <si>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</si>
  <si>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</si>
  <si>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</si>
  <si>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</si>
  <si>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WenQuanYi Zen Hei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</si>
  <si>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</si>
  <si>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</si>
  <si>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</si>
  <si>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</si>
  <si>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WenQuanYi Zen Hei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</si>
  <si>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</si>
  <si>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</si>
  <si>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</si>
  <si>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WenQuanYi Zen Hei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</si>
  <si>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</si>
  <si>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</si>
  <si>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</si>
  <si>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任務的倍數：程式代理</t>
    </r>
  </si>
  <si>
    <r>
      <rPr>
        <sz val="10"/>
        <color rgb="FF000000"/>
        <rFont val="WenQuanYi Zen Hei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WenQuanYi Zen Hei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</si>
  <si>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WenQuanYi Zen Hei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</si>
  <si>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WenQuanYi Zen Hei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WenQuanYi Zen Hei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</si>
  <si>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</si>
  <si>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</si>
  <si>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任務的倍數：其他代理</t>
    </r>
  </si>
  <si>
    <r>
      <rPr>
        <sz val="10"/>
        <color rgb="FF000000"/>
        <rFont val="WenQuanYi Zen Hei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</si>
  <si>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</si>
  <si>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</si>
  <si>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</si>
  <si>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</si>
  <si>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</si>
  <si>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WenQuanYi Zen Hei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</si>
  <si>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</si>
  <si>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</si>
  <si>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</si>
  <si>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</si>
  <si>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</si>
  <si>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</si>
  <si>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</si>
  <si>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WenQuanYi Zen Hei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</si>
  <si>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WenQuanYi Zen Hei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WenQuanYi Zen Hei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</si>
  <si>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</si>
  <si>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</si>
  <si>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</si>
  <si>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</si>
  <si>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</si>
  <si>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</si>
  <si>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WenQuanYi Zen Hei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WenQuanYi Zen Hei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</si>
  <si>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</si>
  <si>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</si>
  <si>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</si>
  <si>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</si>
  <si>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</si>
  <si>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</si>
  <si>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</si>
  <si>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</si>
  <si>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</si>
  <si>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</si>
  <si>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WenQuanYi Zen Hei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</si>
  <si>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</si>
  <si>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</si>
  <si>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</si>
  <si>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</si>
  <si>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WenQuanYi Zen Hei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WenQuanYi Zen Hei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WenQuanYi Zen Hei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WenQuanYi Zen Hei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</si>
  <si>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</si>
  <si>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</si>
  <si>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</si>
  <si>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</si>
  <si>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WenQuanYi Zen Hei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</si>
  <si>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</si>
  <si>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</si>
  <si>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</si>
  <si>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</si>
  <si>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</si>
  <si>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</si>
  <si>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</si>
  <si>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</si>
  <si>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WenQuanYi Zen Hei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</si>
  <si>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區間上限放寬</t>
    </r>
  </si>
  <si>
    <r>
      <rPr>
        <sz val="10"/>
        <color rgb="FF000000"/>
        <rFont val="WenQuanYi Zen Hei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</si>
  <si>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</si>
  <si>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</si>
  <si>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</si>
  <si>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</si>
  <si>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</si>
  <si>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</si>
  <si>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</si>
  <si>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</si>
  <si>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WenQuanYi Zen Hei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</si>
  <si>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</si>
  <si>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</si>
  <si>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</si>
  <si>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</si>
  <si>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WenQuanYi Zen Hei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WenQuanYi Zen Hei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</si>
  <si>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</si>
  <si>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</si>
  <si>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</si>
  <si>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</si>
  <si>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</si>
  <si>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WenQuanYi Zen Hei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</si>
  <si>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</si>
  <si>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</si>
  <si>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</si>
  <si>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</si>
  <si>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</si>
  <si>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</si>
  <si>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</si>
  <si>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</si>
  <si>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</si>
  <si>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</si>
  <si>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</si>
  <si>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</si>
  <si>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</si>
  <si>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</si>
  <si>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</si>
  <si>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</si>
  <si>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</si>
  <si>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</si>
  <si>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</si>
  <si>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</si>
  <si>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</si>
  <si>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</si>
  <si>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WenQuanYi Zen Hei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WenQuanYi Zen Hei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WenQuanYi Zen Hei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</si>
  <si>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</si>
  <si>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</si>
  <si>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</si>
  <si>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</si>
  <si>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</si>
  <si>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</si>
  <si>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</si>
  <si>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</si>
  <si>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</si>
  <si>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</si>
  <si>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</si>
  <si>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</si>
  <si>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WenQuanYi Zen Hei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</si>
  <si>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</si>
  <si>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WenQuanYi Zen Hei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WenQuanYi Zen Hei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WenQuanYi Zen Hei"/>
        <family val="2"/>
      </rPr>
      <t xml:space="preserve">）；無法由公開資料分離（價格與能力同時變動）</t>
    </r>
  </si>
  <si>
    <r>
      <rPr>
        <sz val="10"/>
        <color rgb="FF000000"/>
        <rFont val="WenQuanYi Zen Hei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</si>
  <si>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</si>
  <si>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</si>
  <si>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WenQuanYi Zen Hei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</si>
  <si>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</si>
  <si>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</si>
  <si>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</si>
  <si>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</si>
  <si>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WenQuanYi Zen Hei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</si>
  <si>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</si>
  <si>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</si>
  <si>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</si>
  <si>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</si>
  <si>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WenQuanYi Zen Hei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</si>
  <si>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</si>
  <si>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WenQuanYi Zen Hei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WenQuanYi Zen Hei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WenQuanYi Zen Hei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WenQuanYi Zen Hei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</si>
  <si>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WenQuanYi Zen Hei"/>
        <family val="2"/>
      </rPr>
      <t xml:space="preserve">個百分點</t>
    </r>
  </si>
  <si>
    <r>
      <rPr>
        <sz val="10"/>
        <color rgb="FF000000"/>
        <rFont val="WenQuanYi Zen Hei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</si>
  <si>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</si>
  <si>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</si>
  <si>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WenQuanYi Zen Hei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</si>
  <si>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WenQuanYi Zen Hei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另列即時隱含值）</t>
    </r>
  </si>
  <si>
    <r>
      <rPr>
        <sz val="10"/>
        <color rgb="FF000000"/>
        <rFont val="WenQuanYi Zen Hei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</si>
  <si>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</si>
  <si>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</si>
  <si>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</si>
  <si>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</si>
  <si>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WenQuanYi Zen Hei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</si>
  <si>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</si>
  <si>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</si>
  <si>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</si>
  <si>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</si>
  <si>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WenQuanYi Zen Hei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</si>
  <si>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</si>
  <si>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</si>
  <si>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</si>
  <si>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</si>
  <si>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</si>
  <si>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</si>
  <si>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</si>
  <si>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</si>
  <si>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</si>
  <si>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</si>
  <si>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</si>
  <si>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</si>
  <si>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</si>
  <si>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</si>
  <si>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</si>
  <si>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</si>
  <si>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</si>
  <si>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</si>
  <si>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</si>
  <si>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WenQuanYi Zen Hei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</si>
  <si>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</si>
  <si>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WenQuanYi Zen Hei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WenQuanYi Zen Hei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WenQuanYi Zen Hei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</si>
  <si>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</si>
  <si>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</si>
  <si>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</si>
  <si>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WenQuanYi Zen Hei"/>
        <family val="2"/>
      </rPr>
      <t xml:space="preserve">持有比</t>
    </r>
  </si>
  <si>
    <r>
      <rPr>
        <sz val="10"/>
        <color rgb="FF000000"/>
        <rFont val="WenQuanYi Zen Hei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</si>
  <si>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</si>
  <si>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</si>
  <si>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</si>
  <si>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WenQuanYi Zen Hei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</si>
  <si>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</si>
  <si>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WenQuanYi Zen Hei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</si>
  <si>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</si>
  <si>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</si>
  <si>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WenQuanYi Zen Hei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上限）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</si>
  <si>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WenQuanYi Zen Hei"/>
        <family val="2"/>
      </rPr>
      <t xml:space="preserve">）</t>
    </r>
  </si>
  <si>
    <t xml:space="preserve">補區間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</si>
  <si>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</si>
  <si>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</si>
  <si>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</si>
  <si>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＝線性回升至目標）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</si>
  <si>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</si>
  <si>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</si>
  <si>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</si>
  <si>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</si>
  <si>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回升情境：目標值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</si>
  <si>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</si>
  <si>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</si>
  <si>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</si>
  <si>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回升情境：目標年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</si>
  <si>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</si>
  <si>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</si>
  <si>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</si>
  <si>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</si>
  <si>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</si>
  <si>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</si>
  <si>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</si>
  <si>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</si>
  <si>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</si>
  <si>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</si>
  <si>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</si>
  <si>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WenQuanYi Zen Hei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年）；本模型對全部爬坡型合約共用</t>
    </r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</si>
  <si>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</si>
  <si>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</si>
  <si>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</si>
  <si>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WenQuanYi Zen Hei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計入比例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</si>
  <si>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WenQuanYi Zen Hei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</si>
  <si>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</si>
  <si>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</si>
  <si>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</si>
  <si>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WenQuanYi Zen Hei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</si>
  <si>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</si>
  <si>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</si>
  <si>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WenQuanYi Zen Hei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</si>
  <si>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</si>
  <si>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</si>
  <si>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WenQuanYi Zen Hei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占比</t>
    </r>
  </si>
  <si>
    <t xml:space="preserve">2025–2026</t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</si>
  <si>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WenQuanYi Zen Hei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WenQuanYi Zen Hei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</si>
  <si>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</si>
  <si>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</si>
  <si>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</si>
  <si>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</si>
  <si>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WenQuanYi Zen Hei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</si>
  <si>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WenQuanYi Zen Hei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</si>
  <si>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</si>
  <si>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</si>
  <si>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WenQuanYi Zen Hei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年付款）</t>
    </r>
  </si>
  <si>
    <r>
      <rPr>
        <sz val="10"/>
        <color rgb="FF000000"/>
        <rFont val="WenQuanYi Zen Hei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</si>
  <si>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</si>
  <si>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</si>
  <si>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</si>
  <si>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</si>
  <si>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</si>
  <si>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WenQuanYi Zen Hei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WenQuanYi Zen Hei"/>
        <family val="2"/>
      </rPr>
      <t xml:space="preserve">）作區間</t>
    </r>
  </si>
  <si>
    <t xml:space="preserve">兩個揭露值之間</t>
  </si>
  <si>
    <r>
      <rPr>
        <sz val="10"/>
        <color rgb="FF000000"/>
        <rFont val="WenQuanYi Zen Hei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WenQuanYi Zen Hei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WenQuanYi Zen Hei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</si>
  <si>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</si>
  <si>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</si>
  <si>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</si>
  <si>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</si>
  <si>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</si>
  <si>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</si>
  <si>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</si>
  <si>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</si>
  <si>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</si>
  <si>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</si>
  <si>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</si>
  <si>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WenQuanYi Zen Hei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</si>
  <si>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</si>
  <si>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</si>
  <si>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</si>
  <si>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WenQuanYi Zen Hei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</si>
  <si>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</si>
  <si>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</si>
  <si>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</si>
  <si>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</si>
  <si>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</si>
  <si>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</si>
  <si>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</si>
  <si>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</si>
  <si>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</si>
  <si>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</si>
  <si>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</si>
  <si>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</si>
  <si>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</si>
  <si>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</si>
  <si>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</si>
  <si>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</si>
  <si>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</si>
  <si>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</si>
  <si>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</si>
  <si>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WenQuanYi Zen Hei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WenQuanYi Zen Hei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</si>
  <si>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</si>
  <si>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</si>
  <si>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WenQuanYi Zen Hei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</si>
  <si>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WenQuanYi Zen Hei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WenQuanYi Zen Hei"/>
        <family val="2"/>
      </rPr>
      <t xml:space="preserve">年</t>
    </r>
  </si>
  <si>
    <t xml:space="preserve">常見租期</t>
  </si>
  <si>
    <r>
      <rPr>
        <sz val="10"/>
        <color rgb="FF000000"/>
        <rFont val="WenQuanYi Zen Hei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</si>
  <si>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</si>
  <si>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</si>
  <si>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</si>
  <si>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</si>
  <si>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</si>
  <si>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</si>
  <si>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</si>
  <si>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</si>
  <si>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</si>
  <si>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</t>
    </r>
  </si>
  <si>
    <t xml:space="preserve">同上（定義值）</t>
  </si>
  <si>
    <r>
      <rPr>
        <sz val="10"/>
        <color rgb="FF000000"/>
        <rFont val="WenQuanYi Zen Hei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</si>
  <si>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</si>
  <si>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</si>
  <si>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</si>
  <si>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WenQuanYi Zen Hei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WenQuanYi Zen Hei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WenQuanYi Zen Hei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</si>
  <si>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</si>
  <si>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</si>
  <si>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WenQuanYi Zen Hei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</si>
  <si>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WenQuanYi Zen Hei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</si>
  <si>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</si>
  <si>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</si>
  <si>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</si>
  <si>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</si>
  <si>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</si>
  <si>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</si>
  <si>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</si>
  <si>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WenQuanYi Zen Hei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</si>
  <si>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</si>
  <si>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</si>
  <si>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</si>
  <si>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WenQuanYi Zen Hei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</si>
  <si>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WenQuanYi Zen Hei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</si>
  <si>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</si>
  <si>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</si>
  <si>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WenQuanYi Zen Hei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</si>
  <si>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</si>
  <si>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</si>
  <si>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WenQuanYi Zen Hei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</si>
  <si>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</si>
  <si>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</si>
  <si>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</si>
  <si>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WenQuanYi Zen Hei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WenQuanYi Zen Hei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</si>
  <si>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</si>
  <si>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</si>
  <si>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</si>
  <si>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</si>
  <si>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</si>
  <si>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WenQuanYi Zen Hei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</si>
  <si>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</si>
  <si>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</si>
  <si>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</si>
  <si>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</si>
  <si>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</si>
  <si>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</si>
  <si>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</si>
  <si>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WenQuanYi Zen Hei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WenQuanYi Zen Hei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</si>
  <si>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起陸續上線」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</si>
  <si>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</si>
  <si>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</si>
  <si>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</si>
  <si>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WenQuanYi Zen Hei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）資本支出均攤年數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</si>
  <si>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</si>
  <si>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</si>
  <si>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</si>
  <si>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</si>
  <si>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</si>
  <si>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投產落後年數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</si>
  <si>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</si>
  <si>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</si>
  <si>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</si>
  <si>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</si>
  <si>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WenQuanYi Zen Hei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</si>
  <si>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</si>
  <si>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</si>
  <si>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</si>
  <si>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WenQuanYi Zen Hei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</si>
  <si>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</si>
  <si>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</si>
  <si>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</si>
  <si>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</si>
  <si>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</si>
  <si>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WenQuanYi Zen Hei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</si>
  <si>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</si>
  <si>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</si>
  <si>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</si>
  <si>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</si>
  <si>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</si>
  <si>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</si>
  <si>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</si>
  <si>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</si>
  <si>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</si>
  <si>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</si>
  <si>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</si>
  <si>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</si>
  <si>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</si>
  <si>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</si>
  <si>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</si>
  <si>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</si>
  <si>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</si>
  <si>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</si>
  <si>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</si>
  <si>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WenQuanYi Zen Hei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</si>
  <si>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</si>
  <si>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WenQuanYi Zen Hei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</si>
  <si>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WenQuanYi Zen Hei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（員工費用幾乎全為股權）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</si>
  <si>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WenQuanYi Zen Hei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WenQuanYi Zen Hei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</si>
  <si>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</si>
  <si>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</si>
  <si>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</si>
  <si>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</si>
  <si>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</si>
  <si>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</si>
  <si>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</si>
  <si>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</si>
  <si>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</si>
  <si>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</si>
  <si>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</si>
  <si>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</si>
  <si>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不適用（規模不同）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</si>
  <si>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WenQuanYi Zen Hei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</si>
  <si>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</si>
  <si>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</si>
  <si>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</si>
  <si>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WenQuanYi Zen Hei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</si>
  <si>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WenQuanYi Zen Hei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WenQuanYi Zen Hei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</si>
  <si>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</si>
  <si>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</si>
  <si>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</si>
  <si>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WenQuanYi Zen Hei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</si>
  <si>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WenQuanYi Zen Hei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WenQuanYi Zen Hei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</si>
  <si>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</si>
  <si>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</si>
  <si>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</si>
  <si>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WenQuanYi Zen Hei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</si>
  <si>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WenQuanYi Zen Hei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WenQuanYi Zen Hei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WenQuanYi Zen Hei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</si>
  <si>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</si>
  <si>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</si>
  <si>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WenQuanYi Zen Hei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</si>
  <si>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</si>
  <si>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</si>
  <si>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</si>
  <si>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</si>
  <si>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</si>
  <si>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WenQuanYi Zen Hei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</si>
  <si>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</si>
  <si>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</si>
  <si>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</si>
  <si>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</si>
  <si>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</si>
  <si>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WenQuanYi Zen Hei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</si>
  <si>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</si>
  <si>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</si>
  <si>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</si>
  <si>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</si>
  <si>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WenQuanYi Zen Hei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</si>
  <si>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</si>
  <si>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</si>
  <si>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</si>
  <si>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基石認購</t>
    </r>
  </si>
  <si>
    <r>
      <rPr>
        <sz val="10"/>
        <color rgb="FF000000"/>
        <rFont val="WenQuanYi Zen Hei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</si>
  <si>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</si>
  <si>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</si>
  <si>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</si>
  <si>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</si>
  <si>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WenQuanYi Zen Hei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WenQuanYi Zen Hei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WenQuanYi Zen Hei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</si>
  <si>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</si>
  <si>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</si>
  <si>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</si>
  <si>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WenQuanYi Zen Hei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WenQuanYi Zen Hei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WenQuanYi Zen Hei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WenQuanYi Zen Hei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</si>
  <si>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</si>
  <si>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</si>
  <si>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</si>
  <si>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</si>
  <si>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</si>
  <si>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</si>
  <si>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</si>
  <si>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</si>
  <si>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</si>
  <si>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</si>
  <si>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WenQuanYi Zen Hei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</si>
  <si>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</si>
  <si>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</si>
  <si>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</si>
  <si>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</si>
  <si>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</si>
  <si>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</si>
  <si>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</si>
  <si>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WenQuanYi Zen Hei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</si>
  <si>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</si>
  <si>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</si>
  <si>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</si>
  <si>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談判中新協議起始年（情境）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</si>
  <si>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</si>
  <si>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</si>
  <si>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</si>
  <si>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</si>
  <si>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</si>
  <si>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談判中新協議付款期間（年）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</si>
  <si>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WenQuanYi Zen Hei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WenQuanYi Zen Hei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</si>
  <si>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</si>
  <si>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</si>
  <si>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</si>
  <si>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</si>
  <si>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</si>
  <si>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WenQuanYi Zen Hei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</si>
  <si>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</si>
  <si>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</si>
  <si>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</si>
  <si>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＝不計，純營運現金流）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</si>
  <si>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WenQuanYi Zen Hei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第十節）</t>
    </r>
  </si>
  <si>
    <r>
      <rPr>
        <sz val="10"/>
        <color rgb="FF000000"/>
        <rFont val="WenQuanYi Zen Hei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</si>
  <si>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</si>
  <si>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</si>
  <si>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WenQuanYi Zen Hei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（本比例）</t>
    </r>
  </si>
  <si>
    <r>
      <rPr>
        <sz val="10"/>
        <color rgb="FF000000"/>
        <rFont val="WenQuanYi Zen Hei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WenQuanYi Zen Hei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WenQuanYi Zen Hei"/>
        <family val="2"/>
      </rPr>
      <t xml:space="preserve">）；無公開依據</t>
    </r>
  </si>
  <si>
    <r>
      <rPr>
        <sz val="10"/>
        <color rgb="FF000000"/>
        <rFont val="WenQuanYi Zen Hei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WenQuanYi Zen Hei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</si>
  <si>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WenQuanYi Zen Hei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</si>
  <si>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</si>
  <si>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</si>
  <si>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</si>
  <si>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</si>
  <si>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</si>
  <si>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</si>
  <si>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</si>
  <si>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</si>
  <si>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</si>
  <si>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</si>
  <si>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</si>
  <si>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</si>
  <si>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（新增算力沒有對應營收）</t>
    </r>
  </si>
  <si>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</si>
  <si>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</si>
  <si>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</si>
  <si>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</si>
  <si>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；無實證依據</t>
    </r>
  </si>
  <si>
    <r>
      <rPr>
        <sz val="10"/>
        <color rgb="FF000000"/>
        <rFont val="WenQuanYi Zen Hei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</si>
  <si>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</si>
  <si>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</si>
  <si>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</si>
  <si>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營收淨額）</t>
    </r>
  </si>
  <si>
    <t xml:space="preserve">exp_mon_full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</si>
  <si>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WenQuanYi Zen Hei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WenQuanYi Zen Hei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WenQuanYi Zen Hei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</si>
  <si>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WenQuanYi Zen Hei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WenQuanYi Zen Hei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WenQuanYi Zen Hei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</si>
  <si>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WenQuanYi Zen Hei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WenQuanYi Zen Hei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</si>
  <si>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</si>
  <si>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</si>
  <si>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WenQuanYi Zen Hei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平均）</t>
    </r>
  </si>
  <si>
    <t xml:space="preserve">D01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</si>
  <si>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</si>
  <si>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起一欄）</t>
    </r>
  </si>
  <si>
    <t xml:space="preserve">D02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</si>
  <si>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</si>
  <si>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</si>
  <si>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</si>
  <si>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</si>
  <si>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</si>
  <si>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</si>
  <si>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</si>
  <si>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WenQuanYi Zen Hei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</si>
  <si>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</si>
  <si>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</si>
  <si>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</si>
  <si>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</si>
  <si>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</si>
  <si>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</si>
  <si>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</si>
  <si>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</si>
  <si>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WenQuanYi Zen Hei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</si>
  <si>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D09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</si>
  <si>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</si>
  <si>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D10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</si>
  <si>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</si>
  <si>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</si>
  <si>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</si>
  <si>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</si>
  <si>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</si>
  <si>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</si>
  <si>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</si>
  <si>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</si>
  <si>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</si>
  <si>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</si>
  <si>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</si>
  <si>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</si>
  <si>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席位數</t>
    </r>
  </si>
  <si>
    <r>
      <rPr>
        <b val="true"/>
        <sz val="10"/>
        <rFont val="WenQuanYi Zen Hei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</si>
  <si>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</si>
  <si>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</si>
  <si>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WenQuanYi Zen Hei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</si>
  <si>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</si>
  <si>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</si>
  <si>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</si>
  <si>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</si>
  <si>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</si>
  <si>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</si>
  <si>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</si>
  <si>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</si>
  <si>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</si>
  <si>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</si>
  <si>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</si>
  <si>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</si>
  <si>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D23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</si>
  <si>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</si>
  <si>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WenQuanYi Zen Hei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</si>
  <si>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D24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</si>
  <si>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</si>
  <si>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D25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</si>
  <si>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</si>
  <si>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</si>
  <si>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</si>
  <si>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WenQuanYi Zen Hei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WenQuanYi Zen Hei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</si>
  <si>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</si>
  <si>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</si>
  <si>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</si>
  <si>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</si>
  <si>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</si>
  <si>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</si>
  <si>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</si>
  <si>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</si>
  <si>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</si>
  <si>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</si>
  <si>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</si>
  <si>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</si>
  <si>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</si>
  <si>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WenQuanYi Zen Hei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WenQuanYi Zen Hei"/>
        <family val="2"/>
      </rPr>
      <t xml:space="preserve">合計</t>
    </r>
  </si>
  <si>
    <t xml:space="preserve">D34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</si>
  <si>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</si>
  <si>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</si>
  <si>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</si>
  <si>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</si>
  <si>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D36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</si>
  <si>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</si>
  <si>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</si>
  <si>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</si>
  <si>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</si>
  <si>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</si>
  <si>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</si>
  <si>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：其他代理</t>
    </r>
  </si>
  <si>
    <t xml:space="preserve">D40</t>
  </si>
  <si>
    <r>
      <rPr>
        <sz val="10"/>
        <color rgb="FF000000"/>
        <rFont val="WenQuanYi Zen Hei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</si>
  <si>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</si>
  <si>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</si>
  <si>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WenQuanYi Zen Hei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</si>
  <si>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WenQuanYi Zen Hei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WenQuanYi Zen Hei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用量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</si>
  <si>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價格反應）</t>
    </r>
  </si>
  <si>
    <t xml:space="preserve">D42</t>
  </si>
  <si>
    <r>
      <rPr>
        <sz val="10"/>
        <color rgb="FF000000"/>
        <rFont val="WenQuanYi Zen Hei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WenQuanYi Zen Hei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組合有效單價）</t>
    </r>
  </si>
  <si>
    <r>
      <rPr>
        <sz val="9"/>
        <color rgb="FF595959"/>
        <rFont val="WenQuanYi Zen Hei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WenQuanYi Zen Hei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WenQuanYi Zen Hei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</si>
  <si>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</si>
  <si>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</si>
  <si>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</si>
  <si>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</si>
  <si>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</si>
  <si>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</si>
  <si>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</si>
  <si>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</si>
  <si>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</si>
  <si>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WenQuanYi Zen Hei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</si>
  <si>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</si>
  <si>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</si>
  <si>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</si>
  <si>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</si>
  <si>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</si>
  <si>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</si>
  <si>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</si>
  <si>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</si>
  <si>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</si>
  <si>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</si>
  <si>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用）</t>
    </r>
  </si>
  <si>
    <t xml:space="preserve">D50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</si>
  <si>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</si>
  <si>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</si>
  <si>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D51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</si>
  <si>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</si>
  <si>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D52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</si>
  <si>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</si>
  <si>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D53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</si>
  <si>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</si>
  <si>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</si>
  <si>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</si>
  <si>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</si>
  <si>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D55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</si>
  <si>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</si>
  <si>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D56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</si>
  <si>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</si>
  <si>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D57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</si>
  <si>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</si>
  <si>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</si>
  <si>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</si>
  <si>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WenQuanYi Zen Hei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</si>
  <si>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</si>
  <si>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</si>
  <si>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</si>
  <si>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</si>
  <si>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</si>
  <si>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WenQuanYi Zen Hei"/>
        <family val="2"/>
      </rPr>
      <t xml:space="preserve">不另立營收線）</t>
    </r>
  </si>
  <si>
    <r>
      <rPr>
        <sz val="9"/>
        <color rgb="FF595959"/>
        <rFont val="WenQuanYi Zen Hei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WenQuanYi Zen Hei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</si>
  <si>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WenQuanYi Zen Hei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WenQuanYi Zen Hei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WenQuanYi Zen Hei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</si>
  <si>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）；命題與現金流用淨額。</t>
    </r>
  </si>
  <si>
    <r>
      <rPr>
        <sz val="9"/>
        <color rgb="FF595959"/>
        <rFont val="WenQuanYi Zen Hei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WenQuanYi Zen Hei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WenQuanYi Zen Hei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WenQuanYi Zen Hei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</si>
  <si>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</si>
  <si>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</si>
  <si>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</si>
  <si>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WenQuanYi Zen Hei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</si>
  <si>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</si>
  <si>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</si>
  <si>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</si>
  <si>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WenQuanYi Zen Hei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＋年變動率））</t>
    </r>
  </si>
  <si>
    <t xml:space="preserve">R03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</si>
  <si>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</si>
  <si>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年底牌價</t>
    </r>
  </si>
  <si>
    <t xml:space="preserve">R04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</si>
  <si>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</si>
  <si>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</si>
  <si>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</si>
  <si>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</si>
  <si>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</si>
  <si>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</si>
  <si>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R07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</si>
  <si>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</si>
  <si>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</si>
  <si>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</si>
  <si>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R09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</si>
  <si>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</si>
  <si>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</si>
  <si>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</si>
  <si>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R11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</si>
  <si>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</si>
  <si>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</si>
  <si>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</si>
  <si>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R13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</si>
  <si>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</si>
  <si>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</si>
  <si>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</si>
  <si>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WenQuanYi Zen Hei"/>
        <family val="2"/>
      </rPr>
      <t xml:space="preserve">與議價折扣）</t>
    </r>
  </si>
  <si>
    <t xml:space="preserve">R15</t>
  </si>
  <si>
    <r>
      <rPr>
        <sz val="10"/>
        <color rgb="FF000000"/>
        <rFont val="WenQuanYi Zen Hei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價格倍數（快取讀寫加權）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</si>
  <si>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WenQuanYi Zen Hei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WenQuanYi Zen Hei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WenQuanYi Zen Hei"/>
        <family val="2"/>
      </rPr>
      <t xml:space="preserve">）</t>
    </r>
  </si>
  <si>
    <t xml:space="preserve">R16</t>
  </si>
  <si>
    <r>
      <rPr>
        <sz val="10"/>
        <color rgb="FF000000"/>
        <rFont val="WenQuanYi Zen Hei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WenQuanYi Zen Hei"/>
        <family val="2"/>
      </rPr>
      <t xml:space="preserve">議價）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</si>
  <si>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WenQuanYi Zen Hei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議價折扣）</t>
    </r>
  </si>
  <si>
    <t xml:space="preserve">R17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</si>
  <si>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有效單價</t>
    </r>
  </si>
  <si>
    <r>
      <rPr>
        <sz val="9"/>
        <color rgb="FF595959"/>
        <rFont val="WenQuanYi Zen Hei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折扣係數</t>
    </r>
  </si>
  <si>
    <t xml:space="preserve">R18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</si>
  <si>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有效單價</t>
    </r>
  </si>
  <si>
    <t xml:space="preserve">R19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</si>
  <si>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</si>
  <si>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</si>
  <si>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</si>
  <si>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</si>
  <si>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</si>
  <si>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</si>
  <si>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</si>
  <si>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</si>
  <si>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</si>
  <si>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</si>
  <si>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有效單價</t>
    </r>
  </si>
  <si>
    <r>
      <rPr>
        <b val="true"/>
        <sz val="10"/>
        <rFont val="WenQuanYi Zen Hei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WenQuanYi Zen Hei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</si>
  <si>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</si>
  <si>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實收月費</t>
    </r>
  </si>
  <si>
    <r>
      <rPr>
        <sz val="9"/>
        <color rgb="FF595959"/>
        <rFont val="WenQuanYi Zen Hei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</si>
  <si>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</si>
  <si>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</si>
  <si>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</si>
  <si>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</si>
  <si>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</si>
  <si>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</si>
  <si>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</si>
  <si>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</si>
  <si>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</si>
  <si>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</si>
  <si>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</si>
  <si>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</si>
  <si>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WenQuanYi Zen Hei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</si>
  <si>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</si>
  <si>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</si>
  <si>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</si>
  <si>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</si>
  <si>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</si>
  <si>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月費</t>
    </r>
  </si>
  <si>
    <r>
      <rPr>
        <b val="true"/>
        <sz val="10"/>
        <rFont val="WenQuanYi Zen Hei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WenQuanYi Zen Hei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</si>
  <si>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</si>
  <si>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</si>
  <si>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WenQuanYi Zen Hei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</si>
  <si>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</si>
  <si>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</si>
  <si>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</si>
  <si>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</si>
  <si>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WenQuanYi Zen Hei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</si>
  <si>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WenQuanYi Zen Hei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WenQuanYi Zen Hei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時使用</t>
    </r>
  </si>
  <si>
    <r>
      <rPr>
        <b val="true"/>
        <sz val="10"/>
        <rFont val="WenQuanYi Zen Hei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WenQuanYi Zen Hei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</si>
  <si>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</si>
  <si>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</si>
  <si>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</si>
  <si>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</si>
  <si>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</si>
  <si>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</si>
  <si>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</si>
  <si>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</si>
  <si>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</si>
  <si>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</si>
  <si>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</si>
  <si>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訂閱營收</t>
    </r>
  </si>
  <si>
    <t xml:space="preserve">R41</t>
  </si>
  <si>
    <r>
      <rPr>
        <sz val="10"/>
        <color rgb="FF000000"/>
        <rFont val="WenQuanYi Zen Hei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</si>
  <si>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t xml:space="preserve">R42</t>
  </si>
  <si>
    <r>
      <rPr>
        <sz val="10"/>
        <color rgb="FF000000"/>
        <rFont val="WenQuanYi Zen Hei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</si>
  <si>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</si>
  <si>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</si>
  <si>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WenQuanYi Zen Hei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WenQuanYi Zen Hei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</si>
  <si>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</si>
  <si>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</si>
  <si>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WenQuanYi Zen Hei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</si>
  <si>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</si>
  <si>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</si>
  <si>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</si>
  <si>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</si>
  <si>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</si>
  <si>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</si>
  <si>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</si>
  <si>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</si>
  <si>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R49</t>
  </si>
  <si>
    <r>
      <rPr>
        <sz val="10"/>
        <color rgb="FF000000"/>
        <rFont val="WenQuanYi Zen Hei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</si>
  <si>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</si>
  <si>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</si>
  <si>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WenQuanYi Zen Hei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</si>
  <si>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</si>
  <si>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R51</t>
  </si>
  <si>
    <r>
      <rPr>
        <sz val="10"/>
        <color rgb="FF000000"/>
        <rFont val="WenQuanYi Zen Hei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</si>
  <si>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</si>
  <si>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WenQuanYi Zen Hei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</si>
  <si>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</si>
  <si>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</si>
  <si>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</si>
  <si>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WenQuanYi Zen Hei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WenQuanYi Zen Hei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</si>
  <si>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</si>
  <si>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</si>
  <si>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</si>
  <si>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</si>
  <si>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WenQuanYi Zen Hei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</si>
  <si>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WenQuanYi Zen Hei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WenQuanYi Zen Hei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</si>
  <si>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</si>
  <si>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</si>
  <si>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</si>
  <si>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</si>
  <si>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</si>
  <si>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</si>
  <si>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WenQuanYi Zen Hei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</si>
  <si>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WenQuanYi Zen Hei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企業</t>
    </r>
  </si>
  <si>
    <t xml:space="preserve">R59</t>
  </si>
  <si>
    <r>
      <rPr>
        <sz val="10"/>
        <color rgb="FF000000"/>
        <rFont val="WenQuanYi Zen Hei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</si>
  <si>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</si>
  <si>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</si>
  <si>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WenQuanYi Zen Hei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WenQuanYi Zen Hei"/>
        <family val="2"/>
      </rPr>
      <t xml:space="preserve">）</t>
    </r>
  </si>
  <si>
    <t xml:space="preserve">R61</t>
  </si>
  <si>
    <r>
      <rPr>
        <sz val="10"/>
        <color rgb="FF000000"/>
        <rFont val="WenQuanYi Zen Hei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</si>
  <si>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</si>
  <si>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</si>
  <si>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</si>
  <si>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</si>
  <si>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</si>
  <si>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</si>
  <si>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R64</t>
  </si>
  <si>
    <r>
      <rPr>
        <sz val="10"/>
        <color rgb="FF000000"/>
        <rFont val="WenQuanYi Zen Hei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</si>
  <si>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</si>
  <si>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</si>
  <si>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</si>
  <si>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</si>
  <si>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</si>
  <si>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</si>
  <si>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</si>
  <si>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WenQuanYi Zen Hei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WenQuanYi Zen Hei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</si>
  <si>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</si>
  <si>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</si>
  <si>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</si>
  <si>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</si>
  <si>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</si>
  <si>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</si>
  <si>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</si>
  <si>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</si>
  <si>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</si>
  <si>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</si>
  <si>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WenQuanYi Zen Hei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WenQuanYi Zen Hei"/>
        <family val="2"/>
      </rPr>
      <t xml:space="preserve">（兩者比）</t>
    </r>
  </si>
  <si>
    <r>
      <rPr>
        <sz val="9"/>
        <color rgb="FF595959"/>
        <rFont val="WenQuanYi Zen Hei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</si>
  <si>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</si>
  <si>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WenQuanYi Zen Hei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</si>
  <si>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</si>
  <si>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</si>
  <si>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</si>
  <si>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WenQuanYi Zen Hei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WenQuanYi Zen Hei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</si>
  <si>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</si>
  <si>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</si>
  <si>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WenQuanYi Zen Hei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WenQuanYi Zen Hei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</si>
  <si>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</si>
  <si>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</si>
  <si>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WenQuanYi Zen Hei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WenQuanYi Zen Hei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WenQuanYi Zen Hei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</si>
  <si>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</si>
  <si>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WenQuanYi Zen Hei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</si>
  <si>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</si>
  <si>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</si>
  <si>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</si>
  <si>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</si>
  <si>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</si>
  <si>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WenQuanYi Zen Hei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WenQuanYi Zen Hei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抽成率上緣的依據</t>
    </r>
  </si>
  <si>
    <r>
      <rPr>
        <b val="true"/>
        <sz val="10"/>
        <rFont val="WenQuanYi Zen Hei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</si>
  <si>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</si>
  <si>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</si>
  <si>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WenQuanYi Zen Hei"/>
        <family val="2"/>
      </rPr>
      <t xml:space="preserve">與之相符</t>
    </r>
  </si>
  <si>
    <r>
      <rPr>
        <b val="true"/>
        <sz val="10"/>
        <rFont val="WenQuanYi Zen Hei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WenQuanYi Zen Hei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</si>
  <si>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</si>
  <si>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</si>
  <si>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</si>
  <si>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WenQuanYi Zen Hei"/>
        <family val="2"/>
      </rPr>
      <t xml:space="preserve">（本價 − 前價）</t>
    </r>
  </si>
  <si>
    <t xml:space="preserve">ETI1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</si>
  <si>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</si>
  <si>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</si>
  <si>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ETI2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</si>
  <si>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</si>
  <si>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ETI3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</si>
  <si>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</si>
  <si>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ETI4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</si>
  <si>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</si>
  <si>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ETI5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</si>
  <si>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</si>
  <si>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ETI6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</si>
  <si>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</si>
  <si>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ETI7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</si>
  <si>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</si>
  <si>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ETI8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</si>
  <si>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</si>
  <si>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ETI9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</si>
  <si>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</si>
  <si>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ETO1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</si>
  <si>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</si>
  <si>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ETO2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</si>
  <si>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</si>
  <si>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ETO3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</si>
  <si>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</si>
  <si>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ETO4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</si>
  <si>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</si>
  <si>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ETO5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</si>
  <si>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</si>
  <si>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ETO6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</si>
  <si>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</si>
  <si>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ETO7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</si>
  <si>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</si>
  <si>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ETO8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</si>
  <si>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</si>
  <si>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ETO9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</si>
  <si>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</si>
  <si>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EMI1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</si>
  <si>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</si>
  <si>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EMI2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</si>
  <si>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</si>
  <si>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EMI3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</si>
  <si>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</si>
  <si>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EMI4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</si>
  <si>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</si>
  <si>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EMI5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</si>
  <si>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</si>
  <si>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EMI6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</si>
  <si>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</si>
  <si>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EMI7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</si>
  <si>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</si>
  <si>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EMO1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</si>
  <si>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</si>
  <si>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EMO2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</si>
  <si>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</si>
  <si>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EMO3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</si>
  <si>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</si>
  <si>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EMO4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</si>
  <si>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</si>
  <si>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EMO5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</si>
  <si>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</si>
  <si>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EMO6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</si>
  <si>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</si>
  <si>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EMO7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</si>
  <si>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</si>
  <si>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ELI1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</si>
  <si>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</si>
  <si>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ELI2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</si>
  <si>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</si>
  <si>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ELI3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</si>
  <si>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</si>
  <si>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ELO1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</si>
  <si>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</si>
  <si>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ELO2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</si>
  <si>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</si>
  <si>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ELO3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</si>
  <si>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</si>
  <si>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WenQuanYi Zen Hei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WenQuanYi Zen Hei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等值、敏感度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</si>
  <si>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WenQuanYi Zen Hei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WenQuanYi Zen Hei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WenQuanYi Zen Hei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WenQuanYi Zen Hei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</si>
  <si>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頁第二節。</t>
    </r>
  </si>
  <si>
    <r>
      <rPr>
        <b val="true"/>
        <sz val="10"/>
        <rFont val="WenQuanYi Zen Hei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WenQuanYi Zen Hei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</si>
  <si>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</si>
  <si>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</si>
  <si>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WenQuanYi Zen Hei"/>
        <family val="2"/>
      </rPr>
      <t xml:space="preserve">文字鍵</t>
    </r>
  </si>
  <si>
    <t xml:space="preserve">C02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</si>
  <si>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</si>
  <si>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C03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</si>
  <si>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</si>
  <si>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C04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</si>
  <si>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</si>
  <si>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C05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</si>
  <si>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</si>
  <si>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WenQuanYi Zen Hei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</si>
  <si>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</si>
  <si>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</si>
  <si>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</si>
  <si>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</si>
  <si>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</si>
  <si>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</si>
  <si>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</si>
  <si>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</si>
  <si>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</si>
  <si>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</si>
  <si>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</si>
  <si>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</si>
  <si>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</si>
  <si>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</si>
  <si>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</si>
  <si>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</si>
  <si>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</si>
  <si>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</si>
  <si>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</si>
  <si>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</si>
  <si>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</si>
  <si>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</si>
  <si>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</si>
  <si>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</si>
  <si>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</si>
  <si>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</si>
  <si>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</si>
  <si>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</si>
  <si>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b val="true"/>
        <sz val="10"/>
        <rFont val="WenQuanYi Zen Hei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WenQuanYi Zen Hei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WenQuanYi Zen Hei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WenQuanYi Zen Hei"/>
        <family val="2"/>
      </rPr>
      <t xml:space="preserve">）</t>
    </r>
  </si>
  <si>
    <t xml:space="preserve">C18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</si>
  <si>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</si>
  <si>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WenQuanYi Zen Hei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</si>
  <si>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C19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</si>
  <si>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</si>
  <si>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WenQuanYi Zen Hei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</si>
  <si>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</si>
  <si>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</si>
  <si>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WenQuanYi Zen Hei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</si>
  <si>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</si>
  <si>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</si>
  <si>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WenQuanYi Zen Hei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WenQuanYi Zen Hei"/>
        <family val="2"/>
      </rPr>
      <t xml:space="preserve">等值口徑）</t>
    </r>
  </si>
  <si>
    <t xml:space="preserve">C22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</si>
  <si>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</si>
  <si>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</si>
  <si>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</si>
  <si>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</si>
  <si>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</si>
  <si>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</si>
  <si>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</si>
  <si>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</si>
  <si>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</si>
  <si>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</si>
  <si>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</si>
  <si>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</si>
  <si>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</si>
  <si>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</si>
  <si>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</si>
  <si>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</si>
  <si>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</si>
  <si>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C31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</si>
  <si>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</si>
  <si>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</si>
  <si>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</si>
  <si>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</si>
  <si>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</si>
  <si>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C34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</si>
  <si>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</si>
  <si>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C35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</si>
  <si>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</si>
  <si>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</si>
  <si>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</si>
  <si>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</si>
  <si>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</si>
  <si>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C38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</si>
  <si>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</si>
  <si>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C39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</si>
  <si>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</si>
  <si>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</si>
  <si>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</si>
  <si>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</si>
  <si>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</si>
  <si>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C42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</si>
  <si>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</si>
  <si>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C43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</si>
  <si>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</si>
  <si>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</si>
  <si>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</si>
  <si>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</si>
  <si>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</si>
  <si>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C46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</si>
  <si>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</si>
  <si>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C47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</si>
  <si>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</si>
  <si>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</si>
  <si>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</si>
  <si>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</si>
  <si>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</si>
  <si>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C50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</si>
  <si>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</si>
  <si>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C51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</si>
  <si>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</si>
  <si>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</si>
  <si>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</si>
  <si>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</si>
  <si>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</si>
  <si>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C54</t>
  </si>
  <si>
    <r>
      <rPr>
        <sz val="10"/>
        <color rgb="FF000000"/>
        <rFont val="WenQuanYi Zen Hei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WenQuanYi Zen Hei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自身）</t>
    </r>
  </si>
  <si>
    <r>
      <rPr>
        <sz val="9"/>
        <color rgb="FF595959"/>
        <rFont val="WenQuanYi Zen Hei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</si>
  <si>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）</t>
    </r>
  </si>
  <si>
    <t xml:space="preserve">C55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</si>
  <si>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</si>
  <si>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WenQuanYi Zen Hei"/>
        <family val="2"/>
      </rPr>
      <t xml:space="preserve">）</t>
    </r>
  </si>
  <si>
    <t xml:space="preserve">C56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</si>
  <si>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</si>
  <si>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</si>
  <si>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</si>
  <si>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</si>
  <si>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</si>
  <si>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</si>
  <si>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各族合約價</t>
    </r>
  </si>
  <si>
    <t xml:space="preserve">C59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</si>
  <si>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：既有雲端</t>
    </r>
  </si>
  <si>
    <r>
      <rPr>
        <sz val="9"/>
        <color rgb="FF595959"/>
        <rFont val="WenQuanYi Zen Hei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加權合約價</t>
    </r>
  </si>
  <si>
    <r>
      <rPr>
        <b val="true"/>
        <sz val="10"/>
        <rFont val="WenQuanYi Zen Hei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WenQuanYi Zen Hei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</si>
  <si>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</si>
  <si>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WenQuanYi Zen Hei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</si>
  <si>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WenQuanYi Zen Hei"/>
        <family val="2"/>
      </rPr>
      <t xml:space="preserve">）</t>
    </r>
  </si>
  <si>
    <t xml:space="preserve">C61</t>
  </si>
  <si>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</si>
  <si>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WenQuanYi Zen Hei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</si>
  <si>
    <t xml:space="preserve">C62</t>
  </si>
  <si>
    <r>
      <rPr>
        <sz val="10"/>
        <color rgb="FF000000"/>
        <rFont val="WenQuanYi Zen Hei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列；爬坡公式用）</t>
    </r>
  </si>
  <si>
    <t xml:space="preserve">C63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</si>
  <si>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</si>
  <si>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WenQuanYi Zen Hei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</si>
  <si>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</si>
  <si>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WenQuanYi Zen Hei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</si>
  <si>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WenQuanYi Zen Hei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WenQuanYi Zen Hei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WenQuanYi Zen Hei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WenQuanYi Zen Hei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WenQuanYi Zen Hei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</si>
  <si>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</si>
  <si>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</si>
  <si>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WenQuanYi Zen Hei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</si>
  <si>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</si>
  <si>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</si>
  <si>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WenQuanYi Zen Hei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</si>
  <si>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</si>
  <si>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</si>
  <si>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WenQuanYi Zen Hei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WenQuanYi Zen Hei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WenQuanYi Zen Hei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</si>
  <si>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</si>
  <si>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</si>
  <si>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WenQuanYi Zen Hei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</si>
  <si>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</si>
  <si>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</si>
  <si>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WenQuanYi Zen Hei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WenQuanYi Zen Hei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</si>
  <si>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</si>
  <si>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</si>
  <si>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WenQuanYi Zen Hei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</si>
  <si>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</si>
  <si>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</si>
  <si>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</si>
  <si>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</si>
  <si>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WenQuanYi Zen Hei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</si>
  <si>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</si>
  <si>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</si>
  <si>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WenQuanYi Zen Hei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多年合約；金額、容量皆未揭露）</t>
    </r>
  </si>
  <si>
    <r>
      <rPr>
        <sz val="9"/>
        <color rgb="FF595959"/>
        <rFont val="WenQuanYi Zen Hei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WenQuanYi Zen Hei"/>
        <family val="2"/>
      </rPr>
      <t xml:space="preserve">）→ 不計入（不杜撰）；列入資料缺口</t>
    </r>
  </si>
  <si>
    <r>
      <rPr>
        <b val="true"/>
        <sz val="10"/>
        <rFont val="WenQuanYi Zen Hei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WenQuanYi Zen Hei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</si>
  <si>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</si>
  <si>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WenQuanYi Zen Hei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</si>
  <si>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WenQuanYi Zen Hei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WenQuanYi Zen Hei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WenQuanYi Zen Hei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</si>
  <si>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</si>
  <si>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</si>
  <si>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WenQuanYi Zen Hei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WenQuanYi Zen Hei"/>
        <family val="2"/>
      </rPr>
      <t xml:space="preserve">）</t>
    </r>
  </si>
  <si>
    <t xml:space="preserve">C76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</si>
  <si>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</si>
  <si>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</si>
  <si>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WenQuanYi Zen Hei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WenQuanYi Zen Hei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</si>
  <si>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</si>
  <si>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</si>
  <si>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資本支出</t>
    </r>
  </si>
  <si>
    <r>
      <rPr>
        <b val="true"/>
        <sz val="10"/>
        <rFont val="WenQuanYi Zen Hei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WenQuanYi Zen Hei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加權，時變）</t>
    </r>
  </si>
  <si>
    <t xml:space="preserve">C78</t>
  </si>
  <si>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（既有雲端＋新合約；不含自建）</t>
    </r>
  </si>
  <si>
    <r>
      <rPr>
        <sz val="9"/>
        <color rgb="FF595959"/>
        <rFont val="WenQuanYi Zen Hei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</si>
  <si>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</si>
  <si>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合計（合約＋自建）</t>
    </r>
  </si>
  <si>
    <r>
      <rPr>
        <sz val="9"/>
        <color rgb="FF595959"/>
        <rFont val="WenQuanYi Zen Hei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</si>
  <si>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</si>
  <si>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</si>
  <si>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</si>
  <si>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</si>
  <si>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</si>
  <si>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</si>
  <si>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</si>
  <si>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</si>
  <si>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</si>
  <si>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</si>
  <si>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</si>
  <si>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</si>
  <si>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</si>
  <si>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</si>
  <si>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</si>
  <si>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</si>
  <si>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</si>
  <si>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</si>
  <si>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</si>
  <si>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</si>
  <si>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WenQuanYi Zen Hei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</si>
  <si>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C90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</si>
  <si>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</si>
  <si>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</si>
  <si>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</si>
  <si>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</si>
  <si>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</si>
  <si>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</si>
  <si>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</si>
  <si>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</si>
  <si>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</si>
  <si>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</si>
  <si>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</si>
  <si>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</si>
  <si>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</si>
  <si>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</si>
  <si>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</si>
  <si>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</si>
  <si>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</si>
  <si>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</si>
  <si>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WenQuanYi Zen Hei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</si>
  <si>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</si>
  <si>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</si>
  <si>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WenQuanYi Zen Hei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）占比</t>
    </r>
  </si>
  <si>
    <t xml:space="preserve">C101</t>
  </si>
  <si>
    <r>
      <rPr>
        <sz val="10"/>
        <color rgb="FF000000"/>
        <rFont val="WenQuanYi Zen Hei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）占比</t>
    </r>
  </si>
  <si>
    <t xml:space="preserve">C102</t>
  </si>
  <si>
    <r>
      <rPr>
        <sz val="10"/>
        <color rgb="FF000000"/>
        <rFont val="WenQuanYi Zen Hei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）占比</t>
    </r>
  </si>
  <si>
    <t xml:space="preserve">C103</t>
  </si>
  <si>
    <r>
      <rPr>
        <sz val="10"/>
        <color rgb="FF000000"/>
        <rFont val="WenQuanYi Zen Hei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）占比</t>
    </r>
  </si>
  <si>
    <t xml:space="preserve">C104</t>
  </si>
  <si>
    <r>
      <rPr>
        <sz val="10"/>
        <color rgb="FF000000"/>
        <rFont val="WenQuanYi Zen Hei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）占比</t>
    </r>
  </si>
  <si>
    <t xml:space="preserve">C105</t>
  </si>
  <si>
    <r>
      <rPr>
        <sz val="10"/>
        <color rgb="FF000000"/>
        <rFont val="WenQuanYi Zen Hei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）占比</t>
    </r>
  </si>
  <si>
    <r>
      <rPr>
        <b val="true"/>
        <sz val="10"/>
        <rFont val="WenQuanYi Zen Hei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WenQuanYi Zen Hei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WenQuanYi Zen Hei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WenQuanYi Zen Hei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總產出））</t>
    </r>
  </si>
  <si>
    <t xml:space="preserve">C106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</si>
  <si>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</si>
  <si>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</si>
  <si>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</si>
  <si>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</si>
  <si>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</si>
  <si>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</si>
  <si>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</si>
  <si>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</si>
  <si>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</si>
  <si>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WenQuanYi Zen Hei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；比例與層級無關）</t>
    </r>
  </si>
  <si>
    <t xml:space="preserve">C111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</si>
  <si>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</si>
  <si>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</si>
  <si>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</si>
  <si>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</si>
  <si>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</si>
  <si>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</si>
  <si>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</si>
  <si>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</si>
  <si>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WenQuanYi Zen Hei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</si>
  <si>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各族產能</t>
    </r>
  </si>
  <si>
    <t xml:space="preserve">C116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</si>
  <si>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</si>
  <si>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</si>
  <si>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</si>
  <si>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</si>
  <si>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</si>
  <si>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</si>
  <si>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</si>
  <si>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</si>
  <si>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</si>
  <si>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</si>
  <si>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</si>
  <si>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</si>
  <si>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</si>
  <si>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</si>
  <si>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</si>
  <si>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</si>
  <si>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</si>
  <si>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</si>
  <si>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WenQuanYi Zen Hei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</si>
  <si>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b val="true"/>
        <sz val="10"/>
        <rFont val="WenQuanYi Zen Hei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</si>
  <si>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</si>
  <si>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</si>
  <si>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</si>
  <si>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</si>
  <si>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</si>
  <si>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</si>
  <si>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換算）：付費</t>
    </r>
  </si>
  <si>
    <t xml:space="preserve">C129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</si>
  <si>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換算）：免費</t>
    </r>
  </si>
  <si>
    <t xml:space="preserve">C130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</si>
  <si>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換算）：合計</t>
    </r>
  </si>
  <si>
    <r>
      <rPr>
        <b val="true"/>
        <sz val="10"/>
        <rFont val="WenQuanYi Zen Hei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</si>
  <si>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</si>
  <si>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</si>
  <si>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WenQuanYi Zen Hei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</si>
  <si>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</si>
  <si>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</si>
  <si>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</si>
  <si>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</si>
  <si>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</si>
  <si>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</si>
  <si>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（逐年）</t>
    </r>
  </si>
  <si>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WenQuanYi Zen Hei"/>
        <family val="2"/>
      </rPr>
      <t xml:space="preserve">情境）</t>
    </r>
  </si>
  <si>
    <t xml:space="preserve">C135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</si>
  <si>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：付費</t>
    </r>
  </si>
  <si>
    <t xml:space="preserve">C136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</si>
  <si>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：免費</t>
    </r>
  </si>
  <si>
    <t xml:space="preserve">C137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</si>
  <si>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</si>
  <si>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（校準恆等式）</t>
    </r>
  </si>
  <si>
    <r>
      <rPr>
        <b val="true"/>
        <sz val="10"/>
        <rFont val="WenQuanYi Zen Hei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WenQuanYi Zen Hei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</si>
  <si>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</si>
  <si>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</si>
  <si>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</si>
  <si>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C139</t>
  </si>
  <si>
    <r>
      <rPr>
        <sz val="10"/>
        <color rgb="FF000000"/>
        <rFont val="WenQuanYi Zen Hei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</si>
  <si>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</t>
    </r>
  </si>
  <si>
    <t xml:space="preserve">C140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</si>
  <si>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訓練最低占比）</t>
    </r>
  </si>
  <si>
    <t xml:space="preserve">C141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</si>
  <si>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</si>
  <si>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WenQuanYi Zen Hei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有效）</t>
    </r>
  </si>
  <si>
    <t xml:space="preserve">C142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</si>
  <si>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</si>
  <si>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</si>
  <si>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</si>
  <si>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</si>
  <si>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</si>
  <si>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＝未受限）</t>
    </r>
  </si>
  <si>
    <r>
      <rPr>
        <sz val="9"/>
        <color rgb="FF595959"/>
        <rFont val="WenQuanYi Zen Hei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</si>
  <si>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</si>
  <si>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</si>
  <si>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</si>
  <si>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</si>
  <si>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</si>
  <si>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</si>
  <si>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WenQuanYi Zen Hei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</si>
  <si>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</si>
  <si>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</si>
  <si>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</si>
  <si>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WenQuanYi Zen Hei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</si>
  <si>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WenQuanYi Zen Hei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WenQuanYi Zen Hei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WenQuanYi Zen Hei"/>
        <family val="2"/>
      </rPr>
      <t xml:space="preserve">），非點值；只對照，不回饋</t>
    </r>
  </si>
  <si>
    <r>
      <rPr>
        <b val="true"/>
        <sz val="10"/>
        <rFont val="WenQuanYi Zen Hei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產能比）</t>
    </r>
  </si>
  <si>
    <t xml:space="preserve">C149</t>
  </si>
  <si>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</si>
  <si>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</si>
  <si>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</si>
  <si>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</si>
  <si>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C152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</si>
  <si>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WenQuanYi Zen Hei"/>
        <family val="2"/>
      </rPr>
      <t xml:space="preserve">等值</t>
    </r>
  </si>
  <si>
    <t xml:space="preserve">C153</t>
  </si>
  <si>
    <r>
      <rPr>
        <sz val="10"/>
        <color rgb="FF000000"/>
        <rFont val="WenQuanYi Zen Hei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付費產能）</t>
    </r>
  </si>
  <si>
    <t xml:space="preserve">替代口徑</t>
  </si>
  <si>
    <r>
      <rPr>
        <b val="true"/>
        <sz val="10"/>
        <rFont val="WenQuanYi Zen Hei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WenQuanYi Zen Hei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</si>
  <si>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C154</t>
  </si>
  <si>
    <r>
      <rPr>
        <sz val="10"/>
        <color rgb="FF000000"/>
        <rFont val="WenQuanYi Zen Hei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</si>
  <si>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</si>
  <si>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</si>
  <si>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WenQuanYi Zen Hei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</si>
  <si>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WenQuanYi Zen Hei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</si>
  <si>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</si>
  <si>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</si>
  <si>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C157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</si>
  <si>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</si>
  <si>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</si>
  <si>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t xml:space="preserve">C158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</si>
  <si>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</si>
  <si>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WenQuanYi Zen Hei"/>
        <family val="2"/>
      </rPr>
      <t xml:space="preserve">＝模型新合約＋自建</t>
    </r>
  </si>
  <si>
    <t xml:space="preserve">C159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</si>
  <si>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WenQuanYi Zen Hei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</si>
  <si>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＝模型（金額型）</t>
    </r>
  </si>
  <si>
    <t xml:space="preserve">C160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</si>
  <si>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</si>
  <si>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</si>
  <si>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</si>
  <si>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滿載）</t>
    </r>
  </si>
  <si>
    <t xml:space="preserve">C162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</si>
  <si>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WenQuanYi Zen Hei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WenQuanYi Zen Hei"/>
        <family val="2"/>
      </rPr>
      <t xml:space="preserve">合約價）</t>
    </r>
  </si>
  <si>
    <r>
      <rPr>
        <sz val="9"/>
        <color rgb="FF595959"/>
        <rFont val="WenQuanYi Zen Hei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WenQuanYi Zen Hei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WenQuanYi Zen Hei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WenQuanYi Zen Hei"/>
        <family val="2"/>
      </rPr>
      <t xml:space="preserve">（見報告）</t>
    </r>
  </si>
  <si>
    <t xml:space="preserve">C163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</si>
  <si>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WenQuanYi Zen Hei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</si>
  <si>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WenQuanYi Zen Hei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年均</t>
    </r>
  </si>
  <si>
    <t xml:space="preserve">C164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</si>
  <si>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WenQuanYi Zen Hei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</si>
  <si>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自有園區（設施口徑）</t>
    </r>
  </si>
  <si>
    <t xml:space="preserve">C165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</si>
  <si>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WenQuanYi Zen Hei"/>
        <family val="2"/>
      </rPr>
      <t xml:space="preserve">；直接承租）</t>
    </r>
  </si>
  <si>
    <r>
      <rPr>
        <sz val="9"/>
        <color rgb="FF595959"/>
        <rFont val="WenQuanYi Zen Hei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WenQuanYi Zen Hei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</t>
    </r>
  </si>
  <si>
    <t xml:space="preserve">C166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</si>
  <si>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</si>
  <si>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WenQuanYi Zen Hei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合約</t>
    </r>
  </si>
  <si>
    <t xml:space="preserve">C167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</si>
  <si>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</si>
  <si>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WenQuanYi Zen Hei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WenQuanYi Zen Hei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合約／自建</t>
    </r>
  </si>
  <si>
    <t xml:space="preserve">C168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</si>
  <si>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</si>
  <si>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</t>
    </r>
  </si>
  <si>
    <t xml:space="preserve">C169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</si>
  <si>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</si>
  <si>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WenQuanYi Zen Hei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合約／自建</t>
    </r>
  </si>
  <si>
    <t xml:space="preserve">C170</t>
  </si>
  <si>
    <r>
      <rPr>
        <sz val="10"/>
        <color rgb="FF000000"/>
        <rFont val="WenQuanYi Zen Hei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</si>
  <si>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WenQuanYi Zen Hei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（模型）是否足以容納這些機房</t>
    </r>
  </si>
  <si>
    <r>
      <rPr>
        <b val="true"/>
        <sz val="10"/>
        <rFont val="WenQuanYi Zen Hei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WenQuanYi Zen Hei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產出比</t>
    </r>
  </si>
  <si>
    <t xml:space="preserve">C171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</si>
  <si>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時為金額型）</t>
    </r>
  </si>
  <si>
    <t xml:space="preserve">C172</t>
  </si>
  <si>
    <r>
      <rPr>
        <sz val="10"/>
        <color rgb="FF000000"/>
        <rFont val="WenQuanYi Zen Hei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</si>
  <si>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</si>
  <si>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</si>
  <si>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</si>
  <si>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</si>
  <si>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</si>
  <si>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WenQuanYi Zen Hei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</si>
  <si>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</si>
  <si>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</si>
  <si>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</si>
  <si>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</si>
  <si>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</si>
  <si>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</si>
  <si>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</si>
  <si>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WenQuanYi Zen Hei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</si>
  <si>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</si>
  <si>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</si>
  <si>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</si>
  <si>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差額（含股權報酬；合約價低端）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</si>
  <si>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</si>
  <si>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</si>
  <si>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</si>
  <si>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</si>
  <si>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</si>
  <si>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</si>
  <si>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</si>
  <si>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</si>
  <si>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</si>
  <si>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</si>
  <si>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</si>
  <si>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</si>
  <si>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</si>
  <si>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</si>
  <si>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</si>
  <si>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</si>
  <si>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</si>
  <si>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</si>
  <si>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</si>
  <si>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</si>
  <si>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</si>
  <si>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</si>
  <si>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</si>
  <si>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</si>
  <si>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</si>
  <si>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</si>
  <si>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</si>
  <si>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</si>
  <si>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</si>
  <si>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</si>
  <si>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</si>
  <si>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</si>
  <si>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</si>
  <si>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</si>
  <si>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</si>
  <si>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</si>
  <si>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</si>
  <si>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</si>
  <si>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</si>
  <si>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</si>
  <si>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</si>
  <si>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</si>
  <si>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</si>
  <si>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</si>
  <si>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</si>
  <si>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</si>
  <si>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</si>
  <si>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</si>
  <si>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</si>
  <si>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</si>
  <si>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</si>
  <si>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</si>
  <si>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WenQuanYi Zen Hei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</si>
  <si>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</si>
  <si>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</si>
  <si>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</si>
  <si>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</si>
  <si>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</si>
  <si>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</si>
  <si>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</si>
  <si>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</si>
  <si>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</si>
  <si>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</si>
  <si>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</si>
  <si>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</si>
  <si>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</si>
  <si>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</si>
  <si>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</si>
  <si>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</si>
  <si>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</si>
  <si>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</si>
  <si>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</si>
  <si>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</si>
  <si>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</si>
  <si>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</si>
  <si>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WenQuanYi Zen Hei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WenQuanYi Zen Hei"/>
        <family val="2"/>
      </rPr>
      <t xml:space="preserve">換算</t>
    </r>
  </si>
  <si>
    <t xml:space="preserve">C215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</si>
  <si>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</si>
  <si>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WenQuanYi Zen Hei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</si>
  <si>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t xml:space="preserve">C216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</si>
  <si>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</si>
  <si>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WenQuanYi Zen Hei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時進入供給</t>
    </r>
  </si>
  <si>
    <t xml:space="preserve">C217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</si>
  <si>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</si>
  <si>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時進入供給</t>
    </r>
  </si>
  <si>
    <t xml:space="preserve">C218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</si>
  <si>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WenQuanYi Zen Hei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</si>
  <si>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對照（不校準）</t>
    </r>
  </si>
  <si>
    <t xml:space="preserve">C219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</si>
  <si>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</si>
  <si>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WenQuanYi Zen Hei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』含未計容量）</t>
    </r>
  </si>
  <si>
    <t xml:space="preserve">C220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</si>
  <si>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WenQuanYi Zen Hei"/>
        <family val="2"/>
      </rPr>
      <t xml:space="preserve">＝模型）</t>
    </r>
  </si>
  <si>
    <t xml:space="preserve">C221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</si>
  <si>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</si>
  <si>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</si>
  <si>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期間</t>
    </r>
  </si>
  <si>
    <r>
      <rPr>
        <sz val="9"/>
        <color rgb="FF595959"/>
        <rFont val="WenQuanYi Zen Hei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時進入供給</t>
    </r>
  </si>
  <si>
    <t xml:space="preserve">C223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</si>
  <si>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期間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</si>
  <si>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WenQuanYi Zen Hei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WenQuanYi Zen Hei"/>
        <family val="2"/>
      </rPr>
      <t xml:space="preserve">對照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</si>
  <si>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WenQuanYi Zen Hei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WenQuanYi Zen Hei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WenQuanYi Zen Hei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WenQuanYi Zen Hei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WenQuanYi Zen Hei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WenQuanYi Zen Hei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每人成本；股權報酬單列（命題全成本含之）。</t>
    </r>
  </si>
  <si>
    <r>
      <rPr>
        <sz val="9"/>
        <color rgb="FF595959"/>
        <rFont val="WenQuanYi Zen Hei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WenQuanYi Zen Hei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WenQuanYi Zen Hei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</si>
  <si>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WenQuanYi Zen Hei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</si>
  <si>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</si>
  <si>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</si>
  <si>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</si>
  <si>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</si>
  <si>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</si>
  <si>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</si>
  <si>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WenQuanYi Zen Hei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WenQuanYi Zen Hei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</si>
  <si>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K04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</si>
  <si>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</si>
  <si>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</si>
  <si>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</si>
  <si>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</si>
  <si>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</si>
  <si>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</si>
  <si>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</si>
  <si>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</si>
  <si>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</si>
  <si>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</si>
  <si>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</si>
  <si>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</si>
  <si>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</si>
  <si>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</si>
  <si>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</si>
  <si>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</si>
  <si>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</si>
  <si>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</si>
  <si>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</si>
  <si>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</si>
  <si>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</si>
  <si>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</si>
  <si>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</si>
  <si>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</si>
  <si>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</si>
  <si>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</si>
  <si>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</si>
  <si>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</si>
  <si>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</si>
  <si>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</si>
  <si>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</si>
  <si>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</si>
  <si>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</si>
  <si>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</si>
  <si>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</si>
  <si>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</si>
  <si>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</si>
  <si>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</si>
  <si>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</si>
  <si>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</si>
  <si>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</si>
  <si>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</si>
  <si>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</si>
  <si>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</si>
  <si>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</si>
  <si>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</si>
  <si>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</si>
  <si>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</si>
  <si>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</si>
  <si>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</si>
  <si>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</si>
  <si>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WenQuanYi Zen Hei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WenQuanYi Zen Hei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</si>
  <si>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</si>
  <si>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</si>
  <si>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</si>
  <si>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K31</t>
  </si>
  <si>
    <r>
      <rPr>
        <sz val="10"/>
        <color rgb="FF000000"/>
        <rFont val="WenQuanYi Zen Hei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</si>
  <si>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WenQuanYi Zen Hei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（併入招股書新承諾）</t>
    </r>
  </si>
  <si>
    <t xml:space="preserve">K32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</si>
  <si>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</si>
  <si>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WenQuanYi Zen Hei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WenQuanYi Zen Hei"/>
        <family val="2"/>
      </rPr>
      <t xml:space="preserve">）</t>
    </r>
  </si>
  <si>
    <t xml:space="preserve">K33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</si>
  <si>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</si>
  <si>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</si>
  <si>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</si>
  <si>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K35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</si>
  <si>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</si>
  <si>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</si>
  <si>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</si>
  <si>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</si>
  <si>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K37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</si>
  <si>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</si>
  <si>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WenQuanYi Zen Hei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當年計費月數</t>
    </r>
  </si>
  <si>
    <t xml:space="preserve">K38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</si>
  <si>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</si>
  <si>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WenQuanYi Zen Hei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WenQuanYi Zen Hei"/>
        <family val="2"/>
      </rPr>
      <t xml:space="preserve">）</t>
    </r>
  </si>
  <si>
    <t xml:space="preserve">K39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</si>
  <si>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</si>
  <si>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WenQuanYi Zen Hei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</si>
  <si>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K40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</si>
  <si>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</si>
  <si>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</si>
  <si>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</si>
  <si>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</si>
  <si>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</si>
  <si>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</si>
  <si>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WenQuanYi Zen Hei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</si>
  <si>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型）時計入</t>
    </r>
  </si>
  <si>
    <t xml:space="preserve">K44</t>
  </si>
  <si>
    <r>
      <rPr>
        <sz val="10"/>
        <color rgb="FF000000"/>
        <rFont val="WenQuanYi Zen Hei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</si>
  <si>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</si>
  <si>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</si>
  <si>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</si>
  <si>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WenQuanYi Zen Hei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）</t>
    </r>
  </si>
  <si>
    <t xml:space="preserve">K46</t>
  </si>
  <si>
    <r>
      <rPr>
        <sz val="10"/>
        <color rgb="FF000000"/>
        <rFont val="WenQuanYi Zen Hei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</si>
  <si>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</si>
  <si>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</si>
  <si>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</si>
  <si>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</si>
  <si>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</si>
  <si>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WenQuanYi Zen Hei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</si>
  <si>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</si>
  <si>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</si>
  <si>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</si>
  <si>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</si>
  <si>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K51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</si>
  <si>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</si>
  <si>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</si>
  <si>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</si>
  <si>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</si>
  <si>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</si>
  <si>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</si>
  <si>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</si>
  <si>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</si>
  <si>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</si>
  <si>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</si>
  <si>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</si>
  <si>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</si>
  <si>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</si>
  <si>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</si>
  <si>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</si>
  <si>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WenQuanYi Zen Hei"/>
        <family val="2"/>
      </rPr>
      <t xml:space="preserve">）</t>
    </r>
  </si>
  <si>
    <t xml:space="preserve">K59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</si>
  <si>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</si>
  <si>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WenQuanYi Zen Hei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</si>
  <si>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</si>
  <si>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WenQuanYi Zen Hei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</si>
  <si>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</si>
  <si>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WenQuanYi Zen Hei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WenQuanYi Zen Hei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</si>
  <si>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</si>
  <si>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</si>
  <si>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</si>
  <si>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</si>
  <si>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</si>
  <si>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</si>
  <si>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</si>
  <si>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</si>
  <si>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</si>
  <si>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</si>
  <si>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</si>
  <si>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</si>
  <si>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</si>
  <si>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</si>
  <si>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</si>
  <si>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</si>
  <si>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WenQuanYi Zen Hei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</si>
  <si>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</si>
  <si>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</si>
  <si>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</si>
  <si>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</si>
  <si>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</si>
  <si>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</si>
  <si>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</si>
  <si>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WenQuanYi Zen Hei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WenQuanYi Zen Hei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</si>
  <si>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</si>
  <si>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</si>
  <si>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</si>
  <si>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</si>
  <si>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WenQuanYi Zen Hei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</si>
  <si>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</si>
  <si>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</si>
  <si>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</si>
  <si>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</si>
  <si>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非算力營業費用（扣平台抽成；含股權報酬）</t>
    </r>
  </si>
  <si>
    <r>
      <rPr>
        <sz val="9"/>
        <color rgb="FF595959"/>
        <rFont val="WenQuanYi Zen Hei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WenQuanYi Zen Hei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</si>
  <si>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</si>
  <si>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</si>
  <si>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WenQuanYi Zen Hei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</si>
  <si>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</si>
  <si>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</si>
  <si>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</si>
  <si>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</si>
  <si>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</si>
  <si>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</si>
  <si>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</si>
  <si>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</si>
  <si>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</si>
  <si>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</si>
  <si>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</si>
  <si>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</si>
  <si>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</si>
  <si>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</si>
  <si>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</si>
  <si>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WenQuanYi Zen Hei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</t>
    </r>
  </si>
  <si>
    <t xml:space="preserve">K82</t>
  </si>
  <si>
    <r>
      <rPr>
        <sz val="10"/>
        <color rgb="FF000000"/>
        <rFont val="WenQuanYi Zen Hei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WenQuanYi Zen Hei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</si>
  <si>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</si>
  <si>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</si>
  <si>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WenQuanYi Zen Hei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WenQuanYi Zen Hei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</si>
  <si>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</si>
  <si>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</si>
  <si>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</si>
  <si>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WenQuanYi Zen Hei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WenQuanYi Zen Hei"/>
        <family val="2"/>
      </rPr>
      <t xml:space="preserve">）；差額為四捨五入</t>
    </r>
  </si>
  <si>
    <t xml:space="preserve">K85</t>
  </si>
  <si>
    <r>
      <rPr>
        <sz val="10"/>
        <color rgb="FF000000"/>
        <rFont val="WenQuanYi Zen Hei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 ＋ 說明書營業虧損</t>
    </r>
  </si>
  <si>
    <r>
      <rPr>
        <sz val="9"/>
        <color rgb="FF595959"/>
        <rFont val="WenQuanYi Zen Hei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</si>
  <si>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</si>
  <si>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</si>
  <si>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</si>
  <si>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</si>
  <si>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</si>
  <si>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</si>
  <si>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</si>
  <si>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</si>
  <si>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</si>
  <si>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</si>
  <si>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</si>
  <si>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</si>
  <si>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</si>
  <si>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WenQuanYi Zen Hei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</si>
  <si>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WenQuanYi Zen Hei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WenQuanYi Zen Hei"/>
        <family val="2"/>
      </rPr>
      <t xml:space="preserve">筆記）</t>
    </r>
  </si>
  <si>
    <r>
      <rPr>
        <b val="true"/>
        <sz val="10"/>
        <rFont val="WenQuanYi Zen Hei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</si>
  <si>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</si>
  <si>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</si>
  <si>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</si>
  <si>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WenQuanYi Zen Hei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</si>
  <si>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</si>
  <si>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</si>
  <si>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</si>
  <si>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</si>
  <si>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</si>
  <si>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</si>
  <si>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</si>
  <si>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WenQuanYi Zen Hei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WenQuanYi Zen Hei"/>
        <family val="2"/>
      </rPr>
      <t xml:space="preserve">融資）</t>
    </r>
  </si>
  <si>
    <t xml:space="preserve">K96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</si>
  <si>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：營收淨額</t>
    </r>
  </si>
  <si>
    <t xml:space="preserve">K97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</si>
  <si>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：算力成本（現金）</t>
    </r>
  </si>
  <si>
    <t xml:space="preserve">K98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</si>
  <si>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</si>
  <si>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</si>
  <si>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：股權報酬</t>
    </r>
  </si>
  <si>
    <t xml:space="preserve">K100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</si>
  <si>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</si>
  <si>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</si>
  <si>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</si>
  <si>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</si>
  <si>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：差額（含股權報酬）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</si>
  <si>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</si>
  <si>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</si>
  <si>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</si>
  <si>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</si>
  <si>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WenQuanYi Zen Hei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</si>
  <si>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</si>
  <si>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</si>
  <si>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</si>
  <si>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WenQuanYi Zen Hei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</si>
  <si>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r>
      <rPr>
        <sz val="9"/>
        <color rgb="FF595959"/>
        <rFont val="WenQuanYi Zen Hei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</si>
  <si>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</si>
  <si>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WenQuanYi Zen Hei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</si>
  <si>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K108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</si>
  <si>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</t>
    </r>
  </si>
  <si>
    <t xml:space="preserve">K109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</si>
  <si>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</si>
  <si>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</si>
  <si>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</si>
  <si>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WenQuanYi Zen Hei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</si>
  <si>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</si>
  <si>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</si>
  <si>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WenQuanYi Zen Hei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WenQuanYi Zen Hei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WenQuanYi Zen Hei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</si>
  <si>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</si>
  <si>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；並列）</t>
    </r>
  </si>
  <si>
    <t xml:space="preserve">K113</t>
  </si>
  <si>
    <r>
      <rPr>
        <sz val="10"/>
        <color rgb="FF000000"/>
        <rFont val="WenQuanYi Zen Hei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參考（下游預設）</t>
    </r>
  </si>
  <si>
    <r>
      <rPr>
        <b val="true"/>
        <sz val="10"/>
        <rFont val="WenQuanYi Zen Hei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WenQuanYi Zen Hei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WenQuanYi Zen Hei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</si>
  <si>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</si>
  <si>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</si>
  <si>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</si>
  <si>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</si>
  <si>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調整後營業利益率</t>
    </r>
  </si>
  <si>
    <t xml:space="preserve">K116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</si>
  <si>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WenQuanYi Zen Hei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WenQuanYi Zen Hei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WenQuanYi Zen Hei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</si>
  <si>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</si>
  <si>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</si>
  <si>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</si>
  <si>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</si>
  <si>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</si>
  <si>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WenQuanYi Zen Hei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WenQuanYi Zen Hei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</si>
  <si>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WenQuanYi Zen Hei"/>
        <family val="2"/>
      </rPr>
      <t xml:space="preserve">檢查）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</si>
  <si>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</si>
  <si>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</si>
  <si>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</si>
  <si>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</si>
  <si>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WenQuanYi Zen Hei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WenQuanYi Zen Hei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WenQuanYi Zen Hei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WenQuanYi Zen Hei"/>
        <family val="2"/>
      </rPr>
      <t xml:space="preserve">）</t>
    </r>
  </si>
  <si>
    <t xml:space="preserve">K121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</si>
  <si>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</si>
  <si>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</si>
  <si>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</si>
  <si>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］</t>
    </r>
  </si>
  <si>
    <t xml:space="preserve">K123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</si>
  <si>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］</t>
    </r>
  </si>
  <si>
    <t xml:space="preserve">K124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</si>
  <si>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］</t>
    </r>
  </si>
  <si>
    <t xml:space="preserve">K125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</si>
  <si>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］</t>
    </r>
  </si>
  <si>
    <r>
      <rPr>
        <sz val="9"/>
        <color rgb="FF595959"/>
        <rFont val="WenQuanYi Zen Hei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</si>
  <si>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K126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</si>
  <si>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］</t>
    </r>
  </si>
  <si>
    <r>
      <rPr>
        <sz val="9"/>
        <color rgb="FF595959"/>
        <rFont val="WenQuanYi Zen Hei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WenQuanYi Zen Hei"/>
        <family val="2"/>
      </rPr>
      <t xml:space="preserve">期間）</t>
    </r>
  </si>
  <si>
    <t xml:space="preserve">K127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</si>
  <si>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</si>
  <si>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：揭露總額</t>
    </r>
  </si>
  <si>
    <t xml:space="preserve">K128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</si>
  <si>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</si>
  <si>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</si>
  <si>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K129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</si>
  <si>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</si>
  <si>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</si>
  <si>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</si>
  <si>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</si>
  <si>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</si>
  <si>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</si>
  <si>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WenQuanYi Zen Hei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）</t>
    </r>
  </si>
  <si>
    <t xml:space="preserve">K133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</si>
  <si>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</si>
  <si>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</si>
  <si>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K134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</si>
  <si>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</si>
  <si>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</si>
  <si>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</si>
  <si>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</si>
  <si>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</si>
  <si>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</si>
  <si>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</si>
  <si>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</si>
  <si>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</si>
  <si>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</si>
  <si>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</si>
  <si>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</si>
  <si>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WenQuanYi Zen Hei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</t>
    </r>
  </si>
  <si>
    <t xml:space="preserve">K141</t>
  </si>
  <si>
    <r>
      <rPr>
        <sz val="10"/>
        <color rgb="FF000000"/>
        <rFont val="WenQuanYi Zen Hei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</si>
  <si>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K142</t>
  </si>
  <si>
    <r>
      <rPr>
        <sz val="10"/>
        <color rgb="FF000000"/>
        <rFont val="WenQuanYi Zen Hei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WenQuanYi Zen Hei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</si>
  <si>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WenQuanYi Zen Hei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WenQuanYi Zen Hei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WenQuanYi Zen Hei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WenQuanYi Zen Hei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WenQuanYi Zen Hei"/>
        <family val="2"/>
      </rPr>
      <t xml:space="preserve">）</t>
    </r>
  </si>
  <si>
    <t xml:space="preserve">K143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</si>
  <si>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</si>
  <si>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</si>
  <si>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</si>
  <si>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</si>
  <si>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</si>
  <si>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</si>
  <si>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</si>
  <si>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</si>
  <si>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</si>
  <si>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</si>
  <si>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</si>
  <si>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</si>
  <si>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WenQuanYi Zen Hei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</si>
  <si>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；合計對得上是因為各家誤差互相抵銷</t>
    </r>
  </si>
  <si>
    <r>
      <rPr>
        <b val="true"/>
        <sz val="10"/>
        <rFont val="WenQuanYi Zen Hei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WenQuanYi Zen Hei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WenQuanYi Zen Hei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不變</t>
    </r>
  </si>
  <si>
    <t xml:space="preserve">K150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</si>
  <si>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</si>
  <si>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K151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</si>
  <si>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</si>
  <si>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K152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</si>
  <si>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</si>
  <si>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K153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</si>
  <si>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</si>
  <si>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K154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</si>
  <si>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</si>
  <si>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K155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</si>
  <si>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</si>
  <si>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</si>
  <si>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</si>
  <si>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</si>
  <si>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</si>
  <si>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</si>
  <si>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</si>
  <si>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</si>
  <si>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</si>
  <si>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</si>
  <si>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</si>
  <si>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</si>
  <si>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</si>
  <si>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</si>
  <si>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</si>
  <si>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</si>
  <si>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</si>
  <si>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</si>
  <si>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</si>
  <si>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</si>
  <si>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WenQuanYi Zen Hei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</si>
  <si>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</si>
  <si>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</si>
  <si>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</si>
  <si>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WenQuanYi Zen Hei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WenQuanYi Zen Hei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起算年）</t>
    </r>
  </si>
  <si>
    <t xml:space="preserve">K166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</si>
  <si>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直接承租）</t>
    </r>
  </si>
  <si>
    <t xml:space="preserve">K167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</si>
  <si>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WenQuanYi Zen Hei"/>
        <family val="2"/>
      </rPr>
      <t xml:space="preserve">）</t>
    </r>
  </si>
  <si>
    <t xml:space="preserve">K168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</si>
  <si>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）</t>
    </r>
  </si>
  <si>
    <t xml:space="preserve">K169</t>
  </si>
  <si>
    <r>
      <rPr>
        <sz val="10"/>
        <color rgb="FF000000"/>
        <rFont val="WenQuanYi Zen Hei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擔保）：租金未揭露</t>
    </r>
  </si>
  <si>
    <r>
      <rPr>
        <sz val="9"/>
        <color rgb="FF595959"/>
        <rFont val="WenQuanYi Zen Hei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WenQuanYi Zen Hei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</si>
  <si>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</si>
  <si>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</si>
  <si>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</si>
  <si>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</si>
  <si>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</si>
  <si>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</si>
  <si>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WenQuanYi Zen Hei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WenQuanYi Zen Hei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WenQuanYi Zen Hei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</si>
  <si>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</si>
  <si>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</si>
  <si>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WenQuanYi Zen Hei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WenQuanYi Zen Hei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</si>
  <si>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</si>
  <si>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WenQuanYi Zen Hei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季數）</t>
    </r>
  </si>
  <si>
    <t xml:space="preserve">K175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</si>
  <si>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</si>
  <si>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</si>
  <si>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</si>
  <si>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</si>
  <si>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WenQuanYi Zen Hei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非算力成本偏低</t>
    </r>
  </si>
  <si>
    <t xml:space="preserve">K177</t>
  </si>
  <si>
    <r>
      <rPr>
        <sz val="10"/>
        <color rgb="FF000000"/>
        <rFont val="WenQuanYi Zen Hei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WenQuanYi Zen Hei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</si>
  <si>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</si>
  <si>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</si>
  <si>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WenQuanYi Zen Hei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</t>
    </r>
  </si>
  <si>
    <r>
      <rPr>
        <sz val="9"/>
        <color rgb="FF595959"/>
        <rFont val="WenQuanYi Zen Hei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</si>
  <si>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</si>
  <si>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</si>
  <si>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</si>
  <si>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低估補足）</t>
    </r>
  </si>
  <si>
    <t xml:space="preserve">K181</t>
  </si>
  <si>
    <r>
      <rPr>
        <sz val="10"/>
        <color rgb="FF000000"/>
        <rFont val="WenQuanYi Zen Hei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補足 − 基準</t>
    </r>
  </si>
  <si>
    <r>
      <rPr>
        <b val="true"/>
        <sz val="10"/>
        <rFont val="WenQuanYi Zen Hei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WenQuanYi Zen Hei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</si>
  <si>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</si>
  <si>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</si>
  <si>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WenQuanYi Zen Hei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</si>
  <si>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</si>
  <si>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</si>
  <si>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</si>
  <si>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WenQuanYi Zen Hei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</si>
  <si>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WenQuanYi Zen Hei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</si>
  <si>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</si>
  <si>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WenQuanYi Zen Hei"/>
        <family val="2"/>
      </rPr>
      <t xml:space="preserve">比例</t>
    </r>
  </si>
  <si>
    <t xml:space="preserve">K186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</si>
  <si>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分攤）（模型＝第十一節合約總額）</t>
    </r>
  </si>
  <si>
    <r>
      <rPr>
        <sz val="9"/>
        <color rgb="FF595959"/>
        <rFont val="WenQuanYi Zen Hei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WenQuanYi Zen Hei"/>
        <family val="2"/>
      </rPr>
      <t xml:space="preserve">）</t>
    </r>
  </si>
  <si>
    <t xml:space="preserve">K187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</si>
  <si>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</si>
  <si>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</si>
  <si>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</si>
  <si>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</si>
  <si>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</si>
  <si>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</si>
  <si>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r>
      <rPr>
        <b val="true"/>
        <sz val="10"/>
        <rFont val="WenQuanYi Zen Hei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WenQuanYi Zen Hei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WenQuanYi Zen Hei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WenQuanYi Zen Hei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WenQuanYi Zen Hei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WenQuanYi Zen Hei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</si>
  <si>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</si>
  <si>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WenQuanYi Zen Hei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第十一節）</t>
    </r>
  </si>
  <si>
    <r>
      <rPr>
        <sz val="9"/>
        <color rgb="FF595959"/>
        <rFont val="WenQuanYi Zen Hei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WenQuanYi Zen Hei"/>
        <family val="2"/>
      </rPr>
      <t xml:space="preserve">自建、機房租約</t>
    </r>
  </si>
  <si>
    <t xml:space="preserve">K191</t>
  </si>
  <si>
    <r>
      <rPr>
        <sz val="10"/>
        <color rgb="FF000000"/>
        <rFont val="WenQuanYi Zen Hei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年，多數不可取消）</t>
    </r>
  </si>
  <si>
    <t xml:space="preserve">K192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</si>
  <si>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（雲端付款義務口徑）</t>
    </r>
  </si>
  <si>
    <t xml:space="preserve">K193</t>
  </si>
  <si>
    <r>
      <rPr>
        <sz val="10"/>
        <color rgb="FF000000"/>
        <rFont val="WenQuanYi Zen Hei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</si>
  <si>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t xml:space="preserve">K194</t>
  </si>
  <si>
    <r>
      <rPr>
        <sz val="10"/>
        <color rgb="FF000000"/>
        <rFont val="WenQuanYi Zen Hei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WenQuanYi Zen Hei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</si>
  <si>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WenQuanYi Zen Hei"/>
        <family val="2"/>
      </rPr>
      <t xml:space="preserve">之類</t>
    </r>
  </si>
  <si>
    <t xml:space="preserve">K195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</si>
  <si>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（已鎖定口徑）</t>
    </r>
  </si>
  <si>
    <t xml:space="preserve">K196</t>
  </si>
  <si>
    <r>
      <rPr>
        <sz val="10"/>
        <color rgb="FF000000"/>
        <rFont val="WenQuanYi Zen Hei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</si>
  <si>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</si>
  <si>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</si>
  <si>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</si>
  <si>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（含談判中口徑）</t>
    </r>
  </si>
  <si>
    <t xml:space="preserve">K199</t>
  </si>
  <si>
    <r>
      <rPr>
        <sz val="10"/>
        <color rgb="FF000000"/>
        <rFont val="WenQuanYi Zen Hei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</si>
  <si>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</si>
  <si>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</si>
  <si>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WenQuanYi Zen Hei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WenQuanYi Zen Hei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</si>
  <si>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WenQuanYi Zen Hei"/>
        <family val="2"/>
      </rPr>
      <t xml:space="preserve">等（推論，報導未列）</t>
    </r>
  </si>
  <si>
    <t xml:space="preserve">K201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</si>
  <si>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WenQuanYi Zen Hei"/>
        <family val="2"/>
      </rPr>
      <t xml:space="preserve">合約總額</t>
    </r>
  </si>
  <si>
    <t xml:space="preserve">K202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</si>
  <si>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</si>
  <si>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</si>
  <si>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</si>
  <si>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WenQuanYi Zen Hei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及其他非雲端義務</t>
    </r>
  </si>
  <si>
    <r>
      <rPr>
        <sz val="9"/>
        <color rgb="FF595959"/>
        <rFont val="WenQuanYi Zen Hei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</si>
  <si>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WenQuanYi Zen Hei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WenQuanYi Zen Hei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</si>
  <si>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</si>
  <si>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</si>
  <si>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；口徑未明）</t>
    </r>
  </si>
  <si>
    <t xml:space="preserve">K205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</si>
  <si>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</si>
  <si>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WenQuanYi Zen Hei"/>
        <family val="2"/>
      </rPr>
      <t xml:space="preserve">（公式）</t>
    </r>
  </si>
  <si>
    <t xml:space="preserve">K206</t>
  </si>
  <si>
    <r>
      <rPr>
        <sz val="10"/>
        <color rgb="FF000000"/>
        <rFont val="WenQuanYi Zen Hei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WenQuanYi Zen Hei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</si>
  <si>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</si>
  <si>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</si>
  <si>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WenQuanYi Zen Hei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</si>
  <si>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</si>
  <si>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</si>
  <si>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</si>
  <si>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</si>
  <si>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</si>
  <si>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</si>
  <si>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WenQuanYi Zen Hei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均攤）</t>
    </r>
  </si>
  <si>
    <r>
      <rPr>
        <sz val="9"/>
        <color rgb="FF595959"/>
        <rFont val="WenQuanYi Zen Hei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WenQuanYi Zen Hei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</si>
  <si>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</si>
  <si>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WenQuanYi Zen Hei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</si>
  <si>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K212</t>
  </si>
  <si>
    <r>
      <rPr>
        <sz val="10"/>
        <color rgb="FF000000"/>
        <rFont val="WenQuanYi Zen Hei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</si>
  <si>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K213</t>
  </si>
  <si>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WenQuanYi Zen Hei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</si>
  <si>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</si>
  <si>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WenQuanYi Zen Hei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WenQuanYi Zen Hei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WenQuanYi Zen Hei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版）</t>
    </r>
  </si>
  <si>
    <t xml:space="preserve">K214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</si>
  <si>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</si>
  <si>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；第二個獲利季）</t>
    </r>
  </si>
  <si>
    <t xml:space="preserve">K215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</si>
  <si>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對照）</t>
    </r>
  </si>
  <si>
    <t xml:space="preserve">K216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</si>
  <si>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報導（百分點）</t>
    </r>
  </si>
  <si>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單季；只對照、不校準</t>
    </r>
  </si>
  <si>
    <t xml:space="preserve">K217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</si>
  <si>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</si>
  <si>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</si>
  <si>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</si>
  <si>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</si>
  <si>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</si>
  <si>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</si>
  <si>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</si>
  <si>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WenQuanYi Zen Hei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非算力（不含股權報酬）＋平台抽成</t>
    </r>
  </si>
  <si>
    <r>
      <rPr>
        <sz val="9"/>
        <color rgb="FF595959"/>
        <rFont val="WenQuanYi Zen Hei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</si>
  <si>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</si>
  <si>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WenQuanYi Zen Hei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非算力費用占營收</t>
    </r>
  </si>
  <si>
    <t xml:space="preserve">K222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</si>
  <si>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</si>
  <si>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</si>
  <si>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WenQuanYi Zen Hei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</si>
  <si>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WenQuanYi Zen Hei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年化法形成區間</t>
    </r>
  </si>
  <si>
    <r>
      <rPr>
        <b val="true"/>
        <sz val="10"/>
        <rFont val="WenQuanYi Zen Hei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WenQuanYi Zen Hei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WenQuanYi Zen Hei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WenQuanYi Zen Hei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爬坡</t>
    </r>
  </si>
  <si>
    <t xml:space="preserve">K224</t>
  </si>
  <si>
    <r>
      <rPr>
        <sz val="10"/>
        <color rgb="FF000000"/>
        <rFont val="WenQuanYi Zen Hei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</si>
  <si>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WenQuanYi Zen Hei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</si>
  <si>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</si>
  <si>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WenQuanYi Zen Hei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</si>
  <si>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K226</t>
  </si>
  <si>
    <r>
      <rPr>
        <sz val="10"/>
        <color rgb="FF000000"/>
        <rFont val="WenQuanYi Zen Hei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WenQuanYi Zen Hei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</si>
  <si>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</si>
  <si>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</si>
  <si>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WenQuanYi Zen Hei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</si>
  <si>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</si>
  <si>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</si>
  <si>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WenQuanYi Zen Hei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</si>
  <si>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</si>
  <si>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WenQuanYi Zen Hei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</si>
  <si>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</t>
    </r>
  </si>
  <si>
    <t xml:space="preserve">K230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</si>
  <si>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（含新協議）</t>
    </r>
  </si>
  <si>
    <t xml:space="preserve">K231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</si>
  <si>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</si>
  <si>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</si>
  <si>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</si>
  <si>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</si>
  <si>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</si>
  <si>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</si>
  <si>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</si>
  <si>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</si>
  <si>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</si>
  <si>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</si>
  <si>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</si>
  <si>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</si>
  <si>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</si>
  <si>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WenQuanYi Zen Hei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</si>
  <si>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K238</t>
  </si>
  <si>
    <r>
      <rPr>
        <sz val="10"/>
        <color rgb="FF000000"/>
        <rFont val="WenQuanYi Zen Hei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</si>
  <si>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</si>
  <si>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</si>
  <si>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</si>
  <si>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WenQuanYi Zen Hei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WenQuanYi Zen Hei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</si>
  <si>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</si>
  <si>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</si>
  <si>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WenQuanYi Zen Hei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</si>
  <si>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</si>
  <si>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WenQuanYi Zen Hei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</si>
  <si>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</si>
  <si>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WenQuanYi Zen Hei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</si>
  <si>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</si>
  <si>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</si>
  <si>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</si>
  <si>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</si>
  <si>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</si>
  <si>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</si>
  <si>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本倍數</t>
    </r>
  </si>
  <si>
    <t xml:space="preserve">K246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</si>
  <si>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WenQuanYi Zen Hei"/>
        <family val="2"/>
      </rPr>
      <t xml:space="preserve">最接近的口徑）</t>
    </r>
  </si>
  <si>
    <r>
      <rPr>
        <sz val="9"/>
        <color rgb="FF595959"/>
        <rFont val="WenQuanYi Zen Hei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WenQuanYi Zen Hei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不計入</t>
    </r>
  </si>
  <si>
    <t xml:space="preserve">K247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</si>
  <si>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（付費＋免費）</t>
    </r>
  </si>
  <si>
    <t xml:space="preserve">K248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</si>
  <si>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</si>
  <si>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</si>
  <si>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</si>
  <si>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WenQuanYi Zen Hei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WenQuanYi Zen Hei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</si>
  <si>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</si>
  <si>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</si>
  <si>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</si>
  <si>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</si>
  <si>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</si>
  <si>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</si>
  <si>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</si>
  <si>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</si>
  <si>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表示模型與該讀法一致</t>
    </r>
  </si>
  <si>
    <t xml:space="preserve">K253</t>
  </si>
  <si>
    <r>
      <rPr>
        <sz val="10"/>
        <color rgb="FF000000"/>
        <rFont val="WenQuanYi Zen Hei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</si>
  <si>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</si>
  <si>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</si>
  <si>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</si>
  <si>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WenQuanYi Zen Hei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</t>
    </r>
  </si>
  <si>
    <t xml:space="preserve">K255</t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</si>
  <si>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</si>
  <si>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</si>
  <si>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WenQuanYi Zen Hei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WenQuanYi Zen Hei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WenQuanYi Zen Hei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WenQuanYi Zen Hei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WenQuanYi Zen Hei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</si>
  <si>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</si>
  <si>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WenQuanYi Zen Hei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當年權重</t>
    </r>
  </si>
  <si>
    <r>
      <rPr>
        <sz val="9"/>
        <color rgb="FF595959"/>
        <rFont val="WenQuanYi Zen Hei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</si>
  <si>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</si>
  <si>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WenQuanYi Zen Hei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當年權重</t>
    </r>
  </si>
  <si>
    <t xml:space="preserve">K258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</si>
  <si>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WenQuanYi Zen Hei"/>
        <family val="2"/>
      </rPr>
      <t xml:space="preserve">持有比）</t>
    </r>
  </si>
  <si>
    <r>
      <rPr>
        <sz val="9"/>
        <color rgb="FF595959"/>
        <rFont val="WenQuanYi Zen Hei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以外的容量或服務</t>
    </r>
  </si>
  <si>
    <t xml:space="preserve">K259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</si>
  <si>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WenQuanYi Zen Hei"/>
        <family val="2"/>
      </rPr>
      <t xml:space="preserve">持有比）</t>
    </r>
  </si>
  <si>
    <t xml:space="preserve">K260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</si>
  <si>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</si>
  <si>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</si>
  <si>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</si>
  <si>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WenQuanYi Zen Hei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WenQuanYi Zen Hei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WenQuanYi Zen Hei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完全）</t>
    </r>
  </si>
  <si>
    <t xml:space="preserve">K262</t>
  </si>
  <si>
    <r>
      <rPr>
        <sz val="10"/>
        <color rgb="FF000000"/>
        <rFont val="WenQuanYi Zen Hei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</si>
  <si>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WenQuanYi Zen Hei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</si>
  <si>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</si>
  <si>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</si>
  <si>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WenQuanYi Zen Hei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WenQuanYi Zen Hei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</si>
  <si>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</si>
  <si>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WenQuanYi Zen Hei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</si>
  <si>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WenQuanYi Zen Hei"/>
        <family val="2"/>
      </rPr>
      <t xml:space="preserve">）</t>
    </r>
  </si>
  <si>
    <t xml:space="preserve">K265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</si>
  <si>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</si>
  <si>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</si>
  <si>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</si>
  <si>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</si>
  <si>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WenQuanYi Zen Hei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</si>
  <si>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r>
      <rPr>
        <sz val="9"/>
        <color rgb="FF595959"/>
        <rFont val="WenQuanYi Zen Hei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營收淨額（工作單）</t>
    </r>
  </si>
  <si>
    <t xml:space="preserve">K268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</si>
  <si>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差額（含股權報酬；追加情境：無需求）</t>
    </r>
  </si>
  <si>
    <r>
      <rPr>
        <sz val="9"/>
        <color rgb="FF595959"/>
        <rFont val="WenQuanYi Zen Hei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</si>
  <si>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K269</t>
  </si>
  <si>
    <r>
      <rPr>
        <sz val="10"/>
        <color rgb="FF000000"/>
        <rFont val="WenQuanYi Zen Hei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</si>
  <si>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</si>
  <si>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</si>
  <si>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WenQuanYi Zen Hei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</si>
  <si>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</si>
  <si>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</si>
  <si>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第十節</t>
    </r>
  </si>
  <si>
    <t xml:space="preserve">K272</t>
  </si>
  <si>
    <r>
      <rPr>
        <sz val="10"/>
        <color rgb="FF000000"/>
        <rFont val="WenQuanYi Zen Hei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</si>
  <si>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K273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</si>
  <si>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</si>
  <si>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</si>
  <si>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WenQuanYi Zen Hei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</si>
  <si>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</si>
  <si>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</si>
  <si>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</si>
  <si>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</si>
  <si>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</si>
  <si>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WenQuanYi Zen Hei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</si>
  <si>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K278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</si>
  <si>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</si>
  <si>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</si>
  <si>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WenQuanYi Zen Hei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</si>
  <si>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</si>
  <si>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</si>
  <si>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</si>
  <si>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</si>
  <si>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WenQuanYi Zen Hei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WenQuanYi Zen Hei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</si>
  <si>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</si>
  <si>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＝十億美元。</t>
    </r>
  </si>
  <si>
    <r>
      <rPr>
        <b val="true"/>
        <sz val="10"/>
        <rFont val="WenQuanYi Zen Hei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WenQuanYi Zen Hei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</si>
  <si>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</si>
  <si>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</si>
  <si>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</si>
  <si>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</si>
  <si>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</si>
  <si>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WenQuanYi Zen Hei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</si>
  <si>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WenQuanYi Zen Hei"/>
        <family val="2"/>
      </rPr>
      <t xml:space="preserve">）</t>
    </r>
  </si>
  <si>
    <t xml:space="preserve">F04</t>
  </si>
  <si>
    <t xml:space="preserve">非算力成本（不含股權報酬）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</si>
  <si>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</si>
  <si>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</si>
  <si>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</si>
  <si>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WenQuanYi Zen Hei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</si>
  <si>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</si>
  <si>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</si>
  <si>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</si>
  <si>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</si>
  <si>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</si>
  <si>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WenQuanYi Zen Hei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</si>
  <si>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</si>
  <si>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</si>
  <si>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</si>
  <si>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WenQuanYi Zen Hei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營收總額（截頂後）</t>
    </r>
  </si>
  <si>
    <r>
      <rPr>
        <sz val="9"/>
        <color rgb="FF595959"/>
        <rFont val="WenQuanYi Zen Hei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WenQuanYi Zen Hei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</si>
  <si>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</si>
  <si>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</si>
  <si>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WenQuanYi Zen Hei"/>
        <family val="2"/>
      </rPr>
      <t xml:space="preserve">（說明書）</t>
    </r>
  </si>
  <si>
    <t xml:space="preserve">F11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</si>
  <si>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</si>
  <si>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WenQuanYi Zen Hei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</t>
    </r>
  </si>
  <si>
    <r>
      <rPr>
        <b val="true"/>
        <sz val="10"/>
        <rFont val="WenQuanYi Zen Hei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WenQuanYi Zen Hei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WenQuanYi Zen Hei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</si>
  <si>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</si>
  <si>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WenQuanYi Zen Hei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</si>
  <si>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</si>
  <si>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</si>
  <si>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WenQuanYi Zen Hei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</si>
  <si>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WenQuanYi Zen Hei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</si>
  <si>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</si>
  <si>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WenQuanYi Zen Hei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</si>
  <si>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WenQuanYi Zen Hei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WenQuanYi Zen Hei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WenQuanYi Zen Hei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WenQuanYi Zen Hei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</si>
  <si>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</si>
  <si>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</si>
  <si>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WenQuanYi Zen Hei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</si>
  <si>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</si>
  <si>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</si>
  <si>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WenQuanYi Zen Hei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WenQuanYi Zen Hei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</si>
  <si>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</si>
  <si>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</si>
  <si>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WenQuanYi Zen Hei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</si>
  <si>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</si>
  <si>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</si>
  <si>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</si>
  <si>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</si>
  <si>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WenQuanYi Zen Hei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WenQuanYi Zen Hei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</si>
  <si>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</si>
  <si>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</si>
  <si>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WenQuanYi Zen Hei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WenQuanYi Zen Hei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</si>
  <si>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年以前各輪，故應 ≥ 招股書下限附近）；只對照</t>
    </r>
  </si>
  <si>
    <r>
      <rPr>
        <b val="true"/>
        <sz val="10"/>
        <rFont val="WenQuanYi Zen Hei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WenQuanYi Zen Hei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</si>
  <si>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</si>
  <si>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</si>
  <si>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</si>
  <si>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</si>
  <si>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</si>
  <si>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</si>
  <si>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</si>
  <si>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</si>
  <si>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</si>
  <si>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</si>
  <si>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WenQuanYi Zen Hei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</si>
  <si>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</si>
  <si>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</t>
    </r>
  </si>
  <si>
    <t xml:space="preserve">F26</t>
  </si>
  <si>
    <r>
      <rPr>
        <sz val="10"/>
        <color rgb="FF000000"/>
        <rFont val="WenQuanYi Zen Hei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</si>
  <si>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</si>
  <si>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</si>
  <si>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</si>
  <si>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WenQuanYi Zen Hei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WenQuanYi Zen Hei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</si>
  <si>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</si>
  <si>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WenQuanYi Zen Hei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</si>
  <si>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WenQuanYi Zen Hei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</si>
  <si>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</si>
  <si>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</si>
  <si>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WenQuanYi Zen Hei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</si>
  <si>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</si>
  <si>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</si>
  <si>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</si>
  <si>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</si>
  <si>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</si>
  <si>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</si>
  <si>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</si>
  <si>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</si>
  <si>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</si>
  <si>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</si>
  <si>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</si>
  <si>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</si>
  <si>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WenQuanYi Zen Hei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</si>
  <si>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</si>
  <si>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</si>
  <si>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</si>
  <si>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</si>
  <si>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</si>
  <si>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</si>
  <si>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</si>
  <si>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</si>
  <si>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</si>
  <si>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</si>
  <si>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WenQuanYi Zen Hei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WenQuanYi Zen Hei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</si>
  <si>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</si>
  <si>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</si>
  <si>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</si>
  <si>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</si>
  <si>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</si>
  <si>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</si>
  <si>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</si>
  <si>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WenQuanYi Zen Hei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</si>
  <si>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sz val="9"/>
        <color rgb="FF595959"/>
        <rFont val="WenQuanYi Zen Hei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</si>
  <si>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</si>
  <si>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</si>
  <si>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WenQuanYi Zen Hei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WenQuanYi Zen Hei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WenQuanYi Zen Hei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WenQuanYi Zen Hei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WenQuanYi Zen Hei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WenQuanYi Zen Hei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WenQuanYi Zen Hei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WenQuanYi Zen Hei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WenQuanYi Zen Hei"/>
        <family val="2"/>
      </rPr>
      <t xml:space="preserve">）</t>
    </r>
  </si>
  <si>
    <t xml:space="preserve">F46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</si>
  <si>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</si>
  <si>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</si>
  <si>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</si>
  <si>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</si>
  <si>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</si>
  <si>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</si>
  <si>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</si>
  <si>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F50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</si>
  <si>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</si>
  <si>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F51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</si>
  <si>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</si>
  <si>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</si>
  <si>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</si>
  <si>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</si>
  <si>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</si>
  <si>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</si>
  <si>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</si>
  <si>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</si>
  <si>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</si>
  <si>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</si>
  <si>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</si>
  <si>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</si>
  <si>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</si>
  <si>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</si>
  <si>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</si>
  <si>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</si>
  <si>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</si>
  <si>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F60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</si>
  <si>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</si>
  <si>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F61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</si>
  <si>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</si>
  <si>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r>
      <rPr>
        <sz val="9"/>
        <color rgb="FF595959"/>
        <rFont val="WenQuanYi Zen Hei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</si>
  <si>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</si>
  <si>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</si>
  <si>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</si>
  <si>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</si>
  <si>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</si>
  <si>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</si>
  <si>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</si>
  <si>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</si>
  <si>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</si>
  <si>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</si>
  <si>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第十四節</t>
    </r>
  </si>
  <si>
    <t xml:space="preserve">F67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</si>
  <si>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</si>
  <si>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F68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</si>
  <si>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</si>
  <si>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F69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</si>
  <si>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</si>
  <si>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F70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</si>
  <si>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</si>
  <si>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F71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</si>
  <si>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</si>
  <si>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第十五節</t>
    </r>
  </si>
  <si>
    <t xml:space="preserve">F72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</si>
  <si>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</si>
  <si>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</si>
  <si>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</si>
  <si>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</si>
  <si>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</si>
  <si>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</si>
  <si>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</si>
  <si>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</si>
  <si>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</si>
  <si>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</si>
  <si>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</si>
  <si>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</si>
  <si>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</si>
  <si>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</si>
  <si>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</si>
  <si>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F80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</si>
  <si>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</si>
  <si>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r>
      <rPr>
        <b val="true"/>
        <sz val="10"/>
        <rFont val="WenQuanYi Zen Hei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WenQuanYi Zen Hei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</si>
  <si>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</si>
  <si>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WenQuanYi Zen Hei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</si>
  <si>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</si>
  <si>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</si>
  <si>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</si>
  <si>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WenQuanYi Zen Hei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WenQuanYi Zen Hei"/>
        <family val="2"/>
      </rPr>
      <t xml:space="preserve">）</t>
    </r>
  </si>
  <si>
    <t xml:space="preserve">F83</t>
  </si>
  <si>
    <r>
      <rPr>
        <sz val="10"/>
        <color rgb="FF000000"/>
        <rFont val="WenQuanYi Zen Hei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WenQuanYi Zen Hei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</si>
  <si>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WenQuanYi Zen Hei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WenQuanYi Zen Hei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</si>
  <si>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</si>
  <si>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</si>
  <si>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</si>
  <si>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</si>
  <si>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WenQuanYi Zen Hei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</si>
  <si>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</si>
  <si>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</si>
  <si>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</si>
  <si>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WenQuanYi Zen Hei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WenQuanYi Zen Hei"/>
        <family val="2"/>
      </rPr>
      <t xml:space="preserve">天取消</t>
    </r>
  </si>
  <si>
    <r>
      <rPr>
        <b val="true"/>
        <sz val="10"/>
        <rFont val="WenQuanYi Zen Hei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WenQuanYi Zen Hei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WenQuanYi Zen Hei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WenQuanYi Zen Hei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</si>
  <si>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</si>
  <si>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</si>
  <si>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</si>
  <si>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</si>
  <si>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</si>
  <si>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</si>
  <si>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付款</t>
    </r>
  </si>
  <si>
    <r>
      <rPr>
        <sz val="10"/>
        <color rgb="FF000000"/>
        <rFont val="WenQuanYi Zen Hei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付款</t>
    </r>
  </si>
  <si>
    <r>
      <rPr>
        <sz val="10"/>
        <color rgb="FF000000"/>
        <rFont val="WenQuanYi Zen Hei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</si>
  <si>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</si>
  <si>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</si>
  <si>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</si>
  <si>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</si>
  <si>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WenQuanYi Zen Hei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</si>
  <si>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WenQuanYi Zen Hei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</si>
  <si>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</si>
  <si>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WenQuanYi Zen Hei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</si>
  <si>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</si>
  <si>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</si>
  <si>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</si>
  <si>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</si>
  <si>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，已到位未揭露）</t>
    </r>
  </si>
  <si>
    <r>
      <rPr>
        <sz val="9"/>
        <color rgb="FF595959"/>
        <rFont val="WenQuanYi Zen Hei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</si>
  <si>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</si>
  <si>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認股）</t>
    </r>
  </si>
  <si>
    <t xml:space="preserve">F94</t>
  </si>
  <si>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間接列）</t>
    </r>
  </si>
  <si>
    <r>
      <rPr>
        <sz val="9"/>
        <color rgb="FF595959"/>
        <rFont val="WenQuanYi Zen Hei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WenQuanYi Zen Hei"/>
        <family val="2"/>
      </rPr>
      <t xml:space="preserve">付款</t>
    </r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</si>
  <si>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WenQuanYi Zen Hei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</si>
  <si>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</si>
  <si>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</si>
  <si>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WenQuanYi Zen Hei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一律用現金口徑</t>
    </r>
  </si>
  <si>
    <t xml:space="preserve">F96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</si>
  <si>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</si>
  <si>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</si>
  <si>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</si>
  <si>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</si>
  <si>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WenQuanYi Zen Hei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</si>
  <si>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</si>
  <si>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</si>
  <si>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WenQuanYi Zen Hei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WenQuanYi Zen Hei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WenQuanYi Zen Hei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WenQuanYi Zen Hei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</si>
  <si>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</si>
  <si>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</si>
  <si>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</si>
  <si>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</si>
  <si>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</si>
  <si>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F101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</si>
  <si>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</si>
  <si>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F102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</si>
  <si>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</si>
  <si>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F103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</si>
  <si>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</si>
  <si>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r>
      <rPr>
        <b val="true"/>
        <sz val="10"/>
        <rFont val="WenQuanYi Zen Hei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WenQuanYi Zen Hei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WenQuanYi Zen Hei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</si>
  <si>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</si>
  <si>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</si>
  <si>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層預設不計</t>
    </r>
  </si>
  <si>
    <t xml:space="preserve">F105</t>
  </si>
  <si>
    <r>
      <rPr>
        <sz val="10"/>
        <color rgb="FF000000"/>
        <rFont val="WenQuanYi Zen Hei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</si>
  <si>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</si>
  <si>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</si>
  <si>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</si>
  <si>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</si>
  <si>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</si>
  <si>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</si>
  <si>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</si>
  <si>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</si>
  <si>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</si>
  <si>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</si>
  <si>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</si>
  <si>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</si>
  <si>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</si>
  <si>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</si>
  <si>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</si>
  <si>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</si>
  <si>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</si>
  <si>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</si>
  <si>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</si>
  <si>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</si>
  <si>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</si>
  <si>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</si>
  <si>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WenQuanYi Zen Hei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</si>
  <si>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F116</t>
  </si>
  <si>
    <r>
      <rPr>
        <sz val="10"/>
        <color rgb="FF000000"/>
        <rFont val="WenQuanYi Zen Hei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</si>
  <si>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</si>
  <si>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</si>
  <si>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</si>
  <si>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</si>
  <si>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</si>
  <si>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</si>
  <si>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</si>
  <si>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</si>
  <si>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</si>
  <si>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</si>
  <si>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</si>
  <si>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</si>
  <si>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</si>
  <si>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</si>
  <si>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</si>
  <si>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</si>
  <si>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</si>
  <si>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</si>
  <si>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WenQuanYi Zen Hei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</si>
  <si>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F126</t>
  </si>
  <si>
    <r>
      <rPr>
        <sz val="10"/>
        <color rgb="FF000000"/>
        <rFont val="WenQuanYi Zen Hei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</si>
  <si>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</si>
  <si>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</si>
  <si>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</si>
  <si>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</si>
  <si>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</si>
  <si>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</si>
  <si>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</si>
  <si>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</si>
  <si>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</si>
  <si>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</si>
  <si>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</si>
  <si>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</si>
  <si>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</si>
  <si>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</si>
  <si>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</si>
  <si>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</si>
  <si>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</si>
  <si>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WenQuanYi Zen Hei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</si>
  <si>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F136</t>
  </si>
  <si>
    <r>
      <rPr>
        <sz val="10"/>
        <color rgb="FF000000"/>
        <rFont val="WenQuanYi Zen Hei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</si>
  <si>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b val="true"/>
        <sz val="10"/>
        <rFont val="WenQuanYi Zen Hei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WenQuanYi Zen Hei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WenQuanYi Zen Hei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</si>
  <si>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</si>
  <si>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</si>
  <si>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</si>
  <si>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</si>
  <si>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</si>
  <si>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</si>
  <si>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</si>
  <si>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</si>
  <si>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</si>
  <si>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</si>
  <si>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</si>
  <si>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</si>
  <si>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</si>
  <si>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</si>
  <si>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</si>
  <si>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</si>
  <si>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</si>
  <si>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</si>
  <si>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</si>
  <si>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WenQuanYi Zen Hei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</si>
  <si>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F147</t>
  </si>
  <si>
    <r>
      <rPr>
        <sz val="10"/>
        <color rgb="FF000000"/>
        <rFont val="WenQuanYi Zen Hei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</si>
  <si>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</si>
  <si>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</si>
  <si>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</si>
  <si>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</si>
  <si>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</si>
  <si>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</si>
  <si>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</si>
  <si>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</si>
  <si>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</si>
  <si>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</si>
  <si>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</si>
  <si>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</si>
  <si>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</si>
  <si>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</si>
  <si>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</si>
  <si>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</si>
  <si>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</si>
  <si>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WenQuanYi Zen Hei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</si>
  <si>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F157</t>
  </si>
  <si>
    <r>
      <rPr>
        <sz val="10"/>
        <color rgb="FF000000"/>
        <rFont val="WenQuanYi Zen Hei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</si>
  <si>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</si>
  <si>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</si>
  <si>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</si>
  <si>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</si>
  <si>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</si>
  <si>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</si>
  <si>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</si>
  <si>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</si>
  <si>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</si>
  <si>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</si>
  <si>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</si>
  <si>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</si>
  <si>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</si>
  <si>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</si>
  <si>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</si>
  <si>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</si>
  <si>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</si>
  <si>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WenQuanYi Zen Hei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</si>
  <si>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F167</t>
  </si>
  <si>
    <r>
      <rPr>
        <sz val="10"/>
        <color rgb="FF000000"/>
        <rFont val="WenQuanYi Zen Hei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</si>
  <si>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</si>
  <si>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</si>
  <si>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</si>
  <si>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</si>
  <si>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</si>
  <si>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</si>
  <si>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</si>
  <si>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</si>
  <si>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</si>
  <si>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</si>
  <si>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</si>
  <si>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</si>
  <si>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</si>
  <si>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</si>
  <si>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</si>
  <si>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</si>
  <si>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</si>
  <si>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</si>
  <si>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</si>
  <si>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WenQuanYi Zen Hei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</si>
  <si>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F178</t>
  </si>
  <si>
    <r>
      <rPr>
        <sz val="10"/>
        <color rgb="FF000000"/>
        <rFont val="WenQuanYi Zen Hei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</si>
  <si>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</si>
  <si>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</si>
  <si>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</si>
  <si>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</si>
  <si>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</si>
  <si>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</si>
  <si>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</si>
  <si>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</si>
  <si>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</si>
  <si>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</si>
  <si>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</si>
  <si>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</si>
  <si>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</si>
  <si>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</si>
  <si>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</si>
  <si>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</si>
  <si>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</si>
  <si>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WenQuanYi Zen Hei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</si>
  <si>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F188</t>
  </si>
  <si>
    <r>
      <rPr>
        <sz val="10"/>
        <color rgb="FF000000"/>
        <rFont val="WenQuanYi Zen Hei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</si>
  <si>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</si>
  <si>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</si>
  <si>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</si>
  <si>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</si>
  <si>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</si>
  <si>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</si>
  <si>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</si>
  <si>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</si>
  <si>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</si>
  <si>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</si>
  <si>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</si>
  <si>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</si>
  <si>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</si>
  <si>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</si>
  <si>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</si>
  <si>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</si>
  <si>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</si>
  <si>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WenQuanYi Zen Hei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</si>
  <si>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F198</t>
  </si>
  <si>
    <r>
      <rPr>
        <sz val="10"/>
        <color rgb="FF000000"/>
        <rFont val="WenQuanYi Zen Hei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</si>
  <si>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</si>
  <si>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</si>
  <si>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</si>
  <si>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</si>
  <si>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</si>
  <si>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</si>
  <si>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</si>
  <si>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</si>
  <si>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</si>
  <si>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</si>
  <si>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</si>
  <si>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</si>
  <si>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</si>
  <si>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</si>
  <si>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</si>
  <si>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</si>
  <si>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</si>
  <si>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</si>
  <si>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</si>
  <si>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WenQuanYi Zen Hei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</si>
  <si>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F209</t>
  </si>
  <si>
    <r>
      <rPr>
        <sz val="10"/>
        <color rgb="FF000000"/>
        <rFont val="WenQuanYi Zen Hei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</si>
  <si>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</si>
  <si>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</si>
  <si>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</si>
  <si>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</si>
  <si>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</si>
  <si>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</si>
  <si>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</si>
  <si>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</si>
  <si>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</si>
  <si>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</si>
  <si>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</si>
  <si>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</si>
  <si>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</si>
  <si>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</si>
  <si>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</si>
  <si>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</si>
  <si>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</si>
  <si>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WenQuanYi Zen Hei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</si>
  <si>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F219</t>
  </si>
  <si>
    <r>
      <rPr>
        <sz val="10"/>
        <color rgb="FF000000"/>
        <rFont val="WenQuanYi Zen Hei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</si>
  <si>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</si>
  <si>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</si>
  <si>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</si>
  <si>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</si>
  <si>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</si>
  <si>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</si>
  <si>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</si>
  <si>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</si>
  <si>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</si>
  <si>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</si>
  <si>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</si>
  <si>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</si>
  <si>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</si>
  <si>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</si>
  <si>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</si>
  <si>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</si>
  <si>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</si>
  <si>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WenQuanYi Zen Hei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</si>
  <si>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F229</t>
  </si>
  <si>
    <r>
      <rPr>
        <sz val="10"/>
        <color rgb="FF000000"/>
        <rFont val="WenQuanYi Zen Hei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</si>
  <si>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WenQuanYi Zen Hei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WenQuanYi Zen Hei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</si>
  <si>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WenQuanYi Zen Hei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</si>
  <si>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WenQuanYi Zen Hei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</si>
  <si>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</si>
  <si>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</si>
  <si>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</si>
  <si>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WenQuanYi Zen Hei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</si>
  <si>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</si>
  <si>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</si>
  <si>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</si>
  <si>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</si>
  <si>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</si>
  <si>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</si>
  <si>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WenQuanYi Zen Hei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WenQuanYi Zen Hei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</si>
  <si>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WenQuanYi Zen Hei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</si>
  <si>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</si>
  <si>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</si>
  <si>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</si>
  <si>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</si>
  <si>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</si>
  <si>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</si>
  <si>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</si>
  <si>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</si>
  <si>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WenQuanYi Zen Hei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</si>
  <si>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</si>
  <si>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</si>
  <si>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</si>
  <si>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</si>
  <si>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</si>
  <si>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WenQuanYi Zen Hei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WenQuanYi Zen Hei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WenQuanYi Zen Hei"/>
        <family val="2"/>
      </rPr>
      <t xml:space="preserve">）</t>
    </r>
  </si>
  <si>
    <t xml:space="preserve">X10</t>
  </si>
  <si>
    <r>
      <rPr>
        <sz val="10"/>
        <color rgb="FF000000"/>
        <rFont val="WenQuanYi Zen Hei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</si>
  <si>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</si>
  <si>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</si>
  <si>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</si>
  <si>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</si>
  <si>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WenQuanYi Zen Hei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WenQuanYi Zen Hei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</si>
  <si>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</si>
  <si>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</si>
  <si>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</si>
  <si>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</si>
  <si>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</si>
  <si>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</si>
  <si>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WenQuanYi Zen Hei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</si>
  <si>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</si>
  <si>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</si>
  <si>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</si>
  <si>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</si>
  <si>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WenQuanYi Zen Hei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</si>
  <si>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</si>
  <si>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</si>
  <si>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</si>
  <si>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</si>
  <si>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</si>
  <si>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</si>
  <si>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</si>
  <si>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</si>
  <si>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WenQuanYi Zen Hei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WenQuanYi Zen Hei"/>
        <family val="2"/>
      </rPr>
      <t xml:space="preserve">現金流、燒錢占營收）</t>
    </r>
  </si>
  <si>
    <t xml:space="preserve">X22</t>
  </si>
  <si>
    <r>
      <rPr>
        <sz val="10"/>
        <color rgb="FF000000"/>
        <rFont val="WenQuanYi Zen Hei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WenQuanYi Zen Hei"/>
        <family val="2"/>
      </rPr>
      <t xml:space="preserve">的年度標示</t>
    </r>
  </si>
  <si>
    <t xml:space="preserve">X23</t>
  </si>
  <si>
    <r>
      <rPr>
        <sz val="10"/>
        <color rgb="FF000000"/>
        <rFont val="WenQuanYi Zen Hei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WenQuanYi Zen Hei"/>
        <family val="2"/>
      </rPr>
      <t xml:space="preserve">的年度標示</t>
    </r>
  </si>
  <si>
    <t xml:space="preserve">X24</t>
  </si>
  <si>
    <r>
      <rPr>
        <sz val="10"/>
        <color rgb="FF000000"/>
        <rFont val="WenQuanYi Zen Hei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</si>
  <si>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</si>
  <si>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</si>
  <si>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</si>
  <si>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</si>
  <si>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</si>
  <si>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WenQuanYi Zen Hei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</si>
  <si>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WenQuanYi Zen Hei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</si>
  <si>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v0.1.3-A </t>
    </r>
    <r>
      <rPr>
        <b val="true"/>
        <sz val="13"/>
        <rFont val="WenQuanYi Zen Hei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WenQuanYi Zen Hei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WenQuanYi Zen Hei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WenQuanYi Zen Hei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</si>
  <si>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WenQuanYi Zen Hei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WenQuanYi Zen Hei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WenQuanYi Zen Hei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</si>
  <si>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</si>
  <si>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</si>
  <si>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</si>
  <si>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</si>
  <si>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</si>
  <si>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WenQuanYi Zen Hei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</si>
  <si>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</si>
  <si>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</si>
  <si>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</si>
  <si>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</si>
  <si>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</si>
  <si>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</si>
  <si>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WenQuanYi Zen Hei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</si>
  <si>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</si>
  <si>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</si>
  <si>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</si>
  <si>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缺區間列數</t>
    </r>
  </si>
  <si>
    <r>
      <rPr>
        <sz val="9"/>
        <color rgb="FF595959"/>
        <rFont val="WenQuanYi Zen Hei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</si>
  <si>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</si>
  <si>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WenQuanYi Zen Hei"/>
        <family val="2"/>
      </rPr>
      <t xml:space="preserve">系列等對照名稱）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</si>
  <si>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</si>
  <si>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WenQuanYi Zen Hei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WenQuanYi Zen Hei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</si>
  <si>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</si>
  <si>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</si>
  <si>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WenQuanYi Zen Hei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</si>
  <si>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</si>
  <si>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</si>
  <si>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</si>
  <si>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WenQuanYi Zen Hei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</si>
  <si>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WenQuanYi Zen Hei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</si>
  <si>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WenQuanYi Zen Hei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</si>
  <si>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WenQuanYi Zen Hei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WenQuanYi Zen Hei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</si>
  <si>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</si>
  <si>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</si>
  <si>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WenQuanYi Zen Hei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</si>
  <si>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</si>
  <si>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</si>
  <si>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</si>
  <si>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</si>
  <si>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WenQuanYi Zen Hei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</si>
  <si>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WenQuanYi Zen Hei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</si>
  <si>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</si>
  <si>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</si>
  <si>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</si>
  <si>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</si>
  <si>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</si>
  <si>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WenQuanYi Zen Hei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年化至年底投資人預期中點的對數平均</t>
    </r>
  </si>
  <si>
    <r>
      <rPr>
        <sz val="10"/>
        <color rgb="FF000000"/>
        <rFont val="WenQuanYi Zen Hei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</si>
  <si>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</si>
  <si>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拆分前總量（違反年數）</t>
    </r>
  </si>
  <si>
    <r>
      <rPr>
        <sz val="9"/>
        <color rgb="FF595959"/>
        <rFont val="WenQuanYi Zen Hei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</si>
  <si>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</si>
  <si>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</si>
  <si>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WenQuanYi Zen Hei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WenQuanYi Zen Hei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</si>
  <si>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</si>
  <si>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WenQuanYi Zen Hei"/>
        <family val="2"/>
      </rPr>
      <t xml:space="preserve">的違反數</t>
    </r>
  </si>
  <si>
    <r>
      <rPr>
        <sz val="9"/>
        <color rgb="FF595959"/>
        <rFont val="WenQuanYi Zen Hei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WenQuanYi Zen Hei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WenQuanYi Zen Hei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WenQuanYi Zen Hei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</si>
  <si>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WenQuanYi Zen Hei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（半校準後訂閱＋其他已超過總額）</t>
    </r>
  </si>
  <si>
    <r>
      <rPr>
        <sz val="10"/>
        <color rgb="FF000000"/>
        <rFont val="WenQuanYi Zen Hei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</si>
  <si>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</si>
  <si>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WenQuanYi Zen Hei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</si>
  <si>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</si>
  <si>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</si>
  <si>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</si>
  <si>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</si>
  <si>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</si>
  <si>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</si>
  <si>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加權月費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</si>
  <si>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WenQuanYi Zen Hei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</si>
  <si>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只作對照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</si>
  <si>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</si>
  <si>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WenQuanYi Zen Hei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</si>
  <si>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</si>
  <si>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WenQuanYi Zen Hei"/>
        <family val="2"/>
      </rPr>
      <t xml:space="preserve">的依據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</si>
  <si>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</si>
  <si>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</si>
  <si>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WenQuanYi Zen Hei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</si>
  <si>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由實際值倒推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</si>
  <si>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</si>
  <si>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WenQuanYi Zen Hei"/>
        <family val="2"/>
      </rPr>
      <t xml:space="preserve">：只對照、不回饋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</si>
  <si>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</si>
  <si>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</si>
  <si>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</si>
  <si>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</si>
  <si>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WenQuanYi Zen Hei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</si>
  <si>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</si>
  <si>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</si>
  <si>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WenQuanYi Zen Hei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</si>
  <si>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</si>
  <si>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WenQuanYi Zen Hei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</si>
  <si>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</si>
  <si>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WenQuanYi Zen Hei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</si>
  <si>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WenQuanYi Zen Hei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WenQuanYi Zen Hei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</si>
  <si>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</si>
  <si>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</si>
  <si>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WenQuanYi Zen Hei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</si>
  <si>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</si>
  <si>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（截頂後）的年數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</si>
  <si>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步：供給 ≥ 推論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</si>
  <si>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WenQuanYi Zen Hei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</si>
  <si>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WenQuanYi Zen Hei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</si>
  <si>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WenQuanYi Zen Hei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</si>
  <si>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</t>
    </r>
  </si>
  <si>
    <r>
      <rPr>
        <sz val="10"/>
        <color rgb="FF000000"/>
        <rFont val="WenQuanYi Zen Hei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</si>
  <si>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起：研發為殘差</t>
    </r>
  </si>
  <si>
    <r>
      <rPr>
        <sz val="10"/>
        <color rgb="FF000000"/>
        <rFont val="WenQuanYi Zen Hei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供給（各年最大絕對差）</t>
    </r>
  </si>
  <si>
    <r>
      <rPr>
        <sz val="10"/>
        <color rgb="FF000000"/>
        <rFont val="WenQuanYi Zen Hei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（各年最大絕對差）</t>
    </r>
  </si>
  <si>
    <r>
      <rPr>
        <sz val="9"/>
        <color rgb="FF595959"/>
        <rFont val="WenQuanYi Zen Hei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，只列示）</t>
    </r>
  </si>
  <si>
    <r>
      <rPr>
        <sz val="10"/>
        <color rgb="FF000000"/>
        <rFont val="WenQuanYi Zen Hei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</si>
  <si>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</si>
  <si>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</si>
  <si>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WenQuanYi Zen Hei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</si>
  <si>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WenQuanYi Zen Hei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</si>
  <si>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</si>
  <si>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</si>
  <si>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</si>
  <si>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WenQuanYi Zen Hei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</si>
  <si>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</si>
  <si>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</si>
  <si>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</si>
  <si>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（股權報酬假設超過費用）</t>
    </r>
  </si>
  <si>
    <r>
      <rPr>
        <sz val="9"/>
        <color rgb="FF595959"/>
        <rFont val="WenQuanYi Zen Hei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</si>
  <si>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</si>
  <si>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WenQuanYi Zen Hei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</si>
  <si>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</si>
  <si>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</si>
  <si>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</si>
  <si>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</si>
  <si>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WenQuanYi Zen Hei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</si>
  <si>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</si>
  <si>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WenQuanYi Zen Hei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</si>
  <si>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</si>
  <si>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</si>
  <si>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WenQuanYi Zen Hei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</si>
  <si>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</si>
  <si>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</si>
  <si>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第二節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</si>
  <si>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</si>
  <si>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D8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</si>
  <si>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</si>
  <si>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</si>
  <si>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</si>
  <si>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</si>
  <si>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</si>
  <si>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</si>
  <si>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</si>
  <si>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WenQuanYi Zen Hei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</si>
  <si>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交接：股權報酬加回</t>
    </r>
  </si>
  <si>
    <r>
      <rPr>
        <sz val="10"/>
        <color rgb="FF000000"/>
        <rFont val="WenQuanYi Zen Hei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</si>
  <si>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</si>
  <si>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WenQuanYi Zen Hei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的年數</t>
    </r>
  </si>
  <si>
    <r>
      <rPr>
        <sz val="10"/>
        <color rgb="FF000000"/>
        <rFont val="WenQuanYi Zen Hei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</si>
  <si>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</si>
  <si>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WenQuanYi Zen Hei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</si>
  <si>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</si>
  <si>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WenQuanYi Zen Hei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</si>
  <si>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</si>
  <si>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WenQuanYi Zen Hei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WenQuanYi Zen Hei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WenQuanYi Zen Hei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第十三節錨定敏感度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</si>
  <si>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</si>
  <si>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</si>
  <si>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</si>
  <si>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</si>
  <si>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</si>
  <si>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結果：峰值年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</si>
  <si>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</si>
  <si>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</si>
  <si>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</si>
  <si>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</si>
  <si>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年化 − 模型）</t>
    </r>
  </si>
  <si>
    <r>
      <rPr>
        <sz val="10"/>
        <color rgb="FF000000"/>
        <rFont val="WenQuanYi Zen Hei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</si>
  <si>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WenQuanYi Zen Hei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</si>
  <si>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WenQuanYi Zen Hei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付款</t>
    </r>
  </si>
  <si>
    <t xml:space="preserve">只對照、不沖銷</t>
  </si>
  <si>
    <r>
      <rPr>
        <sz val="10"/>
        <color rgb="FF000000"/>
        <rFont val="WenQuanYi Zen Hei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</si>
  <si>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WenQuanYi Zen Hei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</si>
  <si>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</si>
  <si>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</si>
  <si>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</si>
  <si>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WenQuanYi Zen Hei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</si>
  <si>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</si>
  <si>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</si>
  <si>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</si>
  <si>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</si>
  <si>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；四捨五入差）</t>
    </r>
  </si>
  <si>
    <r>
      <rPr>
        <sz val="9"/>
        <color rgb="FF595959"/>
        <rFont val="WenQuanYi Zen Hei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WenQuanYi Zen Hei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</si>
  <si>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</si>
  <si>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</si>
  <si>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</si>
  <si>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</si>
  <si>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</si>
  <si>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</si>
  <si>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</si>
  <si>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</si>
  <si>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</si>
  <si>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</si>
  <si>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</si>
  <si>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</si>
  <si>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</si>
  <si>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WenQuanYi Zen Hei"/>
        <family val="2"/>
      </rPr>
      <t xml:space="preserve">；不校準）</t>
    </r>
  </si>
  <si>
    <r>
      <rPr>
        <sz val="9"/>
        <color rgb="FF595959"/>
        <rFont val="WenQuanYi Zen Hei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</si>
  <si>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</si>
  <si>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WenQuanYi Zen Hei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</si>
  <si>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WenQuanYi Zen Hei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</si>
  <si>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WenQuanYi Zen Hei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</si>
  <si>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WenQuanYi Zen Hei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</si>
  <si>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</si>
  <si>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</si>
  <si>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</si>
  <si>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WenQuanYi Zen Hei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</si>
  <si>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</si>
  <si>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</si>
  <si>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</si>
  <si>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</si>
  <si>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</si>
  <si>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WenQuanYi Zen Hei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</si>
  <si>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</si>
  <si>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</si>
  <si>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</si>
  <si>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</si>
  <si>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WenQuanYi Zen Hei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</si>
  <si>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</si>
  <si>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WenQuanYi Zen Hei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</si>
  <si>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</si>
  <si>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</si>
  <si>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</si>
  <si>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</si>
  <si>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</si>
  <si>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</si>
  <si>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</si>
  <si>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</si>
  <si>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</si>
  <si>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</si>
  <si>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</si>
  <si>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</si>
  <si>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</si>
  <si>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</si>
  <si>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</si>
  <si>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</si>
  <si>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</si>
  <si>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</si>
  <si>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</si>
  <si>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</si>
  <si>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</si>
  <si>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</si>
  <si>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</si>
  <si>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</si>
  <si>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</si>
  <si>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</si>
  <si>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</si>
  <si>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</si>
  <si>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WenQuanYi Zen Hei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</si>
  <si>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WenQuanYi Zen Hei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</si>
</sst>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4" t="s">
        <v>3</v>
      </c>
    </row>
    <row r="5" customFormat="false" ht="52.2" hidden="false" customHeight="false" outlineLevel="0" collapsed="false">
      <c r="A5" s="5" t="s">
        <v>4</v>
      </c>
      <c r="B5" s="6" t="s">
        <v>5</v>
      </c>
    </row>
    <row r="6" customFormat="false" ht="26.85" hidden="false" customHeight="false" outlineLevel="0" collapsed="false">
      <c r="A6" s="5" t="s">
        <v>6</v>
      </c>
      <c r="B6" s="4" t="s">
        <v>7</v>
      </c>
    </row>
    <row r="7" customFormat="false" ht="39.55" hidden="false" customHeight="false" outlineLevel="0" collapsed="false">
      <c r="A7" s="5" t="s">
        <v>8</v>
      </c>
      <c r="B7" s="6" t="s">
        <v>9</v>
      </c>
    </row>
    <row r="8" customFormat="false" ht="39.55" hidden="false" customHeight="false" outlineLevel="0" collapsed="false">
      <c r="A8" s="5" t="s">
        <v>10</v>
      </c>
      <c r="B8" s="6" t="s">
        <v>11</v>
      </c>
    </row>
    <row r="9" customFormat="false" ht="39.55" hidden="false" customHeight="false" outlineLevel="0" collapsed="false">
      <c r="A9" s="5" t="s">
        <v>12</v>
      </c>
      <c r="B9" s="6" t="s">
        <v>13</v>
      </c>
    </row>
    <row r="10" customFormat="false" ht="39.55" hidden="false" customHeight="false" outlineLevel="0" collapsed="false">
      <c r="A10" s="5" t="s">
        <v>14</v>
      </c>
      <c r="B10" s="6" t="s">
        <v>15</v>
      </c>
    </row>
    <row r="11" customFormat="false" ht="26.85" hidden="false" customHeight="false" outlineLevel="0" collapsed="false">
      <c r="A11" s="5" t="s">
        <v>16</v>
      </c>
      <c r="B11" s="6" t="s">
        <v>17</v>
      </c>
    </row>
    <row r="12" customFormat="false" ht="26.85" hidden="false" customHeight="false" outlineLevel="0" collapsed="false">
      <c r="A12" s="5" t="s">
        <v>18</v>
      </c>
      <c r="B12" s="6" t="s">
        <v>19</v>
      </c>
    </row>
    <row r="13" customFormat="false" ht="26.85" hidden="false" customHeight="false" outlineLevel="0" collapsed="false">
      <c r="A13" s="5" t="s">
        <v>20</v>
      </c>
      <c r="B13" s="4" t="s">
        <v>21</v>
      </c>
    </row>
    <row r="14" customFormat="false" ht="26.85" hidden="false" customHeight="false" outlineLevel="0" collapsed="false">
      <c r="A14" s="5" t="s">
        <v>22</v>
      </c>
      <c r="B14" s="4" t="s">
        <v>23</v>
      </c>
    </row>
    <row r="15" customFormat="false" ht="1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39.55" hidden="false" customHeight="false" outlineLevel="0" collapsed="false">
      <c r="A17" s="5" t="s">
        <v>28</v>
      </c>
      <c r="B17" s="6" t="s">
        <v>29</v>
      </c>
    </row>
    <row r="18" customFormat="false" ht="26.85" hidden="false" customHeight="false" outlineLevel="0" collapsed="false">
      <c r="A18" s="5" t="s">
        <v>30</v>
      </c>
      <c r="B18" s="4" t="s">
        <v>31</v>
      </c>
    </row>
    <row r="19" customFormat="false" ht="15" hidden="false" customHeight="false" outlineLevel="0" collapsed="false">
      <c r="A19" s="5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4" t="s">
        <v>37</v>
      </c>
    </row>
    <row r="22" customFormat="false" ht="15" hidden="false" customHeight="false" outlineLevel="0" collapsed="false">
      <c r="A22" s="3" t="s">
        <v>38</v>
      </c>
      <c r="B22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17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2" t="s">
        <v>42</v>
      </c>
    </row>
    <row r="4" customFormat="false" ht="39.55" hidden="false" customHeight="false" outlineLevel="0" collapsed="false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55</v>
      </c>
      <c r="N4" s="8" t="s">
        <v>56</v>
      </c>
      <c r="O4" s="8" t="s">
        <v>57</v>
      </c>
      <c r="P4" s="8" t="s">
        <v>36</v>
      </c>
      <c r="Q4" s="8" t="s">
        <v>58</v>
      </c>
      <c r="R4" s="8" t="s">
        <v>59</v>
      </c>
      <c r="S4" s="8" t="s">
        <v>60</v>
      </c>
      <c r="T4" s="8" t="s">
        <v>61</v>
      </c>
      <c r="U4" s="8" t="s">
        <v>62</v>
      </c>
      <c r="V4" s="8" t="s">
        <v>63</v>
      </c>
      <c r="W4" s="8" t="s">
        <v>64</v>
      </c>
      <c r="X4" s="8" t="s">
        <v>65</v>
      </c>
      <c r="Y4" s="8" t="s">
        <v>66</v>
      </c>
      <c r="Z4" s="8" t="s">
        <v>67</v>
      </c>
      <c r="AA4" s="7" t="s">
        <v>68</v>
      </c>
      <c r="AB4" s="8" t="s">
        <v>69</v>
      </c>
    </row>
    <row r="5" customFormat="false" ht="15" hidden="false" customHeight="false" outlineLevel="0" collapsed="false">
      <c r="A5" s="9" t="s">
        <v>70</v>
      </c>
      <c r="B5" s="9" t="s">
        <v>71</v>
      </c>
      <c r="C5" s="9" t="s">
        <v>72</v>
      </c>
      <c r="D5" s="9" t="s">
        <v>73</v>
      </c>
      <c r="E5" s="10" t="n">
        <v>4.6</v>
      </c>
      <c r="F5" s="9"/>
      <c r="G5" s="9"/>
      <c r="H5" s="9" t="s">
        <v>74</v>
      </c>
      <c r="I5" s="9" t="s">
        <v>75</v>
      </c>
      <c r="J5" s="9"/>
      <c r="K5" s="11" t="s">
        <v>76</v>
      </c>
      <c r="L5" s="9" t="s">
        <v>77</v>
      </c>
      <c r="M5" s="9" t="s">
        <v>78</v>
      </c>
      <c r="N5" s="9" t="s">
        <v>79</v>
      </c>
      <c r="O5" s="9" t="s">
        <v>80</v>
      </c>
      <c r="P5" s="9" t="s">
        <v>81</v>
      </c>
      <c r="Q5" s="9" t="s">
        <v>82</v>
      </c>
      <c r="R5" s="9" t="s">
        <v>83</v>
      </c>
      <c r="S5" s="11" t="s">
        <v>84</v>
      </c>
      <c r="T5" s="9" t="s">
        <v>82</v>
      </c>
      <c r="U5" s="11" t="s">
        <v>85</v>
      </c>
      <c r="V5" s="11" t="s">
        <v>86</v>
      </c>
      <c r="W5" s="11" t="s">
        <v>87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88</v>
      </c>
    </row>
    <row r="6" customFormat="false" ht="15" hidden="false" customHeight="false" outlineLevel="0" collapsed="false">
      <c r="A6" s="9" t="s">
        <v>89</v>
      </c>
      <c r="B6" s="9" t="s">
        <v>90</v>
      </c>
      <c r="C6" s="9" t="s">
        <v>72</v>
      </c>
      <c r="D6" s="9" t="s">
        <v>73</v>
      </c>
      <c r="E6" s="10" t="n">
        <v>4.59</v>
      </c>
      <c r="F6" s="9"/>
      <c r="G6" s="9"/>
      <c r="H6" s="9" t="s">
        <v>74</v>
      </c>
      <c r="I6" s="9" t="s">
        <v>75</v>
      </c>
      <c r="J6" s="9"/>
      <c r="K6" s="11" t="s">
        <v>76</v>
      </c>
      <c r="L6" s="9" t="s">
        <v>91</v>
      </c>
      <c r="M6" s="9" t="s">
        <v>92</v>
      </c>
      <c r="N6" s="9" t="s">
        <v>79</v>
      </c>
      <c r="O6" s="9" t="s">
        <v>80</v>
      </c>
      <c r="P6" s="9" t="s">
        <v>81</v>
      </c>
      <c r="Q6" s="9" t="s">
        <v>93</v>
      </c>
      <c r="R6" s="9" t="s">
        <v>83</v>
      </c>
      <c r="S6" s="11" t="s">
        <v>84</v>
      </c>
      <c r="T6" s="9" t="s">
        <v>93</v>
      </c>
      <c r="U6" s="11" t="s">
        <v>85</v>
      </c>
      <c r="V6" s="11" t="s">
        <v>86</v>
      </c>
      <c r="W6" s="11" t="s">
        <v>94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88</v>
      </c>
    </row>
    <row r="7" customFormat="false" ht="15" hidden="false" customHeight="false" outlineLevel="0" collapsed="false">
      <c r="A7" s="9" t="s">
        <v>95</v>
      </c>
      <c r="B7" s="9" t="s">
        <v>96</v>
      </c>
      <c r="C7" s="9" t="s">
        <v>72</v>
      </c>
      <c r="D7" s="9" t="s">
        <v>97</v>
      </c>
      <c r="E7" s="9" t="n">
        <f aca="false">SRC_ANT_002/(1+SRC_ANT_377)</f>
        <v>0.386363636363636</v>
      </c>
      <c r="F7" s="9"/>
      <c r="G7" s="9"/>
      <c r="H7" s="9" t="s">
        <v>74</v>
      </c>
      <c r="I7" s="9" t="s">
        <v>98</v>
      </c>
      <c r="J7" s="9"/>
      <c r="K7" s="11" t="s">
        <v>76</v>
      </c>
      <c r="L7" s="11" t="s">
        <v>99</v>
      </c>
      <c r="M7" s="9" t="s">
        <v>92</v>
      </c>
      <c r="N7" s="9" t="s">
        <v>79</v>
      </c>
      <c r="O7" s="9" t="s">
        <v>80</v>
      </c>
      <c r="P7" s="9" t="s">
        <v>100</v>
      </c>
      <c r="Q7" s="9"/>
      <c r="R7" s="11" t="s">
        <v>101</v>
      </c>
      <c r="S7" s="11" t="s">
        <v>102</v>
      </c>
      <c r="T7" s="11" t="s">
        <v>103</v>
      </c>
      <c r="U7" s="11" t="s">
        <v>102</v>
      </c>
      <c r="V7" s="9" t="s">
        <v>104</v>
      </c>
      <c r="W7" s="9" t="s">
        <v>105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88</v>
      </c>
    </row>
    <row r="8" customFormat="false" ht="15" hidden="false" customHeight="false" outlineLevel="0" collapsed="false">
      <c r="A8" s="9" t="s">
        <v>106</v>
      </c>
      <c r="B8" s="9" t="s">
        <v>107</v>
      </c>
      <c r="C8" s="9" t="s">
        <v>72</v>
      </c>
      <c r="D8" s="9" t="s">
        <v>108</v>
      </c>
      <c r="E8" s="10" t="n">
        <v>4.73</v>
      </c>
      <c r="F8" s="9"/>
      <c r="G8" s="9"/>
      <c r="H8" s="9" t="s">
        <v>109</v>
      </c>
      <c r="I8" s="9" t="s">
        <v>110</v>
      </c>
      <c r="J8" s="9"/>
      <c r="K8" s="11" t="s">
        <v>76</v>
      </c>
      <c r="L8" s="9" t="s">
        <v>111</v>
      </c>
      <c r="M8" s="9" t="s">
        <v>112</v>
      </c>
      <c r="N8" s="9" t="s">
        <v>113</v>
      </c>
      <c r="O8" s="9" t="s">
        <v>80</v>
      </c>
      <c r="P8" s="9" t="s">
        <v>81</v>
      </c>
      <c r="Q8" s="9" t="s">
        <v>114</v>
      </c>
      <c r="R8" s="9" t="s">
        <v>83</v>
      </c>
      <c r="S8" s="11" t="s">
        <v>84</v>
      </c>
      <c r="T8" s="9" t="s">
        <v>114</v>
      </c>
      <c r="U8" s="11" t="s">
        <v>85</v>
      </c>
      <c r="V8" s="11" t="s">
        <v>86</v>
      </c>
      <c r="W8" s="11" t="s">
        <v>115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88</v>
      </c>
    </row>
    <row r="9" customFormat="false" ht="15" hidden="false" customHeight="false" outlineLevel="0" collapsed="false">
      <c r="A9" s="9" t="s">
        <v>116</v>
      </c>
      <c r="B9" s="9" t="s">
        <v>117</v>
      </c>
      <c r="C9" s="9" t="s">
        <v>72</v>
      </c>
      <c r="D9" s="9" t="s">
        <v>118</v>
      </c>
      <c r="E9" s="10" t="n">
        <v>11.5</v>
      </c>
      <c r="F9" s="9"/>
      <c r="G9" s="9"/>
      <c r="H9" s="9" t="s">
        <v>109</v>
      </c>
      <c r="I9" s="9" t="s">
        <v>119</v>
      </c>
      <c r="J9" s="9"/>
      <c r="K9" s="11" t="s">
        <v>76</v>
      </c>
      <c r="L9" s="9" t="s">
        <v>120</v>
      </c>
      <c r="M9" s="9" t="s">
        <v>112</v>
      </c>
      <c r="N9" s="9" t="s">
        <v>113</v>
      </c>
      <c r="O9" s="9" t="s">
        <v>80</v>
      </c>
      <c r="P9" s="9" t="s">
        <v>81</v>
      </c>
      <c r="Q9" s="9" t="s">
        <v>121</v>
      </c>
      <c r="R9" s="9" t="s">
        <v>83</v>
      </c>
      <c r="S9" s="11" t="s">
        <v>84</v>
      </c>
      <c r="T9" s="9" t="s">
        <v>121</v>
      </c>
      <c r="U9" s="11" t="s">
        <v>85</v>
      </c>
      <c r="V9" s="11" t="s">
        <v>86</v>
      </c>
      <c r="W9" s="11" t="s">
        <v>122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88</v>
      </c>
    </row>
    <row r="10" customFormat="false" ht="15" hidden="false" customHeight="false" outlineLevel="0" collapsed="false">
      <c r="A10" s="9" t="s">
        <v>123</v>
      </c>
      <c r="B10" s="9" t="s">
        <v>124</v>
      </c>
      <c r="C10" s="9" t="s">
        <v>72</v>
      </c>
      <c r="D10" s="9" t="s">
        <v>125</v>
      </c>
      <c r="E10" s="10" t="n">
        <v>0.787</v>
      </c>
      <c r="F10" s="9"/>
      <c r="G10" s="9"/>
      <c r="H10" s="9" t="s">
        <v>109</v>
      </c>
      <c r="I10" s="9" t="s">
        <v>126</v>
      </c>
      <c r="J10" s="9"/>
      <c r="K10" s="11" t="s">
        <v>76</v>
      </c>
      <c r="L10" s="9" t="s">
        <v>127</v>
      </c>
      <c r="M10" s="9" t="s">
        <v>128</v>
      </c>
      <c r="N10" s="9" t="s">
        <v>129</v>
      </c>
      <c r="O10" s="9" t="s">
        <v>80</v>
      </c>
      <c r="P10" s="9" t="s">
        <v>81</v>
      </c>
      <c r="Q10" s="9" t="s">
        <v>130</v>
      </c>
      <c r="R10" s="9" t="s">
        <v>83</v>
      </c>
      <c r="S10" s="11" t="s">
        <v>84</v>
      </c>
      <c r="T10" s="9" t="s">
        <v>130</v>
      </c>
      <c r="U10" s="11" t="s">
        <v>85</v>
      </c>
      <c r="V10" s="11" t="s">
        <v>86</v>
      </c>
      <c r="W10" s="11" t="s">
        <v>131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88</v>
      </c>
    </row>
    <row r="11" customFormat="false" ht="15" hidden="false" customHeight="false" outlineLevel="0" collapsed="false">
      <c r="A11" s="9" t="s">
        <v>132</v>
      </c>
      <c r="B11" s="9" t="s">
        <v>133</v>
      </c>
      <c r="C11" s="9" t="s">
        <v>72</v>
      </c>
      <c r="D11" s="9" t="s">
        <v>134</v>
      </c>
      <c r="E11" s="9" t="n">
        <f aca="false">SRC_ANT_004+SRC_ANT_005</f>
        <v>16.23</v>
      </c>
      <c r="F11" s="9"/>
      <c r="G11" s="9"/>
      <c r="H11" s="9" t="s">
        <v>135</v>
      </c>
      <c r="I11" s="9" t="s">
        <v>136</v>
      </c>
      <c r="J11" s="9"/>
      <c r="K11" s="11" t="s">
        <v>76</v>
      </c>
      <c r="L11" s="11" t="s">
        <v>137</v>
      </c>
      <c r="M11" s="9" t="s">
        <v>138</v>
      </c>
      <c r="N11" s="9" t="s">
        <v>79</v>
      </c>
      <c r="O11" s="9" t="s">
        <v>80</v>
      </c>
      <c r="P11" s="9" t="s">
        <v>100</v>
      </c>
      <c r="Q11" s="9"/>
      <c r="R11" s="11" t="s">
        <v>101</v>
      </c>
      <c r="S11" s="11" t="s">
        <v>102</v>
      </c>
      <c r="T11" s="11" t="s">
        <v>103</v>
      </c>
      <c r="U11" s="11" t="s">
        <v>102</v>
      </c>
      <c r="V11" s="9" t="s">
        <v>104</v>
      </c>
      <c r="W11" s="9" t="s">
        <v>139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88</v>
      </c>
    </row>
    <row r="12" customFormat="false" ht="15" hidden="false" customHeight="false" outlineLevel="0" collapsed="false">
      <c r="A12" s="9" t="s">
        <v>140</v>
      </c>
      <c r="B12" s="9" t="s">
        <v>141</v>
      </c>
      <c r="C12" s="9" t="s">
        <v>72</v>
      </c>
      <c r="D12" s="11" t="s">
        <v>142</v>
      </c>
      <c r="E12" s="10" t="n">
        <v>1</v>
      </c>
      <c r="F12" s="9"/>
      <c r="G12" s="9"/>
      <c r="H12" s="9" t="s">
        <v>74</v>
      </c>
      <c r="I12" s="9" t="s">
        <v>143</v>
      </c>
      <c r="J12" s="9"/>
      <c r="K12" s="11" t="s">
        <v>144</v>
      </c>
      <c r="L12" s="9" t="s">
        <v>145</v>
      </c>
      <c r="M12" s="9" t="s">
        <v>146</v>
      </c>
      <c r="N12" s="9" t="s">
        <v>147</v>
      </c>
      <c r="O12" s="9" t="s">
        <v>80</v>
      </c>
      <c r="P12" s="9" t="s">
        <v>81</v>
      </c>
      <c r="Q12" s="9" t="s">
        <v>148</v>
      </c>
      <c r="R12" s="9" t="s">
        <v>149</v>
      </c>
      <c r="S12" s="11" t="s">
        <v>84</v>
      </c>
      <c r="T12" s="9" t="s">
        <v>148</v>
      </c>
      <c r="U12" s="11" t="s">
        <v>150</v>
      </c>
      <c r="V12" s="11" t="s">
        <v>86</v>
      </c>
      <c r="W12" s="11" t="s">
        <v>151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88</v>
      </c>
    </row>
    <row r="13" customFormat="false" ht="15" hidden="false" customHeight="false" outlineLevel="0" collapsed="false">
      <c r="A13" s="9" t="s">
        <v>152</v>
      </c>
      <c r="B13" s="9" t="s">
        <v>153</v>
      </c>
      <c r="C13" s="9" t="s">
        <v>72</v>
      </c>
      <c r="D13" s="11" t="s">
        <v>142</v>
      </c>
      <c r="E13" s="10" t="n">
        <v>1</v>
      </c>
      <c r="F13" s="9"/>
      <c r="G13" s="9"/>
      <c r="H13" s="9" t="s">
        <v>74</v>
      </c>
      <c r="I13" s="9" t="s">
        <v>143</v>
      </c>
      <c r="J13" s="9"/>
      <c r="K13" s="11" t="s">
        <v>144</v>
      </c>
      <c r="L13" s="9" t="s">
        <v>154</v>
      </c>
      <c r="M13" s="9" t="s">
        <v>155</v>
      </c>
      <c r="N13" s="9" t="s">
        <v>156</v>
      </c>
      <c r="O13" s="9" t="s">
        <v>80</v>
      </c>
      <c r="P13" s="9" t="s">
        <v>81</v>
      </c>
      <c r="Q13" s="9" t="s">
        <v>157</v>
      </c>
      <c r="R13" s="9" t="s">
        <v>83</v>
      </c>
      <c r="S13" s="11" t="s">
        <v>84</v>
      </c>
      <c r="T13" s="9" t="s">
        <v>157</v>
      </c>
      <c r="U13" s="11" t="s">
        <v>85</v>
      </c>
      <c r="V13" s="11" t="s">
        <v>86</v>
      </c>
      <c r="W13" s="11" t="s">
        <v>158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88</v>
      </c>
    </row>
    <row r="14" customFormat="false" ht="15" hidden="false" customHeight="false" outlineLevel="0" collapsed="false">
      <c r="A14" s="9" t="s">
        <v>159</v>
      </c>
      <c r="B14" s="9" t="s">
        <v>160</v>
      </c>
      <c r="C14" s="9" t="s">
        <v>72</v>
      </c>
      <c r="D14" s="11" t="s">
        <v>142</v>
      </c>
      <c r="E14" s="10" t="n">
        <v>1.4</v>
      </c>
      <c r="F14" s="9"/>
      <c r="G14" s="9"/>
      <c r="H14" s="9" t="s">
        <v>74</v>
      </c>
      <c r="I14" s="9" t="s">
        <v>161</v>
      </c>
      <c r="J14" s="9"/>
      <c r="K14" s="11" t="s">
        <v>144</v>
      </c>
      <c r="L14" s="9" t="s">
        <v>162</v>
      </c>
      <c r="M14" s="9" t="s">
        <v>163</v>
      </c>
      <c r="N14" s="9" t="s">
        <v>164</v>
      </c>
      <c r="O14" s="9" t="s">
        <v>80</v>
      </c>
      <c r="P14" s="9" t="s">
        <v>81</v>
      </c>
      <c r="Q14" s="9" t="s">
        <v>157</v>
      </c>
      <c r="R14" s="9" t="s">
        <v>83</v>
      </c>
      <c r="S14" s="11" t="s">
        <v>84</v>
      </c>
      <c r="T14" s="9" t="s">
        <v>157</v>
      </c>
      <c r="U14" s="11" t="s">
        <v>85</v>
      </c>
      <c r="V14" s="11" t="s">
        <v>86</v>
      </c>
      <c r="W14" s="11" t="s">
        <v>165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88</v>
      </c>
    </row>
    <row r="15" customFormat="false" ht="15" hidden="false" customHeight="false" outlineLevel="0" collapsed="false">
      <c r="A15" s="9" t="s">
        <v>166</v>
      </c>
      <c r="B15" s="9" t="s">
        <v>167</v>
      </c>
      <c r="C15" s="9" t="s">
        <v>72</v>
      </c>
      <c r="D15" s="11" t="s">
        <v>142</v>
      </c>
      <c r="E15" s="10" t="n">
        <v>2</v>
      </c>
      <c r="F15" s="9"/>
      <c r="G15" s="9"/>
      <c r="H15" s="9" t="s">
        <v>74</v>
      </c>
      <c r="I15" s="9" t="s">
        <v>168</v>
      </c>
      <c r="J15" s="9"/>
      <c r="K15" s="11" t="s">
        <v>144</v>
      </c>
      <c r="L15" s="9" t="s">
        <v>154</v>
      </c>
      <c r="M15" s="9" t="s">
        <v>155</v>
      </c>
      <c r="N15" s="9" t="s">
        <v>156</v>
      </c>
      <c r="O15" s="9" t="s">
        <v>80</v>
      </c>
      <c r="P15" s="9" t="s">
        <v>81</v>
      </c>
      <c r="Q15" s="9" t="s">
        <v>157</v>
      </c>
      <c r="R15" s="9" t="s">
        <v>83</v>
      </c>
      <c r="S15" s="11" t="s">
        <v>84</v>
      </c>
      <c r="T15" s="9" t="s">
        <v>157</v>
      </c>
      <c r="U15" s="11" t="s">
        <v>85</v>
      </c>
      <c r="V15" s="11" t="s">
        <v>86</v>
      </c>
      <c r="W15" s="11" t="s">
        <v>169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88</v>
      </c>
    </row>
    <row r="16" customFormat="false" ht="15" hidden="false" customHeight="false" outlineLevel="0" collapsed="false">
      <c r="A16" s="9" t="s">
        <v>170</v>
      </c>
      <c r="B16" s="9" t="s">
        <v>171</v>
      </c>
      <c r="C16" s="9" t="s">
        <v>72</v>
      </c>
      <c r="D16" s="11" t="s">
        <v>142</v>
      </c>
      <c r="E16" s="10" t="n">
        <v>3</v>
      </c>
      <c r="F16" s="9"/>
      <c r="G16" s="9"/>
      <c r="H16" s="9" t="s">
        <v>74</v>
      </c>
      <c r="I16" s="9" t="s">
        <v>172</v>
      </c>
      <c r="J16" s="9"/>
      <c r="K16" s="11" t="s">
        <v>144</v>
      </c>
      <c r="L16" s="9" t="s">
        <v>173</v>
      </c>
      <c r="M16" s="9" t="s">
        <v>155</v>
      </c>
      <c r="N16" s="9" t="s">
        <v>156</v>
      </c>
      <c r="O16" s="9" t="s">
        <v>80</v>
      </c>
      <c r="P16" s="9" t="s">
        <v>81</v>
      </c>
      <c r="Q16" s="9" t="s">
        <v>157</v>
      </c>
      <c r="R16" s="9" t="s">
        <v>83</v>
      </c>
      <c r="S16" s="11" t="s">
        <v>84</v>
      </c>
      <c r="T16" s="9" t="s">
        <v>157</v>
      </c>
      <c r="U16" s="11" t="s">
        <v>85</v>
      </c>
      <c r="V16" s="11" t="s">
        <v>86</v>
      </c>
      <c r="W16" s="11" t="s">
        <v>174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88</v>
      </c>
    </row>
    <row r="17" customFormat="false" ht="15" hidden="false" customHeight="false" outlineLevel="0" collapsed="false">
      <c r="A17" s="9" t="s">
        <v>175</v>
      </c>
      <c r="B17" s="9" t="s">
        <v>176</v>
      </c>
      <c r="C17" s="9" t="s">
        <v>72</v>
      </c>
      <c r="D17" s="11" t="s">
        <v>142</v>
      </c>
      <c r="E17" s="10" t="n">
        <v>4</v>
      </c>
      <c r="F17" s="9"/>
      <c r="G17" s="9"/>
      <c r="H17" s="9" t="s">
        <v>74</v>
      </c>
      <c r="I17" s="9" t="s">
        <v>177</v>
      </c>
      <c r="J17" s="9"/>
      <c r="K17" s="11" t="s">
        <v>144</v>
      </c>
      <c r="L17" s="9" t="s">
        <v>162</v>
      </c>
      <c r="M17" s="9" t="s">
        <v>178</v>
      </c>
      <c r="N17" s="9" t="s">
        <v>179</v>
      </c>
      <c r="O17" s="9" t="s">
        <v>80</v>
      </c>
      <c r="P17" s="9" t="s">
        <v>81</v>
      </c>
      <c r="Q17" s="9" t="s">
        <v>157</v>
      </c>
      <c r="R17" s="9" t="s">
        <v>83</v>
      </c>
      <c r="S17" s="11" t="s">
        <v>84</v>
      </c>
      <c r="T17" s="9" t="s">
        <v>157</v>
      </c>
      <c r="U17" s="11" t="s">
        <v>85</v>
      </c>
      <c r="V17" s="11" t="s">
        <v>86</v>
      </c>
      <c r="W17" s="11" t="s">
        <v>180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88</v>
      </c>
    </row>
    <row r="18" customFormat="false" ht="15" hidden="false" customHeight="false" outlineLevel="0" collapsed="false">
      <c r="A18" s="9" t="s">
        <v>181</v>
      </c>
      <c r="B18" s="9" t="s">
        <v>182</v>
      </c>
      <c r="C18" s="9" t="s">
        <v>72</v>
      </c>
      <c r="D18" s="11" t="s">
        <v>142</v>
      </c>
      <c r="E18" s="10" t="n">
        <v>4</v>
      </c>
      <c r="F18" s="9"/>
      <c r="G18" s="9"/>
      <c r="H18" s="9" t="s">
        <v>74</v>
      </c>
      <c r="I18" s="9" t="s">
        <v>183</v>
      </c>
      <c r="J18" s="9"/>
      <c r="K18" s="11" t="s">
        <v>144</v>
      </c>
      <c r="L18" s="9" t="s">
        <v>184</v>
      </c>
      <c r="M18" s="9" t="s">
        <v>185</v>
      </c>
      <c r="N18" s="9" t="s">
        <v>186</v>
      </c>
      <c r="O18" s="9" t="s">
        <v>80</v>
      </c>
      <c r="P18" s="9" t="s">
        <v>81</v>
      </c>
      <c r="Q18" s="9" t="s">
        <v>157</v>
      </c>
      <c r="R18" s="9" t="s">
        <v>83</v>
      </c>
      <c r="S18" s="11" t="s">
        <v>84</v>
      </c>
      <c r="T18" s="9" t="s">
        <v>157</v>
      </c>
      <c r="U18" s="11" t="s">
        <v>85</v>
      </c>
      <c r="V18" s="11" t="s">
        <v>86</v>
      </c>
      <c r="W18" s="11" t="s">
        <v>187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88</v>
      </c>
    </row>
    <row r="19" customFormat="false" ht="15" hidden="false" customHeight="false" outlineLevel="0" collapsed="false">
      <c r="A19" s="9" t="s">
        <v>188</v>
      </c>
      <c r="B19" s="9" t="s">
        <v>189</v>
      </c>
      <c r="C19" s="9" t="s">
        <v>72</v>
      </c>
      <c r="D19" s="11" t="s">
        <v>142</v>
      </c>
      <c r="E19" s="10" t="n">
        <v>5</v>
      </c>
      <c r="F19" s="9"/>
      <c r="G19" s="9"/>
      <c r="H19" s="9" t="s">
        <v>74</v>
      </c>
      <c r="I19" s="9" t="s">
        <v>190</v>
      </c>
      <c r="J19" s="9"/>
      <c r="K19" s="11" t="s">
        <v>144</v>
      </c>
      <c r="L19" s="9" t="s">
        <v>145</v>
      </c>
      <c r="M19" s="9" t="s">
        <v>146</v>
      </c>
      <c r="N19" s="9" t="s">
        <v>147</v>
      </c>
      <c r="O19" s="9" t="s">
        <v>80</v>
      </c>
      <c r="P19" s="9" t="s">
        <v>81</v>
      </c>
      <c r="Q19" s="9" t="s">
        <v>148</v>
      </c>
      <c r="R19" s="9" t="s">
        <v>149</v>
      </c>
      <c r="S19" s="11" t="s">
        <v>84</v>
      </c>
      <c r="T19" s="9" t="s">
        <v>148</v>
      </c>
      <c r="U19" s="11" t="s">
        <v>150</v>
      </c>
      <c r="V19" s="11" t="s">
        <v>86</v>
      </c>
      <c r="W19" s="11" t="s">
        <v>191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88</v>
      </c>
    </row>
    <row r="20" customFormat="false" ht="15" hidden="false" customHeight="false" outlineLevel="0" collapsed="false">
      <c r="A20" s="9" t="s">
        <v>192</v>
      </c>
      <c r="B20" s="9" t="s">
        <v>193</v>
      </c>
      <c r="C20" s="9" t="s">
        <v>72</v>
      </c>
      <c r="D20" s="11" t="s">
        <v>142</v>
      </c>
      <c r="E20" s="10" t="n">
        <v>7</v>
      </c>
      <c r="F20" s="9"/>
      <c r="G20" s="10" t="n">
        <v>7</v>
      </c>
      <c r="H20" s="9" t="s">
        <v>74</v>
      </c>
      <c r="I20" s="9" t="s">
        <v>194</v>
      </c>
      <c r="J20" s="9"/>
      <c r="K20" s="11" t="s">
        <v>144</v>
      </c>
      <c r="L20" s="9" t="s">
        <v>195</v>
      </c>
      <c r="M20" s="9" t="s">
        <v>196</v>
      </c>
      <c r="N20" s="9" t="s">
        <v>197</v>
      </c>
      <c r="O20" s="9" t="s">
        <v>80</v>
      </c>
      <c r="P20" s="9" t="s">
        <v>81</v>
      </c>
      <c r="Q20" s="9" t="s">
        <v>198</v>
      </c>
      <c r="R20" s="9" t="s">
        <v>83</v>
      </c>
      <c r="S20" s="11" t="s">
        <v>84</v>
      </c>
      <c r="T20" s="9" t="s">
        <v>198</v>
      </c>
      <c r="U20" s="11" t="s">
        <v>85</v>
      </c>
      <c r="V20" s="11" t="s">
        <v>86</v>
      </c>
      <c r="W20" s="11" t="s">
        <v>199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88</v>
      </c>
    </row>
    <row r="21" customFormat="false" ht="15" hidden="false" customHeight="false" outlineLevel="0" collapsed="false">
      <c r="A21" s="9" t="s">
        <v>200</v>
      </c>
      <c r="B21" s="9" t="s">
        <v>201</v>
      </c>
      <c r="C21" s="9" t="s">
        <v>72</v>
      </c>
      <c r="D21" s="11" t="s">
        <v>142</v>
      </c>
      <c r="E21" s="10" t="n">
        <v>9</v>
      </c>
      <c r="F21" s="9"/>
      <c r="G21" s="9"/>
      <c r="H21" s="9" t="s">
        <v>74</v>
      </c>
      <c r="I21" s="9" t="s">
        <v>202</v>
      </c>
      <c r="J21" s="9"/>
      <c r="K21" s="11" t="s">
        <v>144</v>
      </c>
      <c r="L21" s="9" t="s">
        <v>203</v>
      </c>
      <c r="M21" s="9" t="s">
        <v>204</v>
      </c>
      <c r="N21" s="9" t="s">
        <v>205</v>
      </c>
      <c r="O21" s="9" t="s">
        <v>80</v>
      </c>
      <c r="P21" s="9" t="s">
        <v>81</v>
      </c>
      <c r="Q21" s="9" t="s">
        <v>206</v>
      </c>
      <c r="R21" s="9" t="s">
        <v>149</v>
      </c>
      <c r="S21" s="11" t="s">
        <v>84</v>
      </c>
      <c r="T21" s="9" t="s">
        <v>206</v>
      </c>
      <c r="U21" s="11" t="s">
        <v>150</v>
      </c>
      <c r="V21" s="11" t="s">
        <v>86</v>
      </c>
      <c r="W21" s="11" t="s">
        <v>207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88</v>
      </c>
    </row>
    <row r="22" customFormat="false" ht="15" hidden="false" customHeight="false" outlineLevel="0" collapsed="false">
      <c r="A22" s="9" t="s">
        <v>208</v>
      </c>
      <c r="B22" s="9" t="s">
        <v>209</v>
      </c>
      <c r="C22" s="9" t="s">
        <v>72</v>
      </c>
      <c r="D22" s="11" t="s">
        <v>142</v>
      </c>
      <c r="E22" s="10" t="n">
        <v>9</v>
      </c>
      <c r="F22" s="9"/>
      <c r="G22" s="9"/>
      <c r="H22" s="9" t="s">
        <v>74</v>
      </c>
      <c r="I22" s="9" t="s">
        <v>202</v>
      </c>
      <c r="J22" s="9"/>
      <c r="K22" s="11" t="s">
        <v>144</v>
      </c>
      <c r="L22" s="9" t="s">
        <v>184</v>
      </c>
      <c r="M22" s="9" t="s">
        <v>185</v>
      </c>
      <c r="N22" s="9" t="s">
        <v>186</v>
      </c>
      <c r="O22" s="9" t="s">
        <v>80</v>
      </c>
      <c r="P22" s="9" t="s">
        <v>81</v>
      </c>
      <c r="Q22" s="9" t="s">
        <v>157</v>
      </c>
      <c r="R22" s="9" t="s">
        <v>83</v>
      </c>
      <c r="S22" s="11" t="s">
        <v>84</v>
      </c>
      <c r="T22" s="9" t="s">
        <v>157</v>
      </c>
      <c r="U22" s="11" t="s">
        <v>85</v>
      </c>
      <c r="V22" s="11" t="s">
        <v>86</v>
      </c>
      <c r="W22" s="11" t="s">
        <v>210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88</v>
      </c>
    </row>
    <row r="23" customFormat="false" ht="15" hidden="false" customHeight="false" outlineLevel="0" collapsed="false">
      <c r="A23" s="9" t="s">
        <v>211</v>
      </c>
      <c r="B23" s="9" t="s">
        <v>212</v>
      </c>
      <c r="C23" s="9" t="s">
        <v>72</v>
      </c>
      <c r="D23" s="11" t="s">
        <v>142</v>
      </c>
      <c r="E23" s="10" t="n">
        <v>14</v>
      </c>
      <c r="F23" s="9"/>
      <c r="G23" s="9"/>
      <c r="H23" s="9" t="s">
        <v>74</v>
      </c>
      <c r="I23" s="9" t="s">
        <v>213</v>
      </c>
      <c r="J23" s="9"/>
      <c r="K23" s="11" t="s">
        <v>144</v>
      </c>
      <c r="L23" s="9" t="s">
        <v>214</v>
      </c>
      <c r="M23" s="9" t="s">
        <v>215</v>
      </c>
      <c r="N23" s="9" t="s">
        <v>216</v>
      </c>
      <c r="O23" s="9" t="s">
        <v>80</v>
      </c>
      <c r="P23" s="9" t="s">
        <v>81</v>
      </c>
      <c r="Q23" s="9" t="s">
        <v>148</v>
      </c>
      <c r="R23" s="9" t="s">
        <v>149</v>
      </c>
      <c r="S23" s="11" t="s">
        <v>84</v>
      </c>
      <c r="T23" s="9" t="s">
        <v>148</v>
      </c>
      <c r="U23" s="11" t="s">
        <v>150</v>
      </c>
      <c r="V23" s="11" t="s">
        <v>86</v>
      </c>
      <c r="W23" s="11" t="s">
        <v>217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88</v>
      </c>
    </row>
    <row r="24" customFormat="false" ht="15" hidden="false" customHeight="false" outlineLevel="0" collapsed="false">
      <c r="A24" s="9" t="s">
        <v>218</v>
      </c>
      <c r="B24" s="9" t="s">
        <v>219</v>
      </c>
      <c r="C24" s="9" t="s">
        <v>72</v>
      </c>
      <c r="D24" s="11" t="s">
        <v>142</v>
      </c>
      <c r="E24" s="10" t="n">
        <v>19</v>
      </c>
      <c r="F24" s="9"/>
      <c r="G24" s="9"/>
      <c r="H24" s="9" t="s">
        <v>74</v>
      </c>
      <c r="I24" s="9" t="s">
        <v>220</v>
      </c>
      <c r="J24" s="9"/>
      <c r="K24" s="11" t="s">
        <v>144</v>
      </c>
      <c r="L24" s="9" t="s">
        <v>221</v>
      </c>
      <c r="M24" s="9" t="s">
        <v>222</v>
      </c>
      <c r="N24" s="9" t="s">
        <v>223</v>
      </c>
      <c r="O24" s="9" t="s">
        <v>80</v>
      </c>
      <c r="P24" s="9" t="s">
        <v>81</v>
      </c>
      <c r="Q24" s="9" t="s">
        <v>157</v>
      </c>
      <c r="R24" s="9" t="s">
        <v>83</v>
      </c>
      <c r="S24" s="11" t="s">
        <v>84</v>
      </c>
      <c r="T24" s="9" t="s">
        <v>157</v>
      </c>
      <c r="U24" s="11" t="s">
        <v>85</v>
      </c>
      <c r="V24" s="11" t="s">
        <v>86</v>
      </c>
      <c r="W24" s="11" t="s">
        <v>224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88</v>
      </c>
    </row>
    <row r="25" customFormat="false" ht="15" hidden="false" customHeight="false" outlineLevel="0" collapsed="false">
      <c r="A25" s="9" t="s">
        <v>225</v>
      </c>
      <c r="B25" s="9" t="s">
        <v>226</v>
      </c>
      <c r="C25" s="9" t="s">
        <v>72</v>
      </c>
      <c r="D25" s="11" t="s">
        <v>142</v>
      </c>
      <c r="E25" s="10" t="n">
        <v>30</v>
      </c>
      <c r="F25" s="9"/>
      <c r="G25" s="9"/>
      <c r="H25" s="9" t="s">
        <v>74</v>
      </c>
      <c r="I25" s="9" t="s">
        <v>227</v>
      </c>
      <c r="J25" s="9"/>
      <c r="K25" s="11" t="s">
        <v>144</v>
      </c>
      <c r="L25" s="9" t="s">
        <v>203</v>
      </c>
      <c r="M25" s="9" t="s">
        <v>204</v>
      </c>
      <c r="N25" s="9" t="s">
        <v>205</v>
      </c>
      <c r="O25" s="9" t="s">
        <v>80</v>
      </c>
      <c r="P25" s="9" t="s">
        <v>81</v>
      </c>
      <c r="Q25" s="9" t="s">
        <v>206</v>
      </c>
      <c r="R25" s="9" t="s">
        <v>149</v>
      </c>
      <c r="S25" s="11" t="s">
        <v>84</v>
      </c>
      <c r="T25" s="9" t="s">
        <v>206</v>
      </c>
      <c r="U25" s="11" t="s">
        <v>150</v>
      </c>
      <c r="V25" s="11" t="s">
        <v>86</v>
      </c>
      <c r="W25" s="11" t="s">
        <v>228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88</v>
      </c>
    </row>
    <row r="26" customFormat="false" ht="15" hidden="false" customHeight="false" outlineLevel="0" collapsed="false">
      <c r="A26" s="9" t="s">
        <v>229</v>
      </c>
      <c r="B26" s="9" t="s">
        <v>230</v>
      </c>
      <c r="C26" s="9" t="s">
        <v>72</v>
      </c>
      <c r="D26" s="11" t="s">
        <v>142</v>
      </c>
      <c r="E26" s="10" t="n">
        <v>47</v>
      </c>
      <c r="F26" s="9"/>
      <c r="G26" s="9"/>
      <c r="H26" s="9" t="s">
        <v>74</v>
      </c>
      <c r="I26" s="9" t="s">
        <v>231</v>
      </c>
      <c r="J26" s="9"/>
      <c r="K26" s="11" t="s">
        <v>144</v>
      </c>
      <c r="L26" s="9" t="s">
        <v>232</v>
      </c>
      <c r="M26" s="9" t="s">
        <v>233</v>
      </c>
      <c r="N26" s="9" t="s">
        <v>234</v>
      </c>
      <c r="O26" s="9" t="s">
        <v>80</v>
      </c>
      <c r="P26" s="9" t="s">
        <v>81</v>
      </c>
      <c r="Q26" s="9" t="s">
        <v>148</v>
      </c>
      <c r="R26" s="9" t="s">
        <v>149</v>
      </c>
      <c r="S26" s="11" t="s">
        <v>84</v>
      </c>
      <c r="T26" s="9" t="s">
        <v>148</v>
      </c>
      <c r="U26" s="11" t="s">
        <v>150</v>
      </c>
      <c r="V26" s="11" t="s">
        <v>86</v>
      </c>
      <c r="W26" s="11" t="s">
        <v>235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88</v>
      </c>
    </row>
    <row r="27" customFormat="false" ht="15" hidden="false" customHeight="false" outlineLevel="0" collapsed="false">
      <c r="A27" s="9" t="s">
        <v>236</v>
      </c>
      <c r="B27" s="9" t="s">
        <v>237</v>
      </c>
      <c r="C27" s="9" t="s">
        <v>72</v>
      </c>
      <c r="D27" s="11" t="s">
        <v>142</v>
      </c>
      <c r="E27" s="10" t="n">
        <v>65</v>
      </c>
      <c r="F27" s="9"/>
      <c r="G27" s="9"/>
      <c r="H27" s="9" t="s">
        <v>74</v>
      </c>
      <c r="I27" s="9" t="s">
        <v>238</v>
      </c>
      <c r="J27" s="9"/>
      <c r="K27" s="11" t="s">
        <v>144</v>
      </c>
      <c r="L27" s="9" t="s">
        <v>239</v>
      </c>
      <c r="M27" s="9" t="s">
        <v>240</v>
      </c>
      <c r="N27" s="9" t="s">
        <v>113</v>
      </c>
      <c r="O27" s="9" t="s">
        <v>80</v>
      </c>
      <c r="P27" s="9" t="s">
        <v>81</v>
      </c>
      <c r="Q27" s="9" t="s">
        <v>241</v>
      </c>
      <c r="R27" s="9" t="s">
        <v>83</v>
      </c>
      <c r="S27" s="11" t="s">
        <v>84</v>
      </c>
      <c r="T27" s="9" t="s">
        <v>241</v>
      </c>
      <c r="U27" s="11" t="s">
        <v>85</v>
      </c>
      <c r="V27" s="11" t="s">
        <v>86</v>
      </c>
      <c r="W27" s="11" t="s">
        <v>242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88</v>
      </c>
    </row>
    <row r="28" customFormat="false" ht="15" hidden="false" customHeight="false" outlineLevel="0" collapsed="false">
      <c r="A28" s="9" t="s">
        <v>243</v>
      </c>
      <c r="B28" s="9" t="s">
        <v>244</v>
      </c>
      <c r="C28" s="9" t="s">
        <v>72</v>
      </c>
      <c r="D28" s="11" t="s">
        <v>142</v>
      </c>
      <c r="E28" s="10" t="n">
        <v>65</v>
      </c>
      <c r="F28" s="9"/>
      <c r="G28" s="9"/>
      <c r="H28" s="9" t="s">
        <v>74</v>
      </c>
      <c r="I28" s="9" t="s">
        <v>245</v>
      </c>
      <c r="J28" s="9"/>
      <c r="K28" s="11" t="s">
        <v>144</v>
      </c>
      <c r="L28" s="9" t="s">
        <v>246</v>
      </c>
      <c r="M28" s="9" t="s">
        <v>247</v>
      </c>
      <c r="N28" s="9" t="s">
        <v>248</v>
      </c>
      <c r="O28" s="9" t="s">
        <v>80</v>
      </c>
      <c r="P28" s="9" t="s">
        <v>81</v>
      </c>
      <c r="Q28" s="9" t="s">
        <v>249</v>
      </c>
      <c r="R28" s="9" t="s">
        <v>83</v>
      </c>
      <c r="S28" s="11" t="s">
        <v>84</v>
      </c>
      <c r="T28" s="9" t="s">
        <v>249</v>
      </c>
      <c r="U28" s="11" t="s">
        <v>85</v>
      </c>
      <c r="V28" s="11" t="s">
        <v>86</v>
      </c>
      <c r="W28" s="11" t="s">
        <v>250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88</v>
      </c>
    </row>
    <row r="29" customFormat="false" ht="15" hidden="false" customHeight="false" outlineLevel="0" collapsed="false">
      <c r="A29" s="9" t="s">
        <v>251</v>
      </c>
      <c r="B29" s="9" t="s">
        <v>252</v>
      </c>
      <c r="C29" s="9" t="s">
        <v>72</v>
      </c>
      <c r="D29" s="9" t="s">
        <v>253</v>
      </c>
      <c r="E29" s="10" t="n">
        <v>0.789</v>
      </c>
      <c r="F29" s="9"/>
      <c r="G29" s="9"/>
      <c r="H29" s="9" t="s">
        <v>74</v>
      </c>
      <c r="I29" s="9" t="s">
        <v>75</v>
      </c>
      <c r="J29" s="9"/>
      <c r="K29" s="11" t="s">
        <v>76</v>
      </c>
      <c r="L29" s="9" t="s">
        <v>254</v>
      </c>
      <c r="M29" s="9" t="s">
        <v>255</v>
      </c>
      <c r="N29" s="9" t="s">
        <v>256</v>
      </c>
      <c r="O29" s="9" t="s">
        <v>80</v>
      </c>
      <c r="P29" s="9" t="s">
        <v>81</v>
      </c>
      <c r="Q29" s="9" t="s">
        <v>257</v>
      </c>
      <c r="R29" s="9" t="s">
        <v>83</v>
      </c>
      <c r="S29" s="11" t="s">
        <v>84</v>
      </c>
      <c r="T29" s="9" t="s">
        <v>257</v>
      </c>
      <c r="U29" s="11" t="s">
        <v>85</v>
      </c>
      <c r="V29" s="11" t="s">
        <v>86</v>
      </c>
      <c r="W29" s="11" t="s">
        <v>258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88</v>
      </c>
    </row>
    <row r="30" customFormat="false" ht="15" hidden="false" customHeight="false" outlineLevel="0" collapsed="false">
      <c r="A30" s="9" t="s">
        <v>259</v>
      </c>
      <c r="B30" s="9" t="s">
        <v>260</v>
      </c>
      <c r="C30" s="9" t="s">
        <v>72</v>
      </c>
      <c r="D30" s="9" t="s">
        <v>261</v>
      </c>
      <c r="E30" s="10" t="n">
        <v>3.8</v>
      </c>
      <c r="F30" s="9"/>
      <c r="G30" s="9"/>
      <c r="H30" s="9" t="s">
        <v>74</v>
      </c>
      <c r="I30" s="9" t="s">
        <v>75</v>
      </c>
      <c r="J30" s="9"/>
      <c r="K30" s="11" t="s">
        <v>76</v>
      </c>
      <c r="L30" s="9" t="s">
        <v>262</v>
      </c>
      <c r="M30" s="9" t="s">
        <v>255</v>
      </c>
      <c r="N30" s="9" t="s">
        <v>256</v>
      </c>
      <c r="O30" s="9" t="s">
        <v>80</v>
      </c>
      <c r="P30" s="9" t="s">
        <v>81</v>
      </c>
      <c r="Q30" s="9" t="s">
        <v>257</v>
      </c>
      <c r="R30" s="9" t="s">
        <v>83</v>
      </c>
      <c r="S30" s="11" t="s">
        <v>84</v>
      </c>
      <c r="T30" s="9" t="s">
        <v>257</v>
      </c>
      <c r="U30" s="11" t="s">
        <v>85</v>
      </c>
      <c r="V30" s="11" t="s">
        <v>86</v>
      </c>
      <c r="W30" s="11" t="s">
        <v>263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88</v>
      </c>
    </row>
    <row r="31" customFormat="false" ht="15" hidden="false" customHeight="false" outlineLevel="0" collapsed="false">
      <c r="A31" s="9" t="s">
        <v>264</v>
      </c>
      <c r="B31" s="9" t="s">
        <v>265</v>
      </c>
      <c r="C31" s="9" t="s">
        <v>72</v>
      </c>
      <c r="D31" s="11" t="s">
        <v>266</v>
      </c>
      <c r="E31" s="10" t="n">
        <v>0.47</v>
      </c>
      <c r="F31" s="9"/>
      <c r="G31" s="9"/>
      <c r="H31" s="11" t="s">
        <v>267</v>
      </c>
      <c r="I31" s="9" t="s">
        <v>75</v>
      </c>
      <c r="J31" s="9"/>
      <c r="K31" s="11" t="s">
        <v>76</v>
      </c>
      <c r="L31" s="9" t="s">
        <v>262</v>
      </c>
      <c r="M31" s="9" t="s">
        <v>255</v>
      </c>
      <c r="N31" s="9" t="s">
        <v>256</v>
      </c>
      <c r="O31" s="9" t="s">
        <v>80</v>
      </c>
      <c r="P31" s="9" t="s">
        <v>81</v>
      </c>
      <c r="Q31" s="9" t="s">
        <v>257</v>
      </c>
      <c r="R31" s="9" t="s">
        <v>83</v>
      </c>
      <c r="S31" s="11" t="s">
        <v>84</v>
      </c>
      <c r="T31" s="9" t="s">
        <v>257</v>
      </c>
      <c r="U31" s="11" t="s">
        <v>85</v>
      </c>
      <c r="V31" s="11" t="s">
        <v>86</v>
      </c>
      <c r="W31" s="11" t="s">
        <v>268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88</v>
      </c>
    </row>
    <row r="32" customFormat="false" ht="15" hidden="false" customHeight="false" outlineLevel="0" collapsed="false">
      <c r="A32" s="9" t="s">
        <v>269</v>
      </c>
      <c r="B32" s="9" t="s">
        <v>270</v>
      </c>
      <c r="C32" s="9" t="s">
        <v>72</v>
      </c>
      <c r="D32" s="11" t="s">
        <v>266</v>
      </c>
      <c r="E32" s="10" t="n">
        <v>0.32</v>
      </c>
      <c r="F32" s="9"/>
      <c r="G32" s="9"/>
      <c r="H32" s="11" t="s">
        <v>267</v>
      </c>
      <c r="I32" s="9" t="s">
        <v>98</v>
      </c>
      <c r="J32" s="9"/>
      <c r="K32" s="11" t="s">
        <v>76</v>
      </c>
      <c r="L32" s="9" t="s">
        <v>262</v>
      </c>
      <c r="M32" s="9" t="s">
        <v>255</v>
      </c>
      <c r="N32" s="9" t="s">
        <v>256</v>
      </c>
      <c r="O32" s="9" t="s">
        <v>80</v>
      </c>
      <c r="P32" s="9" t="s">
        <v>81</v>
      </c>
      <c r="Q32" s="9" t="s">
        <v>257</v>
      </c>
      <c r="R32" s="9" t="s">
        <v>83</v>
      </c>
      <c r="S32" s="11" t="s">
        <v>84</v>
      </c>
      <c r="T32" s="9" t="s">
        <v>257</v>
      </c>
      <c r="U32" s="11" t="s">
        <v>85</v>
      </c>
      <c r="V32" s="11" t="s">
        <v>86</v>
      </c>
      <c r="W32" s="11" t="s">
        <v>271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88</v>
      </c>
    </row>
    <row r="33" customFormat="false" ht="15" hidden="false" customHeight="false" outlineLevel="0" collapsed="false">
      <c r="A33" s="9" t="s">
        <v>272</v>
      </c>
      <c r="B33" s="9" t="s">
        <v>273</v>
      </c>
      <c r="C33" s="9" t="s">
        <v>72</v>
      </c>
      <c r="D33" s="11" t="s">
        <v>266</v>
      </c>
      <c r="E33" s="10" t="n">
        <v>0.11</v>
      </c>
      <c r="F33" s="9"/>
      <c r="G33" s="9"/>
      <c r="H33" s="11" t="s">
        <v>267</v>
      </c>
      <c r="I33" s="9" t="s">
        <v>274</v>
      </c>
      <c r="J33" s="9"/>
      <c r="K33" s="11" t="s">
        <v>76</v>
      </c>
      <c r="L33" s="9" t="s">
        <v>262</v>
      </c>
      <c r="M33" s="9" t="s">
        <v>255</v>
      </c>
      <c r="N33" s="9" t="s">
        <v>256</v>
      </c>
      <c r="O33" s="9" t="s">
        <v>80</v>
      </c>
      <c r="P33" s="9" t="s">
        <v>81</v>
      </c>
      <c r="Q33" s="9" t="s">
        <v>257</v>
      </c>
      <c r="R33" s="9" t="s">
        <v>83</v>
      </c>
      <c r="S33" s="11" t="s">
        <v>84</v>
      </c>
      <c r="T33" s="9" t="s">
        <v>257</v>
      </c>
      <c r="U33" s="11" t="s">
        <v>85</v>
      </c>
      <c r="V33" s="11" t="s">
        <v>86</v>
      </c>
      <c r="W33" s="11" t="s">
        <v>275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88</v>
      </c>
    </row>
    <row r="34" customFormat="false" ht="15" hidden="false" customHeight="false" outlineLevel="0" collapsed="false">
      <c r="A34" s="9" t="s">
        <v>276</v>
      </c>
      <c r="B34" s="9" t="s">
        <v>277</v>
      </c>
      <c r="C34" s="9" t="s">
        <v>72</v>
      </c>
      <c r="D34" s="11" t="s">
        <v>278</v>
      </c>
      <c r="E34" s="9"/>
      <c r="F34" s="9"/>
      <c r="G34" s="9"/>
      <c r="H34" s="11" t="s">
        <v>279</v>
      </c>
      <c r="I34" s="9" t="s">
        <v>75</v>
      </c>
      <c r="J34" s="9"/>
      <c r="K34" s="11" t="s">
        <v>76</v>
      </c>
      <c r="L34" s="9" t="s">
        <v>262</v>
      </c>
      <c r="M34" s="9" t="s">
        <v>255</v>
      </c>
      <c r="N34" s="9" t="s">
        <v>256</v>
      </c>
      <c r="O34" s="9" t="s">
        <v>80</v>
      </c>
      <c r="P34" s="9" t="s">
        <v>81</v>
      </c>
      <c r="Q34" s="9" t="s">
        <v>257</v>
      </c>
      <c r="R34" s="9" t="s">
        <v>83</v>
      </c>
      <c r="S34" s="11" t="s">
        <v>84</v>
      </c>
      <c r="T34" s="9" t="s">
        <v>257</v>
      </c>
      <c r="U34" s="11" t="s">
        <v>85</v>
      </c>
      <c r="V34" s="11" t="s">
        <v>86</v>
      </c>
      <c r="W34" s="11" t="s">
        <v>280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88</v>
      </c>
    </row>
    <row r="35" customFormat="false" ht="15" hidden="false" customHeight="false" outlineLevel="0" collapsed="false">
      <c r="A35" s="9" t="s">
        <v>281</v>
      </c>
      <c r="B35" s="9" t="s">
        <v>282</v>
      </c>
      <c r="C35" s="9" t="s">
        <v>72</v>
      </c>
      <c r="D35" s="9" t="s">
        <v>283</v>
      </c>
      <c r="E35" s="10" t="n">
        <v>0.351</v>
      </c>
      <c r="F35" s="9"/>
      <c r="G35" s="9"/>
      <c r="H35" s="9" t="s">
        <v>74</v>
      </c>
      <c r="I35" s="9" t="s">
        <v>75</v>
      </c>
      <c r="J35" s="9"/>
      <c r="K35" s="11" t="s">
        <v>76</v>
      </c>
      <c r="L35" s="9" t="s">
        <v>284</v>
      </c>
      <c r="M35" s="9" t="s">
        <v>255</v>
      </c>
      <c r="N35" s="9" t="s">
        <v>256</v>
      </c>
      <c r="O35" s="9" t="s">
        <v>80</v>
      </c>
      <c r="P35" s="9" t="s">
        <v>100</v>
      </c>
      <c r="Q35" s="9"/>
      <c r="R35" s="11" t="s">
        <v>101</v>
      </c>
      <c r="S35" s="11" t="s">
        <v>102</v>
      </c>
      <c r="T35" s="11" t="s">
        <v>103</v>
      </c>
      <c r="U35" s="11" t="s">
        <v>102</v>
      </c>
      <c r="V35" s="9" t="s">
        <v>285</v>
      </c>
      <c r="W35" s="11" t="s">
        <v>286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88</v>
      </c>
    </row>
    <row r="36" customFormat="false" ht="15" hidden="false" customHeight="false" outlineLevel="0" collapsed="false">
      <c r="A36" s="9" t="s">
        <v>287</v>
      </c>
      <c r="B36" s="9" t="s">
        <v>288</v>
      </c>
      <c r="C36" s="9" t="s">
        <v>72</v>
      </c>
      <c r="D36" s="11" t="s">
        <v>289</v>
      </c>
      <c r="E36" s="9" t="n">
        <f aca="false">SRC_ANT_031/(SRC_ANT_002*SRC_ANT_027)</f>
        <v>0.16270337922403</v>
      </c>
      <c r="F36" s="9"/>
      <c r="G36" s="9"/>
      <c r="H36" s="11" t="s">
        <v>267</v>
      </c>
      <c r="I36" s="9" t="s">
        <v>75</v>
      </c>
      <c r="J36" s="9"/>
      <c r="K36" s="11" t="s">
        <v>76</v>
      </c>
      <c r="L36" s="9" t="s">
        <v>284</v>
      </c>
      <c r="M36" s="9" t="s">
        <v>255</v>
      </c>
      <c r="N36" s="9" t="s">
        <v>256</v>
      </c>
      <c r="O36" s="9" t="s">
        <v>80</v>
      </c>
      <c r="P36" s="9" t="s">
        <v>100</v>
      </c>
      <c r="Q36" s="9"/>
      <c r="R36" s="11" t="s">
        <v>101</v>
      </c>
      <c r="S36" s="11" t="s">
        <v>102</v>
      </c>
      <c r="T36" s="11" t="s">
        <v>103</v>
      </c>
      <c r="U36" s="11" t="s">
        <v>102</v>
      </c>
      <c r="V36" s="9" t="s">
        <v>104</v>
      </c>
      <c r="W36" s="11" t="s">
        <v>290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88</v>
      </c>
    </row>
    <row r="37" customFormat="false" ht="15" hidden="false" customHeight="false" outlineLevel="0" collapsed="false">
      <c r="A37" s="9" t="s">
        <v>291</v>
      </c>
      <c r="B37" s="9" t="s">
        <v>292</v>
      </c>
      <c r="C37" s="9" t="s">
        <v>72</v>
      </c>
      <c r="D37" s="9" t="s">
        <v>293</v>
      </c>
      <c r="E37" s="10" t="n">
        <v>1.9</v>
      </c>
      <c r="F37" s="9"/>
      <c r="G37" s="9"/>
      <c r="H37" s="9" t="s">
        <v>74</v>
      </c>
      <c r="I37" s="9" t="s">
        <v>75</v>
      </c>
      <c r="J37" s="9"/>
      <c r="K37" s="11" t="s">
        <v>76</v>
      </c>
      <c r="L37" s="9" t="s">
        <v>294</v>
      </c>
      <c r="M37" s="9" t="s">
        <v>295</v>
      </c>
      <c r="N37" s="9" t="s">
        <v>296</v>
      </c>
      <c r="O37" s="9" t="s">
        <v>80</v>
      </c>
      <c r="P37" s="9" t="s">
        <v>297</v>
      </c>
      <c r="Q37" s="9"/>
      <c r="R37" s="9" t="s">
        <v>83</v>
      </c>
      <c r="S37" s="11" t="s">
        <v>298</v>
      </c>
      <c r="T37" s="11" t="s">
        <v>299</v>
      </c>
      <c r="U37" s="11" t="s">
        <v>85</v>
      </c>
      <c r="V37" s="11" t="s">
        <v>86</v>
      </c>
      <c r="W37" s="11" t="s">
        <v>300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88</v>
      </c>
    </row>
    <row r="38" customFormat="false" ht="15" hidden="false" customHeight="false" outlineLevel="0" collapsed="false">
      <c r="A38" s="9" t="s">
        <v>301</v>
      </c>
      <c r="B38" s="9" t="s">
        <v>302</v>
      </c>
      <c r="C38" s="9" t="s">
        <v>72</v>
      </c>
      <c r="D38" s="9" t="s">
        <v>303</v>
      </c>
      <c r="E38" s="10" t="n">
        <v>6.4</v>
      </c>
      <c r="F38" s="9"/>
      <c r="G38" s="10" t="n">
        <v>6.4</v>
      </c>
      <c r="H38" s="9" t="s">
        <v>74</v>
      </c>
      <c r="I38" s="9" t="s">
        <v>304</v>
      </c>
      <c r="J38" s="9"/>
      <c r="K38" s="11" t="s">
        <v>76</v>
      </c>
      <c r="L38" s="9" t="s">
        <v>305</v>
      </c>
      <c r="M38" s="9" t="s">
        <v>295</v>
      </c>
      <c r="N38" s="9" t="s">
        <v>296</v>
      </c>
      <c r="O38" s="9" t="s">
        <v>80</v>
      </c>
      <c r="P38" s="9" t="s">
        <v>297</v>
      </c>
      <c r="Q38" s="9"/>
      <c r="R38" s="9" t="s">
        <v>83</v>
      </c>
      <c r="S38" s="11" t="s">
        <v>298</v>
      </c>
      <c r="T38" s="11" t="s">
        <v>299</v>
      </c>
      <c r="U38" s="11" t="s">
        <v>85</v>
      </c>
      <c r="V38" s="11" t="s">
        <v>86</v>
      </c>
      <c r="W38" s="11" t="s">
        <v>306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88</v>
      </c>
    </row>
    <row r="39" customFormat="false" ht="15" hidden="false" customHeight="false" outlineLevel="0" collapsed="false">
      <c r="A39" s="9" t="s">
        <v>307</v>
      </c>
      <c r="B39" s="9" t="s">
        <v>308</v>
      </c>
      <c r="C39" s="9" t="s">
        <v>72</v>
      </c>
      <c r="D39" s="9" t="s">
        <v>309</v>
      </c>
      <c r="E39" s="10" t="n">
        <v>22</v>
      </c>
      <c r="F39" s="9"/>
      <c r="G39" s="9"/>
      <c r="H39" s="9" t="s">
        <v>74</v>
      </c>
      <c r="I39" s="9" t="s">
        <v>227</v>
      </c>
      <c r="J39" s="9"/>
      <c r="K39" s="11" t="s">
        <v>310</v>
      </c>
      <c r="L39" s="9" t="s">
        <v>311</v>
      </c>
      <c r="M39" s="9" t="s">
        <v>312</v>
      </c>
      <c r="N39" s="9" t="s">
        <v>313</v>
      </c>
      <c r="O39" s="9" t="s">
        <v>80</v>
      </c>
      <c r="P39" s="9" t="s">
        <v>81</v>
      </c>
      <c r="Q39" s="9" t="s">
        <v>314</v>
      </c>
      <c r="R39" s="9" t="s">
        <v>83</v>
      </c>
      <c r="S39" s="11" t="s">
        <v>84</v>
      </c>
      <c r="T39" s="9" t="s">
        <v>314</v>
      </c>
      <c r="U39" s="11" t="s">
        <v>85</v>
      </c>
      <c r="V39" s="11" t="s">
        <v>86</v>
      </c>
      <c r="W39" s="11" t="s">
        <v>315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88</v>
      </c>
    </row>
    <row r="40" customFormat="false" ht="15" hidden="false" customHeight="false" outlineLevel="0" collapsed="false">
      <c r="A40" s="9" t="s">
        <v>316</v>
      </c>
      <c r="B40" s="9" t="s">
        <v>317</v>
      </c>
      <c r="C40" s="9" t="s">
        <v>72</v>
      </c>
      <c r="D40" s="11" t="s">
        <v>318</v>
      </c>
      <c r="E40" s="10" t="n">
        <v>0.8</v>
      </c>
      <c r="F40" s="9"/>
      <c r="G40" s="9"/>
      <c r="H40" s="11" t="s">
        <v>267</v>
      </c>
      <c r="I40" s="9" t="s">
        <v>194</v>
      </c>
      <c r="J40" s="9"/>
      <c r="K40" s="11" t="s">
        <v>144</v>
      </c>
      <c r="L40" s="9" t="s">
        <v>319</v>
      </c>
      <c r="M40" s="9" t="s">
        <v>196</v>
      </c>
      <c r="N40" s="9" t="s">
        <v>197</v>
      </c>
      <c r="O40" s="9" t="s">
        <v>80</v>
      </c>
      <c r="P40" s="9" t="s">
        <v>81</v>
      </c>
      <c r="Q40" s="9" t="s">
        <v>148</v>
      </c>
      <c r="R40" s="9" t="s">
        <v>83</v>
      </c>
      <c r="S40" s="11" t="s">
        <v>84</v>
      </c>
      <c r="T40" s="9" t="s">
        <v>148</v>
      </c>
      <c r="U40" s="11" t="s">
        <v>85</v>
      </c>
      <c r="V40" s="11" t="s">
        <v>86</v>
      </c>
      <c r="W40" s="11" t="s">
        <v>320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88</v>
      </c>
    </row>
    <row r="41" customFormat="false" ht="15" hidden="false" customHeight="false" outlineLevel="0" collapsed="false">
      <c r="A41" s="9" t="s">
        <v>321</v>
      </c>
      <c r="B41" s="9" t="s">
        <v>322</v>
      </c>
      <c r="C41" s="9" t="s">
        <v>72</v>
      </c>
      <c r="D41" s="11" t="s">
        <v>323</v>
      </c>
      <c r="E41" s="10" t="n">
        <v>0.65</v>
      </c>
      <c r="F41" s="10" t="n">
        <v>0.6</v>
      </c>
      <c r="G41" s="10" t="n">
        <v>0.67</v>
      </c>
      <c r="H41" s="11" t="s">
        <v>267</v>
      </c>
      <c r="I41" s="9" t="s">
        <v>75</v>
      </c>
      <c r="J41" s="9"/>
      <c r="K41" s="11" t="s">
        <v>76</v>
      </c>
      <c r="L41" s="9" t="s">
        <v>262</v>
      </c>
      <c r="M41" s="9" t="s">
        <v>255</v>
      </c>
      <c r="N41" s="9" t="s">
        <v>256</v>
      </c>
      <c r="O41" s="9" t="s">
        <v>80</v>
      </c>
      <c r="P41" s="9" t="s">
        <v>81</v>
      </c>
      <c r="Q41" s="9" t="s">
        <v>324</v>
      </c>
      <c r="R41" s="9" t="s">
        <v>83</v>
      </c>
      <c r="S41" s="11" t="s">
        <v>84</v>
      </c>
      <c r="T41" s="9" t="s">
        <v>324</v>
      </c>
      <c r="U41" s="11" t="s">
        <v>85</v>
      </c>
      <c r="V41" s="11" t="s">
        <v>86</v>
      </c>
      <c r="W41" s="11" t="s">
        <v>325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88</v>
      </c>
    </row>
    <row r="42" customFormat="false" ht="15" hidden="false" customHeight="false" outlineLevel="0" collapsed="false">
      <c r="A42" s="9" t="s">
        <v>326</v>
      </c>
      <c r="B42" s="9" t="s">
        <v>327</v>
      </c>
      <c r="C42" s="9" t="s">
        <v>72</v>
      </c>
      <c r="D42" s="11" t="s">
        <v>328</v>
      </c>
      <c r="E42" s="10" t="n">
        <v>0.24</v>
      </c>
      <c r="F42" s="9"/>
      <c r="G42" s="9"/>
      <c r="H42" s="11" t="s">
        <v>267</v>
      </c>
      <c r="I42" s="9" t="s">
        <v>75</v>
      </c>
      <c r="J42" s="9"/>
      <c r="K42" s="11" t="s">
        <v>76</v>
      </c>
      <c r="L42" s="9" t="s">
        <v>262</v>
      </c>
      <c r="M42" s="9" t="s">
        <v>255</v>
      </c>
      <c r="N42" s="9" t="s">
        <v>256</v>
      </c>
      <c r="O42" s="9" t="s">
        <v>80</v>
      </c>
      <c r="P42" s="9" t="s">
        <v>81</v>
      </c>
      <c r="Q42" s="9" t="s">
        <v>324</v>
      </c>
      <c r="R42" s="9" t="s">
        <v>83</v>
      </c>
      <c r="S42" s="11" t="s">
        <v>84</v>
      </c>
      <c r="T42" s="9" t="s">
        <v>324</v>
      </c>
      <c r="U42" s="11" t="s">
        <v>85</v>
      </c>
      <c r="V42" s="11" t="s">
        <v>86</v>
      </c>
      <c r="W42" s="11" t="s">
        <v>329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88</v>
      </c>
    </row>
    <row r="43" customFormat="false" ht="15" hidden="false" customHeight="false" outlineLevel="0" collapsed="false">
      <c r="A43" s="9" t="s">
        <v>330</v>
      </c>
      <c r="B43" s="9" t="s">
        <v>331</v>
      </c>
      <c r="C43" s="9" t="s">
        <v>72</v>
      </c>
      <c r="D43" s="11" t="s">
        <v>332</v>
      </c>
      <c r="E43" s="10" t="n">
        <v>0.24</v>
      </c>
      <c r="F43" s="9"/>
      <c r="G43" s="9"/>
      <c r="H43" s="11" t="s">
        <v>267</v>
      </c>
      <c r="I43" s="9" t="s">
        <v>75</v>
      </c>
      <c r="J43" s="9"/>
      <c r="K43" s="11" t="s">
        <v>76</v>
      </c>
      <c r="L43" s="9" t="s">
        <v>333</v>
      </c>
      <c r="M43" s="9" t="s">
        <v>334</v>
      </c>
      <c r="N43" s="9" t="s">
        <v>79</v>
      </c>
      <c r="O43" s="9" t="s">
        <v>80</v>
      </c>
      <c r="P43" s="9" t="s">
        <v>81</v>
      </c>
      <c r="Q43" s="9" t="s">
        <v>335</v>
      </c>
      <c r="R43" s="11" t="s">
        <v>101</v>
      </c>
      <c r="S43" s="11" t="s">
        <v>84</v>
      </c>
      <c r="T43" s="9" t="s">
        <v>335</v>
      </c>
      <c r="U43" s="11" t="s">
        <v>101</v>
      </c>
      <c r="V43" s="11" t="s">
        <v>86</v>
      </c>
      <c r="W43" s="11" t="s">
        <v>336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88</v>
      </c>
    </row>
    <row r="44" customFormat="false" ht="15" hidden="false" customHeight="false" outlineLevel="0" collapsed="false">
      <c r="A44" s="9" t="s">
        <v>337</v>
      </c>
      <c r="B44" s="9" t="s">
        <v>338</v>
      </c>
      <c r="C44" s="9" t="s">
        <v>72</v>
      </c>
      <c r="D44" s="9" t="s">
        <v>339</v>
      </c>
      <c r="E44" s="10" t="n">
        <v>1.2</v>
      </c>
      <c r="F44" s="9"/>
      <c r="G44" s="9"/>
      <c r="H44" s="9" t="s">
        <v>74</v>
      </c>
      <c r="I44" s="9" t="s">
        <v>183</v>
      </c>
      <c r="J44" s="9"/>
      <c r="K44" s="11" t="s">
        <v>144</v>
      </c>
      <c r="L44" s="9" t="s">
        <v>340</v>
      </c>
      <c r="M44" s="9" t="s">
        <v>341</v>
      </c>
      <c r="N44" s="9" t="s">
        <v>342</v>
      </c>
      <c r="O44" s="9" t="s">
        <v>80</v>
      </c>
      <c r="P44" s="9" t="s">
        <v>81</v>
      </c>
      <c r="Q44" s="9" t="s">
        <v>343</v>
      </c>
      <c r="R44" s="11" t="s">
        <v>101</v>
      </c>
      <c r="S44" s="11" t="s">
        <v>84</v>
      </c>
      <c r="T44" s="9" t="s">
        <v>343</v>
      </c>
      <c r="U44" s="11" t="s">
        <v>101</v>
      </c>
      <c r="V44" s="11" t="s">
        <v>86</v>
      </c>
      <c r="W44" s="11" t="s">
        <v>344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88</v>
      </c>
    </row>
    <row r="45" customFormat="false" ht="15" hidden="false" customHeight="false" outlineLevel="0" collapsed="false">
      <c r="A45" s="9" t="s">
        <v>345</v>
      </c>
      <c r="B45" s="9" t="s">
        <v>346</v>
      </c>
      <c r="C45" s="9" t="s">
        <v>72</v>
      </c>
      <c r="D45" s="9" t="s">
        <v>347</v>
      </c>
      <c r="E45" s="10" t="n">
        <v>0.5</v>
      </c>
      <c r="F45" s="9"/>
      <c r="G45" s="10" t="n">
        <v>0.5</v>
      </c>
      <c r="H45" s="9" t="s">
        <v>74</v>
      </c>
      <c r="I45" s="9" t="s">
        <v>75</v>
      </c>
      <c r="J45" s="9"/>
      <c r="K45" s="11" t="s">
        <v>144</v>
      </c>
      <c r="L45" s="9" t="s">
        <v>348</v>
      </c>
      <c r="M45" s="9" t="s">
        <v>349</v>
      </c>
      <c r="N45" s="9"/>
      <c r="O45" s="9" t="s">
        <v>80</v>
      </c>
      <c r="P45" s="9" t="s">
        <v>81</v>
      </c>
      <c r="Q45" s="9" t="s">
        <v>350</v>
      </c>
      <c r="R45" s="9" t="s">
        <v>83</v>
      </c>
      <c r="S45" s="11" t="s">
        <v>84</v>
      </c>
      <c r="T45" s="9" t="s">
        <v>350</v>
      </c>
      <c r="U45" s="11" t="s">
        <v>85</v>
      </c>
      <c r="V45" s="11" t="s">
        <v>86</v>
      </c>
      <c r="W45" s="11" t="s">
        <v>351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88</v>
      </c>
    </row>
    <row r="46" customFormat="false" ht="15" hidden="false" customHeight="false" outlineLevel="0" collapsed="false">
      <c r="A46" s="9" t="s">
        <v>352</v>
      </c>
      <c r="B46" s="9" t="s">
        <v>353</v>
      </c>
      <c r="C46" s="9" t="s">
        <v>72</v>
      </c>
      <c r="D46" s="9" t="s">
        <v>354</v>
      </c>
      <c r="E46" s="10" t="n">
        <v>0.5</v>
      </c>
      <c r="F46" s="9"/>
      <c r="G46" s="9"/>
      <c r="H46" s="11" t="s">
        <v>267</v>
      </c>
      <c r="I46" s="9" t="s">
        <v>75</v>
      </c>
      <c r="J46" s="9"/>
      <c r="K46" s="11" t="s">
        <v>144</v>
      </c>
      <c r="L46" s="9" t="s">
        <v>355</v>
      </c>
      <c r="M46" s="9" t="s">
        <v>295</v>
      </c>
      <c r="N46" s="9" t="s">
        <v>296</v>
      </c>
      <c r="O46" s="9" t="s">
        <v>80</v>
      </c>
      <c r="P46" s="9" t="s">
        <v>81</v>
      </c>
      <c r="Q46" s="9" t="s">
        <v>356</v>
      </c>
      <c r="R46" s="9" t="s">
        <v>83</v>
      </c>
      <c r="S46" s="11" t="s">
        <v>84</v>
      </c>
      <c r="T46" s="9" t="s">
        <v>356</v>
      </c>
      <c r="U46" s="11" t="s">
        <v>85</v>
      </c>
      <c r="V46" s="11" t="s">
        <v>86</v>
      </c>
      <c r="W46" s="11" t="s">
        <v>357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88</v>
      </c>
    </row>
    <row r="47" customFormat="false" ht="15" hidden="false" customHeight="false" outlineLevel="0" collapsed="false">
      <c r="A47" s="9" t="s">
        <v>358</v>
      </c>
      <c r="B47" s="9" t="s">
        <v>359</v>
      </c>
      <c r="C47" s="9" t="s">
        <v>72</v>
      </c>
      <c r="D47" s="9" t="s">
        <v>360</v>
      </c>
      <c r="E47" s="10" t="n">
        <v>0.4</v>
      </c>
      <c r="F47" s="9"/>
      <c r="G47" s="9"/>
      <c r="H47" s="11" t="s">
        <v>267</v>
      </c>
      <c r="I47" s="9" t="s">
        <v>75</v>
      </c>
      <c r="J47" s="9"/>
      <c r="K47" s="11" t="s">
        <v>144</v>
      </c>
      <c r="L47" s="9" t="s">
        <v>361</v>
      </c>
      <c r="M47" s="9" t="s">
        <v>362</v>
      </c>
      <c r="N47" s="9" t="s">
        <v>186</v>
      </c>
      <c r="O47" s="9" t="s">
        <v>80</v>
      </c>
      <c r="P47" s="9" t="s">
        <v>81</v>
      </c>
      <c r="Q47" s="9" t="s">
        <v>363</v>
      </c>
      <c r="R47" s="9" t="s">
        <v>83</v>
      </c>
      <c r="S47" s="11" t="s">
        <v>84</v>
      </c>
      <c r="T47" s="9" t="s">
        <v>363</v>
      </c>
      <c r="U47" s="11" t="s">
        <v>85</v>
      </c>
      <c r="V47" s="11" t="s">
        <v>86</v>
      </c>
      <c r="W47" s="11" t="s">
        <v>364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88</v>
      </c>
    </row>
    <row r="48" customFormat="false" ht="15" hidden="false" customHeight="false" outlineLevel="0" collapsed="false">
      <c r="A48" s="9" t="s">
        <v>365</v>
      </c>
      <c r="B48" s="9" t="s">
        <v>366</v>
      </c>
      <c r="C48" s="9" t="s">
        <v>72</v>
      </c>
      <c r="D48" s="9" t="s">
        <v>367</v>
      </c>
      <c r="E48" s="10" t="n">
        <v>0.38</v>
      </c>
      <c r="F48" s="9"/>
      <c r="G48" s="9"/>
      <c r="H48" s="11" t="s">
        <v>267</v>
      </c>
      <c r="I48" s="9" t="s">
        <v>75</v>
      </c>
      <c r="J48" s="9"/>
      <c r="K48" s="11" t="s">
        <v>144</v>
      </c>
      <c r="L48" s="11" t="s">
        <v>368</v>
      </c>
      <c r="M48" s="9" t="s">
        <v>369</v>
      </c>
      <c r="N48" s="9" t="s">
        <v>370</v>
      </c>
      <c r="O48" s="9" t="s">
        <v>80</v>
      </c>
      <c r="P48" s="9" t="s">
        <v>81</v>
      </c>
      <c r="Q48" s="9" t="s">
        <v>363</v>
      </c>
      <c r="R48" s="9" t="s">
        <v>83</v>
      </c>
      <c r="S48" s="11" t="s">
        <v>84</v>
      </c>
      <c r="T48" s="9" t="s">
        <v>363</v>
      </c>
      <c r="U48" s="11" t="s">
        <v>85</v>
      </c>
      <c r="V48" s="11" t="s">
        <v>86</v>
      </c>
      <c r="W48" s="11" t="s">
        <v>371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88</v>
      </c>
    </row>
    <row r="49" customFormat="false" ht="15" hidden="false" customHeight="false" outlineLevel="0" collapsed="false">
      <c r="A49" s="9" t="s">
        <v>372</v>
      </c>
      <c r="B49" s="9" t="s">
        <v>373</v>
      </c>
      <c r="C49" s="9" t="s">
        <v>72</v>
      </c>
      <c r="D49" s="9" t="s">
        <v>374</v>
      </c>
      <c r="E49" s="10" t="n">
        <v>0.23</v>
      </c>
      <c r="F49" s="9"/>
      <c r="G49" s="9"/>
      <c r="H49" s="11" t="s">
        <v>267</v>
      </c>
      <c r="I49" s="9" t="s">
        <v>75</v>
      </c>
      <c r="J49" s="9"/>
      <c r="K49" s="11" t="s">
        <v>144</v>
      </c>
      <c r="L49" s="11" t="s">
        <v>368</v>
      </c>
      <c r="M49" s="9" t="s">
        <v>369</v>
      </c>
      <c r="N49" s="9" t="s">
        <v>370</v>
      </c>
      <c r="O49" s="9" t="s">
        <v>80</v>
      </c>
      <c r="P49" s="9" t="s">
        <v>81</v>
      </c>
      <c r="Q49" s="9" t="s">
        <v>363</v>
      </c>
      <c r="R49" s="9" t="s">
        <v>83</v>
      </c>
      <c r="S49" s="11" t="s">
        <v>84</v>
      </c>
      <c r="T49" s="9" t="s">
        <v>363</v>
      </c>
      <c r="U49" s="11" t="s">
        <v>85</v>
      </c>
      <c r="V49" s="11" t="s">
        <v>86</v>
      </c>
      <c r="W49" s="11" t="s">
        <v>375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88</v>
      </c>
    </row>
    <row r="50" customFormat="false" ht="15" hidden="false" customHeight="false" outlineLevel="0" collapsed="false">
      <c r="A50" s="9" t="s">
        <v>376</v>
      </c>
      <c r="B50" s="9" t="s">
        <v>377</v>
      </c>
      <c r="C50" s="9" t="s">
        <v>72</v>
      </c>
      <c r="D50" s="9" t="s">
        <v>378</v>
      </c>
      <c r="E50" s="10" t="n">
        <v>4.1</v>
      </c>
      <c r="F50" s="9"/>
      <c r="G50" s="9"/>
      <c r="H50" s="9" t="s">
        <v>74</v>
      </c>
      <c r="I50" s="9" t="s">
        <v>75</v>
      </c>
      <c r="J50" s="9"/>
      <c r="K50" s="11" t="s">
        <v>144</v>
      </c>
      <c r="L50" s="11" t="s">
        <v>368</v>
      </c>
      <c r="M50" s="9" t="s">
        <v>369</v>
      </c>
      <c r="N50" s="9" t="s">
        <v>370</v>
      </c>
      <c r="O50" s="9" t="s">
        <v>80</v>
      </c>
      <c r="P50" s="9" t="s">
        <v>81</v>
      </c>
      <c r="Q50" s="9" t="s">
        <v>363</v>
      </c>
      <c r="R50" s="9" t="s">
        <v>83</v>
      </c>
      <c r="S50" s="11" t="s">
        <v>84</v>
      </c>
      <c r="T50" s="9" t="s">
        <v>363</v>
      </c>
      <c r="U50" s="11" t="s">
        <v>85</v>
      </c>
      <c r="V50" s="11" t="s">
        <v>86</v>
      </c>
      <c r="W50" s="11" t="s">
        <v>379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88</v>
      </c>
    </row>
    <row r="51" customFormat="false" ht="15" hidden="false" customHeight="false" outlineLevel="0" collapsed="false">
      <c r="A51" s="9" t="s">
        <v>380</v>
      </c>
      <c r="B51" s="9" t="s">
        <v>381</v>
      </c>
      <c r="C51" s="9" t="s">
        <v>72</v>
      </c>
      <c r="D51" s="9" t="s">
        <v>382</v>
      </c>
      <c r="E51" s="10" t="n">
        <v>4.5</v>
      </c>
      <c r="F51" s="9"/>
      <c r="G51" s="9"/>
      <c r="H51" s="9" t="s">
        <v>74</v>
      </c>
      <c r="I51" s="9" t="s">
        <v>75</v>
      </c>
      <c r="J51" s="9"/>
      <c r="K51" s="11" t="s">
        <v>144</v>
      </c>
      <c r="L51" s="11" t="s">
        <v>368</v>
      </c>
      <c r="M51" s="9" t="s">
        <v>369</v>
      </c>
      <c r="N51" s="9" t="s">
        <v>370</v>
      </c>
      <c r="O51" s="9" t="s">
        <v>80</v>
      </c>
      <c r="P51" s="9" t="s">
        <v>81</v>
      </c>
      <c r="Q51" s="9" t="s">
        <v>363</v>
      </c>
      <c r="R51" s="9" t="s">
        <v>83</v>
      </c>
      <c r="S51" s="11" t="s">
        <v>84</v>
      </c>
      <c r="T51" s="9" t="s">
        <v>363</v>
      </c>
      <c r="U51" s="11" t="s">
        <v>85</v>
      </c>
      <c r="V51" s="11" t="s">
        <v>86</v>
      </c>
      <c r="W51" s="11" t="s">
        <v>383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88</v>
      </c>
    </row>
    <row r="52" customFormat="false" ht="15" hidden="false" customHeight="false" outlineLevel="0" collapsed="false">
      <c r="A52" s="9" t="s">
        <v>384</v>
      </c>
      <c r="B52" s="9" t="s">
        <v>385</v>
      </c>
      <c r="C52" s="9" t="s">
        <v>72</v>
      </c>
      <c r="D52" s="9" t="s">
        <v>386</v>
      </c>
      <c r="E52" s="10" t="n">
        <v>10</v>
      </c>
      <c r="F52" s="9"/>
      <c r="G52" s="9"/>
      <c r="H52" s="9" t="s">
        <v>74</v>
      </c>
      <c r="I52" s="9" t="s">
        <v>75</v>
      </c>
      <c r="J52" s="9"/>
      <c r="K52" s="11" t="s">
        <v>144</v>
      </c>
      <c r="L52" s="9" t="s">
        <v>387</v>
      </c>
      <c r="M52" s="9" t="s">
        <v>388</v>
      </c>
      <c r="N52" s="9" t="s">
        <v>370</v>
      </c>
      <c r="O52" s="9" t="s">
        <v>80</v>
      </c>
      <c r="P52" s="9" t="s">
        <v>81</v>
      </c>
      <c r="Q52" s="9" t="s">
        <v>389</v>
      </c>
      <c r="R52" s="11" t="s">
        <v>101</v>
      </c>
      <c r="S52" s="11" t="s">
        <v>84</v>
      </c>
      <c r="T52" s="9" t="s">
        <v>389</v>
      </c>
      <c r="U52" s="11" t="s">
        <v>101</v>
      </c>
      <c r="V52" s="11" t="s">
        <v>86</v>
      </c>
      <c r="W52" s="11" t="s">
        <v>390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88</v>
      </c>
    </row>
    <row r="53" customFormat="false" ht="15" hidden="false" customHeight="false" outlineLevel="0" collapsed="false">
      <c r="A53" s="9" t="s">
        <v>391</v>
      </c>
      <c r="B53" s="9" t="s">
        <v>392</v>
      </c>
      <c r="C53" s="9" t="s">
        <v>72</v>
      </c>
      <c r="D53" s="11" t="s">
        <v>393</v>
      </c>
      <c r="E53" s="10" t="n">
        <v>0.8</v>
      </c>
      <c r="F53" s="10" t="n">
        <v>0.8</v>
      </c>
      <c r="G53" s="9"/>
      <c r="H53" s="11" t="s">
        <v>267</v>
      </c>
      <c r="I53" s="9" t="s">
        <v>394</v>
      </c>
      <c r="J53" s="9"/>
      <c r="K53" s="11" t="s">
        <v>76</v>
      </c>
      <c r="L53" s="9" t="s">
        <v>395</v>
      </c>
      <c r="M53" s="9" t="s">
        <v>396</v>
      </c>
      <c r="N53" s="9" t="s">
        <v>397</v>
      </c>
      <c r="O53" s="9" t="s">
        <v>80</v>
      </c>
      <c r="P53" s="9" t="s">
        <v>81</v>
      </c>
      <c r="Q53" s="9" t="s">
        <v>241</v>
      </c>
      <c r="R53" s="9" t="s">
        <v>83</v>
      </c>
      <c r="S53" s="11" t="s">
        <v>84</v>
      </c>
      <c r="T53" s="9" t="s">
        <v>241</v>
      </c>
      <c r="U53" s="11" t="s">
        <v>85</v>
      </c>
      <c r="V53" s="11" t="s">
        <v>86</v>
      </c>
      <c r="W53" s="11" t="s">
        <v>398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88</v>
      </c>
    </row>
    <row r="54" customFormat="false" ht="15" hidden="false" customHeight="false" outlineLevel="0" collapsed="false">
      <c r="A54" s="9" t="s">
        <v>399</v>
      </c>
      <c r="B54" s="9" t="s">
        <v>400</v>
      </c>
      <c r="C54" s="9" t="s">
        <v>72</v>
      </c>
      <c r="D54" s="9" t="s">
        <v>401</v>
      </c>
      <c r="E54" s="10" t="n">
        <v>0.44</v>
      </c>
      <c r="F54" s="10" t="n">
        <v>0.4</v>
      </c>
      <c r="G54" s="10" t="n">
        <v>0.5</v>
      </c>
      <c r="H54" s="11" t="s">
        <v>267</v>
      </c>
      <c r="I54" s="9" t="s">
        <v>304</v>
      </c>
      <c r="J54" s="9"/>
      <c r="K54" s="11" t="s">
        <v>144</v>
      </c>
      <c r="L54" s="9" t="s">
        <v>402</v>
      </c>
      <c r="M54" s="9" t="s">
        <v>403</v>
      </c>
      <c r="N54" s="9" t="s">
        <v>404</v>
      </c>
      <c r="O54" s="9" t="s">
        <v>80</v>
      </c>
      <c r="P54" s="9" t="s">
        <v>297</v>
      </c>
      <c r="Q54" s="9"/>
      <c r="R54" s="9" t="s">
        <v>83</v>
      </c>
      <c r="S54" s="11" t="s">
        <v>298</v>
      </c>
      <c r="T54" s="11" t="s">
        <v>299</v>
      </c>
      <c r="U54" s="11" t="s">
        <v>85</v>
      </c>
      <c r="V54" s="11" t="s">
        <v>86</v>
      </c>
      <c r="W54" s="11" t="s">
        <v>405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88</v>
      </c>
    </row>
    <row r="55" customFormat="false" ht="15" hidden="false" customHeight="false" outlineLevel="0" collapsed="false">
      <c r="A55" s="9" t="s">
        <v>406</v>
      </c>
      <c r="B55" s="9" t="s">
        <v>407</v>
      </c>
      <c r="C55" s="9" t="s">
        <v>72</v>
      </c>
      <c r="D55" s="11" t="s">
        <v>408</v>
      </c>
      <c r="E55" s="10" t="n">
        <v>0.71</v>
      </c>
      <c r="F55" s="9"/>
      <c r="G55" s="9"/>
      <c r="H55" s="9" t="s">
        <v>409</v>
      </c>
      <c r="I55" s="9" t="s">
        <v>110</v>
      </c>
      <c r="J55" s="9"/>
      <c r="K55" s="11" t="s">
        <v>144</v>
      </c>
      <c r="L55" s="9" t="s">
        <v>410</v>
      </c>
      <c r="M55" s="9" t="s">
        <v>411</v>
      </c>
      <c r="N55" s="9" t="s">
        <v>412</v>
      </c>
      <c r="O55" s="9" t="s">
        <v>80</v>
      </c>
      <c r="P55" s="9" t="s">
        <v>81</v>
      </c>
      <c r="Q55" s="9" t="s">
        <v>413</v>
      </c>
      <c r="R55" s="9" t="s">
        <v>83</v>
      </c>
      <c r="S55" s="11" t="s">
        <v>84</v>
      </c>
      <c r="T55" s="9" t="s">
        <v>413</v>
      </c>
      <c r="U55" s="11" t="s">
        <v>85</v>
      </c>
      <c r="V55" s="11" t="s">
        <v>86</v>
      </c>
      <c r="W55" s="11" t="s">
        <v>414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88</v>
      </c>
    </row>
    <row r="56" customFormat="false" ht="15" hidden="false" customHeight="false" outlineLevel="0" collapsed="false">
      <c r="A56" s="9" t="s">
        <v>415</v>
      </c>
      <c r="B56" s="9" t="s">
        <v>416</v>
      </c>
      <c r="C56" s="9" t="s">
        <v>72</v>
      </c>
      <c r="D56" s="11" t="s">
        <v>417</v>
      </c>
      <c r="E56" s="10" t="n">
        <v>0.56</v>
      </c>
      <c r="F56" s="9"/>
      <c r="G56" s="9"/>
      <c r="H56" s="9" t="s">
        <v>409</v>
      </c>
      <c r="I56" s="9" t="s">
        <v>119</v>
      </c>
      <c r="J56" s="9"/>
      <c r="K56" s="11" t="s">
        <v>144</v>
      </c>
      <c r="L56" s="9" t="s">
        <v>418</v>
      </c>
      <c r="M56" s="9" t="s">
        <v>411</v>
      </c>
      <c r="N56" s="9" t="s">
        <v>412</v>
      </c>
      <c r="O56" s="9" t="s">
        <v>80</v>
      </c>
      <c r="P56" s="9" t="s">
        <v>81</v>
      </c>
      <c r="Q56" s="9" t="s">
        <v>419</v>
      </c>
      <c r="R56" s="9" t="s">
        <v>83</v>
      </c>
      <c r="S56" s="11" t="s">
        <v>84</v>
      </c>
      <c r="T56" s="9" t="s">
        <v>419</v>
      </c>
      <c r="U56" s="11" t="s">
        <v>85</v>
      </c>
      <c r="V56" s="11" t="s">
        <v>86</v>
      </c>
      <c r="W56" s="11" t="s">
        <v>420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88</v>
      </c>
    </row>
    <row r="57" customFormat="false" ht="15" hidden="false" customHeight="false" outlineLevel="0" collapsed="false">
      <c r="A57" s="9" t="s">
        <v>421</v>
      </c>
      <c r="B57" s="9" t="s">
        <v>422</v>
      </c>
      <c r="C57" s="9" t="s">
        <v>72</v>
      </c>
      <c r="D57" s="9" t="s">
        <v>108</v>
      </c>
      <c r="E57" s="10" t="n">
        <v>4.8</v>
      </c>
      <c r="F57" s="9"/>
      <c r="G57" s="9"/>
      <c r="H57" s="9" t="s">
        <v>109</v>
      </c>
      <c r="I57" s="9" t="s">
        <v>110</v>
      </c>
      <c r="J57" s="9"/>
      <c r="K57" s="11" t="s">
        <v>76</v>
      </c>
      <c r="L57" s="9" t="s">
        <v>418</v>
      </c>
      <c r="M57" s="9" t="s">
        <v>411</v>
      </c>
      <c r="N57" s="9" t="s">
        <v>412</v>
      </c>
      <c r="O57" s="9" t="s">
        <v>80</v>
      </c>
      <c r="P57" s="9" t="s">
        <v>81</v>
      </c>
      <c r="Q57" s="9" t="s">
        <v>356</v>
      </c>
      <c r="R57" s="9" t="s">
        <v>83</v>
      </c>
      <c r="S57" s="11" t="s">
        <v>84</v>
      </c>
      <c r="T57" s="9" t="s">
        <v>356</v>
      </c>
      <c r="U57" s="11" t="s">
        <v>85</v>
      </c>
      <c r="V57" s="11" t="s">
        <v>86</v>
      </c>
      <c r="W57" s="11" t="s">
        <v>423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88</v>
      </c>
    </row>
    <row r="58" customFormat="false" ht="15" hidden="false" customHeight="false" outlineLevel="0" collapsed="false">
      <c r="A58" s="9" t="s">
        <v>424</v>
      </c>
      <c r="B58" s="9" t="s">
        <v>425</v>
      </c>
      <c r="C58" s="9" t="s">
        <v>72</v>
      </c>
      <c r="D58" s="9" t="s">
        <v>426</v>
      </c>
      <c r="E58" s="10" t="n">
        <v>10.9</v>
      </c>
      <c r="F58" s="9"/>
      <c r="G58" s="9"/>
      <c r="H58" s="9" t="s">
        <v>109</v>
      </c>
      <c r="I58" s="9" t="s">
        <v>119</v>
      </c>
      <c r="J58" s="9"/>
      <c r="K58" s="11" t="s">
        <v>76</v>
      </c>
      <c r="L58" s="9" t="s">
        <v>418</v>
      </c>
      <c r="M58" s="9" t="s">
        <v>411</v>
      </c>
      <c r="N58" s="9" t="s">
        <v>412</v>
      </c>
      <c r="O58" s="9" t="s">
        <v>80</v>
      </c>
      <c r="P58" s="9" t="s">
        <v>81</v>
      </c>
      <c r="Q58" s="9" t="s">
        <v>419</v>
      </c>
      <c r="R58" s="9" t="s">
        <v>83</v>
      </c>
      <c r="S58" s="11" t="s">
        <v>84</v>
      </c>
      <c r="T58" s="9" t="s">
        <v>419</v>
      </c>
      <c r="U58" s="11" t="s">
        <v>85</v>
      </c>
      <c r="V58" s="11" t="s">
        <v>86</v>
      </c>
      <c r="W58" s="11" t="s">
        <v>427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88</v>
      </c>
    </row>
    <row r="59" customFormat="false" ht="15" hidden="false" customHeight="false" outlineLevel="0" collapsed="false">
      <c r="A59" s="9" t="s">
        <v>428</v>
      </c>
      <c r="B59" s="9" t="s">
        <v>429</v>
      </c>
      <c r="C59" s="9" t="s">
        <v>72</v>
      </c>
      <c r="D59" s="9" t="s">
        <v>430</v>
      </c>
      <c r="E59" s="10" t="n">
        <v>0.5</v>
      </c>
      <c r="F59" s="9"/>
      <c r="G59" s="9"/>
      <c r="H59" s="9" t="s">
        <v>74</v>
      </c>
      <c r="I59" s="9" t="s">
        <v>190</v>
      </c>
      <c r="J59" s="9"/>
      <c r="K59" s="9"/>
      <c r="L59" s="9" t="s">
        <v>431</v>
      </c>
      <c r="M59" s="9" t="s">
        <v>146</v>
      </c>
      <c r="N59" s="9" t="s">
        <v>147</v>
      </c>
      <c r="O59" s="9" t="s">
        <v>80</v>
      </c>
      <c r="P59" s="9" t="s">
        <v>81</v>
      </c>
      <c r="Q59" s="9" t="s">
        <v>432</v>
      </c>
      <c r="R59" s="9" t="s">
        <v>149</v>
      </c>
      <c r="S59" s="11" t="s">
        <v>84</v>
      </c>
      <c r="T59" s="9" t="s">
        <v>432</v>
      </c>
      <c r="U59" s="11" t="s">
        <v>150</v>
      </c>
      <c r="V59" s="11" t="s">
        <v>86</v>
      </c>
      <c r="W59" s="11" t="s">
        <v>433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88</v>
      </c>
    </row>
    <row r="60" customFormat="false" ht="15" hidden="false" customHeight="false" outlineLevel="0" collapsed="false">
      <c r="A60" s="9" t="s">
        <v>434</v>
      </c>
      <c r="B60" s="9" t="s">
        <v>435</v>
      </c>
      <c r="C60" s="9" t="s">
        <v>72</v>
      </c>
      <c r="D60" s="9" t="s">
        <v>430</v>
      </c>
      <c r="E60" s="10" t="n">
        <v>1</v>
      </c>
      <c r="F60" s="9"/>
      <c r="G60" s="10" t="n">
        <v>1</v>
      </c>
      <c r="H60" s="9" t="s">
        <v>74</v>
      </c>
      <c r="I60" s="9" t="s">
        <v>194</v>
      </c>
      <c r="J60" s="9"/>
      <c r="K60" s="9"/>
      <c r="L60" s="9" t="s">
        <v>319</v>
      </c>
      <c r="M60" s="9" t="s">
        <v>196</v>
      </c>
      <c r="N60" s="9" t="s">
        <v>197</v>
      </c>
      <c r="O60" s="9" t="s">
        <v>80</v>
      </c>
      <c r="P60" s="9" t="s">
        <v>81</v>
      </c>
      <c r="Q60" s="9" t="s">
        <v>432</v>
      </c>
      <c r="R60" s="9" t="s">
        <v>83</v>
      </c>
      <c r="S60" s="11" t="s">
        <v>84</v>
      </c>
      <c r="T60" s="9" t="s">
        <v>432</v>
      </c>
      <c r="U60" s="11" t="s">
        <v>85</v>
      </c>
      <c r="V60" s="11" t="s">
        <v>86</v>
      </c>
      <c r="W60" s="11" t="s">
        <v>436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88</v>
      </c>
    </row>
    <row r="61" customFormat="false" ht="15" hidden="false" customHeight="false" outlineLevel="0" collapsed="false">
      <c r="A61" s="9" t="s">
        <v>437</v>
      </c>
      <c r="B61" s="9" t="s">
        <v>438</v>
      </c>
      <c r="C61" s="9" t="s">
        <v>72</v>
      </c>
      <c r="D61" s="9" t="s">
        <v>430</v>
      </c>
      <c r="E61" s="10" t="n">
        <v>1</v>
      </c>
      <c r="F61" s="9"/>
      <c r="G61" s="9"/>
      <c r="H61" s="9" t="s">
        <v>74</v>
      </c>
      <c r="I61" s="9" t="s">
        <v>439</v>
      </c>
      <c r="J61" s="9"/>
      <c r="K61" s="9"/>
      <c r="L61" s="9" t="s">
        <v>440</v>
      </c>
      <c r="M61" s="9" t="s">
        <v>441</v>
      </c>
      <c r="N61" s="9" t="s">
        <v>442</v>
      </c>
      <c r="O61" s="9" t="s">
        <v>80</v>
      </c>
      <c r="P61" s="9" t="s">
        <v>81</v>
      </c>
      <c r="Q61" s="9" t="s">
        <v>432</v>
      </c>
      <c r="R61" s="9" t="s">
        <v>149</v>
      </c>
      <c r="S61" s="11" t="s">
        <v>84</v>
      </c>
      <c r="T61" s="9" t="s">
        <v>432</v>
      </c>
      <c r="U61" s="11" t="s">
        <v>150</v>
      </c>
      <c r="V61" s="11" t="s">
        <v>86</v>
      </c>
      <c r="W61" s="11" t="s">
        <v>443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88</v>
      </c>
    </row>
    <row r="62" customFormat="false" ht="15" hidden="false" customHeight="false" outlineLevel="0" collapsed="false">
      <c r="A62" s="9" t="s">
        <v>444</v>
      </c>
      <c r="B62" s="9" t="s">
        <v>445</v>
      </c>
      <c r="C62" s="9" t="s">
        <v>72</v>
      </c>
      <c r="D62" s="9" t="s">
        <v>430</v>
      </c>
      <c r="E62" s="10" t="n">
        <v>2.5</v>
      </c>
      <c r="F62" s="9"/>
      <c r="G62" s="9"/>
      <c r="H62" s="9" t="s">
        <v>74</v>
      </c>
      <c r="I62" s="9" t="s">
        <v>213</v>
      </c>
      <c r="J62" s="9"/>
      <c r="K62" s="9"/>
      <c r="L62" s="9" t="s">
        <v>446</v>
      </c>
      <c r="M62" s="9" t="s">
        <v>215</v>
      </c>
      <c r="N62" s="9" t="s">
        <v>216</v>
      </c>
      <c r="O62" s="9" t="s">
        <v>80</v>
      </c>
      <c r="P62" s="9" t="s">
        <v>81</v>
      </c>
      <c r="Q62" s="9" t="s">
        <v>432</v>
      </c>
      <c r="R62" s="9" t="s">
        <v>149</v>
      </c>
      <c r="S62" s="11" t="s">
        <v>84</v>
      </c>
      <c r="T62" s="9" t="s">
        <v>432</v>
      </c>
      <c r="U62" s="11" t="s">
        <v>150</v>
      </c>
      <c r="V62" s="11" t="s">
        <v>86</v>
      </c>
      <c r="W62" s="11" t="s">
        <v>447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88</v>
      </c>
    </row>
    <row r="63" customFormat="false" ht="15" hidden="false" customHeight="false" outlineLevel="0" collapsed="false">
      <c r="A63" s="9" t="s">
        <v>448</v>
      </c>
      <c r="B63" s="9" t="s">
        <v>449</v>
      </c>
      <c r="C63" s="9" t="s">
        <v>72</v>
      </c>
      <c r="D63" s="11" t="s">
        <v>450</v>
      </c>
      <c r="E63" s="10" t="n">
        <v>0.5</v>
      </c>
      <c r="F63" s="10" t="n">
        <v>0.5</v>
      </c>
      <c r="G63" s="9"/>
      <c r="H63" s="11" t="s">
        <v>267</v>
      </c>
      <c r="I63" s="9" t="s">
        <v>213</v>
      </c>
      <c r="J63" s="9"/>
      <c r="K63" s="9"/>
      <c r="L63" s="9" t="s">
        <v>446</v>
      </c>
      <c r="M63" s="9" t="s">
        <v>215</v>
      </c>
      <c r="N63" s="9" t="s">
        <v>216</v>
      </c>
      <c r="O63" s="9" t="s">
        <v>80</v>
      </c>
      <c r="P63" s="9" t="s">
        <v>81</v>
      </c>
      <c r="Q63" s="9" t="s">
        <v>432</v>
      </c>
      <c r="R63" s="9" t="s">
        <v>149</v>
      </c>
      <c r="S63" s="11" t="s">
        <v>84</v>
      </c>
      <c r="T63" s="9" t="s">
        <v>432</v>
      </c>
      <c r="U63" s="11" t="s">
        <v>150</v>
      </c>
      <c r="V63" s="11" t="s">
        <v>86</v>
      </c>
      <c r="W63" s="11" t="s">
        <v>451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88</v>
      </c>
    </row>
    <row r="64" customFormat="false" ht="15" hidden="false" customHeight="false" outlineLevel="0" collapsed="false">
      <c r="A64" s="9" t="s">
        <v>452</v>
      </c>
      <c r="B64" s="9" t="s">
        <v>453</v>
      </c>
      <c r="C64" s="9" t="s">
        <v>72</v>
      </c>
      <c r="D64" s="9" t="s">
        <v>454</v>
      </c>
      <c r="E64" s="10" t="n">
        <v>8</v>
      </c>
      <c r="F64" s="10" t="n">
        <v>5</v>
      </c>
      <c r="G64" s="10" t="n">
        <v>10</v>
      </c>
      <c r="H64" s="9" t="s">
        <v>74</v>
      </c>
      <c r="I64" s="9" t="s">
        <v>231</v>
      </c>
      <c r="J64" s="9"/>
      <c r="K64" s="9"/>
      <c r="L64" s="9" t="s">
        <v>455</v>
      </c>
      <c r="M64" s="9" t="s">
        <v>456</v>
      </c>
      <c r="N64" s="9" t="s">
        <v>231</v>
      </c>
      <c r="O64" s="9" t="s">
        <v>80</v>
      </c>
      <c r="P64" s="9" t="s">
        <v>297</v>
      </c>
      <c r="Q64" s="9"/>
      <c r="R64" s="9" t="s">
        <v>83</v>
      </c>
      <c r="S64" s="11" t="s">
        <v>298</v>
      </c>
      <c r="T64" s="11" t="s">
        <v>299</v>
      </c>
      <c r="U64" s="11" t="s">
        <v>85</v>
      </c>
      <c r="V64" s="11" t="s">
        <v>86</v>
      </c>
      <c r="W64" s="11" t="s">
        <v>457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88</v>
      </c>
    </row>
    <row r="65" customFormat="false" ht="15" hidden="false" customHeight="false" outlineLevel="0" collapsed="false">
      <c r="A65" s="9" t="s">
        <v>458</v>
      </c>
      <c r="B65" s="9" t="s">
        <v>459</v>
      </c>
      <c r="C65" s="9" t="s">
        <v>72</v>
      </c>
      <c r="D65" s="9" t="s">
        <v>460</v>
      </c>
      <c r="E65" s="10" t="n">
        <v>0.725</v>
      </c>
      <c r="F65" s="10" t="n">
        <v>0.7</v>
      </c>
      <c r="G65" s="10" t="n">
        <v>0.75</v>
      </c>
      <c r="H65" s="11" t="s">
        <v>267</v>
      </c>
      <c r="I65" s="9" t="s">
        <v>304</v>
      </c>
      <c r="J65" s="9"/>
      <c r="K65" s="9"/>
      <c r="L65" s="9" t="s">
        <v>461</v>
      </c>
      <c r="M65" s="9" t="s">
        <v>462</v>
      </c>
      <c r="N65" s="9" t="s">
        <v>463</v>
      </c>
      <c r="O65" s="9" t="s">
        <v>80</v>
      </c>
      <c r="P65" s="9" t="s">
        <v>297</v>
      </c>
      <c r="Q65" s="9"/>
      <c r="R65" s="9" t="s">
        <v>83</v>
      </c>
      <c r="S65" s="11" t="s">
        <v>298</v>
      </c>
      <c r="T65" s="11" t="s">
        <v>299</v>
      </c>
      <c r="U65" s="11" t="s">
        <v>85</v>
      </c>
      <c r="V65" s="11" t="s">
        <v>86</v>
      </c>
      <c r="W65" s="11" t="s">
        <v>464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88</v>
      </c>
    </row>
    <row r="66" customFormat="false" ht="15" hidden="false" customHeight="false" outlineLevel="0" collapsed="false">
      <c r="A66" s="9" t="s">
        <v>465</v>
      </c>
      <c r="B66" s="9" t="s">
        <v>466</v>
      </c>
      <c r="C66" s="9" t="s">
        <v>72</v>
      </c>
      <c r="D66" s="11" t="s">
        <v>467</v>
      </c>
      <c r="E66" s="10" t="n">
        <v>0.125</v>
      </c>
      <c r="F66" s="10" t="n">
        <v>0.1</v>
      </c>
      <c r="G66" s="10" t="n">
        <v>0.15</v>
      </c>
      <c r="H66" s="11" t="s">
        <v>267</v>
      </c>
      <c r="I66" s="9" t="s">
        <v>304</v>
      </c>
      <c r="J66" s="9"/>
      <c r="K66" s="9"/>
      <c r="L66" s="9" t="s">
        <v>468</v>
      </c>
      <c r="M66" s="9" t="s">
        <v>462</v>
      </c>
      <c r="N66" s="9" t="s">
        <v>463</v>
      </c>
      <c r="O66" s="9" t="s">
        <v>80</v>
      </c>
      <c r="P66" s="9" t="s">
        <v>297</v>
      </c>
      <c r="Q66" s="9"/>
      <c r="R66" s="9" t="s">
        <v>83</v>
      </c>
      <c r="S66" s="11" t="s">
        <v>298</v>
      </c>
      <c r="T66" s="11" t="s">
        <v>299</v>
      </c>
      <c r="U66" s="11" t="s">
        <v>85</v>
      </c>
      <c r="V66" s="11" t="s">
        <v>86</v>
      </c>
      <c r="W66" s="11" t="s">
        <v>469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88</v>
      </c>
    </row>
    <row r="67" customFormat="false" ht="15" hidden="false" customHeight="false" outlineLevel="0" collapsed="false">
      <c r="A67" s="9" t="s">
        <v>470</v>
      </c>
      <c r="B67" s="9" t="s">
        <v>471</v>
      </c>
      <c r="C67" s="9" t="s">
        <v>72</v>
      </c>
      <c r="D67" s="11" t="s">
        <v>472</v>
      </c>
      <c r="E67" s="10" t="n">
        <v>0.15</v>
      </c>
      <c r="F67" s="10" t="n">
        <v>0.1</v>
      </c>
      <c r="G67" s="10" t="n">
        <v>0.2</v>
      </c>
      <c r="H67" s="11" t="s">
        <v>267</v>
      </c>
      <c r="I67" s="9" t="s">
        <v>75</v>
      </c>
      <c r="J67" s="9"/>
      <c r="K67" s="9"/>
      <c r="L67" s="9" t="s">
        <v>473</v>
      </c>
      <c r="M67" s="9" t="s">
        <v>474</v>
      </c>
      <c r="N67" s="9" t="s">
        <v>475</v>
      </c>
      <c r="O67" s="9" t="s">
        <v>80</v>
      </c>
      <c r="P67" s="9" t="s">
        <v>297</v>
      </c>
      <c r="Q67" s="9"/>
      <c r="R67" s="9" t="s">
        <v>83</v>
      </c>
      <c r="S67" s="11" t="s">
        <v>298</v>
      </c>
      <c r="T67" s="11" t="s">
        <v>299</v>
      </c>
      <c r="U67" s="11" t="s">
        <v>85</v>
      </c>
      <c r="V67" s="11" t="s">
        <v>86</v>
      </c>
      <c r="W67" s="11" t="s">
        <v>476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88</v>
      </c>
    </row>
    <row r="68" customFormat="false" ht="15" hidden="false" customHeight="false" outlineLevel="0" collapsed="false">
      <c r="A68" s="9" t="s">
        <v>477</v>
      </c>
      <c r="B68" s="9" t="s">
        <v>478</v>
      </c>
      <c r="C68" s="9" t="s">
        <v>72</v>
      </c>
      <c r="D68" s="9" t="s">
        <v>479</v>
      </c>
      <c r="E68" s="10" t="n">
        <v>0.909</v>
      </c>
      <c r="F68" s="9"/>
      <c r="G68" s="9"/>
      <c r="H68" s="9" t="s">
        <v>480</v>
      </c>
      <c r="I68" s="9" t="s">
        <v>481</v>
      </c>
      <c r="J68" s="13" t="n">
        <v>46022</v>
      </c>
      <c r="K68" s="11" t="s">
        <v>76</v>
      </c>
      <c r="L68" s="9" t="s">
        <v>262</v>
      </c>
      <c r="M68" s="9" t="s">
        <v>255</v>
      </c>
      <c r="N68" s="9" t="s">
        <v>256</v>
      </c>
      <c r="O68" s="9" t="s">
        <v>80</v>
      </c>
      <c r="P68" s="9" t="s">
        <v>81</v>
      </c>
      <c r="Q68" s="9" t="s">
        <v>324</v>
      </c>
      <c r="R68" s="9" t="s">
        <v>83</v>
      </c>
      <c r="S68" s="11" t="s">
        <v>84</v>
      </c>
      <c r="T68" s="9" t="s">
        <v>324</v>
      </c>
      <c r="U68" s="11" t="s">
        <v>85</v>
      </c>
      <c r="V68" s="11" t="s">
        <v>86</v>
      </c>
      <c r="W68" s="11" t="s">
        <v>482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88</v>
      </c>
    </row>
    <row r="69" customFormat="false" ht="15" hidden="false" customHeight="false" outlineLevel="0" collapsed="false">
      <c r="A69" s="9" t="s">
        <v>483</v>
      </c>
      <c r="B69" s="9" t="s">
        <v>484</v>
      </c>
      <c r="C69" s="9" t="s">
        <v>485</v>
      </c>
      <c r="D69" s="9" t="s">
        <v>486</v>
      </c>
      <c r="E69" s="10" t="n">
        <v>15</v>
      </c>
      <c r="F69" s="9"/>
      <c r="G69" s="9"/>
      <c r="H69" s="9" t="s">
        <v>487</v>
      </c>
      <c r="I69" s="9" t="s">
        <v>488</v>
      </c>
      <c r="J69" s="13" t="n">
        <v>45355</v>
      </c>
      <c r="K69" s="9"/>
      <c r="L69" s="9" t="s">
        <v>489</v>
      </c>
      <c r="M69" s="9" t="s">
        <v>490</v>
      </c>
      <c r="N69" s="9" t="s">
        <v>488</v>
      </c>
      <c r="O69" s="9" t="s">
        <v>80</v>
      </c>
      <c r="P69" s="9" t="s">
        <v>81</v>
      </c>
      <c r="Q69" s="9" t="s">
        <v>491</v>
      </c>
      <c r="R69" s="9" t="s">
        <v>149</v>
      </c>
      <c r="S69" s="11" t="s">
        <v>84</v>
      </c>
      <c r="T69" s="9" t="s">
        <v>491</v>
      </c>
      <c r="U69" s="11" t="s">
        <v>150</v>
      </c>
      <c r="V69" s="11" t="s">
        <v>86</v>
      </c>
      <c r="W69" s="11" t="s">
        <v>492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88</v>
      </c>
    </row>
    <row r="70" customFormat="false" ht="15" hidden="false" customHeight="false" outlineLevel="0" collapsed="false">
      <c r="A70" s="9" t="s">
        <v>493</v>
      </c>
      <c r="B70" s="9" t="s">
        <v>494</v>
      </c>
      <c r="C70" s="9" t="s">
        <v>485</v>
      </c>
      <c r="D70" s="9" t="s">
        <v>495</v>
      </c>
      <c r="E70" s="10" t="n">
        <v>75</v>
      </c>
      <c r="F70" s="9"/>
      <c r="G70" s="9"/>
      <c r="H70" s="9" t="s">
        <v>487</v>
      </c>
      <c r="I70" s="9" t="s">
        <v>488</v>
      </c>
      <c r="J70" s="13" t="n">
        <v>45355</v>
      </c>
      <c r="K70" s="9"/>
      <c r="L70" s="9" t="s">
        <v>489</v>
      </c>
      <c r="M70" s="9" t="s">
        <v>490</v>
      </c>
      <c r="N70" s="9" t="s">
        <v>488</v>
      </c>
      <c r="O70" s="9" t="s">
        <v>80</v>
      </c>
      <c r="P70" s="9" t="s">
        <v>81</v>
      </c>
      <c r="Q70" s="9" t="s">
        <v>491</v>
      </c>
      <c r="R70" s="9" t="s">
        <v>149</v>
      </c>
      <c r="S70" s="11" t="s">
        <v>84</v>
      </c>
      <c r="T70" s="9" t="s">
        <v>491</v>
      </c>
      <c r="U70" s="11" t="s">
        <v>150</v>
      </c>
      <c r="V70" s="11" t="s">
        <v>86</v>
      </c>
      <c r="W70" s="11" t="s">
        <v>492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88</v>
      </c>
    </row>
    <row r="71" customFormat="false" ht="15" hidden="false" customHeight="false" outlineLevel="0" collapsed="false">
      <c r="A71" s="9" t="s">
        <v>496</v>
      </c>
      <c r="B71" s="9" t="s">
        <v>497</v>
      </c>
      <c r="C71" s="9" t="s">
        <v>485</v>
      </c>
      <c r="D71" s="9" t="s">
        <v>498</v>
      </c>
      <c r="E71" s="10" t="n">
        <v>3</v>
      </c>
      <c r="F71" s="9"/>
      <c r="G71" s="9"/>
      <c r="H71" s="9" t="s">
        <v>487</v>
      </c>
      <c r="I71" s="9" t="s">
        <v>488</v>
      </c>
      <c r="J71" s="13" t="n">
        <v>45355</v>
      </c>
      <c r="K71" s="9"/>
      <c r="L71" s="9" t="s">
        <v>489</v>
      </c>
      <c r="M71" s="9" t="s">
        <v>490</v>
      </c>
      <c r="N71" s="9" t="s">
        <v>488</v>
      </c>
      <c r="O71" s="9" t="s">
        <v>80</v>
      </c>
      <c r="P71" s="9" t="s">
        <v>81</v>
      </c>
      <c r="Q71" s="9" t="s">
        <v>491</v>
      </c>
      <c r="R71" s="9" t="s">
        <v>149</v>
      </c>
      <c r="S71" s="11" t="s">
        <v>84</v>
      </c>
      <c r="T71" s="9" t="s">
        <v>491</v>
      </c>
      <c r="U71" s="11" t="s">
        <v>150</v>
      </c>
      <c r="V71" s="11" t="s">
        <v>86</v>
      </c>
      <c r="W71" s="11" t="s">
        <v>499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88</v>
      </c>
    </row>
    <row r="72" customFormat="false" ht="15" hidden="false" customHeight="false" outlineLevel="0" collapsed="false">
      <c r="A72" s="9" t="s">
        <v>500</v>
      </c>
      <c r="B72" s="9" t="s">
        <v>501</v>
      </c>
      <c r="C72" s="9" t="s">
        <v>485</v>
      </c>
      <c r="D72" s="9" t="s">
        <v>502</v>
      </c>
      <c r="E72" s="10" t="n">
        <v>15</v>
      </c>
      <c r="F72" s="9"/>
      <c r="G72" s="9"/>
      <c r="H72" s="9" t="s">
        <v>487</v>
      </c>
      <c r="I72" s="9" t="s">
        <v>488</v>
      </c>
      <c r="J72" s="13" t="n">
        <v>45355</v>
      </c>
      <c r="K72" s="9"/>
      <c r="L72" s="9" t="s">
        <v>489</v>
      </c>
      <c r="M72" s="9" t="s">
        <v>490</v>
      </c>
      <c r="N72" s="9" t="s">
        <v>488</v>
      </c>
      <c r="O72" s="9" t="s">
        <v>80</v>
      </c>
      <c r="P72" s="9" t="s">
        <v>81</v>
      </c>
      <c r="Q72" s="9" t="s">
        <v>491</v>
      </c>
      <c r="R72" s="9" t="s">
        <v>149</v>
      </c>
      <c r="S72" s="11" t="s">
        <v>84</v>
      </c>
      <c r="T72" s="9" t="s">
        <v>491</v>
      </c>
      <c r="U72" s="11" t="s">
        <v>150</v>
      </c>
      <c r="V72" s="11" t="s">
        <v>86</v>
      </c>
      <c r="W72" s="11" t="s">
        <v>499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88</v>
      </c>
    </row>
    <row r="73" customFormat="false" ht="15" hidden="false" customHeight="false" outlineLevel="0" collapsed="false">
      <c r="A73" s="9" t="s">
        <v>503</v>
      </c>
      <c r="B73" s="9" t="s">
        <v>504</v>
      </c>
      <c r="C73" s="9" t="s">
        <v>485</v>
      </c>
      <c r="D73" s="9" t="s">
        <v>505</v>
      </c>
      <c r="E73" s="10" t="n">
        <v>0.25</v>
      </c>
      <c r="F73" s="9"/>
      <c r="G73" s="9"/>
      <c r="H73" s="9" t="s">
        <v>487</v>
      </c>
      <c r="I73" s="9" t="s">
        <v>488</v>
      </c>
      <c r="J73" s="13" t="n">
        <v>45355</v>
      </c>
      <c r="K73" s="9"/>
      <c r="L73" s="9" t="s">
        <v>489</v>
      </c>
      <c r="M73" s="9" t="s">
        <v>490</v>
      </c>
      <c r="N73" s="9" t="s">
        <v>488</v>
      </c>
      <c r="O73" s="9" t="s">
        <v>80</v>
      </c>
      <c r="P73" s="9" t="s">
        <v>81</v>
      </c>
      <c r="Q73" s="9" t="s">
        <v>491</v>
      </c>
      <c r="R73" s="9" t="s">
        <v>149</v>
      </c>
      <c r="S73" s="11" t="s">
        <v>84</v>
      </c>
      <c r="T73" s="9" t="s">
        <v>491</v>
      </c>
      <c r="U73" s="11" t="s">
        <v>150</v>
      </c>
      <c r="V73" s="11" t="s">
        <v>86</v>
      </c>
      <c r="W73" s="11" t="s">
        <v>506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88</v>
      </c>
    </row>
    <row r="74" customFormat="false" ht="15" hidden="false" customHeight="false" outlineLevel="0" collapsed="false">
      <c r="A74" s="9" t="s">
        <v>507</v>
      </c>
      <c r="B74" s="9" t="s">
        <v>508</v>
      </c>
      <c r="C74" s="9" t="s">
        <v>485</v>
      </c>
      <c r="D74" s="9" t="s">
        <v>509</v>
      </c>
      <c r="E74" s="10" t="n">
        <v>1.25</v>
      </c>
      <c r="F74" s="9"/>
      <c r="G74" s="9"/>
      <c r="H74" s="9" t="s">
        <v>487</v>
      </c>
      <c r="I74" s="9" t="s">
        <v>488</v>
      </c>
      <c r="J74" s="13" t="n">
        <v>45355</v>
      </c>
      <c r="K74" s="9"/>
      <c r="L74" s="9" t="s">
        <v>489</v>
      </c>
      <c r="M74" s="9" t="s">
        <v>490</v>
      </c>
      <c r="N74" s="9" t="s">
        <v>488</v>
      </c>
      <c r="O74" s="9" t="s">
        <v>80</v>
      </c>
      <c r="P74" s="9" t="s">
        <v>81</v>
      </c>
      <c r="Q74" s="9" t="s">
        <v>491</v>
      </c>
      <c r="R74" s="9" t="s">
        <v>149</v>
      </c>
      <c r="S74" s="11" t="s">
        <v>84</v>
      </c>
      <c r="T74" s="9" t="s">
        <v>491</v>
      </c>
      <c r="U74" s="11" t="s">
        <v>150</v>
      </c>
      <c r="V74" s="11" t="s">
        <v>86</v>
      </c>
      <c r="W74" s="11" t="s">
        <v>506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88</v>
      </c>
    </row>
    <row r="75" customFormat="false" ht="15" hidden="false" customHeight="false" outlineLevel="0" collapsed="false">
      <c r="A75" s="9" t="s">
        <v>510</v>
      </c>
      <c r="B75" s="9" t="s">
        <v>511</v>
      </c>
      <c r="C75" s="9" t="s">
        <v>485</v>
      </c>
      <c r="D75" s="9" t="s">
        <v>512</v>
      </c>
      <c r="E75" s="10" t="n">
        <v>3</v>
      </c>
      <c r="F75" s="9"/>
      <c r="G75" s="9"/>
      <c r="H75" s="9" t="s">
        <v>487</v>
      </c>
      <c r="I75" s="9" t="s">
        <v>513</v>
      </c>
      <c r="J75" s="13" t="n">
        <v>45463</v>
      </c>
      <c r="K75" s="9"/>
      <c r="L75" s="9" t="s">
        <v>514</v>
      </c>
      <c r="M75" s="9" t="s">
        <v>515</v>
      </c>
      <c r="N75" s="9" t="s">
        <v>516</v>
      </c>
      <c r="O75" s="9" t="s">
        <v>80</v>
      </c>
      <c r="P75" s="9" t="s">
        <v>81</v>
      </c>
      <c r="Q75" s="9" t="s">
        <v>491</v>
      </c>
      <c r="R75" s="9" t="s">
        <v>149</v>
      </c>
      <c r="S75" s="11" t="s">
        <v>84</v>
      </c>
      <c r="T75" s="9" t="s">
        <v>491</v>
      </c>
      <c r="U75" s="11" t="s">
        <v>150</v>
      </c>
      <c r="V75" s="11" t="s">
        <v>86</v>
      </c>
      <c r="W75" s="11" t="s">
        <v>517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88</v>
      </c>
    </row>
    <row r="76" customFormat="false" ht="15" hidden="false" customHeight="false" outlineLevel="0" collapsed="false">
      <c r="A76" s="9" t="s">
        <v>518</v>
      </c>
      <c r="B76" s="9" t="s">
        <v>519</v>
      </c>
      <c r="C76" s="9" t="s">
        <v>485</v>
      </c>
      <c r="D76" s="9" t="s">
        <v>520</v>
      </c>
      <c r="E76" s="10" t="n">
        <v>15</v>
      </c>
      <c r="F76" s="9"/>
      <c r="G76" s="9"/>
      <c r="H76" s="9" t="s">
        <v>487</v>
      </c>
      <c r="I76" s="9" t="s">
        <v>513</v>
      </c>
      <c r="J76" s="13" t="n">
        <v>45463</v>
      </c>
      <c r="K76" s="9"/>
      <c r="L76" s="9" t="s">
        <v>514</v>
      </c>
      <c r="M76" s="9" t="s">
        <v>515</v>
      </c>
      <c r="N76" s="9" t="s">
        <v>516</v>
      </c>
      <c r="O76" s="9" t="s">
        <v>80</v>
      </c>
      <c r="P76" s="9" t="s">
        <v>81</v>
      </c>
      <c r="Q76" s="9" t="s">
        <v>491</v>
      </c>
      <c r="R76" s="9" t="s">
        <v>149</v>
      </c>
      <c r="S76" s="11" t="s">
        <v>84</v>
      </c>
      <c r="T76" s="9" t="s">
        <v>491</v>
      </c>
      <c r="U76" s="11" t="s">
        <v>150</v>
      </c>
      <c r="V76" s="11" t="s">
        <v>86</v>
      </c>
      <c r="W76" s="11" t="s">
        <v>517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88</v>
      </c>
    </row>
    <row r="77" customFormat="false" ht="15" hidden="false" customHeight="false" outlineLevel="0" collapsed="false">
      <c r="A77" s="9" t="s">
        <v>521</v>
      </c>
      <c r="B77" s="9" t="s">
        <v>522</v>
      </c>
      <c r="C77" s="9" t="s">
        <v>485</v>
      </c>
      <c r="D77" s="9" t="s">
        <v>523</v>
      </c>
      <c r="E77" s="10" t="n">
        <v>1</v>
      </c>
      <c r="F77" s="9"/>
      <c r="G77" s="9"/>
      <c r="H77" s="9" t="s">
        <v>487</v>
      </c>
      <c r="I77" s="9" t="s">
        <v>524</v>
      </c>
      <c r="J77" s="13" t="n">
        <v>45600</v>
      </c>
      <c r="K77" s="9"/>
      <c r="L77" s="9" t="s">
        <v>525</v>
      </c>
      <c r="M77" s="9" t="s">
        <v>526</v>
      </c>
      <c r="N77" s="9" t="s">
        <v>524</v>
      </c>
      <c r="O77" s="9" t="s">
        <v>80</v>
      </c>
      <c r="P77" s="9" t="s">
        <v>81</v>
      </c>
      <c r="Q77" s="9" t="s">
        <v>527</v>
      </c>
      <c r="R77" s="9" t="s">
        <v>83</v>
      </c>
      <c r="S77" s="11" t="s">
        <v>84</v>
      </c>
      <c r="T77" s="9" t="s">
        <v>527</v>
      </c>
      <c r="U77" s="11" t="s">
        <v>85</v>
      </c>
      <c r="V77" s="11" t="s">
        <v>86</v>
      </c>
      <c r="W77" s="11" t="s">
        <v>528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88</v>
      </c>
    </row>
    <row r="78" customFormat="false" ht="15" hidden="false" customHeight="false" outlineLevel="0" collapsed="false">
      <c r="A78" s="9" t="s">
        <v>529</v>
      </c>
      <c r="B78" s="9" t="s">
        <v>530</v>
      </c>
      <c r="C78" s="9" t="s">
        <v>485</v>
      </c>
      <c r="D78" s="9" t="s">
        <v>531</v>
      </c>
      <c r="E78" s="10" t="n">
        <v>5</v>
      </c>
      <c r="F78" s="9"/>
      <c r="G78" s="9"/>
      <c r="H78" s="9" t="s">
        <v>487</v>
      </c>
      <c r="I78" s="9" t="s">
        <v>524</v>
      </c>
      <c r="J78" s="13" t="n">
        <v>45600</v>
      </c>
      <c r="K78" s="9"/>
      <c r="L78" s="9" t="s">
        <v>525</v>
      </c>
      <c r="M78" s="9" t="s">
        <v>526</v>
      </c>
      <c r="N78" s="9" t="s">
        <v>524</v>
      </c>
      <c r="O78" s="9" t="s">
        <v>80</v>
      </c>
      <c r="P78" s="9" t="s">
        <v>81</v>
      </c>
      <c r="Q78" s="9" t="s">
        <v>527</v>
      </c>
      <c r="R78" s="9" t="s">
        <v>83</v>
      </c>
      <c r="S78" s="11" t="s">
        <v>84</v>
      </c>
      <c r="T78" s="9" t="s">
        <v>527</v>
      </c>
      <c r="U78" s="11" t="s">
        <v>85</v>
      </c>
      <c r="V78" s="11" t="s">
        <v>86</v>
      </c>
      <c r="W78" s="11" t="s">
        <v>528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88</v>
      </c>
    </row>
    <row r="79" customFormat="false" ht="15" hidden="false" customHeight="false" outlineLevel="0" collapsed="false">
      <c r="A79" s="9" t="s">
        <v>532</v>
      </c>
      <c r="B79" s="9" t="s">
        <v>533</v>
      </c>
      <c r="C79" s="9" t="s">
        <v>485</v>
      </c>
      <c r="D79" s="9" t="s">
        <v>534</v>
      </c>
      <c r="E79" s="10" t="n">
        <v>0.8</v>
      </c>
      <c r="F79" s="9"/>
      <c r="G79" s="9"/>
      <c r="H79" s="9" t="s">
        <v>487</v>
      </c>
      <c r="I79" s="9" t="s">
        <v>535</v>
      </c>
      <c r="J79" s="13" t="n">
        <v>45629</v>
      </c>
      <c r="K79" s="9"/>
      <c r="L79" s="9" t="s">
        <v>536</v>
      </c>
      <c r="M79" s="9" t="s">
        <v>537</v>
      </c>
      <c r="N79" s="9" t="s">
        <v>535</v>
      </c>
      <c r="O79" s="9" t="s">
        <v>80</v>
      </c>
      <c r="P79" s="9" t="s">
        <v>81</v>
      </c>
      <c r="Q79" s="9" t="s">
        <v>491</v>
      </c>
      <c r="R79" s="9" t="s">
        <v>149</v>
      </c>
      <c r="S79" s="11" t="s">
        <v>84</v>
      </c>
      <c r="T79" s="9" t="s">
        <v>491</v>
      </c>
      <c r="U79" s="11" t="s">
        <v>150</v>
      </c>
      <c r="V79" s="11" t="s">
        <v>86</v>
      </c>
      <c r="W79" s="11" t="s">
        <v>538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88</v>
      </c>
    </row>
    <row r="80" customFormat="false" ht="15" hidden="false" customHeight="false" outlineLevel="0" collapsed="false">
      <c r="A80" s="9" t="s">
        <v>539</v>
      </c>
      <c r="B80" s="9" t="s">
        <v>540</v>
      </c>
      <c r="C80" s="9" t="s">
        <v>485</v>
      </c>
      <c r="D80" s="9" t="s">
        <v>541</v>
      </c>
      <c r="E80" s="10" t="n">
        <v>4</v>
      </c>
      <c r="F80" s="9"/>
      <c r="G80" s="9"/>
      <c r="H80" s="9" t="s">
        <v>487</v>
      </c>
      <c r="I80" s="9" t="s">
        <v>535</v>
      </c>
      <c r="J80" s="13" t="n">
        <v>45629</v>
      </c>
      <c r="K80" s="9"/>
      <c r="L80" s="9" t="s">
        <v>536</v>
      </c>
      <c r="M80" s="9" t="s">
        <v>537</v>
      </c>
      <c r="N80" s="9" t="s">
        <v>535</v>
      </c>
      <c r="O80" s="9" t="s">
        <v>80</v>
      </c>
      <c r="P80" s="9" t="s">
        <v>81</v>
      </c>
      <c r="Q80" s="9" t="s">
        <v>491</v>
      </c>
      <c r="R80" s="9" t="s">
        <v>149</v>
      </c>
      <c r="S80" s="11" t="s">
        <v>84</v>
      </c>
      <c r="T80" s="9" t="s">
        <v>491</v>
      </c>
      <c r="U80" s="11" t="s">
        <v>150</v>
      </c>
      <c r="V80" s="11" t="s">
        <v>86</v>
      </c>
      <c r="W80" s="11" t="s">
        <v>538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88</v>
      </c>
    </row>
    <row r="81" customFormat="false" ht="15" hidden="false" customHeight="false" outlineLevel="0" collapsed="false">
      <c r="A81" s="9" t="s">
        <v>542</v>
      </c>
      <c r="B81" s="9" t="s">
        <v>543</v>
      </c>
      <c r="C81" s="9" t="s">
        <v>485</v>
      </c>
      <c r="D81" s="9" t="s">
        <v>544</v>
      </c>
      <c r="E81" s="10" t="n">
        <v>3</v>
      </c>
      <c r="F81" s="9"/>
      <c r="G81" s="9"/>
      <c r="H81" s="9" t="s">
        <v>487</v>
      </c>
      <c r="I81" s="9" t="s">
        <v>545</v>
      </c>
      <c r="J81" s="13" t="n">
        <v>45712</v>
      </c>
      <c r="K81" s="9"/>
      <c r="L81" s="9" t="s">
        <v>546</v>
      </c>
      <c r="M81" s="9" t="s">
        <v>547</v>
      </c>
      <c r="N81" s="9" t="s">
        <v>545</v>
      </c>
      <c r="O81" s="9" t="s">
        <v>80</v>
      </c>
      <c r="P81" s="9" t="s">
        <v>81</v>
      </c>
      <c r="Q81" s="9" t="s">
        <v>491</v>
      </c>
      <c r="R81" s="9" t="s">
        <v>149</v>
      </c>
      <c r="S81" s="11" t="s">
        <v>84</v>
      </c>
      <c r="T81" s="9" t="s">
        <v>491</v>
      </c>
      <c r="U81" s="11" t="s">
        <v>150</v>
      </c>
      <c r="V81" s="11" t="s">
        <v>86</v>
      </c>
      <c r="W81" s="11" t="s">
        <v>548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88</v>
      </c>
    </row>
    <row r="82" customFormat="false" ht="15" hidden="false" customHeight="false" outlineLevel="0" collapsed="false">
      <c r="A82" s="9" t="s">
        <v>549</v>
      </c>
      <c r="B82" s="9" t="s">
        <v>550</v>
      </c>
      <c r="C82" s="9" t="s">
        <v>485</v>
      </c>
      <c r="D82" s="9" t="s">
        <v>551</v>
      </c>
      <c r="E82" s="10" t="n">
        <v>15</v>
      </c>
      <c r="F82" s="9"/>
      <c r="G82" s="9"/>
      <c r="H82" s="9" t="s">
        <v>487</v>
      </c>
      <c r="I82" s="9" t="s">
        <v>545</v>
      </c>
      <c r="J82" s="13" t="n">
        <v>45712</v>
      </c>
      <c r="K82" s="9"/>
      <c r="L82" s="9" t="s">
        <v>546</v>
      </c>
      <c r="M82" s="9" t="s">
        <v>547</v>
      </c>
      <c r="N82" s="9" t="s">
        <v>545</v>
      </c>
      <c r="O82" s="9" t="s">
        <v>80</v>
      </c>
      <c r="P82" s="9" t="s">
        <v>81</v>
      </c>
      <c r="Q82" s="9" t="s">
        <v>491</v>
      </c>
      <c r="R82" s="9" t="s">
        <v>149</v>
      </c>
      <c r="S82" s="11" t="s">
        <v>84</v>
      </c>
      <c r="T82" s="9" t="s">
        <v>491</v>
      </c>
      <c r="U82" s="11" t="s">
        <v>150</v>
      </c>
      <c r="V82" s="11" t="s">
        <v>86</v>
      </c>
      <c r="W82" s="11" t="s">
        <v>548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88</v>
      </c>
    </row>
    <row r="83" customFormat="false" ht="15" hidden="false" customHeight="false" outlineLevel="0" collapsed="false">
      <c r="A83" s="9" t="s">
        <v>552</v>
      </c>
      <c r="B83" s="9" t="s">
        <v>553</v>
      </c>
      <c r="C83" s="9" t="s">
        <v>485</v>
      </c>
      <c r="D83" s="9" t="s">
        <v>554</v>
      </c>
      <c r="E83" s="10" t="n">
        <v>15</v>
      </c>
      <c r="F83" s="9"/>
      <c r="G83" s="9"/>
      <c r="H83" s="9" t="s">
        <v>487</v>
      </c>
      <c r="I83" s="9" t="s">
        <v>555</v>
      </c>
      <c r="J83" s="13" t="n">
        <v>45799</v>
      </c>
      <c r="K83" s="9"/>
      <c r="L83" s="9" t="s">
        <v>556</v>
      </c>
      <c r="M83" s="9" t="s">
        <v>557</v>
      </c>
      <c r="N83" s="9" t="s">
        <v>555</v>
      </c>
      <c r="O83" s="9" t="s">
        <v>80</v>
      </c>
      <c r="P83" s="9" t="s">
        <v>81</v>
      </c>
      <c r="Q83" s="9" t="s">
        <v>491</v>
      </c>
      <c r="R83" s="9" t="s">
        <v>149</v>
      </c>
      <c r="S83" s="11" t="s">
        <v>84</v>
      </c>
      <c r="T83" s="9" t="s">
        <v>491</v>
      </c>
      <c r="U83" s="11" t="s">
        <v>150</v>
      </c>
      <c r="V83" s="11" t="s">
        <v>86</v>
      </c>
      <c r="W83" s="11" t="s">
        <v>558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88</v>
      </c>
    </row>
    <row r="84" customFormat="false" ht="15" hidden="false" customHeight="false" outlineLevel="0" collapsed="false">
      <c r="A84" s="9" t="s">
        <v>559</v>
      </c>
      <c r="B84" s="9" t="s">
        <v>560</v>
      </c>
      <c r="C84" s="9" t="s">
        <v>485</v>
      </c>
      <c r="D84" s="9" t="s">
        <v>561</v>
      </c>
      <c r="E84" s="10" t="n">
        <v>75</v>
      </c>
      <c r="F84" s="9"/>
      <c r="G84" s="9"/>
      <c r="H84" s="9" t="s">
        <v>487</v>
      </c>
      <c r="I84" s="9" t="s">
        <v>555</v>
      </c>
      <c r="J84" s="13" t="n">
        <v>45799</v>
      </c>
      <c r="K84" s="9"/>
      <c r="L84" s="9" t="s">
        <v>556</v>
      </c>
      <c r="M84" s="9" t="s">
        <v>557</v>
      </c>
      <c r="N84" s="9" t="s">
        <v>555</v>
      </c>
      <c r="O84" s="9" t="s">
        <v>80</v>
      </c>
      <c r="P84" s="9" t="s">
        <v>81</v>
      </c>
      <c r="Q84" s="9" t="s">
        <v>491</v>
      </c>
      <c r="R84" s="9" t="s">
        <v>149</v>
      </c>
      <c r="S84" s="11" t="s">
        <v>84</v>
      </c>
      <c r="T84" s="9" t="s">
        <v>491</v>
      </c>
      <c r="U84" s="11" t="s">
        <v>150</v>
      </c>
      <c r="V84" s="11" t="s">
        <v>86</v>
      </c>
      <c r="W84" s="11" t="s">
        <v>558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88</v>
      </c>
    </row>
    <row r="85" customFormat="false" ht="15" hidden="false" customHeight="false" outlineLevel="0" collapsed="false">
      <c r="A85" s="9" t="s">
        <v>562</v>
      </c>
      <c r="B85" s="9" t="s">
        <v>563</v>
      </c>
      <c r="C85" s="9" t="s">
        <v>485</v>
      </c>
      <c r="D85" s="9" t="s">
        <v>564</v>
      </c>
      <c r="E85" s="10" t="n">
        <v>3</v>
      </c>
      <c r="F85" s="9"/>
      <c r="G85" s="9"/>
      <c r="H85" s="9" t="s">
        <v>487</v>
      </c>
      <c r="I85" s="9" t="s">
        <v>555</v>
      </c>
      <c r="J85" s="13" t="n">
        <v>45799</v>
      </c>
      <c r="K85" s="9"/>
      <c r="L85" s="9" t="s">
        <v>556</v>
      </c>
      <c r="M85" s="9" t="s">
        <v>557</v>
      </c>
      <c r="N85" s="9" t="s">
        <v>555</v>
      </c>
      <c r="O85" s="9" t="s">
        <v>80</v>
      </c>
      <c r="P85" s="9" t="s">
        <v>81</v>
      </c>
      <c r="Q85" s="9" t="s">
        <v>491</v>
      </c>
      <c r="R85" s="9" t="s">
        <v>149</v>
      </c>
      <c r="S85" s="11" t="s">
        <v>84</v>
      </c>
      <c r="T85" s="9" t="s">
        <v>491</v>
      </c>
      <c r="U85" s="11" t="s">
        <v>150</v>
      </c>
      <c r="V85" s="11" t="s">
        <v>86</v>
      </c>
      <c r="W85" s="11" t="s">
        <v>565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88</v>
      </c>
    </row>
    <row r="86" customFormat="false" ht="15" hidden="false" customHeight="false" outlineLevel="0" collapsed="false">
      <c r="A86" s="9" t="s">
        <v>566</v>
      </c>
      <c r="B86" s="9" t="s">
        <v>567</v>
      </c>
      <c r="C86" s="9" t="s">
        <v>485</v>
      </c>
      <c r="D86" s="9" t="s">
        <v>568</v>
      </c>
      <c r="E86" s="10" t="n">
        <v>15</v>
      </c>
      <c r="F86" s="9"/>
      <c r="G86" s="9"/>
      <c r="H86" s="9" t="s">
        <v>487</v>
      </c>
      <c r="I86" s="9" t="s">
        <v>555</v>
      </c>
      <c r="J86" s="13" t="n">
        <v>45799</v>
      </c>
      <c r="K86" s="9"/>
      <c r="L86" s="9" t="s">
        <v>556</v>
      </c>
      <c r="M86" s="9" t="s">
        <v>557</v>
      </c>
      <c r="N86" s="9" t="s">
        <v>555</v>
      </c>
      <c r="O86" s="9" t="s">
        <v>80</v>
      </c>
      <c r="P86" s="9" t="s">
        <v>81</v>
      </c>
      <c r="Q86" s="9" t="s">
        <v>491</v>
      </c>
      <c r="R86" s="9" t="s">
        <v>149</v>
      </c>
      <c r="S86" s="11" t="s">
        <v>84</v>
      </c>
      <c r="T86" s="9" t="s">
        <v>491</v>
      </c>
      <c r="U86" s="11" t="s">
        <v>150</v>
      </c>
      <c r="V86" s="11" t="s">
        <v>86</v>
      </c>
      <c r="W86" s="11" t="s">
        <v>565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88</v>
      </c>
    </row>
    <row r="87" customFormat="false" ht="15" hidden="false" customHeight="false" outlineLevel="0" collapsed="false">
      <c r="A87" s="9" t="s">
        <v>569</v>
      </c>
      <c r="B87" s="9" t="s">
        <v>570</v>
      </c>
      <c r="C87" s="9" t="s">
        <v>485</v>
      </c>
      <c r="D87" s="9" t="s">
        <v>571</v>
      </c>
      <c r="E87" s="10" t="n">
        <v>15</v>
      </c>
      <c r="F87" s="9"/>
      <c r="G87" s="9"/>
      <c r="H87" s="9" t="s">
        <v>487</v>
      </c>
      <c r="I87" s="9" t="s">
        <v>572</v>
      </c>
      <c r="J87" s="13" t="n">
        <v>45874</v>
      </c>
      <c r="K87" s="9"/>
      <c r="L87" s="9" t="s">
        <v>573</v>
      </c>
      <c r="M87" s="9" t="s">
        <v>574</v>
      </c>
      <c r="N87" s="9" t="s">
        <v>572</v>
      </c>
      <c r="O87" s="9" t="s">
        <v>80</v>
      </c>
      <c r="P87" s="9" t="s">
        <v>81</v>
      </c>
      <c r="Q87" s="9" t="s">
        <v>491</v>
      </c>
      <c r="R87" s="9" t="s">
        <v>149</v>
      </c>
      <c r="S87" s="11" t="s">
        <v>84</v>
      </c>
      <c r="T87" s="9" t="s">
        <v>491</v>
      </c>
      <c r="U87" s="11" t="s">
        <v>150</v>
      </c>
      <c r="V87" s="11" t="s">
        <v>86</v>
      </c>
      <c r="W87" s="11" t="s">
        <v>575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88</v>
      </c>
    </row>
    <row r="88" customFormat="false" ht="15" hidden="false" customHeight="false" outlineLevel="0" collapsed="false">
      <c r="A88" s="9" t="s">
        <v>576</v>
      </c>
      <c r="B88" s="9" t="s">
        <v>577</v>
      </c>
      <c r="C88" s="9" t="s">
        <v>485</v>
      </c>
      <c r="D88" s="9" t="s">
        <v>578</v>
      </c>
      <c r="E88" s="10" t="n">
        <v>75</v>
      </c>
      <c r="F88" s="9"/>
      <c r="G88" s="9"/>
      <c r="H88" s="9" t="s">
        <v>487</v>
      </c>
      <c r="I88" s="9" t="s">
        <v>572</v>
      </c>
      <c r="J88" s="13" t="n">
        <v>45874</v>
      </c>
      <c r="K88" s="9"/>
      <c r="L88" s="9" t="s">
        <v>573</v>
      </c>
      <c r="M88" s="9" t="s">
        <v>574</v>
      </c>
      <c r="N88" s="9" t="s">
        <v>572</v>
      </c>
      <c r="O88" s="9" t="s">
        <v>80</v>
      </c>
      <c r="P88" s="9" t="s">
        <v>81</v>
      </c>
      <c r="Q88" s="9" t="s">
        <v>491</v>
      </c>
      <c r="R88" s="9" t="s">
        <v>149</v>
      </c>
      <c r="S88" s="11" t="s">
        <v>84</v>
      </c>
      <c r="T88" s="9" t="s">
        <v>491</v>
      </c>
      <c r="U88" s="11" t="s">
        <v>150</v>
      </c>
      <c r="V88" s="11" t="s">
        <v>86</v>
      </c>
      <c r="W88" s="11" t="s">
        <v>575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88</v>
      </c>
    </row>
    <row r="89" customFormat="false" ht="15" hidden="false" customHeight="false" outlineLevel="0" collapsed="false">
      <c r="A89" s="9" t="s">
        <v>579</v>
      </c>
      <c r="B89" s="9" t="s">
        <v>580</v>
      </c>
      <c r="C89" s="9" t="s">
        <v>485</v>
      </c>
      <c r="D89" s="9" t="s">
        <v>581</v>
      </c>
      <c r="E89" s="10" t="n">
        <v>3</v>
      </c>
      <c r="F89" s="9"/>
      <c r="G89" s="9"/>
      <c r="H89" s="9" t="s">
        <v>487</v>
      </c>
      <c r="I89" s="9" t="s">
        <v>582</v>
      </c>
      <c r="J89" s="13" t="n">
        <v>45929</v>
      </c>
      <c r="K89" s="9"/>
      <c r="L89" s="9" t="s">
        <v>583</v>
      </c>
      <c r="M89" s="9" t="s">
        <v>584</v>
      </c>
      <c r="N89" s="9" t="s">
        <v>582</v>
      </c>
      <c r="O89" s="9" t="s">
        <v>80</v>
      </c>
      <c r="P89" s="9" t="s">
        <v>81</v>
      </c>
      <c r="Q89" s="9" t="s">
        <v>491</v>
      </c>
      <c r="R89" s="9" t="s">
        <v>149</v>
      </c>
      <c r="S89" s="11" t="s">
        <v>84</v>
      </c>
      <c r="T89" s="9" t="s">
        <v>491</v>
      </c>
      <c r="U89" s="11" t="s">
        <v>150</v>
      </c>
      <c r="V89" s="11" t="s">
        <v>86</v>
      </c>
      <c r="W89" s="11" t="s">
        <v>585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88</v>
      </c>
    </row>
    <row r="90" customFormat="false" ht="15" hidden="false" customHeight="false" outlineLevel="0" collapsed="false">
      <c r="A90" s="9" t="s">
        <v>586</v>
      </c>
      <c r="B90" s="9" t="s">
        <v>587</v>
      </c>
      <c r="C90" s="9" t="s">
        <v>485</v>
      </c>
      <c r="D90" s="9" t="s">
        <v>588</v>
      </c>
      <c r="E90" s="10" t="n">
        <v>15</v>
      </c>
      <c r="F90" s="9"/>
      <c r="G90" s="9"/>
      <c r="H90" s="9" t="s">
        <v>487</v>
      </c>
      <c r="I90" s="9" t="s">
        <v>582</v>
      </c>
      <c r="J90" s="13" t="n">
        <v>45929</v>
      </c>
      <c r="K90" s="9"/>
      <c r="L90" s="9" t="s">
        <v>583</v>
      </c>
      <c r="M90" s="9" t="s">
        <v>584</v>
      </c>
      <c r="N90" s="9" t="s">
        <v>582</v>
      </c>
      <c r="O90" s="9" t="s">
        <v>80</v>
      </c>
      <c r="P90" s="9" t="s">
        <v>81</v>
      </c>
      <c r="Q90" s="9" t="s">
        <v>491</v>
      </c>
      <c r="R90" s="9" t="s">
        <v>149</v>
      </c>
      <c r="S90" s="11" t="s">
        <v>84</v>
      </c>
      <c r="T90" s="9" t="s">
        <v>491</v>
      </c>
      <c r="U90" s="11" t="s">
        <v>150</v>
      </c>
      <c r="V90" s="11" t="s">
        <v>86</v>
      </c>
      <c r="W90" s="11" t="s">
        <v>585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88</v>
      </c>
    </row>
    <row r="91" customFormat="false" ht="15" hidden="false" customHeight="false" outlineLevel="0" collapsed="false">
      <c r="A91" s="9" t="s">
        <v>589</v>
      </c>
      <c r="B91" s="9" t="s">
        <v>590</v>
      </c>
      <c r="C91" s="9" t="s">
        <v>485</v>
      </c>
      <c r="D91" s="9" t="s">
        <v>591</v>
      </c>
      <c r="E91" s="10" t="n">
        <v>1</v>
      </c>
      <c r="F91" s="9"/>
      <c r="G91" s="9"/>
      <c r="H91" s="9" t="s">
        <v>487</v>
      </c>
      <c r="I91" s="9" t="s">
        <v>197</v>
      </c>
      <c r="J91" s="13" t="n">
        <v>45945</v>
      </c>
      <c r="K91" s="9"/>
      <c r="L91" s="9" t="s">
        <v>592</v>
      </c>
      <c r="M91" s="9" t="s">
        <v>593</v>
      </c>
      <c r="N91" s="9" t="s">
        <v>197</v>
      </c>
      <c r="O91" s="9" t="s">
        <v>80</v>
      </c>
      <c r="P91" s="9" t="s">
        <v>81</v>
      </c>
      <c r="Q91" s="9" t="s">
        <v>491</v>
      </c>
      <c r="R91" s="9" t="s">
        <v>149</v>
      </c>
      <c r="S91" s="11" t="s">
        <v>84</v>
      </c>
      <c r="T91" s="9" t="s">
        <v>491</v>
      </c>
      <c r="U91" s="11" t="s">
        <v>150</v>
      </c>
      <c r="V91" s="11" t="s">
        <v>86</v>
      </c>
      <c r="W91" s="11" t="s">
        <v>594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88</v>
      </c>
    </row>
    <row r="92" customFormat="false" ht="15" hidden="false" customHeight="false" outlineLevel="0" collapsed="false">
      <c r="A92" s="9" t="s">
        <v>595</v>
      </c>
      <c r="B92" s="9" t="s">
        <v>596</v>
      </c>
      <c r="C92" s="9" t="s">
        <v>485</v>
      </c>
      <c r="D92" s="9" t="s">
        <v>597</v>
      </c>
      <c r="E92" s="10" t="n">
        <v>5</v>
      </c>
      <c r="F92" s="9"/>
      <c r="G92" s="9"/>
      <c r="H92" s="9" t="s">
        <v>487</v>
      </c>
      <c r="I92" s="9" t="s">
        <v>197</v>
      </c>
      <c r="J92" s="13" t="n">
        <v>45945</v>
      </c>
      <c r="K92" s="9"/>
      <c r="L92" s="9" t="s">
        <v>592</v>
      </c>
      <c r="M92" s="9" t="s">
        <v>593</v>
      </c>
      <c r="N92" s="9" t="s">
        <v>197</v>
      </c>
      <c r="O92" s="9" t="s">
        <v>80</v>
      </c>
      <c r="P92" s="9" t="s">
        <v>81</v>
      </c>
      <c r="Q92" s="9" t="s">
        <v>491</v>
      </c>
      <c r="R92" s="9" t="s">
        <v>149</v>
      </c>
      <c r="S92" s="11" t="s">
        <v>84</v>
      </c>
      <c r="T92" s="9" t="s">
        <v>491</v>
      </c>
      <c r="U92" s="11" t="s">
        <v>150</v>
      </c>
      <c r="V92" s="11" t="s">
        <v>86</v>
      </c>
      <c r="W92" s="11" t="s">
        <v>594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88</v>
      </c>
    </row>
    <row r="93" customFormat="false" ht="15" hidden="false" customHeight="false" outlineLevel="0" collapsed="false">
      <c r="A93" s="9" t="s">
        <v>598</v>
      </c>
      <c r="B93" s="9" t="s">
        <v>599</v>
      </c>
      <c r="C93" s="9" t="s">
        <v>485</v>
      </c>
      <c r="D93" s="9" t="s">
        <v>600</v>
      </c>
      <c r="E93" s="10" t="n">
        <v>5</v>
      </c>
      <c r="F93" s="9"/>
      <c r="G93" s="9"/>
      <c r="H93" s="9" t="s">
        <v>487</v>
      </c>
      <c r="I93" s="9" t="s">
        <v>601</v>
      </c>
      <c r="J93" s="13" t="n">
        <v>45985</v>
      </c>
      <c r="K93" s="9"/>
      <c r="L93" s="9" t="s">
        <v>602</v>
      </c>
      <c r="M93" s="9" t="s">
        <v>603</v>
      </c>
      <c r="N93" s="9" t="s">
        <v>601</v>
      </c>
      <c r="O93" s="9" t="s">
        <v>80</v>
      </c>
      <c r="P93" s="9" t="s">
        <v>81</v>
      </c>
      <c r="Q93" s="9" t="s">
        <v>491</v>
      </c>
      <c r="R93" s="9" t="s">
        <v>149</v>
      </c>
      <c r="S93" s="11" t="s">
        <v>84</v>
      </c>
      <c r="T93" s="9" t="s">
        <v>491</v>
      </c>
      <c r="U93" s="11" t="s">
        <v>150</v>
      </c>
      <c r="V93" s="11" t="s">
        <v>86</v>
      </c>
      <c r="W93" s="11" t="s">
        <v>604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88</v>
      </c>
    </row>
    <row r="94" customFormat="false" ht="15" hidden="false" customHeight="false" outlineLevel="0" collapsed="false">
      <c r="A94" s="9" t="s">
        <v>605</v>
      </c>
      <c r="B94" s="9" t="s">
        <v>606</v>
      </c>
      <c r="C94" s="9" t="s">
        <v>485</v>
      </c>
      <c r="D94" s="9" t="s">
        <v>607</v>
      </c>
      <c r="E94" s="10" t="n">
        <v>25</v>
      </c>
      <c r="F94" s="9"/>
      <c r="G94" s="9"/>
      <c r="H94" s="9" t="s">
        <v>487</v>
      </c>
      <c r="I94" s="9" t="s">
        <v>601</v>
      </c>
      <c r="J94" s="13" t="n">
        <v>45985</v>
      </c>
      <c r="K94" s="9"/>
      <c r="L94" s="9" t="s">
        <v>602</v>
      </c>
      <c r="M94" s="9" t="s">
        <v>603</v>
      </c>
      <c r="N94" s="9" t="s">
        <v>601</v>
      </c>
      <c r="O94" s="9" t="s">
        <v>80</v>
      </c>
      <c r="P94" s="9" t="s">
        <v>81</v>
      </c>
      <c r="Q94" s="9" t="s">
        <v>491</v>
      </c>
      <c r="R94" s="9" t="s">
        <v>149</v>
      </c>
      <c r="S94" s="11" t="s">
        <v>84</v>
      </c>
      <c r="T94" s="9" t="s">
        <v>491</v>
      </c>
      <c r="U94" s="11" t="s">
        <v>150</v>
      </c>
      <c r="V94" s="11" t="s">
        <v>86</v>
      </c>
      <c r="W94" s="11" t="s">
        <v>604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88</v>
      </c>
    </row>
    <row r="95" customFormat="false" ht="15" hidden="false" customHeight="false" outlineLevel="0" collapsed="false">
      <c r="A95" s="9" t="s">
        <v>608</v>
      </c>
      <c r="B95" s="9" t="s">
        <v>609</v>
      </c>
      <c r="C95" s="9" t="s">
        <v>485</v>
      </c>
      <c r="D95" s="9" t="s">
        <v>610</v>
      </c>
      <c r="E95" s="10" t="n">
        <v>5</v>
      </c>
      <c r="F95" s="9"/>
      <c r="G95" s="9"/>
      <c r="H95" s="9" t="s">
        <v>487</v>
      </c>
      <c r="I95" s="9" t="s">
        <v>611</v>
      </c>
      <c r="J95" s="13" t="n">
        <v>46058</v>
      </c>
      <c r="K95" s="9"/>
      <c r="L95" s="9" t="s">
        <v>612</v>
      </c>
      <c r="M95" s="9" t="s">
        <v>613</v>
      </c>
      <c r="N95" s="9" t="s">
        <v>611</v>
      </c>
      <c r="O95" s="9" t="s">
        <v>80</v>
      </c>
      <c r="P95" s="9" t="s">
        <v>81</v>
      </c>
      <c r="Q95" s="9" t="s">
        <v>491</v>
      </c>
      <c r="R95" s="9" t="s">
        <v>149</v>
      </c>
      <c r="S95" s="11" t="s">
        <v>84</v>
      </c>
      <c r="T95" s="9" t="s">
        <v>491</v>
      </c>
      <c r="U95" s="11" t="s">
        <v>150</v>
      </c>
      <c r="V95" s="11" t="s">
        <v>86</v>
      </c>
      <c r="W95" s="11" t="s">
        <v>614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88</v>
      </c>
    </row>
    <row r="96" customFormat="false" ht="15" hidden="false" customHeight="false" outlineLevel="0" collapsed="false">
      <c r="A96" s="9" t="s">
        <v>615</v>
      </c>
      <c r="B96" s="9" t="s">
        <v>616</v>
      </c>
      <c r="C96" s="9" t="s">
        <v>485</v>
      </c>
      <c r="D96" s="9" t="s">
        <v>617</v>
      </c>
      <c r="E96" s="10" t="n">
        <v>25</v>
      </c>
      <c r="F96" s="9"/>
      <c r="G96" s="9"/>
      <c r="H96" s="9" t="s">
        <v>487</v>
      </c>
      <c r="I96" s="9" t="s">
        <v>611</v>
      </c>
      <c r="J96" s="13" t="n">
        <v>46058</v>
      </c>
      <c r="K96" s="9"/>
      <c r="L96" s="9" t="s">
        <v>612</v>
      </c>
      <c r="M96" s="9" t="s">
        <v>613</v>
      </c>
      <c r="N96" s="9" t="s">
        <v>611</v>
      </c>
      <c r="O96" s="9" t="s">
        <v>80</v>
      </c>
      <c r="P96" s="9" t="s">
        <v>81</v>
      </c>
      <c r="Q96" s="9" t="s">
        <v>491</v>
      </c>
      <c r="R96" s="9" t="s">
        <v>149</v>
      </c>
      <c r="S96" s="11" t="s">
        <v>84</v>
      </c>
      <c r="T96" s="9" t="s">
        <v>491</v>
      </c>
      <c r="U96" s="11" t="s">
        <v>150</v>
      </c>
      <c r="V96" s="11" t="s">
        <v>86</v>
      </c>
      <c r="W96" s="11" t="s">
        <v>614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88</v>
      </c>
    </row>
    <row r="97" customFormat="false" ht="15" hidden="false" customHeight="false" outlineLevel="0" collapsed="false">
      <c r="A97" s="9" t="s">
        <v>618</v>
      </c>
      <c r="B97" s="9" t="s">
        <v>619</v>
      </c>
      <c r="C97" s="9" t="s">
        <v>485</v>
      </c>
      <c r="D97" s="9" t="s">
        <v>620</v>
      </c>
      <c r="E97" s="10" t="n">
        <v>3</v>
      </c>
      <c r="F97" s="9"/>
      <c r="G97" s="9"/>
      <c r="H97" s="9" t="s">
        <v>487</v>
      </c>
      <c r="I97" s="9" t="s">
        <v>621</v>
      </c>
      <c r="J97" s="13" t="n">
        <v>46070</v>
      </c>
      <c r="K97" s="9"/>
      <c r="L97" s="9" t="s">
        <v>622</v>
      </c>
      <c r="M97" s="9" t="s">
        <v>623</v>
      </c>
      <c r="N97" s="9" t="s">
        <v>621</v>
      </c>
      <c r="O97" s="9" t="s">
        <v>80</v>
      </c>
      <c r="P97" s="9" t="s">
        <v>81</v>
      </c>
      <c r="Q97" s="9" t="s">
        <v>491</v>
      </c>
      <c r="R97" s="9" t="s">
        <v>149</v>
      </c>
      <c r="S97" s="11" t="s">
        <v>84</v>
      </c>
      <c r="T97" s="9" t="s">
        <v>491</v>
      </c>
      <c r="U97" s="11" t="s">
        <v>150</v>
      </c>
      <c r="V97" s="11" t="s">
        <v>86</v>
      </c>
      <c r="W97" s="11" t="s">
        <v>624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88</v>
      </c>
    </row>
    <row r="98" customFormat="false" ht="15" hidden="false" customHeight="false" outlineLevel="0" collapsed="false">
      <c r="A98" s="9" t="s">
        <v>625</v>
      </c>
      <c r="B98" s="9" t="s">
        <v>626</v>
      </c>
      <c r="C98" s="9" t="s">
        <v>485</v>
      </c>
      <c r="D98" s="9" t="s">
        <v>627</v>
      </c>
      <c r="E98" s="10" t="n">
        <v>15</v>
      </c>
      <c r="F98" s="9"/>
      <c r="G98" s="9"/>
      <c r="H98" s="9" t="s">
        <v>487</v>
      </c>
      <c r="I98" s="9" t="s">
        <v>621</v>
      </c>
      <c r="J98" s="13" t="n">
        <v>46070</v>
      </c>
      <c r="K98" s="9"/>
      <c r="L98" s="9" t="s">
        <v>622</v>
      </c>
      <c r="M98" s="9" t="s">
        <v>623</v>
      </c>
      <c r="N98" s="9" t="s">
        <v>621</v>
      </c>
      <c r="O98" s="9" t="s">
        <v>80</v>
      </c>
      <c r="P98" s="9" t="s">
        <v>81</v>
      </c>
      <c r="Q98" s="9" t="s">
        <v>491</v>
      </c>
      <c r="R98" s="9" t="s">
        <v>149</v>
      </c>
      <c r="S98" s="11" t="s">
        <v>84</v>
      </c>
      <c r="T98" s="9" t="s">
        <v>491</v>
      </c>
      <c r="U98" s="11" t="s">
        <v>150</v>
      </c>
      <c r="V98" s="11" t="s">
        <v>86</v>
      </c>
      <c r="W98" s="11" t="s">
        <v>624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88</v>
      </c>
    </row>
    <row r="99" customFormat="false" ht="15" hidden="false" customHeight="false" outlineLevel="0" collapsed="false">
      <c r="A99" s="9" t="s">
        <v>628</v>
      </c>
      <c r="B99" s="9" t="s">
        <v>629</v>
      </c>
      <c r="C99" s="9" t="s">
        <v>485</v>
      </c>
      <c r="D99" s="9" t="s">
        <v>630</v>
      </c>
      <c r="E99" s="10" t="n">
        <v>25</v>
      </c>
      <c r="F99" s="9"/>
      <c r="G99" s="9"/>
      <c r="H99" s="9" t="s">
        <v>487</v>
      </c>
      <c r="I99" s="9" t="s">
        <v>631</v>
      </c>
      <c r="J99" s="13" t="n">
        <v>46119</v>
      </c>
      <c r="K99" s="9"/>
      <c r="L99" s="9" t="s">
        <v>632</v>
      </c>
      <c r="M99" s="9" t="s">
        <v>633</v>
      </c>
      <c r="N99" s="9" t="s">
        <v>631</v>
      </c>
      <c r="O99" s="9" t="s">
        <v>80</v>
      </c>
      <c r="P99" s="9" t="s">
        <v>81</v>
      </c>
      <c r="Q99" s="9" t="s">
        <v>527</v>
      </c>
      <c r="R99" s="11" t="s">
        <v>101</v>
      </c>
      <c r="S99" s="11" t="s">
        <v>84</v>
      </c>
      <c r="T99" s="9" t="s">
        <v>527</v>
      </c>
      <c r="U99" s="11" t="s">
        <v>101</v>
      </c>
      <c r="V99" s="11" t="s">
        <v>86</v>
      </c>
      <c r="W99" s="11" t="s">
        <v>634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88</v>
      </c>
    </row>
    <row r="100" customFormat="false" ht="15" hidden="false" customHeight="false" outlineLevel="0" collapsed="false">
      <c r="A100" s="9" t="s">
        <v>635</v>
      </c>
      <c r="B100" s="9" t="s">
        <v>636</v>
      </c>
      <c r="C100" s="9" t="s">
        <v>485</v>
      </c>
      <c r="D100" s="9" t="s">
        <v>637</v>
      </c>
      <c r="E100" s="10" t="n">
        <v>125</v>
      </c>
      <c r="F100" s="9"/>
      <c r="G100" s="9"/>
      <c r="H100" s="9" t="s">
        <v>487</v>
      </c>
      <c r="I100" s="9" t="s">
        <v>631</v>
      </c>
      <c r="J100" s="13" t="n">
        <v>46119</v>
      </c>
      <c r="K100" s="9"/>
      <c r="L100" s="9" t="s">
        <v>632</v>
      </c>
      <c r="M100" s="9" t="s">
        <v>633</v>
      </c>
      <c r="N100" s="9" t="s">
        <v>631</v>
      </c>
      <c r="O100" s="9" t="s">
        <v>80</v>
      </c>
      <c r="P100" s="9" t="s">
        <v>81</v>
      </c>
      <c r="Q100" s="9" t="s">
        <v>527</v>
      </c>
      <c r="R100" s="11" t="s">
        <v>101</v>
      </c>
      <c r="S100" s="11" t="s">
        <v>84</v>
      </c>
      <c r="T100" s="9" t="s">
        <v>527</v>
      </c>
      <c r="U100" s="11" t="s">
        <v>101</v>
      </c>
      <c r="V100" s="11" t="s">
        <v>86</v>
      </c>
      <c r="W100" s="11" t="s">
        <v>634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88</v>
      </c>
    </row>
    <row r="101" customFormat="false" ht="15" hidden="false" customHeight="false" outlineLevel="0" collapsed="false">
      <c r="A101" s="9" t="s">
        <v>638</v>
      </c>
      <c r="B101" s="9" t="s">
        <v>639</v>
      </c>
      <c r="C101" s="9" t="s">
        <v>485</v>
      </c>
      <c r="D101" s="9" t="s">
        <v>640</v>
      </c>
      <c r="E101" s="10" t="n">
        <v>5</v>
      </c>
      <c r="F101" s="9"/>
      <c r="G101" s="9"/>
      <c r="H101" s="9" t="s">
        <v>487</v>
      </c>
      <c r="I101" s="9" t="s">
        <v>641</v>
      </c>
      <c r="J101" s="13" t="n">
        <v>46128</v>
      </c>
      <c r="K101" s="9"/>
      <c r="L101" s="9" t="s">
        <v>642</v>
      </c>
      <c r="M101" s="9" t="s">
        <v>643</v>
      </c>
      <c r="N101" s="9" t="s">
        <v>641</v>
      </c>
      <c r="O101" s="9" t="s">
        <v>80</v>
      </c>
      <c r="P101" s="9" t="s">
        <v>81</v>
      </c>
      <c r="Q101" s="9" t="s">
        <v>491</v>
      </c>
      <c r="R101" s="9" t="s">
        <v>149</v>
      </c>
      <c r="S101" s="11" t="s">
        <v>84</v>
      </c>
      <c r="T101" s="9" t="s">
        <v>491</v>
      </c>
      <c r="U101" s="11" t="s">
        <v>150</v>
      </c>
      <c r="V101" s="11" t="s">
        <v>86</v>
      </c>
      <c r="W101" s="11" t="s">
        <v>644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88</v>
      </c>
    </row>
    <row r="102" customFormat="false" ht="15" hidden="false" customHeight="false" outlineLevel="0" collapsed="false">
      <c r="A102" s="9" t="s">
        <v>645</v>
      </c>
      <c r="B102" s="9" t="s">
        <v>646</v>
      </c>
      <c r="C102" s="9" t="s">
        <v>485</v>
      </c>
      <c r="D102" s="9" t="s">
        <v>647</v>
      </c>
      <c r="E102" s="10" t="n">
        <v>25</v>
      </c>
      <c r="F102" s="9"/>
      <c r="G102" s="9"/>
      <c r="H102" s="9" t="s">
        <v>487</v>
      </c>
      <c r="I102" s="9" t="s">
        <v>641</v>
      </c>
      <c r="J102" s="13" t="n">
        <v>46128</v>
      </c>
      <c r="K102" s="9"/>
      <c r="L102" s="9" t="s">
        <v>642</v>
      </c>
      <c r="M102" s="9" t="s">
        <v>643</v>
      </c>
      <c r="N102" s="9" t="s">
        <v>641</v>
      </c>
      <c r="O102" s="9" t="s">
        <v>80</v>
      </c>
      <c r="P102" s="9" t="s">
        <v>81</v>
      </c>
      <c r="Q102" s="9" t="s">
        <v>491</v>
      </c>
      <c r="R102" s="9" t="s">
        <v>149</v>
      </c>
      <c r="S102" s="11" t="s">
        <v>84</v>
      </c>
      <c r="T102" s="9" t="s">
        <v>491</v>
      </c>
      <c r="U102" s="11" t="s">
        <v>150</v>
      </c>
      <c r="V102" s="11" t="s">
        <v>86</v>
      </c>
      <c r="W102" s="11" t="s">
        <v>644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88</v>
      </c>
    </row>
    <row r="103" customFormat="false" ht="15" hidden="false" customHeight="false" outlineLevel="0" collapsed="false">
      <c r="A103" s="9" t="s">
        <v>648</v>
      </c>
      <c r="B103" s="9" t="s">
        <v>649</v>
      </c>
      <c r="C103" s="9" t="s">
        <v>485</v>
      </c>
      <c r="D103" s="9" t="s">
        <v>650</v>
      </c>
      <c r="E103" s="10" t="n">
        <v>5</v>
      </c>
      <c r="F103" s="9"/>
      <c r="G103" s="9"/>
      <c r="H103" s="9" t="s">
        <v>487</v>
      </c>
      <c r="I103" s="9" t="s">
        <v>234</v>
      </c>
      <c r="J103" s="13" t="n">
        <v>46170</v>
      </c>
      <c r="K103" s="9"/>
      <c r="L103" s="9" t="s">
        <v>651</v>
      </c>
      <c r="M103" s="9" t="s">
        <v>652</v>
      </c>
      <c r="N103" s="9" t="s">
        <v>234</v>
      </c>
      <c r="O103" s="9" t="s">
        <v>80</v>
      </c>
      <c r="P103" s="9" t="s">
        <v>81</v>
      </c>
      <c r="Q103" s="9" t="s">
        <v>491</v>
      </c>
      <c r="R103" s="9" t="s">
        <v>149</v>
      </c>
      <c r="S103" s="11" t="s">
        <v>84</v>
      </c>
      <c r="T103" s="9" t="s">
        <v>491</v>
      </c>
      <c r="U103" s="11" t="s">
        <v>150</v>
      </c>
      <c r="V103" s="11" t="s">
        <v>86</v>
      </c>
      <c r="W103" s="11" t="s">
        <v>653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88</v>
      </c>
    </row>
    <row r="104" customFormat="false" ht="15" hidden="false" customHeight="false" outlineLevel="0" collapsed="false">
      <c r="A104" s="9" t="s">
        <v>654</v>
      </c>
      <c r="B104" s="9" t="s">
        <v>655</v>
      </c>
      <c r="C104" s="9" t="s">
        <v>485</v>
      </c>
      <c r="D104" s="9" t="s">
        <v>656</v>
      </c>
      <c r="E104" s="10" t="n">
        <v>25</v>
      </c>
      <c r="F104" s="9"/>
      <c r="G104" s="9"/>
      <c r="H104" s="9" t="s">
        <v>487</v>
      </c>
      <c r="I104" s="9" t="s">
        <v>234</v>
      </c>
      <c r="J104" s="13" t="n">
        <v>46170</v>
      </c>
      <c r="K104" s="9"/>
      <c r="L104" s="9" t="s">
        <v>651</v>
      </c>
      <c r="M104" s="9" t="s">
        <v>652</v>
      </c>
      <c r="N104" s="9" t="s">
        <v>234</v>
      </c>
      <c r="O104" s="9" t="s">
        <v>80</v>
      </c>
      <c r="P104" s="9" t="s">
        <v>81</v>
      </c>
      <c r="Q104" s="9" t="s">
        <v>491</v>
      </c>
      <c r="R104" s="9" t="s">
        <v>149</v>
      </c>
      <c r="S104" s="11" t="s">
        <v>84</v>
      </c>
      <c r="T104" s="9" t="s">
        <v>491</v>
      </c>
      <c r="U104" s="11" t="s">
        <v>150</v>
      </c>
      <c r="V104" s="11" t="s">
        <v>86</v>
      </c>
      <c r="W104" s="11" t="s">
        <v>653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88</v>
      </c>
    </row>
    <row r="105" customFormat="false" ht="15" hidden="false" customHeight="false" outlineLevel="0" collapsed="false">
      <c r="A105" s="9" t="s">
        <v>657</v>
      </c>
      <c r="B105" s="9" t="s">
        <v>658</v>
      </c>
      <c r="C105" s="9" t="s">
        <v>485</v>
      </c>
      <c r="D105" s="9" t="s">
        <v>659</v>
      </c>
      <c r="E105" s="10" t="n">
        <v>10</v>
      </c>
      <c r="F105" s="9"/>
      <c r="G105" s="9"/>
      <c r="H105" s="9" t="s">
        <v>487</v>
      </c>
      <c r="I105" s="9" t="s">
        <v>660</v>
      </c>
      <c r="J105" s="13" t="n">
        <v>46182</v>
      </c>
      <c r="K105" s="9"/>
      <c r="L105" s="9" t="s">
        <v>661</v>
      </c>
      <c r="M105" s="9" t="s">
        <v>662</v>
      </c>
      <c r="N105" s="9" t="s">
        <v>660</v>
      </c>
      <c r="O105" s="9" t="s">
        <v>80</v>
      </c>
      <c r="P105" s="9" t="s">
        <v>81</v>
      </c>
      <c r="Q105" s="9" t="s">
        <v>491</v>
      </c>
      <c r="R105" s="9" t="s">
        <v>149</v>
      </c>
      <c r="S105" s="11" t="s">
        <v>84</v>
      </c>
      <c r="T105" s="9" t="s">
        <v>491</v>
      </c>
      <c r="U105" s="11" t="s">
        <v>150</v>
      </c>
      <c r="V105" s="11" t="s">
        <v>86</v>
      </c>
      <c r="W105" s="11" t="s">
        <v>663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88</v>
      </c>
    </row>
    <row r="106" customFormat="false" ht="15" hidden="false" customHeight="false" outlineLevel="0" collapsed="false">
      <c r="A106" s="9" t="s">
        <v>664</v>
      </c>
      <c r="B106" s="9" t="s">
        <v>665</v>
      </c>
      <c r="C106" s="9" t="s">
        <v>485</v>
      </c>
      <c r="D106" s="9" t="s">
        <v>666</v>
      </c>
      <c r="E106" s="10" t="n">
        <v>50</v>
      </c>
      <c r="F106" s="9"/>
      <c r="G106" s="9"/>
      <c r="H106" s="9" t="s">
        <v>487</v>
      </c>
      <c r="I106" s="9" t="s">
        <v>660</v>
      </c>
      <c r="J106" s="13" t="n">
        <v>46182</v>
      </c>
      <c r="K106" s="9"/>
      <c r="L106" s="9" t="s">
        <v>661</v>
      </c>
      <c r="M106" s="9" t="s">
        <v>662</v>
      </c>
      <c r="N106" s="9" t="s">
        <v>660</v>
      </c>
      <c r="O106" s="9" t="s">
        <v>80</v>
      </c>
      <c r="P106" s="9" t="s">
        <v>81</v>
      </c>
      <c r="Q106" s="9" t="s">
        <v>491</v>
      </c>
      <c r="R106" s="9" t="s">
        <v>149</v>
      </c>
      <c r="S106" s="11" t="s">
        <v>84</v>
      </c>
      <c r="T106" s="9" t="s">
        <v>491</v>
      </c>
      <c r="U106" s="11" t="s">
        <v>150</v>
      </c>
      <c r="V106" s="11" t="s">
        <v>86</v>
      </c>
      <c r="W106" s="11" t="s">
        <v>663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88</v>
      </c>
    </row>
    <row r="107" customFormat="false" ht="15" hidden="false" customHeight="false" outlineLevel="0" collapsed="false">
      <c r="A107" s="9" t="s">
        <v>667</v>
      </c>
      <c r="B107" s="9" t="s">
        <v>668</v>
      </c>
      <c r="C107" s="9" t="s">
        <v>485</v>
      </c>
      <c r="D107" s="9" t="s">
        <v>669</v>
      </c>
      <c r="E107" s="10" t="n">
        <v>10</v>
      </c>
      <c r="F107" s="9"/>
      <c r="G107" s="9"/>
      <c r="H107" s="9" t="s">
        <v>487</v>
      </c>
      <c r="I107" s="9" t="s">
        <v>660</v>
      </c>
      <c r="J107" s="13" t="n">
        <v>46182</v>
      </c>
      <c r="K107" s="9"/>
      <c r="L107" s="9" t="s">
        <v>661</v>
      </c>
      <c r="M107" s="9" t="s">
        <v>662</v>
      </c>
      <c r="N107" s="9" t="s">
        <v>660</v>
      </c>
      <c r="O107" s="9" t="s">
        <v>80</v>
      </c>
      <c r="P107" s="9" t="s">
        <v>81</v>
      </c>
      <c r="Q107" s="9" t="s">
        <v>491</v>
      </c>
      <c r="R107" s="9" t="s">
        <v>149</v>
      </c>
      <c r="S107" s="11" t="s">
        <v>84</v>
      </c>
      <c r="T107" s="9" t="s">
        <v>491</v>
      </c>
      <c r="U107" s="11" t="s">
        <v>150</v>
      </c>
      <c r="V107" s="11" t="s">
        <v>86</v>
      </c>
      <c r="W107" s="11" t="s">
        <v>670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88</v>
      </c>
    </row>
    <row r="108" customFormat="false" ht="15" hidden="false" customHeight="false" outlineLevel="0" collapsed="false">
      <c r="A108" s="9" t="s">
        <v>671</v>
      </c>
      <c r="B108" s="9" t="s">
        <v>672</v>
      </c>
      <c r="C108" s="9" t="s">
        <v>485</v>
      </c>
      <c r="D108" s="9" t="s">
        <v>673</v>
      </c>
      <c r="E108" s="10" t="n">
        <v>50</v>
      </c>
      <c r="F108" s="9"/>
      <c r="G108" s="9"/>
      <c r="H108" s="9" t="s">
        <v>487</v>
      </c>
      <c r="I108" s="9" t="s">
        <v>660</v>
      </c>
      <c r="J108" s="13" t="n">
        <v>46182</v>
      </c>
      <c r="K108" s="9"/>
      <c r="L108" s="9" t="s">
        <v>661</v>
      </c>
      <c r="M108" s="9" t="s">
        <v>662</v>
      </c>
      <c r="N108" s="9" t="s">
        <v>660</v>
      </c>
      <c r="O108" s="9" t="s">
        <v>80</v>
      </c>
      <c r="P108" s="9" t="s">
        <v>81</v>
      </c>
      <c r="Q108" s="9" t="s">
        <v>491</v>
      </c>
      <c r="R108" s="9" t="s">
        <v>149</v>
      </c>
      <c r="S108" s="11" t="s">
        <v>84</v>
      </c>
      <c r="T108" s="9" t="s">
        <v>491</v>
      </c>
      <c r="U108" s="11" t="s">
        <v>150</v>
      </c>
      <c r="V108" s="11" t="s">
        <v>86</v>
      </c>
      <c r="W108" s="11" t="s">
        <v>670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88</v>
      </c>
    </row>
    <row r="109" customFormat="false" ht="15" hidden="false" customHeight="false" outlineLevel="0" collapsed="false">
      <c r="A109" s="9" t="s">
        <v>674</v>
      </c>
      <c r="B109" s="9" t="s">
        <v>675</v>
      </c>
      <c r="C109" s="9" t="s">
        <v>485</v>
      </c>
      <c r="D109" s="9" t="s">
        <v>676</v>
      </c>
      <c r="E109" s="10" t="n">
        <v>2</v>
      </c>
      <c r="F109" s="9"/>
      <c r="G109" s="9"/>
      <c r="H109" s="9" t="s">
        <v>487</v>
      </c>
      <c r="I109" s="9" t="s">
        <v>677</v>
      </c>
      <c r="J109" s="13" t="n">
        <v>46203</v>
      </c>
      <c r="K109" s="9"/>
      <c r="L109" s="9" t="s">
        <v>678</v>
      </c>
      <c r="M109" s="9" t="s">
        <v>679</v>
      </c>
      <c r="N109" s="9" t="s">
        <v>677</v>
      </c>
      <c r="O109" s="9" t="s">
        <v>80</v>
      </c>
      <c r="P109" s="9" t="s">
        <v>81</v>
      </c>
      <c r="Q109" s="9" t="s">
        <v>491</v>
      </c>
      <c r="R109" s="9" t="s">
        <v>149</v>
      </c>
      <c r="S109" s="11" t="s">
        <v>84</v>
      </c>
      <c r="T109" s="9" t="s">
        <v>491</v>
      </c>
      <c r="U109" s="11" t="s">
        <v>150</v>
      </c>
      <c r="V109" s="11" t="s">
        <v>86</v>
      </c>
      <c r="W109" s="11" t="s">
        <v>680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88</v>
      </c>
    </row>
    <row r="110" customFormat="false" ht="15" hidden="false" customHeight="false" outlineLevel="0" collapsed="false">
      <c r="A110" s="9" t="s">
        <v>681</v>
      </c>
      <c r="B110" s="9" t="s">
        <v>682</v>
      </c>
      <c r="C110" s="9" t="s">
        <v>485</v>
      </c>
      <c r="D110" s="9" t="s">
        <v>683</v>
      </c>
      <c r="E110" s="10" t="n">
        <v>10</v>
      </c>
      <c r="F110" s="9"/>
      <c r="G110" s="9"/>
      <c r="H110" s="9" t="s">
        <v>487</v>
      </c>
      <c r="I110" s="9" t="s">
        <v>677</v>
      </c>
      <c r="J110" s="13" t="n">
        <v>46203</v>
      </c>
      <c r="K110" s="9"/>
      <c r="L110" s="9" t="s">
        <v>678</v>
      </c>
      <c r="M110" s="9" t="s">
        <v>679</v>
      </c>
      <c r="N110" s="9" t="s">
        <v>677</v>
      </c>
      <c r="O110" s="9" t="s">
        <v>80</v>
      </c>
      <c r="P110" s="9" t="s">
        <v>81</v>
      </c>
      <c r="Q110" s="9" t="s">
        <v>491</v>
      </c>
      <c r="R110" s="9" t="s">
        <v>149</v>
      </c>
      <c r="S110" s="11" t="s">
        <v>84</v>
      </c>
      <c r="T110" s="9" t="s">
        <v>491</v>
      </c>
      <c r="U110" s="11" t="s">
        <v>150</v>
      </c>
      <c r="V110" s="11" t="s">
        <v>86</v>
      </c>
      <c r="W110" s="11" t="s">
        <v>680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88</v>
      </c>
    </row>
    <row r="111" customFormat="false" ht="15" hidden="false" customHeight="false" outlineLevel="0" collapsed="false">
      <c r="A111" s="9" t="s">
        <v>684</v>
      </c>
      <c r="B111" s="9" t="s">
        <v>685</v>
      </c>
      <c r="C111" s="9" t="s">
        <v>485</v>
      </c>
      <c r="D111" s="9" t="s">
        <v>686</v>
      </c>
      <c r="E111" s="10" t="n">
        <v>5</v>
      </c>
      <c r="F111" s="9"/>
      <c r="G111" s="9"/>
      <c r="H111" s="9" t="s">
        <v>487</v>
      </c>
      <c r="I111" s="9" t="s">
        <v>687</v>
      </c>
      <c r="J111" s="13" t="n">
        <v>46227</v>
      </c>
      <c r="K111" s="9"/>
      <c r="L111" s="9" t="s">
        <v>688</v>
      </c>
      <c r="M111" s="9" t="s">
        <v>689</v>
      </c>
      <c r="N111" s="9" t="s">
        <v>687</v>
      </c>
      <c r="O111" s="9" t="s">
        <v>80</v>
      </c>
      <c r="P111" s="9" t="s">
        <v>81</v>
      </c>
      <c r="Q111" s="9" t="s">
        <v>491</v>
      </c>
      <c r="R111" s="9" t="s">
        <v>149</v>
      </c>
      <c r="S111" s="11" t="s">
        <v>84</v>
      </c>
      <c r="T111" s="9" t="s">
        <v>491</v>
      </c>
      <c r="U111" s="11" t="s">
        <v>150</v>
      </c>
      <c r="V111" s="11" t="s">
        <v>86</v>
      </c>
      <c r="W111" s="11" t="s">
        <v>690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88</v>
      </c>
    </row>
    <row r="112" customFormat="false" ht="15" hidden="false" customHeight="false" outlineLevel="0" collapsed="false">
      <c r="A112" s="9" t="s">
        <v>691</v>
      </c>
      <c r="B112" s="9" t="s">
        <v>692</v>
      </c>
      <c r="C112" s="9" t="s">
        <v>485</v>
      </c>
      <c r="D112" s="9" t="s">
        <v>693</v>
      </c>
      <c r="E112" s="10" t="n">
        <v>25</v>
      </c>
      <c r="F112" s="9"/>
      <c r="G112" s="9"/>
      <c r="H112" s="9" t="s">
        <v>487</v>
      </c>
      <c r="I112" s="9" t="s">
        <v>687</v>
      </c>
      <c r="J112" s="13" t="n">
        <v>46227</v>
      </c>
      <c r="K112" s="9"/>
      <c r="L112" s="9" t="s">
        <v>688</v>
      </c>
      <c r="M112" s="9" t="s">
        <v>689</v>
      </c>
      <c r="N112" s="9" t="s">
        <v>687</v>
      </c>
      <c r="O112" s="9" t="s">
        <v>80</v>
      </c>
      <c r="P112" s="9" t="s">
        <v>81</v>
      </c>
      <c r="Q112" s="9" t="s">
        <v>491</v>
      </c>
      <c r="R112" s="9" t="s">
        <v>149</v>
      </c>
      <c r="S112" s="11" t="s">
        <v>84</v>
      </c>
      <c r="T112" s="9" t="s">
        <v>491</v>
      </c>
      <c r="U112" s="11" t="s">
        <v>150</v>
      </c>
      <c r="V112" s="11" t="s">
        <v>86</v>
      </c>
      <c r="W112" s="11" t="s">
        <v>690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88</v>
      </c>
    </row>
    <row r="113" customFormat="false" ht="15" hidden="false" customHeight="false" outlineLevel="0" collapsed="false">
      <c r="A113" s="9" t="s">
        <v>694</v>
      </c>
      <c r="B113" s="9" t="s">
        <v>695</v>
      </c>
      <c r="C113" s="9" t="s">
        <v>485</v>
      </c>
      <c r="D113" s="9" t="s">
        <v>696</v>
      </c>
      <c r="E113" s="10" t="n">
        <v>10</v>
      </c>
      <c r="F113" s="9"/>
      <c r="G113" s="9"/>
      <c r="H113" s="9" t="s">
        <v>487</v>
      </c>
      <c r="I113" s="9" t="s">
        <v>697</v>
      </c>
      <c r="J113" s="13" t="n">
        <v>46266</v>
      </c>
      <c r="K113" s="9"/>
      <c r="L113" s="9" t="s">
        <v>698</v>
      </c>
      <c r="M113" s="9" t="s">
        <v>699</v>
      </c>
      <c r="N113" s="9" t="s">
        <v>697</v>
      </c>
      <c r="O113" s="9" t="s">
        <v>80</v>
      </c>
      <c r="P113" s="9" t="s">
        <v>81</v>
      </c>
      <c r="Q113" s="9" t="s">
        <v>491</v>
      </c>
      <c r="R113" s="9" t="s">
        <v>149</v>
      </c>
      <c r="S113" s="11" t="s">
        <v>84</v>
      </c>
      <c r="T113" s="9" t="s">
        <v>491</v>
      </c>
      <c r="U113" s="11" t="s">
        <v>150</v>
      </c>
      <c r="V113" s="11" t="s">
        <v>86</v>
      </c>
      <c r="W113" s="11" t="s">
        <v>700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88</v>
      </c>
    </row>
    <row r="114" customFormat="false" ht="15" hidden="false" customHeight="false" outlineLevel="0" collapsed="false">
      <c r="A114" s="9" t="s">
        <v>701</v>
      </c>
      <c r="B114" s="9" t="s">
        <v>702</v>
      </c>
      <c r="C114" s="9" t="s">
        <v>485</v>
      </c>
      <c r="D114" s="9" t="s">
        <v>703</v>
      </c>
      <c r="E114" s="10" t="n">
        <v>50</v>
      </c>
      <c r="F114" s="9"/>
      <c r="G114" s="9"/>
      <c r="H114" s="9" t="s">
        <v>487</v>
      </c>
      <c r="I114" s="9" t="s">
        <v>697</v>
      </c>
      <c r="J114" s="13" t="n">
        <v>46266</v>
      </c>
      <c r="K114" s="9"/>
      <c r="L114" s="9" t="s">
        <v>698</v>
      </c>
      <c r="M114" s="9" t="s">
        <v>699</v>
      </c>
      <c r="N114" s="9" t="s">
        <v>697</v>
      </c>
      <c r="O114" s="9" t="s">
        <v>80</v>
      </c>
      <c r="P114" s="9" t="s">
        <v>81</v>
      </c>
      <c r="Q114" s="9" t="s">
        <v>491</v>
      </c>
      <c r="R114" s="9" t="s">
        <v>149</v>
      </c>
      <c r="S114" s="11" t="s">
        <v>84</v>
      </c>
      <c r="T114" s="9" t="s">
        <v>491</v>
      </c>
      <c r="U114" s="11" t="s">
        <v>150</v>
      </c>
      <c r="V114" s="11" t="s">
        <v>86</v>
      </c>
      <c r="W114" s="11" t="s">
        <v>700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88</v>
      </c>
    </row>
    <row r="115" customFormat="false" ht="15" hidden="false" customHeight="false" outlineLevel="0" collapsed="false">
      <c r="A115" s="9" t="s">
        <v>704</v>
      </c>
      <c r="B115" s="9" t="s">
        <v>705</v>
      </c>
      <c r="C115" s="9" t="s">
        <v>485</v>
      </c>
      <c r="D115" s="9" t="s">
        <v>706</v>
      </c>
      <c r="E115" s="10" t="n">
        <v>4</v>
      </c>
      <c r="F115" s="9"/>
      <c r="G115" s="9"/>
      <c r="H115" s="9" t="s">
        <v>487</v>
      </c>
      <c r="I115" s="9" t="s">
        <v>707</v>
      </c>
      <c r="J115" s="13" t="n">
        <v>46287</v>
      </c>
      <c r="K115" s="9"/>
      <c r="L115" s="9" t="s">
        <v>708</v>
      </c>
      <c r="M115" s="9" t="s">
        <v>709</v>
      </c>
      <c r="N115" s="9" t="s">
        <v>707</v>
      </c>
      <c r="O115" s="9" t="s">
        <v>80</v>
      </c>
      <c r="P115" s="9" t="s">
        <v>81</v>
      </c>
      <c r="Q115" s="9" t="s">
        <v>491</v>
      </c>
      <c r="R115" s="9" t="s">
        <v>149</v>
      </c>
      <c r="S115" s="11" t="s">
        <v>84</v>
      </c>
      <c r="T115" s="9" t="s">
        <v>491</v>
      </c>
      <c r="U115" s="11" t="s">
        <v>150</v>
      </c>
      <c r="V115" s="11" t="s">
        <v>86</v>
      </c>
      <c r="W115" s="11" t="s">
        <v>710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88</v>
      </c>
    </row>
    <row r="116" customFormat="false" ht="15" hidden="false" customHeight="false" outlineLevel="0" collapsed="false">
      <c r="A116" s="9" t="s">
        <v>711</v>
      </c>
      <c r="B116" s="9" t="s">
        <v>712</v>
      </c>
      <c r="C116" s="9" t="s">
        <v>485</v>
      </c>
      <c r="D116" s="9" t="s">
        <v>713</v>
      </c>
      <c r="E116" s="10" t="n">
        <v>20</v>
      </c>
      <c r="F116" s="9"/>
      <c r="G116" s="9"/>
      <c r="H116" s="9" t="s">
        <v>487</v>
      </c>
      <c r="I116" s="9" t="s">
        <v>707</v>
      </c>
      <c r="J116" s="13" t="n">
        <v>46287</v>
      </c>
      <c r="K116" s="9"/>
      <c r="L116" s="9" t="s">
        <v>708</v>
      </c>
      <c r="M116" s="9" t="s">
        <v>709</v>
      </c>
      <c r="N116" s="9" t="s">
        <v>707</v>
      </c>
      <c r="O116" s="9" t="s">
        <v>80</v>
      </c>
      <c r="P116" s="9" t="s">
        <v>81</v>
      </c>
      <c r="Q116" s="9" t="s">
        <v>491</v>
      </c>
      <c r="R116" s="9" t="s">
        <v>149</v>
      </c>
      <c r="S116" s="11" t="s">
        <v>84</v>
      </c>
      <c r="T116" s="9" t="s">
        <v>491</v>
      </c>
      <c r="U116" s="11" t="s">
        <v>150</v>
      </c>
      <c r="V116" s="11" t="s">
        <v>86</v>
      </c>
      <c r="W116" s="11" t="s">
        <v>710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88</v>
      </c>
    </row>
    <row r="117" customFormat="false" ht="15" hidden="false" customHeight="false" outlineLevel="0" collapsed="false">
      <c r="A117" s="9" t="s">
        <v>714</v>
      </c>
      <c r="B117" s="9" t="s">
        <v>715</v>
      </c>
      <c r="C117" s="9" t="s">
        <v>485</v>
      </c>
      <c r="D117" s="9" t="s">
        <v>716</v>
      </c>
      <c r="E117" s="10" t="n">
        <v>2</v>
      </c>
      <c r="F117" s="9"/>
      <c r="G117" s="9"/>
      <c r="H117" s="9" t="s">
        <v>487</v>
      </c>
      <c r="I117" s="9" t="s">
        <v>717</v>
      </c>
      <c r="J117" s="13" t="n">
        <v>46293</v>
      </c>
      <c r="K117" s="9"/>
      <c r="L117" s="9" t="s">
        <v>718</v>
      </c>
      <c r="M117" s="9" t="s">
        <v>719</v>
      </c>
      <c r="N117" s="9" t="s">
        <v>717</v>
      </c>
      <c r="O117" s="9" t="s">
        <v>80</v>
      </c>
      <c r="P117" s="9" t="s">
        <v>81</v>
      </c>
      <c r="Q117" s="9" t="s">
        <v>491</v>
      </c>
      <c r="R117" s="9" t="s">
        <v>149</v>
      </c>
      <c r="S117" s="11" t="s">
        <v>84</v>
      </c>
      <c r="T117" s="9" t="s">
        <v>491</v>
      </c>
      <c r="U117" s="11" t="s">
        <v>150</v>
      </c>
      <c r="V117" s="11" t="s">
        <v>86</v>
      </c>
      <c r="W117" s="11" t="s">
        <v>720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88</v>
      </c>
    </row>
    <row r="118" customFormat="false" ht="15" hidden="false" customHeight="false" outlineLevel="0" collapsed="false">
      <c r="A118" s="9" t="s">
        <v>721</v>
      </c>
      <c r="B118" s="9" t="s">
        <v>722</v>
      </c>
      <c r="C118" s="9" t="s">
        <v>485</v>
      </c>
      <c r="D118" s="9" t="s">
        <v>723</v>
      </c>
      <c r="E118" s="10" t="n">
        <v>10</v>
      </c>
      <c r="F118" s="9"/>
      <c r="G118" s="9"/>
      <c r="H118" s="9" t="s">
        <v>487</v>
      </c>
      <c r="I118" s="9" t="s">
        <v>717</v>
      </c>
      <c r="J118" s="13" t="n">
        <v>46293</v>
      </c>
      <c r="K118" s="9"/>
      <c r="L118" s="9" t="s">
        <v>718</v>
      </c>
      <c r="M118" s="9" t="s">
        <v>719</v>
      </c>
      <c r="N118" s="9" t="s">
        <v>717</v>
      </c>
      <c r="O118" s="9" t="s">
        <v>80</v>
      </c>
      <c r="P118" s="9" t="s">
        <v>81</v>
      </c>
      <c r="Q118" s="9" t="s">
        <v>491</v>
      </c>
      <c r="R118" s="9" t="s">
        <v>149</v>
      </c>
      <c r="S118" s="11" t="s">
        <v>84</v>
      </c>
      <c r="T118" s="9" t="s">
        <v>491</v>
      </c>
      <c r="U118" s="11" t="s">
        <v>150</v>
      </c>
      <c r="V118" s="11" t="s">
        <v>86</v>
      </c>
      <c r="W118" s="11" t="s">
        <v>720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88</v>
      </c>
    </row>
    <row r="119" customFormat="false" ht="15" hidden="false" customHeight="false" outlineLevel="0" collapsed="false">
      <c r="A119" s="9" t="s">
        <v>724</v>
      </c>
      <c r="B119" s="9" t="s">
        <v>725</v>
      </c>
      <c r="C119" s="9" t="s">
        <v>485</v>
      </c>
      <c r="D119" s="9" t="s">
        <v>726</v>
      </c>
      <c r="E119" s="10" t="n">
        <v>0.1</v>
      </c>
      <c r="F119" s="9"/>
      <c r="G119" s="9"/>
      <c r="H119" s="9" t="s">
        <v>487</v>
      </c>
      <c r="I119" s="9" t="s">
        <v>727</v>
      </c>
      <c r="J119" s="13" t="n">
        <v>46302</v>
      </c>
      <c r="K119" s="9"/>
      <c r="L119" s="9" t="s">
        <v>728</v>
      </c>
      <c r="M119" s="9" t="s">
        <v>729</v>
      </c>
      <c r="N119" s="9" t="s">
        <v>727</v>
      </c>
      <c r="O119" s="9" t="s">
        <v>80</v>
      </c>
      <c r="P119" s="9" t="s">
        <v>81</v>
      </c>
      <c r="Q119" s="9" t="s">
        <v>491</v>
      </c>
      <c r="R119" s="9" t="s">
        <v>149</v>
      </c>
      <c r="S119" s="11" t="s">
        <v>84</v>
      </c>
      <c r="T119" s="9" t="s">
        <v>491</v>
      </c>
      <c r="U119" s="11" t="s">
        <v>150</v>
      </c>
      <c r="V119" s="11" t="s">
        <v>86</v>
      </c>
      <c r="W119" s="11" t="s">
        <v>730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88</v>
      </c>
    </row>
    <row r="120" customFormat="false" ht="15" hidden="false" customHeight="false" outlineLevel="0" collapsed="false">
      <c r="A120" s="9" t="s">
        <v>731</v>
      </c>
      <c r="B120" s="9" t="s">
        <v>732</v>
      </c>
      <c r="C120" s="9" t="s">
        <v>485</v>
      </c>
      <c r="D120" s="9" t="s">
        <v>733</v>
      </c>
      <c r="E120" s="10" t="n">
        <v>0.5</v>
      </c>
      <c r="F120" s="9"/>
      <c r="G120" s="9"/>
      <c r="H120" s="9" t="s">
        <v>487</v>
      </c>
      <c r="I120" s="9" t="s">
        <v>727</v>
      </c>
      <c r="J120" s="13" t="n">
        <v>46302</v>
      </c>
      <c r="K120" s="9"/>
      <c r="L120" s="9" t="s">
        <v>728</v>
      </c>
      <c r="M120" s="9" t="s">
        <v>729</v>
      </c>
      <c r="N120" s="9" t="s">
        <v>727</v>
      </c>
      <c r="O120" s="9" t="s">
        <v>80</v>
      </c>
      <c r="P120" s="9" t="s">
        <v>81</v>
      </c>
      <c r="Q120" s="9" t="s">
        <v>491</v>
      </c>
      <c r="R120" s="9" t="s">
        <v>149</v>
      </c>
      <c r="S120" s="11" t="s">
        <v>84</v>
      </c>
      <c r="T120" s="9" t="s">
        <v>491</v>
      </c>
      <c r="U120" s="11" t="s">
        <v>150</v>
      </c>
      <c r="V120" s="11" t="s">
        <v>86</v>
      </c>
      <c r="W120" s="11" t="s">
        <v>730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88</v>
      </c>
    </row>
    <row r="121" customFormat="false" ht="15" hidden="false" customHeight="false" outlineLevel="0" collapsed="false">
      <c r="A121" s="9" t="s">
        <v>734</v>
      </c>
      <c r="B121" s="9" t="s">
        <v>735</v>
      </c>
      <c r="C121" s="9" t="s">
        <v>485</v>
      </c>
      <c r="D121" s="9" t="s">
        <v>736</v>
      </c>
      <c r="E121" s="10" t="n">
        <v>10</v>
      </c>
      <c r="F121" s="9"/>
      <c r="G121" s="9"/>
      <c r="H121" s="9" t="s">
        <v>487</v>
      </c>
      <c r="I121" s="9" t="s">
        <v>611</v>
      </c>
      <c r="J121" s="13" t="n">
        <v>46058</v>
      </c>
      <c r="K121" s="9"/>
      <c r="L121" s="9" t="s">
        <v>612</v>
      </c>
      <c r="M121" s="9" t="s">
        <v>613</v>
      </c>
      <c r="N121" s="9" t="s">
        <v>611</v>
      </c>
      <c r="O121" s="9" t="s">
        <v>80</v>
      </c>
      <c r="P121" s="9" t="s">
        <v>81</v>
      </c>
      <c r="Q121" s="9" t="s">
        <v>491</v>
      </c>
      <c r="R121" s="9" t="s">
        <v>149</v>
      </c>
      <c r="S121" s="11" t="s">
        <v>84</v>
      </c>
      <c r="T121" s="9" t="s">
        <v>491</v>
      </c>
      <c r="U121" s="11" t="s">
        <v>150</v>
      </c>
      <c r="V121" s="11" t="s">
        <v>86</v>
      </c>
      <c r="W121" s="11" t="s">
        <v>737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88</v>
      </c>
    </row>
    <row r="122" customFormat="false" ht="15" hidden="false" customHeight="false" outlineLevel="0" collapsed="false">
      <c r="A122" s="9" t="s">
        <v>738</v>
      </c>
      <c r="B122" s="9" t="s">
        <v>739</v>
      </c>
      <c r="C122" s="9" t="s">
        <v>485</v>
      </c>
      <c r="D122" s="9" t="s">
        <v>740</v>
      </c>
      <c r="E122" s="10" t="n">
        <v>37.5</v>
      </c>
      <c r="F122" s="9"/>
      <c r="G122" s="9"/>
      <c r="H122" s="9" t="s">
        <v>487</v>
      </c>
      <c r="I122" s="9" t="s">
        <v>611</v>
      </c>
      <c r="J122" s="13" t="n">
        <v>46058</v>
      </c>
      <c r="K122" s="9"/>
      <c r="L122" s="9" t="s">
        <v>612</v>
      </c>
      <c r="M122" s="9" t="s">
        <v>613</v>
      </c>
      <c r="N122" s="9" t="s">
        <v>611</v>
      </c>
      <c r="O122" s="9" t="s">
        <v>80</v>
      </c>
      <c r="P122" s="9" t="s">
        <v>81</v>
      </c>
      <c r="Q122" s="9" t="s">
        <v>491</v>
      </c>
      <c r="R122" s="9" t="s">
        <v>149</v>
      </c>
      <c r="S122" s="11" t="s">
        <v>84</v>
      </c>
      <c r="T122" s="9" t="s">
        <v>491</v>
      </c>
      <c r="U122" s="11" t="s">
        <v>150</v>
      </c>
      <c r="V122" s="11" t="s">
        <v>86</v>
      </c>
      <c r="W122" s="11" t="s">
        <v>741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88</v>
      </c>
    </row>
    <row r="123" customFormat="false" ht="15" hidden="false" customHeight="false" outlineLevel="0" collapsed="false">
      <c r="A123" s="9" t="s">
        <v>742</v>
      </c>
      <c r="B123" s="9" t="s">
        <v>743</v>
      </c>
      <c r="C123" s="9" t="s">
        <v>485</v>
      </c>
      <c r="D123" s="11" t="s">
        <v>744</v>
      </c>
      <c r="E123" s="10" t="n">
        <v>1.1</v>
      </c>
      <c r="F123" s="9"/>
      <c r="G123" s="9"/>
      <c r="H123" s="11" t="s">
        <v>745</v>
      </c>
      <c r="I123" s="9" t="s">
        <v>611</v>
      </c>
      <c r="J123" s="13" t="n">
        <v>46058</v>
      </c>
      <c r="K123" s="9"/>
      <c r="L123" s="9" t="s">
        <v>612</v>
      </c>
      <c r="M123" s="9" t="s">
        <v>613</v>
      </c>
      <c r="N123" s="9" t="s">
        <v>611</v>
      </c>
      <c r="O123" s="9" t="s">
        <v>80</v>
      </c>
      <c r="P123" s="9" t="s">
        <v>81</v>
      </c>
      <c r="Q123" s="9" t="s">
        <v>491</v>
      </c>
      <c r="R123" s="9" t="s">
        <v>149</v>
      </c>
      <c r="S123" s="11" t="s">
        <v>84</v>
      </c>
      <c r="T123" s="9" t="s">
        <v>491</v>
      </c>
      <c r="U123" s="11" t="s">
        <v>150</v>
      </c>
      <c r="V123" s="11" t="s">
        <v>86</v>
      </c>
      <c r="W123" s="11" t="s">
        <v>746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88</v>
      </c>
    </row>
    <row r="124" customFormat="false" ht="15" hidden="false" customHeight="false" outlineLevel="0" collapsed="false">
      <c r="A124" s="9" t="s">
        <v>747</v>
      </c>
      <c r="B124" s="9" t="s">
        <v>748</v>
      </c>
      <c r="C124" s="9" t="s">
        <v>485</v>
      </c>
      <c r="D124" s="9" t="s">
        <v>749</v>
      </c>
      <c r="E124" s="10" t="n">
        <v>10</v>
      </c>
      <c r="F124" s="9"/>
      <c r="G124" s="9"/>
      <c r="H124" s="9" t="s">
        <v>487</v>
      </c>
      <c r="I124" s="9" t="s">
        <v>234</v>
      </c>
      <c r="J124" s="13" t="n">
        <v>46170</v>
      </c>
      <c r="K124" s="9"/>
      <c r="L124" s="9" t="s">
        <v>651</v>
      </c>
      <c r="M124" s="9" t="s">
        <v>652</v>
      </c>
      <c r="N124" s="9" t="s">
        <v>234</v>
      </c>
      <c r="O124" s="9" t="s">
        <v>80</v>
      </c>
      <c r="P124" s="9" t="s">
        <v>81</v>
      </c>
      <c r="Q124" s="9" t="s">
        <v>491</v>
      </c>
      <c r="R124" s="9" t="s">
        <v>149</v>
      </c>
      <c r="S124" s="11" t="s">
        <v>84</v>
      </c>
      <c r="T124" s="9" t="s">
        <v>491</v>
      </c>
      <c r="U124" s="11" t="s">
        <v>150</v>
      </c>
      <c r="V124" s="11" t="s">
        <v>86</v>
      </c>
      <c r="W124" s="11" t="s">
        <v>750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88</v>
      </c>
    </row>
    <row r="125" customFormat="false" ht="15" hidden="false" customHeight="false" outlineLevel="0" collapsed="false">
      <c r="A125" s="9" t="s">
        <v>751</v>
      </c>
      <c r="B125" s="9" t="s">
        <v>752</v>
      </c>
      <c r="C125" s="9" t="s">
        <v>485</v>
      </c>
      <c r="D125" s="9" t="s">
        <v>753</v>
      </c>
      <c r="E125" s="10" t="n">
        <v>50</v>
      </c>
      <c r="F125" s="9"/>
      <c r="G125" s="9"/>
      <c r="H125" s="9" t="s">
        <v>487</v>
      </c>
      <c r="I125" s="9" t="s">
        <v>234</v>
      </c>
      <c r="J125" s="13" t="n">
        <v>46170</v>
      </c>
      <c r="K125" s="9"/>
      <c r="L125" s="9" t="s">
        <v>651</v>
      </c>
      <c r="M125" s="9" t="s">
        <v>652</v>
      </c>
      <c r="N125" s="9" t="s">
        <v>234</v>
      </c>
      <c r="O125" s="9" t="s">
        <v>80</v>
      </c>
      <c r="P125" s="9" t="s">
        <v>81</v>
      </c>
      <c r="Q125" s="9" t="s">
        <v>491</v>
      </c>
      <c r="R125" s="9" t="s">
        <v>149</v>
      </c>
      <c r="S125" s="11" t="s">
        <v>84</v>
      </c>
      <c r="T125" s="9" t="s">
        <v>491</v>
      </c>
      <c r="U125" s="11" t="s">
        <v>150</v>
      </c>
      <c r="V125" s="11" t="s">
        <v>86</v>
      </c>
      <c r="W125" s="11" t="s">
        <v>754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88</v>
      </c>
    </row>
    <row r="126" customFormat="false" ht="15" hidden="false" customHeight="false" outlineLevel="0" collapsed="false">
      <c r="A126" s="9" t="s">
        <v>755</v>
      </c>
      <c r="B126" s="9" t="s">
        <v>756</v>
      </c>
      <c r="C126" s="9" t="s">
        <v>485</v>
      </c>
      <c r="D126" s="9" t="s">
        <v>757</v>
      </c>
      <c r="E126" s="10" t="n">
        <v>2</v>
      </c>
      <c r="F126" s="9"/>
      <c r="G126" s="9"/>
      <c r="H126" s="11" t="s">
        <v>745</v>
      </c>
      <c r="I126" s="9" t="s">
        <v>687</v>
      </c>
      <c r="J126" s="13" t="n">
        <v>46227</v>
      </c>
      <c r="K126" s="9"/>
      <c r="L126" s="9" t="s">
        <v>688</v>
      </c>
      <c r="M126" s="9" t="s">
        <v>689</v>
      </c>
      <c r="N126" s="9" t="s">
        <v>687</v>
      </c>
      <c r="O126" s="9" t="s">
        <v>80</v>
      </c>
      <c r="P126" s="9" t="s">
        <v>81</v>
      </c>
      <c r="Q126" s="9" t="s">
        <v>491</v>
      </c>
      <c r="R126" s="9" t="s">
        <v>149</v>
      </c>
      <c r="S126" s="11" t="s">
        <v>84</v>
      </c>
      <c r="T126" s="9" t="s">
        <v>491</v>
      </c>
      <c r="U126" s="11" t="s">
        <v>150</v>
      </c>
      <c r="V126" s="11" t="s">
        <v>86</v>
      </c>
      <c r="W126" s="11" t="s">
        <v>758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88</v>
      </c>
    </row>
    <row r="127" customFormat="false" ht="15" hidden="false" customHeight="false" outlineLevel="0" collapsed="false">
      <c r="A127" s="9" t="s">
        <v>759</v>
      </c>
      <c r="B127" s="9" t="s">
        <v>760</v>
      </c>
      <c r="C127" s="9" t="s">
        <v>485</v>
      </c>
      <c r="D127" s="9" t="s">
        <v>761</v>
      </c>
      <c r="E127" s="10" t="n">
        <v>8</v>
      </c>
      <c r="F127" s="9"/>
      <c r="G127" s="9"/>
      <c r="H127" s="9" t="s">
        <v>487</v>
      </c>
      <c r="I127" s="9" t="s">
        <v>707</v>
      </c>
      <c r="J127" s="13" t="n">
        <v>46287</v>
      </c>
      <c r="K127" s="9"/>
      <c r="L127" s="9" t="s">
        <v>708</v>
      </c>
      <c r="M127" s="9" t="s">
        <v>709</v>
      </c>
      <c r="N127" s="9" t="s">
        <v>707</v>
      </c>
      <c r="O127" s="9" t="s">
        <v>80</v>
      </c>
      <c r="P127" s="9" t="s">
        <v>81</v>
      </c>
      <c r="Q127" s="9" t="s">
        <v>491</v>
      </c>
      <c r="R127" s="9" t="s">
        <v>149</v>
      </c>
      <c r="S127" s="11" t="s">
        <v>84</v>
      </c>
      <c r="T127" s="9" t="s">
        <v>491</v>
      </c>
      <c r="U127" s="11" t="s">
        <v>150</v>
      </c>
      <c r="V127" s="11" t="s">
        <v>86</v>
      </c>
      <c r="W127" s="11" t="s">
        <v>762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88</v>
      </c>
    </row>
    <row r="128" customFormat="false" ht="15" hidden="false" customHeight="false" outlineLevel="0" collapsed="false">
      <c r="A128" s="9" t="s">
        <v>763</v>
      </c>
      <c r="B128" s="9" t="s">
        <v>764</v>
      </c>
      <c r="C128" s="9" t="s">
        <v>485</v>
      </c>
      <c r="D128" s="9" t="s">
        <v>765</v>
      </c>
      <c r="E128" s="10" t="n">
        <v>40</v>
      </c>
      <c r="F128" s="9"/>
      <c r="G128" s="9"/>
      <c r="H128" s="9" t="s">
        <v>487</v>
      </c>
      <c r="I128" s="9" t="s">
        <v>707</v>
      </c>
      <c r="J128" s="13" t="n">
        <v>46287</v>
      </c>
      <c r="K128" s="9"/>
      <c r="L128" s="9" t="s">
        <v>708</v>
      </c>
      <c r="M128" s="9" t="s">
        <v>709</v>
      </c>
      <c r="N128" s="9" t="s">
        <v>707</v>
      </c>
      <c r="O128" s="9" t="s">
        <v>80</v>
      </c>
      <c r="P128" s="9" t="s">
        <v>81</v>
      </c>
      <c r="Q128" s="9" t="s">
        <v>491</v>
      </c>
      <c r="R128" s="9" t="s">
        <v>149</v>
      </c>
      <c r="S128" s="11" t="s">
        <v>84</v>
      </c>
      <c r="T128" s="9" t="s">
        <v>491</v>
      </c>
      <c r="U128" s="11" t="s">
        <v>150</v>
      </c>
      <c r="V128" s="11" t="s">
        <v>86</v>
      </c>
      <c r="W128" s="11" t="s">
        <v>766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88</v>
      </c>
    </row>
    <row r="129" customFormat="false" ht="15" hidden="false" customHeight="false" outlineLevel="0" collapsed="false">
      <c r="A129" s="9" t="s">
        <v>767</v>
      </c>
      <c r="B129" s="9" t="s">
        <v>768</v>
      </c>
      <c r="C129" s="9" t="s">
        <v>485</v>
      </c>
      <c r="D129" s="9" t="s">
        <v>769</v>
      </c>
      <c r="E129" s="10" t="n">
        <v>0.2</v>
      </c>
      <c r="F129" s="9"/>
      <c r="G129" s="9"/>
      <c r="H129" s="9" t="s">
        <v>487</v>
      </c>
      <c r="I129" s="9" t="s">
        <v>707</v>
      </c>
      <c r="J129" s="13" t="n">
        <v>46287</v>
      </c>
      <c r="K129" s="9"/>
      <c r="L129" s="9" t="s">
        <v>708</v>
      </c>
      <c r="M129" s="9" t="s">
        <v>709</v>
      </c>
      <c r="N129" s="9" t="s">
        <v>707</v>
      </c>
      <c r="O129" s="9" t="s">
        <v>80</v>
      </c>
      <c r="P129" s="9" t="s">
        <v>81</v>
      </c>
      <c r="Q129" s="9" t="s">
        <v>491</v>
      </c>
      <c r="R129" s="9" t="s">
        <v>149</v>
      </c>
      <c r="S129" s="11" t="s">
        <v>84</v>
      </c>
      <c r="T129" s="9" t="s">
        <v>491</v>
      </c>
      <c r="U129" s="11" t="s">
        <v>150</v>
      </c>
      <c r="V129" s="11" t="s">
        <v>86</v>
      </c>
      <c r="W129" s="11" t="s">
        <v>770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88</v>
      </c>
    </row>
    <row r="130" customFormat="false" ht="15" hidden="false" customHeight="false" outlineLevel="0" collapsed="false">
      <c r="A130" s="9" t="s">
        <v>771</v>
      </c>
      <c r="B130" s="9" t="s">
        <v>772</v>
      </c>
      <c r="C130" s="9" t="s">
        <v>485</v>
      </c>
      <c r="D130" s="9" t="s">
        <v>773</v>
      </c>
      <c r="E130" s="10" t="n">
        <v>0.25</v>
      </c>
      <c r="F130" s="9"/>
      <c r="G130" s="9"/>
      <c r="H130" s="9" t="s">
        <v>487</v>
      </c>
      <c r="I130" s="9" t="s">
        <v>697</v>
      </c>
      <c r="J130" s="13" t="n">
        <v>46266</v>
      </c>
      <c r="K130" s="9"/>
      <c r="L130" s="9" t="s">
        <v>698</v>
      </c>
      <c r="M130" s="9" t="s">
        <v>699</v>
      </c>
      <c r="N130" s="9" t="s">
        <v>697</v>
      </c>
      <c r="O130" s="9" t="s">
        <v>80</v>
      </c>
      <c r="P130" s="9" t="s">
        <v>81</v>
      </c>
      <c r="Q130" s="9" t="s">
        <v>491</v>
      </c>
      <c r="R130" s="9" t="s">
        <v>149</v>
      </c>
      <c r="S130" s="11" t="s">
        <v>84</v>
      </c>
      <c r="T130" s="9" t="s">
        <v>491</v>
      </c>
      <c r="U130" s="11" t="s">
        <v>150</v>
      </c>
      <c r="V130" s="11" t="s">
        <v>86</v>
      </c>
      <c r="W130" s="11" t="s">
        <v>774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88</v>
      </c>
    </row>
    <row r="131" customFormat="false" ht="15" hidden="false" customHeight="false" outlineLevel="0" collapsed="false">
      <c r="A131" s="9" t="s">
        <v>775</v>
      </c>
      <c r="B131" s="9" t="s">
        <v>776</v>
      </c>
      <c r="C131" s="9" t="s">
        <v>485</v>
      </c>
      <c r="D131" s="9" t="s">
        <v>777</v>
      </c>
      <c r="E131" s="10" t="n">
        <v>0.2</v>
      </c>
      <c r="F131" s="9"/>
      <c r="G131" s="9"/>
      <c r="H131" s="9" t="s">
        <v>487</v>
      </c>
      <c r="I131" s="9" t="s">
        <v>717</v>
      </c>
      <c r="J131" s="13" t="n">
        <v>46293</v>
      </c>
      <c r="K131" s="9"/>
      <c r="L131" s="9" t="s">
        <v>718</v>
      </c>
      <c r="M131" s="9" t="s">
        <v>719</v>
      </c>
      <c r="N131" s="9" t="s">
        <v>717</v>
      </c>
      <c r="O131" s="9" t="s">
        <v>80</v>
      </c>
      <c r="P131" s="9" t="s">
        <v>81</v>
      </c>
      <c r="Q131" s="9" t="s">
        <v>491</v>
      </c>
      <c r="R131" s="9" t="s">
        <v>149</v>
      </c>
      <c r="S131" s="11" t="s">
        <v>84</v>
      </c>
      <c r="T131" s="9" t="s">
        <v>491</v>
      </c>
      <c r="U131" s="11" t="s">
        <v>150</v>
      </c>
      <c r="V131" s="11" t="s">
        <v>86</v>
      </c>
      <c r="W131" s="11" t="s">
        <v>778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88</v>
      </c>
    </row>
    <row r="132" customFormat="false" ht="15" hidden="false" customHeight="false" outlineLevel="0" collapsed="false">
      <c r="A132" s="9" t="s">
        <v>779</v>
      </c>
      <c r="B132" s="9" t="s">
        <v>780</v>
      </c>
      <c r="C132" s="9" t="s">
        <v>485</v>
      </c>
      <c r="D132" s="9" t="s">
        <v>781</v>
      </c>
      <c r="E132" s="10" t="n">
        <v>0.1</v>
      </c>
      <c r="F132" s="9"/>
      <c r="G132" s="9"/>
      <c r="H132" s="9" t="s">
        <v>487</v>
      </c>
      <c r="I132" s="9" t="s">
        <v>727</v>
      </c>
      <c r="J132" s="13" t="n">
        <v>46302</v>
      </c>
      <c r="K132" s="9"/>
      <c r="L132" s="9" t="s">
        <v>728</v>
      </c>
      <c r="M132" s="9" t="s">
        <v>729</v>
      </c>
      <c r="N132" s="9" t="s">
        <v>727</v>
      </c>
      <c r="O132" s="9" t="s">
        <v>80</v>
      </c>
      <c r="P132" s="9" t="s">
        <v>81</v>
      </c>
      <c r="Q132" s="9" t="s">
        <v>491</v>
      </c>
      <c r="R132" s="9" t="s">
        <v>149</v>
      </c>
      <c r="S132" s="11" t="s">
        <v>84</v>
      </c>
      <c r="T132" s="9" t="s">
        <v>491</v>
      </c>
      <c r="U132" s="11" t="s">
        <v>150</v>
      </c>
      <c r="V132" s="11" t="s">
        <v>86</v>
      </c>
      <c r="W132" s="11" t="s">
        <v>782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88</v>
      </c>
    </row>
    <row r="133" customFormat="false" ht="15" hidden="false" customHeight="false" outlineLevel="0" collapsed="false">
      <c r="A133" s="9" t="s">
        <v>783</v>
      </c>
      <c r="B133" s="9" t="s">
        <v>784</v>
      </c>
      <c r="C133" s="9" t="s">
        <v>485</v>
      </c>
      <c r="D133" s="9" t="s">
        <v>785</v>
      </c>
      <c r="E133" s="10" t="n">
        <v>2.5</v>
      </c>
      <c r="F133" s="9"/>
      <c r="G133" s="9"/>
      <c r="H133" s="9" t="s">
        <v>487</v>
      </c>
      <c r="I133" s="9" t="s">
        <v>727</v>
      </c>
      <c r="J133" s="13" t="n">
        <v>46302</v>
      </c>
      <c r="K133" s="9"/>
      <c r="L133" s="9" t="s">
        <v>786</v>
      </c>
      <c r="M133" s="9" t="s">
        <v>729</v>
      </c>
      <c r="N133" s="9" t="s">
        <v>727</v>
      </c>
      <c r="O133" s="9" t="s">
        <v>80</v>
      </c>
      <c r="P133" s="9" t="s">
        <v>81</v>
      </c>
      <c r="Q133" s="9" t="s">
        <v>491</v>
      </c>
      <c r="R133" s="9" t="s">
        <v>149</v>
      </c>
      <c r="S133" s="11" t="s">
        <v>84</v>
      </c>
      <c r="T133" s="9" t="s">
        <v>491</v>
      </c>
      <c r="U133" s="11" t="s">
        <v>150</v>
      </c>
      <c r="V133" s="11" t="s">
        <v>86</v>
      </c>
      <c r="W133" s="11" t="s">
        <v>787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88</v>
      </c>
    </row>
    <row r="134" customFormat="false" ht="15" hidden="false" customHeight="false" outlineLevel="0" collapsed="false">
      <c r="A134" s="9" t="s">
        <v>788</v>
      </c>
      <c r="B134" s="9" t="s">
        <v>789</v>
      </c>
      <c r="C134" s="9" t="s">
        <v>485</v>
      </c>
      <c r="D134" s="9" t="s">
        <v>790</v>
      </c>
      <c r="E134" s="10" t="n">
        <v>0.5</v>
      </c>
      <c r="F134" s="9"/>
      <c r="G134" s="9"/>
      <c r="H134" s="9" t="s">
        <v>487</v>
      </c>
      <c r="I134" s="9" t="s">
        <v>727</v>
      </c>
      <c r="J134" s="13" t="n">
        <v>46302</v>
      </c>
      <c r="K134" s="9"/>
      <c r="L134" s="9" t="s">
        <v>786</v>
      </c>
      <c r="M134" s="9" t="s">
        <v>729</v>
      </c>
      <c r="N134" s="9" t="s">
        <v>727</v>
      </c>
      <c r="O134" s="9" t="s">
        <v>80</v>
      </c>
      <c r="P134" s="9" t="s">
        <v>81</v>
      </c>
      <c r="Q134" s="9" t="s">
        <v>491</v>
      </c>
      <c r="R134" s="9" t="s">
        <v>149</v>
      </c>
      <c r="S134" s="11" t="s">
        <v>84</v>
      </c>
      <c r="T134" s="9" t="s">
        <v>491</v>
      </c>
      <c r="U134" s="11" t="s">
        <v>150</v>
      </c>
      <c r="V134" s="11" t="s">
        <v>86</v>
      </c>
      <c r="W134" s="11" t="s">
        <v>791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88</v>
      </c>
    </row>
    <row r="135" customFormat="false" ht="15" hidden="false" customHeight="false" outlineLevel="0" collapsed="false">
      <c r="A135" s="9" t="s">
        <v>792</v>
      </c>
      <c r="B135" s="9" t="s">
        <v>793</v>
      </c>
      <c r="C135" s="9" t="s">
        <v>485</v>
      </c>
      <c r="D135" s="9" t="s">
        <v>794</v>
      </c>
      <c r="E135" s="10" t="n">
        <v>2.5</v>
      </c>
      <c r="F135" s="9"/>
      <c r="G135" s="9"/>
      <c r="H135" s="9" t="s">
        <v>487</v>
      </c>
      <c r="I135" s="9" t="s">
        <v>727</v>
      </c>
      <c r="J135" s="13" t="n">
        <v>46302</v>
      </c>
      <c r="K135" s="9"/>
      <c r="L135" s="9" t="s">
        <v>786</v>
      </c>
      <c r="M135" s="9" t="s">
        <v>729</v>
      </c>
      <c r="N135" s="9" t="s">
        <v>727</v>
      </c>
      <c r="O135" s="9" t="s">
        <v>80</v>
      </c>
      <c r="P135" s="9" t="s">
        <v>81</v>
      </c>
      <c r="Q135" s="9" t="s">
        <v>491</v>
      </c>
      <c r="R135" s="9" t="s">
        <v>149</v>
      </c>
      <c r="S135" s="11" t="s">
        <v>84</v>
      </c>
      <c r="T135" s="9" t="s">
        <v>491</v>
      </c>
      <c r="U135" s="11" t="s">
        <v>150</v>
      </c>
      <c r="V135" s="11" t="s">
        <v>86</v>
      </c>
      <c r="W135" s="11" t="s">
        <v>795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88</v>
      </c>
    </row>
    <row r="136" customFormat="false" ht="15" hidden="false" customHeight="false" outlineLevel="0" collapsed="false">
      <c r="A136" s="9" t="s">
        <v>796</v>
      </c>
      <c r="B136" s="9" t="s">
        <v>797</v>
      </c>
      <c r="C136" s="9" t="s">
        <v>485</v>
      </c>
      <c r="D136" s="9" t="s">
        <v>798</v>
      </c>
      <c r="E136" s="10" t="n">
        <v>0.01</v>
      </c>
      <c r="F136" s="9"/>
      <c r="G136" s="9"/>
      <c r="H136" s="9" t="s">
        <v>487</v>
      </c>
      <c r="I136" s="9" t="s">
        <v>727</v>
      </c>
      <c r="J136" s="13" t="n">
        <v>46302</v>
      </c>
      <c r="K136" s="9"/>
      <c r="L136" s="9" t="s">
        <v>786</v>
      </c>
      <c r="M136" s="9" t="s">
        <v>729</v>
      </c>
      <c r="N136" s="9" t="s">
        <v>727</v>
      </c>
      <c r="O136" s="9" t="s">
        <v>80</v>
      </c>
      <c r="P136" s="9" t="s">
        <v>81</v>
      </c>
      <c r="Q136" s="9" t="s">
        <v>491</v>
      </c>
      <c r="R136" s="9" t="s">
        <v>149</v>
      </c>
      <c r="S136" s="11" t="s">
        <v>84</v>
      </c>
      <c r="T136" s="9" t="s">
        <v>491</v>
      </c>
      <c r="U136" s="11" t="s">
        <v>150</v>
      </c>
      <c r="V136" s="11" t="s">
        <v>86</v>
      </c>
      <c r="W136" s="11" t="s">
        <v>799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88</v>
      </c>
    </row>
    <row r="137" customFormat="false" ht="15" hidden="false" customHeight="false" outlineLevel="0" collapsed="false">
      <c r="A137" s="9" t="s">
        <v>800</v>
      </c>
      <c r="B137" s="9" t="s">
        <v>801</v>
      </c>
      <c r="C137" s="9" t="s">
        <v>485</v>
      </c>
      <c r="D137" s="9" t="s">
        <v>802</v>
      </c>
      <c r="E137" s="10" t="n">
        <v>1.25</v>
      </c>
      <c r="F137" s="9"/>
      <c r="G137" s="9"/>
      <c r="H137" s="9" t="s">
        <v>487</v>
      </c>
      <c r="I137" s="9" t="s">
        <v>727</v>
      </c>
      <c r="J137" s="13" t="n">
        <v>46302</v>
      </c>
      <c r="K137" s="9"/>
      <c r="L137" s="9" t="s">
        <v>786</v>
      </c>
      <c r="M137" s="9" t="s">
        <v>729</v>
      </c>
      <c r="N137" s="9" t="s">
        <v>727</v>
      </c>
      <c r="O137" s="9" t="s">
        <v>80</v>
      </c>
      <c r="P137" s="9" t="s">
        <v>81</v>
      </c>
      <c r="Q137" s="9" t="s">
        <v>491</v>
      </c>
      <c r="R137" s="9" t="s">
        <v>149</v>
      </c>
      <c r="S137" s="11" t="s">
        <v>84</v>
      </c>
      <c r="T137" s="9" t="s">
        <v>491</v>
      </c>
      <c r="U137" s="11" t="s">
        <v>150</v>
      </c>
      <c r="V137" s="11" t="s">
        <v>86</v>
      </c>
      <c r="W137" s="11" t="s">
        <v>803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88</v>
      </c>
    </row>
    <row r="138" customFormat="false" ht="15" hidden="false" customHeight="false" outlineLevel="0" collapsed="false">
      <c r="A138" s="9" t="s">
        <v>804</v>
      </c>
      <c r="B138" s="9" t="s">
        <v>805</v>
      </c>
      <c r="C138" s="9" t="s">
        <v>485</v>
      </c>
      <c r="D138" s="9" t="s">
        <v>806</v>
      </c>
      <c r="E138" s="10" t="n">
        <v>0.1</v>
      </c>
      <c r="F138" s="9"/>
      <c r="G138" s="9"/>
      <c r="H138" s="9" t="s">
        <v>487</v>
      </c>
      <c r="I138" s="9" t="s">
        <v>727</v>
      </c>
      <c r="J138" s="13" t="n">
        <v>46302</v>
      </c>
      <c r="K138" s="9"/>
      <c r="L138" s="9" t="s">
        <v>786</v>
      </c>
      <c r="M138" s="9" t="s">
        <v>729</v>
      </c>
      <c r="N138" s="9" t="s">
        <v>727</v>
      </c>
      <c r="O138" s="9" t="s">
        <v>80</v>
      </c>
      <c r="P138" s="9" t="s">
        <v>81</v>
      </c>
      <c r="Q138" s="9" t="s">
        <v>491</v>
      </c>
      <c r="R138" s="9" t="s">
        <v>149</v>
      </c>
      <c r="S138" s="11" t="s">
        <v>84</v>
      </c>
      <c r="T138" s="9" t="s">
        <v>491</v>
      </c>
      <c r="U138" s="11" t="s">
        <v>150</v>
      </c>
      <c r="V138" s="11" t="s">
        <v>86</v>
      </c>
      <c r="W138" s="11" t="s">
        <v>807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88</v>
      </c>
    </row>
    <row r="139" customFormat="false" ht="15" hidden="false" customHeight="false" outlineLevel="0" collapsed="false">
      <c r="A139" s="9" t="s">
        <v>808</v>
      </c>
      <c r="B139" s="9" t="s">
        <v>809</v>
      </c>
      <c r="C139" s="9" t="s">
        <v>485</v>
      </c>
      <c r="D139" s="11" t="s">
        <v>810</v>
      </c>
      <c r="E139" s="10" t="n">
        <v>1.25</v>
      </c>
      <c r="F139" s="9"/>
      <c r="G139" s="9"/>
      <c r="H139" s="11" t="s">
        <v>811</v>
      </c>
      <c r="I139" s="9" t="s">
        <v>227</v>
      </c>
      <c r="J139" s="9"/>
      <c r="K139" s="9"/>
      <c r="L139" s="9" t="s">
        <v>812</v>
      </c>
      <c r="M139" s="9" t="s">
        <v>813</v>
      </c>
      <c r="N139" s="9" t="s">
        <v>814</v>
      </c>
      <c r="O139" s="9" t="s">
        <v>80</v>
      </c>
      <c r="P139" s="9" t="s">
        <v>297</v>
      </c>
      <c r="Q139" s="9"/>
      <c r="R139" s="11" t="s">
        <v>101</v>
      </c>
      <c r="S139" s="11" t="s">
        <v>298</v>
      </c>
      <c r="T139" s="11" t="s">
        <v>299</v>
      </c>
      <c r="U139" s="11" t="s">
        <v>101</v>
      </c>
      <c r="V139" s="11" t="s">
        <v>86</v>
      </c>
      <c r="W139" s="11" t="s">
        <v>815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88</v>
      </c>
    </row>
    <row r="140" customFormat="false" ht="15" hidden="false" customHeight="false" outlineLevel="0" collapsed="false">
      <c r="A140" s="9" t="s">
        <v>816</v>
      </c>
      <c r="B140" s="9" t="s">
        <v>817</v>
      </c>
      <c r="C140" s="9" t="s">
        <v>485</v>
      </c>
      <c r="D140" s="11" t="s">
        <v>818</v>
      </c>
      <c r="E140" s="10" t="n">
        <v>2</v>
      </c>
      <c r="F140" s="9"/>
      <c r="G140" s="9"/>
      <c r="H140" s="11" t="s">
        <v>811</v>
      </c>
      <c r="I140" s="9" t="s">
        <v>227</v>
      </c>
      <c r="J140" s="9"/>
      <c r="K140" s="9"/>
      <c r="L140" s="9" t="s">
        <v>819</v>
      </c>
      <c r="M140" s="9" t="s">
        <v>813</v>
      </c>
      <c r="N140" s="9" t="s">
        <v>814</v>
      </c>
      <c r="O140" s="9" t="s">
        <v>80</v>
      </c>
      <c r="P140" s="9" t="s">
        <v>297</v>
      </c>
      <c r="Q140" s="9"/>
      <c r="R140" s="11" t="s">
        <v>101</v>
      </c>
      <c r="S140" s="11" t="s">
        <v>298</v>
      </c>
      <c r="T140" s="11" t="s">
        <v>299</v>
      </c>
      <c r="U140" s="11" t="s">
        <v>101</v>
      </c>
      <c r="V140" s="11" t="s">
        <v>86</v>
      </c>
      <c r="W140" s="11" t="s">
        <v>820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88</v>
      </c>
    </row>
    <row r="141" customFormat="false" ht="15" hidden="false" customHeight="false" outlineLevel="0" collapsed="false">
      <c r="A141" s="9" t="s">
        <v>821</v>
      </c>
      <c r="B141" s="9" t="s">
        <v>822</v>
      </c>
      <c r="C141" s="9" t="s">
        <v>485</v>
      </c>
      <c r="D141" s="11" t="s">
        <v>823</v>
      </c>
      <c r="E141" s="10" t="n">
        <v>0.1</v>
      </c>
      <c r="F141" s="9"/>
      <c r="G141" s="9"/>
      <c r="H141" s="11" t="s">
        <v>811</v>
      </c>
      <c r="I141" s="9" t="s">
        <v>227</v>
      </c>
      <c r="J141" s="9"/>
      <c r="K141" s="9"/>
      <c r="L141" s="9" t="s">
        <v>819</v>
      </c>
      <c r="M141" s="9" t="s">
        <v>813</v>
      </c>
      <c r="N141" s="9" t="s">
        <v>814</v>
      </c>
      <c r="O141" s="9" t="s">
        <v>80</v>
      </c>
      <c r="P141" s="9" t="s">
        <v>297</v>
      </c>
      <c r="Q141" s="9"/>
      <c r="R141" s="11" t="s">
        <v>101</v>
      </c>
      <c r="S141" s="11" t="s">
        <v>298</v>
      </c>
      <c r="T141" s="11" t="s">
        <v>299</v>
      </c>
      <c r="U141" s="11" t="s">
        <v>101</v>
      </c>
      <c r="V141" s="11" t="s">
        <v>86</v>
      </c>
      <c r="W141" s="11" t="s">
        <v>824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88</v>
      </c>
    </row>
    <row r="142" customFormat="false" ht="15" hidden="false" customHeight="false" outlineLevel="0" collapsed="false">
      <c r="A142" s="9" t="s">
        <v>825</v>
      </c>
      <c r="B142" s="9" t="s">
        <v>826</v>
      </c>
      <c r="C142" s="9" t="s">
        <v>485</v>
      </c>
      <c r="D142" s="9" t="s">
        <v>827</v>
      </c>
      <c r="E142" s="10" t="n">
        <v>0.5</v>
      </c>
      <c r="F142" s="9"/>
      <c r="G142" s="9"/>
      <c r="H142" s="11" t="s">
        <v>828</v>
      </c>
      <c r="I142" s="9" t="s">
        <v>227</v>
      </c>
      <c r="J142" s="9"/>
      <c r="K142" s="9"/>
      <c r="L142" s="9" t="s">
        <v>819</v>
      </c>
      <c r="M142" s="9" t="s">
        <v>813</v>
      </c>
      <c r="N142" s="9" t="s">
        <v>814</v>
      </c>
      <c r="O142" s="9" t="s">
        <v>80</v>
      </c>
      <c r="P142" s="9" t="s">
        <v>297</v>
      </c>
      <c r="Q142" s="9"/>
      <c r="R142" s="11" t="s">
        <v>101</v>
      </c>
      <c r="S142" s="11" t="s">
        <v>298</v>
      </c>
      <c r="T142" s="11" t="s">
        <v>299</v>
      </c>
      <c r="U142" s="11" t="s">
        <v>101</v>
      </c>
      <c r="V142" s="11" t="s">
        <v>86</v>
      </c>
      <c r="W142" s="11" t="s">
        <v>829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88</v>
      </c>
    </row>
    <row r="143" customFormat="false" ht="15" hidden="false" customHeight="false" outlineLevel="0" collapsed="false">
      <c r="A143" s="9" t="s">
        <v>830</v>
      </c>
      <c r="B143" s="9" t="s">
        <v>831</v>
      </c>
      <c r="C143" s="9" t="s">
        <v>485</v>
      </c>
      <c r="D143" s="9" t="s">
        <v>827</v>
      </c>
      <c r="E143" s="10" t="n">
        <v>0.5</v>
      </c>
      <c r="F143" s="9"/>
      <c r="G143" s="9"/>
      <c r="H143" s="11" t="s">
        <v>828</v>
      </c>
      <c r="I143" s="9" t="s">
        <v>231</v>
      </c>
      <c r="J143" s="9"/>
      <c r="K143" s="9"/>
      <c r="L143" s="9" t="s">
        <v>832</v>
      </c>
      <c r="M143" s="9" t="s">
        <v>833</v>
      </c>
      <c r="N143" s="9" t="s">
        <v>834</v>
      </c>
      <c r="O143" s="9" t="s">
        <v>80</v>
      </c>
      <c r="P143" s="9" t="s">
        <v>297</v>
      </c>
      <c r="Q143" s="9"/>
      <c r="R143" s="11" t="s">
        <v>101</v>
      </c>
      <c r="S143" s="11" t="s">
        <v>298</v>
      </c>
      <c r="T143" s="11" t="s">
        <v>299</v>
      </c>
      <c r="U143" s="11" t="s">
        <v>101</v>
      </c>
      <c r="V143" s="11" t="s">
        <v>86</v>
      </c>
      <c r="W143" s="11" t="s">
        <v>835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88</v>
      </c>
    </row>
    <row r="144" customFormat="false" ht="15" hidden="false" customHeight="false" outlineLevel="0" collapsed="false">
      <c r="A144" s="9" t="s">
        <v>836</v>
      </c>
      <c r="B144" s="9" t="s">
        <v>837</v>
      </c>
      <c r="C144" s="9" t="s">
        <v>485</v>
      </c>
      <c r="D144" s="9" t="s">
        <v>838</v>
      </c>
      <c r="E144" s="10" t="n">
        <v>0</v>
      </c>
      <c r="F144" s="9"/>
      <c r="G144" s="9"/>
      <c r="H144" s="11" t="s">
        <v>839</v>
      </c>
      <c r="I144" s="9" t="s">
        <v>227</v>
      </c>
      <c r="J144" s="9"/>
      <c r="K144" s="9"/>
      <c r="L144" s="9" t="s">
        <v>819</v>
      </c>
      <c r="M144" s="9" t="s">
        <v>813</v>
      </c>
      <c r="N144" s="9" t="s">
        <v>814</v>
      </c>
      <c r="O144" s="9" t="s">
        <v>80</v>
      </c>
      <c r="P144" s="9" t="s">
        <v>297</v>
      </c>
      <c r="Q144" s="9"/>
      <c r="R144" s="11" t="s">
        <v>101</v>
      </c>
      <c r="S144" s="11" t="s">
        <v>298</v>
      </c>
      <c r="T144" s="11" t="s">
        <v>299</v>
      </c>
      <c r="U144" s="11" t="s">
        <v>101</v>
      </c>
      <c r="V144" s="11" t="s">
        <v>86</v>
      </c>
      <c r="W144" s="11" t="s">
        <v>840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88</v>
      </c>
    </row>
    <row r="145" customFormat="false" ht="15" hidden="false" customHeight="false" outlineLevel="0" collapsed="false">
      <c r="A145" s="9" t="s">
        <v>841</v>
      </c>
      <c r="B145" s="9" t="s">
        <v>842</v>
      </c>
      <c r="C145" s="9" t="s">
        <v>485</v>
      </c>
      <c r="D145" s="9" t="s">
        <v>843</v>
      </c>
      <c r="E145" s="10" t="n">
        <v>20</v>
      </c>
      <c r="F145" s="9"/>
      <c r="G145" s="9"/>
      <c r="H145" s="9" t="s">
        <v>844</v>
      </c>
      <c r="I145" s="9" t="s">
        <v>845</v>
      </c>
      <c r="J145" s="9"/>
      <c r="K145" s="9"/>
      <c r="L145" s="9" t="s">
        <v>846</v>
      </c>
      <c r="M145" s="9" t="s">
        <v>847</v>
      </c>
      <c r="N145" s="9" t="s">
        <v>845</v>
      </c>
      <c r="O145" s="9" t="s">
        <v>80</v>
      </c>
      <c r="P145" s="9" t="s">
        <v>81</v>
      </c>
      <c r="Q145" s="9" t="s">
        <v>848</v>
      </c>
      <c r="R145" s="11" t="s">
        <v>101</v>
      </c>
      <c r="S145" s="11" t="s">
        <v>84</v>
      </c>
      <c r="T145" s="9" t="s">
        <v>848</v>
      </c>
      <c r="U145" s="11" t="s">
        <v>101</v>
      </c>
      <c r="V145" s="11" t="s">
        <v>86</v>
      </c>
      <c r="W145" s="11" t="s">
        <v>849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88</v>
      </c>
    </row>
    <row r="146" customFormat="false" ht="15" hidden="false" customHeight="false" outlineLevel="0" collapsed="false">
      <c r="A146" s="9" t="s">
        <v>850</v>
      </c>
      <c r="B146" s="9" t="s">
        <v>851</v>
      </c>
      <c r="C146" s="9" t="s">
        <v>485</v>
      </c>
      <c r="D146" s="9" t="s">
        <v>852</v>
      </c>
      <c r="E146" s="10" t="n">
        <v>17</v>
      </c>
      <c r="F146" s="9"/>
      <c r="G146" s="9"/>
      <c r="H146" s="9" t="s">
        <v>844</v>
      </c>
      <c r="I146" s="9" t="s">
        <v>845</v>
      </c>
      <c r="J146" s="9"/>
      <c r="K146" s="9"/>
      <c r="L146" s="9" t="s">
        <v>853</v>
      </c>
      <c r="M146" s="9" t="s">
        <v>847</v>
      </c>
      <c r="N146" s="9" t="s">
        <v>845</v>
      </c>
      <c r="O146" s="9" t="s">
        <v>80</v>
      </c>
      <c r="P146" s="9" t="s">
        <v>81</v>
      </c>
      <c r="Q146" s="9" t="s">
        <v>848</v>
      </c>
      <c r="R146" s="11" t="s">
        <v>101</v>
      </c>
      <c r="S146" s="11" t="s">
        <v>84</v>
      </c>
      <c r="T146" s="9" t="s">
        <v>848</v>
      </c>
      <c r="U146" s="11" t="s">
        <v>101</v>
      </c>
      <c r="V146" s="11" t="s">
        <v>86</v>
      </c>
      <c r="W146" s="11" t="s">
        <v>854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88</v>
      </c>
    </row>
    <row r="147" customFormat="false" ht="15" hidden="false" customHeight="false" outlineLevel="0" collapsed="false">
      <c r="A147" s="9" t="s">
        <v>855</v>
      </c>
      <c r="B147" s="9" t="s">
        <v>856</v>
      </c>
      <c r="C147" s="9" t="s">
        <v>485</v>
      </c>
      <c r="D147" s="9" t="s">
        <v>857</v>
      </c>
      <c r="E147" s="10" t="n">
        <v>100</v>
      </c>
      <c r="F147" s="9"/>
      <c r="G147" s="9"/>
      <c r="H147" s="9" t="s">
        <v>844</v>
      </c>
      <c r="I147" s="9" t="s">
        <v>845</v>
      </c>
      <c r="J147" s="9"/>
      <c r="K147" s="9"/>
      <c r="L147" s="9" t="s">
        <v>853</v>
      </c>
      <c r="M147" s="9" t="s">
        <v>847</v>
      </c>
      <c r="N147" s="9" t="s">
        <v>845</v>
      </c>
      <c r="O147" s="9" t="s">
        <v>80</v>
      </c>
      <c r="P147" s="9" t="s">
        <v>81</v>
      </c>
      <c r="Q147" s="9" t="s">
        <v>848</v>
      </c>
      <c r="R147" s="11" t="s">
        <v>101</v>
      </c>
      <c r="S147" s="11" t="s">
        <v>84</v>
      </c>
      <c r="T147" s="9" t="s">
        <v>848</v>
      </c>
      <c r="U147" s="11" t="s">
        <v>101</v>
      </c>
      <c r="V147" s="11" t="s">
        <v>86</v>
      </c>
      <c r="W147" s="11" t="s">
        <v>858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88</v>
      </c>
    </row>
    <row r="148" customFormat="false" ht="15" hidden="false" customHeight="false" outlineLevel="0" collapsed="false">
      <c r="A148" s="9" t="s">
        <v>859</v>
      </c>
      <c r="B148" s="9" t="s">
        <v>860</v>
      </c>
      <c r="C148" s="9" t="s">
        <v>485</v>
      </c>
      <c r="D148" s="9" t="s">
        <v>861</v>
      </c>
      <c r="E148" s="10" t="n">
        <v>200</v>
      </c>
      <c r="F148" s="9"/>
      <c r="G148" s="9"/>
      <c r="H148" s="9" t="s">
        <v>844</v>
      </c>
      <c r="I148" s="9" t="s">
        <v>845</v>
      </c>
      <c r="J148" s="9"/>
      <c r="K148" s="9"/>
      <c r="L148" s="9" t="s">
        <v>853</v>
      </c>
      <c r="M148" s="9" t="s">
        <v>847</v>
      </c>
      <c r="N148" s="9" t="s">
        <v>845</v>
      </c>
      <c r="O148" s="9" t="s">
        <v>80</v>
      </c>
      <c r="P148" s="9" t="s">
        <v>81</v>
      </c>
      <c r="Q148" s="9" t="s">
        <v>848</v>
      </c>
      <c r="R148" s="11" t="s">
        <v>101</v>
      </c>
      <c r="S148" s="11" t="s">
        <v>84</v>
      </c>
      <c r="T148" s="9" t="s">
        <v>848</v>
      </c>
      <c r="U148" s="11" t="s">
        <v>101</v>
      </c>
      <c r="V148" s="11" t="s">
        <v>86</v>
      </c>
      <c r="W148" s="11" t="s">
        <v>862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88</v>
      </c>
    </row>
    <row r="149" customFormat="false" ht="15" hidden="false" customHeight="false" outlineLevel="0" collapsed="false">
      <c r="A149" s="9" t="s">
        <v>863</v>
      </c>
      <c r="B149" s="9" t="s">
        <v>864</v>
      </c>
      <c r="C149" s="9" t="s">
        <v>485</v>
      </c>
      <c r="D149" s="9" t="s">
        <v>865</v>
      </c>
      <c r="E149" s="10" t="n">
        <v>100</v>
      </c>
      <c r="F149" s="9"/>
      <c r="G149" s="9"/>
      <c r="H149" s="9" t="s">
        <v>844</v>
      </c>
      <c r="I149" s="9" t="s">
        <v>866</v>
      </c>
      <c r="J149" s="9"/>
      <c r="K149" s="9"/>
      <c r="L149" s="9" t="s">
        <v>867</v>
      </c>
      <c r="M149" s="9" t="s">
        <v>868</v>
      </c>
      <c r="N149" s="9" t="s">
        <v>869</v>
      </c>
      <c r="O149" s="9" t="s">
        <v>80</v>
      </c>
      <c r="P149" s="9" t="s">
        <v>81</v>
      </c>
      <c r="Q149" s="9" t="s">
        <v>848</v>
      </c>
      <c r="R149" s="11" t="s">
        <v>101</v>
      </c>
      <c r="S149" s="11" t="s">
        <v>84</v>
      </c>
      <c r="T149" s="9" t="s">
        <v>848</v>
      </c>
      <c r="U149" s="11" t="s">
        <v>101</v>
      </c>
      <c r="V149" s="11" t="s">
        <v>86</v>
      </c>
      <c r="W149" s="11" t="s">
        <v>870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88</v>
      </c>
    </row>
    <row r="150" customFormat="false" ht="15" hidden="false" customHeight="false" outlineLevel="0" collapsed="false">
      <c r="A150" s="9" t="s">
        <v>871</v>
      </c>
      <c r="B150" s="9" t="s">
        <v>872</v>
      </c>
      <c r="C150" s="9" t="s">
        <v>485</v>
      </c>
      <c r="D150" s="9" t="s">
        <v>873</v>
      </c>
      <c r="E150" s="10" t="n">
        <v>20</v>
      </c>
      <c r="F150" s="9"/>
      <c r="G150" s="9"/>
      <c r="H150" s="9" t="s">
        <v>874</v>
      </c>
      <c r="I150" s="9" t="s">
        <v>875</v>
      </c>
      <c r="J150" s="9"/>
      <c r="K150" s="9"/>
      <c r="L150" s="9" t="s">
        <v>876</v>
      </c>
      <c r="M150" s="9" t="s">
        <v>877</v>
      </c>
      <c r="N150" s="9" t="s">
        <v>878</v>
      </c>
      <c r="O150" s="9" t="s">
        <v>80</v>
      </c>
      <c r="P150" s="9" t="s">
        <v>81</v>
      </c>
      <c r="Q150" s="9" t="s">
        <v>848</v>
      </c>
      <c r="R150" s="11" t="s">
        <v>101</v>
      </c>
      <c r="S150" s="11" t="s">
        <v>84</v>
      </c>
      <c r="T150" s="9" t="s">
        <v>848</v>
      </c>
      <c r="U150" s="11" t="s">
        <v>101</v>
      </c>
      <c r="V150" s="11" t="s">
        <v>86</v>
      </c>
      <c r="W150" s="11" t="s">
        <v>879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88</v>
      </c>
    </row>
    <row r="151" customFormat="false" ht="15" hidden="false" customHeight="false" outlineLevel="0" collapsed="false">
      <c r="A151" s="9" t="s">
        <v>880</v>
      </c>
      <c r="B151" s="9" t="s">
        <v>881</v>
      </c>
      <c r="C151" s="9" t="s">
        <v>485</v>
      </c>
      <c r="D151" s="9" t="s">
        <v>882</v>
      </c>
      <c r="E151" s="10" t="n">
        <v>25</v>
      </c>
      <c r="F151" s="9"/>
      <c r="G151" s="9"/>
      <c r="H151" s="9" t="s">
        <v>874</v>
      </c>
      <c r="I151" s="9" t="s">
        <v>875</v>
      </c>
      <c r="J151" s="9"/>
      <c r="K151" s="9"/>
      <c r="L151" s="9" t="s">
        <v>883</v>
      </c>
      <c r="M151" s="9" t="s">
        <v>877</v>
      </c>
      <c r="N151" s="9" t="s">
        <v>878</v>
      </c>
      <c r="O151" s="9" t="s">
        <v>80</v>
      </c>
      <c r="P151" s="9" t="s">
        <v>81</v>
      </c>
      <c r="Q151" s="9" t="s">
        <v>848</v>
      </c>
      <c r="R151" s="11" t="s">
        <v>101</v>
      </c>
      <c r="S151" s="11" t="s">
        <v>84</v>
      </c>
      <c r="T151" s="9" t="s">
        <v>848</v>
      </c>
      <c r="U151" s="11" t="s">
        <v>101</v>
      </c>
      <c r="V151" s="11" t="s">
        <v>86</v>
      </c>
      <c r="W151" s="11" t="s">
        <v>884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88</v>
      </c>
    </row>
    <row r="152" customFormat="false" ht="15" hidden="false" customHeight="false" outlineLevel="0" collapsed="false">
      <c r="A152" s="9" t="s">
        <v>885</v>
      </c>
      <c r="B152" s="9" t="s">
        <v>886</v>
      </c>
      <c r="C152" s="9" t="s">
        <v>485</v>
      </c>
      <c r="D152" s="9" t="s">
        <v>887</v>
      </c>
      <c r="E152" s="10" t="n">
        <v>100</v>
      </c>
      <c r="F152" s="9"/>
      <c r="G152" s="9"/>
      <c r="H152" s="9" t="s">
        <v>874</v>
      </c>
      <c r="I152" s="9" t="s">
        <v>875</v>
      </c>
      <c r="J152" s="9"/>
      <c r="K152" s="9"/>
      <c r="L152" s="9" t="s">
        <v>883</v>
      </c>
      <c r="M152" s="9" t="s">
        <v>877</v>
      </c>
      <c r="N152" s="9" t="s">
        <v>878</v>
      </c>
      <c r="O152" s="9" t="s">
        <v>80</v>
      </c>
      <c r="P152" s="9" t="s">
        <v>81</v>
      </c>
      <c r="Q152" s="9" t="s">
        <v>848</v>
      </c>
      <c r="R152" s="11" t="s">
        <v>101</v>
      </c>
      <c r="S152" s="11" t="s">
        <v>84</v>
      </c>
      <c r="T152" s="9" t="s">
        <v>848</v>
      </c>
      <c r="U152" s="11" t="s">
        <v>101</v>
      </c>
      <c r="V152" s="11" t="s">
        <v>86</v>
      </c>
      <c r="W152" s="11" t="s">
        <v>888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88</v>
      </c>
    </row>
    <row r="153" customFormat="false" ht="15" hidden="false" customHeight="false" outlineLevel="0" collapsed="false">
      <c r="A153" s="9" t="s">
        <v>889</v>
      </c>
      <c r="B153" s="9" t="s">
        <v>890</v>
      </c>
      <c r="C153" s="9" t="s">
        <v>485</v>
      </c>
      <c r="D153" s="9" t="s">
        <v>891</v>
      </c>
      <c r="E153" s="10" t="n">
        <v>125</v>
      </c>
      <c r="F153" s="9"/>
      <c r="G153" s="9"/>
      <c r="H153" s="9" t="s">
        <v>874</v>
      </c>
      <c r="I153" s="9" t="s">
        <v>875</v>
      </c>
      <c r="J153" s="9"/>
      <c r="K153" s="9"/>
      <c r="L153" s="9" t="s">
        <v>883</v>
      </c>
      <c r="M153" s="9" t="s">
        <v>877</v>
      </c>
      <c r="N153" s="9" t="s">
        <v>878</v>
      </c>
      <c r="O153" s="9" t="s">
        <v>80</v>
      </c>
      <c r="P153" s="9" t="s">
        <v>81</v>
      </c>
      <c r="Q153" s="9" t="s">
        <v>848</v>
      </c>
      <c r="R153" s="11" t="s">
        <v>101</v>
      </c>
      <c r="S153" s="11" t="s">
        <v>84</v>
      </c>
      <c r="T153" s="9" t="s">
        <v>848</v>
      </c>
      <c r="U153" s="11" t="s">
        <v>101</v>
      </c>
      <c r="V153" s="11" t="s">
        <v>86</v>
      </c>
      <c r="W153" s="11" t="s">
        <v>892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88</v>
      </c>
    </row>
    <row r="154" customFormat="false" ht="15" hidden="false" customHeight="false" outlineLevel="0" collapsed="false">
      <c r="A154" s="9" t="s">
        <v>893</v>
      </c>
      <c r="B154" s="9" t="s">
        <v>894</v>
      </c>
      <c r="C154" s="9" t="s">
        <v>485</v>
      </c>
      <c r="D154" s="9" t="s">
        <v>895</v>
      </c>
      <c r="E154" s="10" t="n">
        <v>25</v>
      </c>
      <c r="F154" s="9"/>
      <c r="G154" s="9"/>
      <c r="H154" s="9" t="s">
        <v>874</v>
      </c>
      <c r="I154" s="9" t="s">
        <v>231</v>
      </c>
      <c r="J154" s="9"/>
      <c r="K154" s="9"/>
      <c r="L154" s="9" t="s">
        <v>832</v>
      </c>
      <c r="M154" s="9" t="s">
        <v>833</v>
      </c>
      <c r="N154" s="9" t="s">
        <v>834</v>
      </c>
      <c r="O154" s="9" t="s">
        <v>80</v>
      </c>
      <c r="P154" s="9" t="s">
        <v>81</v>
      </c>
      <c r="Q154" s="9" t="s">
        <v>848</v>
      </c>
      <c r="R154" s="11" t="s">
        <v>101</v>
      </c>
      <c r="S154" s="11" t="s">
        <v>84</v>
      </c>
      <c r="T154" s="9" t="s">
        <v>848</v>
      </c>
      <c r="U154" s="11" t="s">
        <v>101</v>
      </c>
      <c r="V154" s="11" t="s">
        <v>86</v>
      </c>
      <c r="W154" s="11" t="s">
        <v>896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88</v>
      </c>
    </row>
    <row r="155" customFormat="false" ht="15" hidden="false" customHeight="false" outlineLevel="0" collapsed="false">
      <c r="A155" s="9" t="s">
        <v>897</v>
      </c>
      <c r="B155" s="9" t="s">
        <v>898</v>
      </c>
      <c r="C155" s="9" t="s">
        <v>485</v>
      </c>
      <c r="D155" s="9" t="s">
        <v>899</v>
      </c>
      <c r="E155" s="10" t="n">
        <v>2</v>
      </c>
      <c r="F155" s="9"/>
      <c r="G155" s="9"/>
      <c r="H155" s="11" t="s">
        <v>900</v>
      </c>
      <c r="I155" s="9" t="s">
        <v>845</v>
      </c>
      <c r="J155" s="9"/>
      <c r="K155" s="9"/>
      <c r="L155" s="9" t="s">
        <v>901</v>
      </c>
      <c r="M155" s="9" t="s">
        <v>902</v>
      </c>
      <c r="N155" s="9" t="s">
        <v>79</v>
      </c>
      <c r="O155" s="9" t="s">
        <v>80</v>
      </c>
      <c r="P155" s="9" t="s">
        <v>81</v>
      </c>
      <c r="Q155" s="9" t="s">
        <v>848</v>
      </c>
      <c r="R155" s="11" t="s">
        <v>101</v>
      </c>
      <c r="S155" s="11" t="s">
        <v>84</v>
      </c>
      <c r="T155" s="9" t="s">
        <v>848</v>
      </c>
      <c r="U155" s="11" t="s">
        <v>101</v>
      </c>
      <c r="V155" s="11" t="s">
        <v>86</v>
      </c>
      <c r="W155" s="11" t="s">
        <v>903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88</v>
      </c>
    </row>
    <row r="156" customFormat="false" ht="15" hidden="false" customHeight="false" outlineLevel="0" collapsed="false">
      <c r="A156" s="9" t="s">
        <v>904</v>
      </c>
      <c r="B156" s="9" t="s">
        <v>905</v>
      </c>
      <c r="C156" s="9" t="s">
        <v>485</v>
      </c>
      <c r="D156" s="9" t="s">
        <v>906</v>
      </c>
      <c r="E156" s="10" t="n">
        <v>20</v>
      </c>
      <c r="F156" s="9"/>
      <c r="G156" s="9"/>
      <c r="H156" s="9" t="s">
        <v>874</v>
      </c>
      <c r="I156" s="9" t="s">
        <v>213</v>
      </c>
      <c r="J156" s="9"/>
      <c r="K156" s="9"/>
      <c r="L156" s="9" t="s">
        <v>907</v>
      </c>
      <c r="M156" s="9" t="s">
        <v>908</v>
      </c>
      <c r="N156" s="9" t="s">
        <v>641</v>
      </c>
      <c r="O156" s="9" t="s">
        <v>80</v>
      </c>
      <c r="P156" s="9" t="s">
        <v>81</v>
      </c>
      <c r="Q156" s="9" t="s">
        <v>909</v>
      </c>
      <c r="R156" s="9" t="s">
        <v>83</v>
      </c>
      <c r="S156" s="11" t="s">
        <v>84</v>
      </c>
      <c r="T156" s="9" t="s">
        <v>909</v>
      </c>
      <c r="U156" s="11" t="s">
        <v>85</v>
      </c>
      <c r="V156" s="11" t="s">
        <v>86</v>
      </c>
      <c r="W156" s="11" t="s">
        <v>910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88</v>
      </c>
    </row>
    <row r="157" customFormat="false" ht="15" hidden="false" customHeight="false" outlineLevel="0" collapsed="false">
      <c r="A157" s="9" t="s">
        <v>911</v>
      </c>
      <c r="B157" s="9" t="s">
        <v>912</v>
      </c>
      <c r="C157" s="9" t="s">
        <v>485</v>
      </c>
      <c r="D157" s="9" t="s">
        <v>913</v>
      </c>
      <c r="E157" s="10" t="n">
        <v>60</v>
      </c>
      <c r="F157" s="10" t="n">
        <v>40</v>
      </c>
      <c r="G157" s="10" t="n">
        <v>60</v>
      </c>
      <c r="H157" s="9" t="s">
        <v>874</v>
      </c>
      <c r="I157" s="9" t="s">
        <v>75</v>
      </c>
      <c r="J157" s="9"/>
      <c r="K157" s="9"/>
      <c r="L157" s="9" t="s">
        <v>914</v>
      </c>
      <c r="M157" s="9" t="s">
        <v>915</v>
      </c>
      <c r="N157" s="9" t="s">
        <v>916</v>
      </c>
      <c r="O157" s="9" t="s">
        <v>80</v>
      </c>
      <c r="P157" s="9" t="s">
        <v>297</v>
      </c>
      <c r="Q157" s="9"/>
      <c r="R157" s="11" t="s">
        <v>101</v>
      </c>
      <c r="S157" s="11" t="s">
        <v>298</v>
      </c>
      <c r="T157" s="11" t="s">
        <v>299</v>
      </c>
      <c r="U157" s="11" t="s">
        <v>101</v>
      </c>
      <c r="V157" s="11" t="s">
        <v>86</v>
      </c>
      <c r="W157" s="11" t="s">
        <v>917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88</v>
      </c>
    </row>
    <row r="158" customFormat="false" ht="15" hidden="false" customHeight="false" outlineLevel="0" collapsed="false">
      <c r="A158" s="9" t="s">
        <v>918</v>
      </c>
      <c r="B158" s="9" t="s">
        <v>919</v>
      </c>
      <c r="C158" s="9" t="s">
        <v>485</v>
      </c>
      <c r="D158" s="11" t="s">
        <v>920</v>
      </c>
      <c r="E158" s="9"/>
      <c r="F158" s="9"/>
      <c r="G158" s="9"/>
      <c r="H158" s="11" t="s">
        <v>279</v>
      </c>
      <c r="I158" s="9" t="s">
        <v>921</v>
      </c>
      <c r="J158" s="13" t="n">
        <v>46116</v>
      </c>
      <c r="K158" s="9"/>
      <c r="L158" s="9" t="s">
        <v>922</v>
      </c>
      <c r="M158" s="9" t="s">
        <v>923</v>
      </c>
      <c r="N158" s="9" t="s">
        <v>924</v>
      </c>
      <c r="O158" s="9" t="s">
        <v>80</v>
      </c>
      <c r="P158" s="9" t="s">
        <v>81</v>
      </c>
      <c r="Q158" s="9" t="s">
        <v>909</v>
      </c>
      <c r="R158" s="9" t="s">
        <v>83</v>
      </c>
      <c r="S158" s="11" t="s">
        <v>84</v>
      </c>
      <c r="T158" s="9" t="s">
        <v>909</v>
      </c>
      <c r="U158" s="11" t="s">
        <v>85</v>
      </c>
      <c r="V158" s="11" t="s">
        <v>86</v>
      </c>
      <c r="W158" s="11" t="s">
        <v>925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88</v>
      </c>
    </row>
    <row r="159" customFormat="false" ht="15" hidden="false" customHeight="false" outlineLevel="0" collapsed="false">
      <c r="A159" s="9" t="s">
        <v>926</v>
      </c>
      <c r="B159" s="9" t="s">
        <v>927</v>
      </c>
      <c r="C159" s="9" t="s">
        <v>485</v>
      </c>
      <c r="D159" s="11" t="s">
        <v>928</v>
      </c>
      <c r="E159" s="10" t="n">
        <v>2</v>
      </c>
      <c r="F159" s="9"/>
      <c r="G159" s="9"/>
      <c r="H159" s="11" t="s">
        <v>745</v>
      </c>
      <c r="I159" s="9" t="s">
        <v>929</v>
      </c>
      <c r="J159" s="13" t="n">
        <v>46148</v>
      </c>
      <c r="K159" s="9"/>
      <c r="L159" s="9" t="s">
        <v>853</v>
      </c>
      <c r="M159" s="9" t="s">
        <v>847</v>
      </c>
      <c r="N159" s="9" t="s">
        <v>845</v>
      </c>
      <c r="O159" s="9" t="s">
        <v>80</v>
      </c>
      <c r="P159" s="9" t="s">
        <v>81</v>
      </c>
      <c r="Q159" s="9" t="s">
        <v>848</v>
      </c>
      <c r="R159" s="11" t="s">
        <v>101</v>
      </c>
      <c r="S159" s="11" t="s">
        <v>84</v>
      </c>
      <c r="T159" s="9" t="s">
        <v>848</v>
      </c>
      <c r="U159" s="11" t="s">
        <v>101</v>
      </c>
      <c r="V159" s="11" t="s">
        <v>86</v>
      </c>
      <c r="W159" s="11" t="s">
        <v>930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88</v>
      </c>
    </row>
    <row r="160" customFormat="false" ht="15" hidden="false" customHeight="false" outlineLevel="0" collapsed="false">
      <c r="A160" s="9" t="s">
        <v>931</v>
      </c>
      <c r="B160" s="9" t="s">
        <v>932</v>
      </c>
      <c r="C160" s="9" t="s">
        <v>485</v>
      </c>
      <c r="D160" s="11" t="s">
        <v>933</v>
      </c>
      <c r="E160" s="9"/>
      <c r="F160" s="9"/>
      <c r="G160" s="9"/>
      <c r="H160" s="11" t="s">
        <v>279</v>
      </c>
      <c r="I160" s="9" t="s">
        <v>660</v>
      </c>
      <c r="J160" s="13" t="n">
        <v>46182</v>
      </c>
      <c r="K160" s="9"/>
      <c r="L160" s="9" t="s">
        <v>661</v>
      </c>
      <c r="M160" s="9" t="s">
        <v>662</v>
      </c>
      <c r="N160" s="9" t="s">
        <v>660</v>
      </c>
      <c r="O160" s="9" t="s">
        <v>80</v>
      </c>
      <c r="P160" s="9" t="s">
        <v>81</v>
      </c>
      <c r="Q160" s="9" t="s">
        <v>432</v>
      </c>
      <c r="R160" s="9" t="s">
        <v>149</v>
      </c>
      <c r="S160" s="11" t="s">
        <v>84</v>
      </c>
      <c r="T160" s="9" t="s">
        <v>432</v>
      </c>
      <c r="U160" s="11" t="s">
        <v>150</v>
      </c>
      <c r="V160" s="11" t="s">
        <v>86</v>
      </c>
      <c r="W160" s="11" t="s">
        <v>934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88</v>
      </c>
    </row>
    <row r="161" customFormat="false" ht="15" hidden="false" customHeight="false" outlineLevel="0" collapsed="false">
      <c r="A161" s="9" t="s">
        <v>935</v>
      </c>
      <c r="B161" s="9" t="s">
        <v>936</v>
      </c>
      <c r="C161" s="9" t="s">
        <v>485</v>
      </c>
      <c r="D161" s="11" t="s">
        <v>937</v>
      </c>
      <c r="E161" s="9" t="n">
        <f aca="false">SRC_ANT_089/SRC_ANT_079-1</f>
        <v>-0.666666666666667</v>
      </c>
      <c r="F161" s="9"/>
      <c r="G161" s="9"/>
      <c r="H161" s="11" t="s">
        <v>938</v>
      </c>
      <c r="I161" s="9" t="s">
        <v>601</v>
      </c>
      <c r="J161" s="13" t="n">
        <v>45985</v>
      </c>
      <c r="K161" s="9"/>
      <c r="L161" s="9" t="s">
        <v>602</v>
      </c>
      <c r="M161" s="9" t="s">
        <v>603</v>
      </c>
      <c r="N161" s="9" t="s">
        <v>601</v>
      </c>
      <c r="O161" s="9" t="s">
        <v>80</v>
      </c>
      <c r="P161" s="9" t="s">
        <v>100</v>
      </c>
      <c r="Q161" s="9"/>
      <c r="R161" s="11" t="s">
        <v>101</v>
      </c>
      <c r="S161" s="11" t="s">
        <v>102</v>
      </c>
      <c r="T161" s="11" t="s">
        <v>103</v>
      </c>
      <c r="U161" s="11" t="s">
        <v>102</v>
      </c>
      <c r="V161" s="9" t="s">
        <v>104</v>
      </c>
      <c r="W161" s="11" t="s">
        <v>939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88</v>
      </c>
    </row>
    <row r="162" customFormat="false" ht="15" hidden="false" customHeight="false" outlineLevel="0" collapsed="false">
      <c r="A162" s="9" t="s">
        <v>940</v>
      </c>
      <c r="B162" s="9" t="s">
        <v>941</v>
      </c>
      <c r="C162" s="9" t="s">
        <v>485</v>
      </c>
      <c r="D162" s="11" t="s">
        <v>942</v>
      </c>
      <c r="E162" s="10" t="n">
        <v>-0.2</v>
      </c>
      <c r="F162" s="9"/>
      <c r="G162" s="9"/>
      <c r="H162" s="11" t="s">
        <v>938</v>
      </c>
      <c r="I162" s="9" t="s">
        <v>707</v>
      </c>
      <c r="J162" s="13" t="n">
        <v>46287</v>
      </c>
      <c r="K162" s="9"/>
      <c r="L162" s="9" t="s">
        <v>708</v>
      </c>
      <c r="M162" s="9" t="s">
        <v>709</v>
      </c>
      <c r="N162" s="9" t="s">
        <v>707</v>
      </c>
      <c r="O162" s="9" t="s">
        <v>80</v>
      </c>
      <c r="P162" s="9" t="s">
        <v>81</v>
      </c>
      <c r="Q162" s="9" t="s">
        <v>432</v>
      </c>
      <c r="R162" s="9" t="s">
        <v>149</v>
      </c>
      <c r="S162" s="11" t="s">
        <v>84</v>
      </c>
      <c r="T162" s="9" t="s">
        <v>432</v>
      </c>
      <c r="U162" s="11" t="s">
        <v>150</v>
      </c>
      <c r="V162" s="11" t="s">
        <v>86</v>
      </c>
      <c r="W162" s="11" t="s">
        <v>943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88</v>
      </c>
    </row>
    <row r="163" customFormat="false" ht="15" hidden="false" customHeight="false" outlineLevel="0" collapsed="false">
      <c r="A163" s="9" t="s">
        <v>944</v>
      </c>
      <c r="B163" s="9" t="s">
        <v>945</v>
      </c>
      <c r="C163" s="9" t="s">
        <v>485</v>
      </c>
      <c r="D163" s="11" t="s">
        <v>946</v>
      </c>
      <c r="E163" s="10" t="n">
        <v>-0.9</v>
      </c>
      <c r="F163" s="9"/>
      <c r="G163" s="9"/>
      <c r="H163" s="11" t="s">
        <v>938</v>
      </c>
      <c r="I163" s="9" t="s">
        <v>727</v>
      </c>
      <c r="J163" s="13" t="n">
        <v>46302</v>
      </c>
      <c r="K163" s="9"/>
      <c r="L163" s="9" t="s">
        <v>728</v>
      </c>
      <c r="M163" s="9" t="s">
        <v>729</v>
      </c>
      <c r="N163" s="9" t="s">
        <v>727</v>
      </c>
      <c r="O163" s="9" t="s">
        <v>80</v>
      </c>
      <c r="P163" s="9" t="s">
        <v>81</v>
      </c>
      <c r="Q163" s="9" t="s">
        <v>432</v>
      </c>
      <c r="R163" s="9" t="s">
        <v>149</v>
      </c>
      <c r="S163" s="11" t="s">
        <v>84</v>
      </c>
      <c r="T163" s="9" t="s">
        <v>432</v>
      </c>
      <c r="U163" s="11" t="s">
        <v>150</v>
      </c>
      <c r="V163" s="11" t="s">
        <v>86</v>
      </c>
      <c r="W163" s="11" t="s">
        <v>947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88</v>
      </c>
    </row>
    <row r="164" customFormat="false" ht="15" hidden="false" customHeight="false" outlineLevel="0" collapsed="false">
      <c r="A164" s="9" t="s">
        <v>948</v>
      </c>
      <c r="B164" s="9" t="s">
        <v>949</v>
      </c>
      <c r="C164" s="9" t="s">
        <v>485</v>
      </c>
      <c r="D164" s="11" t="s">
        <v>950</v>
      </c>
      <c r="E164" s="10" t="n">
        <v>-0.333</v>
      </c>
      <c r="F164" s="9"/>
      <c r="G164" s="9"/>
      <c r="H164" s="11" t="s">
        <v>938</v>
      </c>
      <c r="I164" s="9" t="s">
        <v>463</v>
      </c>
      <c r="J164" s="9"/>
      <c r="K164" s="9"/>
      <c r="L164" s="9" t="s">
        <v>951</v>
      </c>
      <c r="M164" s="9" t="s">
        <v>679</v>
      </c>
      <c r="N164" s="9" t="s">
        <v>952</v>
      </c>
      <c r="O164" s="9" t="s">
        <v>80</v>
      </c>
      <c r="P164" s="9" t="s">
        <v>81</v>
      </c>
      <c r="Q164" s="9" t="s">
        <v>432</v>
      </c>
      <c r="R164" s="9" t="s">
        <v>149</v>
      </c>
      <c r="S164" s="11" t="s">
        <v>84</v>
      </c>
      <c r="T164" s="9" t="s">
        <v>432</v>
      </c>
      <c r="U164" s="11" t="s">
        <v>150</v>
      </c>
      <c r="V164" s="11" t="s">
        <v>86</v>
      </c>
      <c r="W164" s="11" t="s">
        <v>953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88</v>
      </c>
    </row>
    <row r="165" customFormat="false" ht="15" hidden="false" customHeight="false" outlineLevel="0" collapsed="false">
      <c r="A165" s="9" t="s">
        <v>954</v>
      </c>
      <c r="B165" s="9" t="s">
        <v>955</v>
      </c>
      <c r="C165" s="9" t="s">
        <v>956</v>
      </c>
      <c r="D165" s="11" t="s">
        <v>957</v>
      </c>
      <c r="E165" s="10" t="n">
        <v>300000</v>
      </c>
      <c r="F165" s="9"/>
      <c r="G165" s="9"/>
      <c r="H165" s="11" t="s">
        <v>958</v>
      </c>
      <c r="I165" s="9" t="s">
        <v>190</v>
      </c>
      <c r="J165" s="9"/>
      <c r="K165" s="9"/>
      <c r="L165" s="9" t="s">
        <v>431</v>
      </c>
      <c r="M165" s="9" t="s">
        <v>146</v>
      </c>
      <c r="N165" s="9" t="s">
        <v>147</v>
      </c>
      <c r="O165" s="9" t="s">
        <v>80</v>
      </c>
      <c r="P165" s="9" t="s">
        <v>81</v>
      </c>
      <c r="Q165" s="9" t="s">
        <v>432</v>
      </c>
      <c r="R165" s="9" t="s">
        <v>149</v>
      </c>
      <c r="S165" s="11" t="s">
        <v>84</v>
      </c>
      <c r="T165" s="9" t="s">
        <v>432</v>
      </c>
      <c r="U165" s="11" t="s">
        <v>150</v>
      </c>
      <c r="V165" s="11" t="s">
        <v>86</v>
      </c>
      <c r="W165" s="11" t="s">
        <v>959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88</v>
      </c>
    </row>
    <row r="166" customFormat="false" ht="15" hidden="false" customHeight="false" outlineLevel="0" collapsed="false">
      <c r="A166" s="9" t="s">
        <v>960</v>
      </c>
      <c r="B166" s="9" t="s">
        <v>961</v>
      </c>
      <c r="C166" s="9" t="s">
        <v>956</v>
      </c>
      <c r="D166" s="11" t="s">
        <v>957</v>
      </c>
      <c r="E166" s="10" t="n">
        <v>300000</v>
      </c>
      <c r="F166" s="9"/>
      <c r="G166" s="9"/>
      <c r="H166" s="11" t="s">
        <v>958</v>
      </c>
      <c r="I166" s="9" t="s">
        <v>194</v>
      </c>
      <c r="J166" s="9"/>
      <c r="K166" s="9"/>
      <c r="L166" s="9" t="s">
        <v>962</v>
      </c>
      <c r="M166" s="9" t="s">
        <v>196</v>
      </c>
      <c r="N166" s="9" t="s">
        <v>197</v>
      </c>
      <c r="O166" s="9" t="s">
        <v>80</v>
      </c>
      <c r="P166" s="9" t="s">
        <v>81</v>
      </c>
      <c r="Q166" s="9" t="s">
        <v>432</v>
      </c>
      <c r="R166" s="9" t="s">
        <v>83</v>
      </c>
      <c r="S166" s="11" t="s">
        <v>84</v>
      </c>
      <c r="T166" s="9" t="s">
        <v>432</v>
      </c>
      <c r="U166" s="11" t="s">
        <v>85</v>
      </c>
      <c r="V166" s="11" t="s">
        <v>86</v>
      </c>
      <c r="W166" s="11" t="s">
        <v>963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88</v>
      </c>
    </row>
    <row r="167" customFormat="false" ht="15" hidden="false" customHeight="false" outlineLevel="0" collapsed="false">
      <c r="A167" s="9" t="s">
        <v>964</v>
      </c>
      <c r="B167" s="9" t="s">
        <v>965</v>
      </c>
      <c r="C167" s="9" t="s">
        <v>956</v>
      </c>
      <c r="D167" s="11" t="s">
        <v>966</v>
      </c>
      <c r="E167" s="10" t="n">
        <v>7</v>
      </c>
      <c r="F167" s="9"/>
      <c r="G167" s="9"/>
      <c r="H167" s="11" t="s">
        <v>967</v>
      </c>
      <c r="I167" s="9" t="s">
        <v>190</v>
      </c>
      <c r="J167" s="9"/>
      <c r="K167" s="9"/>
      <c r="L167" s="9" t="s">
        <v>431</v>
      </c>
      <c r="M167" s="9" t="s">
        <v>146</v>
      </c>
      <c r="N167" s="9" t="s">
        <v>147</v>
      </c>
      <c r="O167" s="9" t="s">
        <v>80</v>
      </c>
      <c r="P167" s="9" t="s">
        <v>81</v>
      </c>
      <c r="Q167" s="9" t="s">
        <v>432</v>
      </c>
      <c r="R167" s="9" t="s">
        <v>149</v>
      </c>
      <c r="S167" s="11" t="s">
        <v>84</v>
      </c>
      <c r="T167" s="9" t="s">
        <v>432</v>
      </c>
      <c r="U167" s="11" t="s">
        <v>150</v>
      </c>
      <c r="V167" s="11" t="s">
        <v>86</v>
      </c>
      <c r="W167" s="11" t="s">
        <v>968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88</v>
      </c>
    </row>
    <row r="168" customFormat="false" ht="15" hidden="false" customHeight="false" outlineLevel="0" collapsed="false">
      <c r="A168" s="9" t="s">
        <v>969</v>
      </c>
      <c r="B168" s="9" t="s">
        <v>970</v>
      </c>
      <c r="C168" s="9" t="s">
        <v>956</v>
      </c>
      <c r="D168" s="11" t="s">
        <v>966</v>
      </c>
      <c r="E168" s="10" t="n">
        <v>7</v>
      </c>
      <c r="F168" s="9"/>
      <c r="G168" s="9"/>
      <c r="H168" s="11" t="s">
        <v>967</v>
      </c>
      <c r="I168" s="9" t="s">
        <v>213</v>
      </c>
      <c r="J168" s="9"/>
      <c r="K168" s="9"/>
      <c r="L168" s="9" t="s">
        <v>446</v>
      </c>
      <c r="M168" s="9" t="s">
        <v>215</v>
      </c>
      <c r="N168" s="9" t="s">
        <v>216</v>
      </c>
      <c r="O168" s="9" t="s">
        <v>80</v>
      </c>
      <c r="P168" s="9" t="s">
        <v>81</v>
      </c>
      <c r="Q168" s="9" t="s">
        <v>432</v>
      </c>
      <c r="R168" s="9" t="s">
        <v>149</v>
      </c>
      <c r="S168" s="11" t="s">
        <v>84</v>
      </c>
      <c r="T168" s="9" t="s">
        <v>432</v>
      </c>
      <c r="U168" s="11" t="s">
        <v>150</v>
      </c>
      <c r="V168" s="11" t="s">
        <v>86</v>
      </c>
      <c r="W168" s="11" t="s">
        <v>971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88</v>
      </c>
    </row>
    <row r="169" customFormat="false" ht="15" hidden="false" customHeight="false" outlineLevel="0" collapsed="false">
      <c r="A169" s="9" t="s">
        <v>972</v>
      </c>
      <c r="B169" s="9" t="s">
        <v>973</v>
      </c>
      <c r="C169" s="9" t="s">
        <v>956</v>
      </c>
      <c r="D169" s="11" t="s">
        <v>974</v>
      </c>
      <c r="E169" s="10" t="n">
        <v>500</v>
      </c>
      <c r="F169" s="9"/>
      <c r="G169" s="9"/>
      <c r="H169" s="11" t="s">
        <v>958</v>
      </c>
      <c r="I169" s="9" t="s">
        <v>213</v>
      </c>
      <c r="J169" s="9"/>
      <c r="K169" s="9"/>
      <c r="L169" s="9" t="s">
        <v>446</v>
      </c>
      <c r="M169" s="9" t="s">
        <v>215</v>
      </c>
      <c r="N169" s="9" t="s">
        <v>216</v>
      </c>
      <c r="O169" s="9" t="s">
        <v>80</v>
      </c>
      <c r="P169" s="9" t="s">
        <v>81</v>
      </c>
      <c r="Q169" s="9" t="s">
        <v>432</v>
      </c>
      <c r="R169" s="9" t="s">
        <v>149</v>
      </c>
      <c r="S169" s="11" t="s">
        <v>84</v>
      </c>
      <c r="T169" s="9" t="s">
        <v>432</v>
      </c>
      <c r="U169" s="11" t="s">
        <v>150</v>
      </c>
      <c r="V169" s="11" t="s">
        <v>86</v>
      </c>
      <c r="W169" s="11" t="s">
        <v>975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88</v>
      </c>
    </row>
    <row r="170" customFormat="false" ht="15" hidden="false" customHeight="false" outlineLevel="0" collapsed="false">
      <c r="A170" s="9" t="s">
        <v>976</v>
      </c>
      <c r="B170" s="9" t="s">
        <v>977</v>
      </c>
      <c r="C170" s="9" t="s">
        <v>956</v>
      </c>
      <c r="D170" s="11" t="s">
        <v>974</v>
      </c>
      <c r="E170" s="10" t="n">
        <v>12</v>
      </c>
      <c r="F170" s="9"/>
      <c r="G170" s="9"/>
      <c r="H170" s="11" t="s">
        <v>958</v>
      </c>
      <c r="I170" s="9" t="s">
        <v>978</v>
      </c>
      <c r="J170" s="9"/>
      <c r="K170" s="9"/>
      <c r="L170" s="9" t="s">
        <v>446</v>
      </c>
      <c r="M170" s="9" t="s">
        <v>215</v>
      </c>
      <c r="N170" s="9" t="s">
        <v>216</v>
      </c>
      <c r="O170" s="9" t="s">
        <v>80</v>
      </c>
      <c r="P170" s="9" t="s">
        <v>81</v>
      </c>
      <c r="Q170" s="9" t="s">
        <v>432</v>
      </c>
      <c r="R170" s="9" t="s">
        <v>149</v>
      </c>
      <c r="S170" s="11" t="s">
        <v>84</v>
      </c>
      <c r="T170" s="9" t="s">
        <v>432</v>
      </c>
      <c r="U170" s="11" t="s">
        <v>150</v>
      </c>
      <c r="V170" s="11" t="s">
        <v>86</v>
      </c>
      <c r="W170" s="11" t="s">
        <v>979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88</v>
      </c>
    </row>
    <row r="171" customFormat="false" ht="15" hidden="false" customHeight="false" outlineLevel="0" collapsed="false">
      <c r="A171" s="9" t="s">
        <v>980</v>
      </c>
      <c r="B171" s="9" t="s">
        <v>981</v>
      </c>
      <c r="C171" s="9" t="s">
        <v>956</v>
      </c>
      <c r="D171" s="11" t="s">
        <v>974</v>
      </c>
      <c r="E171" s="10" t="n">
        <v>1000</v>
      </c>
      <c r="F171" s="9"/>
      <c r="G171" s="9"/>
      <c r="H171" s="11" t="s">
        <v>958</v>
      </c>
      <c r="I171" s="9" t="s">
        <v>227</v>
      </c>
      <c r="J171" s="9"/>
      <c r="K171" s="9"/>
      <c r="L171" s="9" t="s">
        <v>203</v>
      </c>
      <c r="M171" s="9" t="s">
        <v>204</v>
      </c>
      <c r="N171" s="9" t="s">
        <v>205</v>
      </c>
      <c r="O171" s="9" t="s">
        <v>80</v>
      </c>
      <c r="P171" s="9" t="s">
        <v>81</v>
      </c>
      <c r="Q171" s="9" t="s">
        <v>432</v>
      </c>
      <c r="R171" s="9" t="s">
        <v>149</v>
      </c>
      <c r="S171" s="11" t="s">
        <v>84</v>
      </c>
      <c r="T171" s="9" t="s">
        <v>432</v>
      </c>
      <c r="U171" s="11" t="s">
        <v>150</v>
      </c>
      <c r="V171" s="11" t="s">
        <v>86</v>
      </c>
      <c r="W171" s="11" t="s">
        <v>982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88</v>
      </c>
    </row>
    <row r="172" customFormat="false" ht="15" hidden="false" customHeight="false" outlineLevel="0" collapsed="false">
      <c r="A172" s="9" t="s">
        <v>983</v>
      </c>
      <c r="B172" s="9" t="s">
        <v>984</v>
      </c>
      <c r="C172" s="9" t="s">
        <v>956</v>
      </c>
      <c r="D172" s="11" t="s">
        <v>985</v>
      </c>
      <c r="E172" s="10" t="n">
        <v>100000</v>
      </c>
      <c r="F172" s="9"/>
      <c r="G172" s="9"/>
      <c r="H172" s="11" t="s">
        <v>958</v>
      </c>
      <c r="I172" s="9" t="s">
        <v>227</v>
      </c>
      <c r="J172" s="9"/>
      <c r="K172" s="9"/>
      <c r="L172" s="9" t="s">
        <v>986</v>
      </c>
      <c r="M172" s="9" t="s">
        <v>987</v>
      </c>
      <c r="N172" s="9" t="s">
        <v>988</v>
      </c>
      <c r="O172" s="9" t="s">
        <v>80</v>
      </c>
      <c r="P172" s="9" t="s">
        <v>81</v>
      </c>
      <c r="Q172" s="9" t="s">
        <v>432</v>
      </c>
      <c r="R172" s="9" t="s">
        <v>149</v>
      </c>
      <c r="S172" s="11" t="s">
        <v>84</v>
      </c>
      <c r="T172" s="9" t="s">
        <v>432</v>
      </c>
      <c r="U172" s="11" t="s">
        <v>150</v>
      </c>
      <c r="V172" s="11" t="s">
        <v>86</v>
      </c>
      <c r="W172" s="11" t="s">
        <v>989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88</v>
      </c>
    </row>
    <row r="173" customFormat="false" ht="15" hidden="false" customHeight="false" outlineLevel="0" collapsed="false">
      <c r="A173" s="9" t="s">
        <v>990</v>
      </c>
      <c r="B173" s="9" t="s">
        <v>991</v>
      </c>
      <c r="C173" s="9" t="s">
        <v>956</v>
      </c>
      <c r="D173" s="11" t="s">
        <v>992</v>
      </c>
      <c r="E173" s="10" t="n">
        <v>2</v>
      </c>
      <c r="F173" s="10" t="n">
        <v>2</v>
      </c>
      <c r="G173" s="9"/>
      <c r="H173" s="11" t="s">
        <v>745</v>
      </c>
      <c r="I173" s="9" t="s">
        <v>993</v>
      </c>
      <c r="J173" s="9"/>
      <c r="K173" s="9"/>
      <c r="L173" s="9" t="s">
        <v>994</v>
      </c>
      <c r="M173" s="9" t="s">
        <v>995</v>
      </c>
      <c r="N173" s="9" t="s">
        <v>996</v>
      </c>
      <c r="O173" s="9" t="s">
        <v>80</v>
      </c>
      <c r="P173" s="9" t="s">
        <v>81</v>
      </c>
      <c r="Q173" s="9" t="s">
        <v>432</v>
      </c>
      <c r="R173" s="9" t="s">
        <v>83</v>
      </c>
      <c r="S173" s="11" t="s">
        <v>84</v>
      </c>
      <c r="T173" s="9" t="s">
        <v>432</v>
      </c>
      <c r="U173" s="11" t="s">
        <v>85</v>
      </c>
      <c r="V173" s="11" t="s">
        <v>86</v>
      </c>
      <c r="W173" s="11" t="s">
        <v>997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88</v>
      </c>
    </row>
    <row r="174" customFormat="false" ht="15" hidden="false" customHeight="false" outlineLevel="0" collapsed="false">
      <c r="A174" s="9" t="s">
        <v>998</v>
      </c>
      <c r="B174" s="9" t="s">
        <v>999</v>
      </c>
      <c r="C174" s="9" t="s">
        <v>956</v>
      </c>
      <c r="D174" s="9" t="s">
        <v>1000</v>
      </c>
      <c r="E174" s="9"/>
      <c r="F174" s="10" t="n">
        <v>18</v>
      </c>
      <c r="G174" s="10" t="n">
        <v>30</v>
      </c>
      <c r="H174" s="11" t="s">
        <v>1001</v>
      </c>
      <c r="I174" s="9" t="s">
        <v>993</v>
      </c>
      <c r="J174" s="9"/>
      <c r="K174" s="9"/>
      <c r="L174" s="9" t="s">
        <v>1002</v>
      </c>
      <c r="M174" s="9" t="s">
        <v>995</v>
      </c>
      <c r="N174" s="9" t="s">
        <v>996</v>
      </c>
      <c r="O174" s="9" t="s">
        <v>80</v>
      </c>
      <c r="P174" s="9" t="s">
        <v>297</v>
      </c>
      <c r="Q174" s="9"/>
      <c r="R174" s="9" t="s">
        <v>83</v>
      </c>
      <c r="S174" s="11" t="s">
        <v>298</v>
      </c>
      <c r="T174" s="11" t="s">
        <v>299</v>
      </c>
      <c r="U174" s="11" t="s">
        <v>85</v>
      </c>
      <c r="V174" s="11" t="s">
        <v>86</v>
      </c>
      <c r="W174" s="11" t="s">
        <v>1003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88</v>
      </c>
    </row>
    <row r="175" customFormat="false" ht="15" hidden="false" customHeight="false" outlineLevel="0" collapsed="false">
      <c r="A175" s="9" t="s">
        <v>1004</v>
      </c>
      <c r="B175" s="9" t="s">
        <v>1005</v>
      </c>
      <c r="C175" s="9" t="s">
        <v>956</v>
      </c>
      <c r="D175" s="9" t="s">
        <v>1006</v>
      </c>
      <c r="E175" s="10" t="n">
        <v>56</v>
      </c>
      <c r="F175" s="10" t="n">
        <v>45</v>
      </c>
      <c r="G175" s="10" t="n">
        <v>67</v>
      </c>
      <c r="H175" s="11" t="s">
        <v>1001</v>
      </c>
      <c r="I175" s="9" t="s">
        <v>119</v>
      </c>
      <c r="J175" s="9"/>
      <c r="K175" s="9"/>
      <c r="L175" s="9" t="s">
        <v>1007</v>
      </c>
      <c r="M175" s="9" t="s">
        <v>1008</v>
      </c>
      <c r="N175" s="9" t="s">
        <v>1009</v>
      </c>
      <c r="O175" s="9" t="s">
        <v>80</v>
      </c>
      <c r="P175" s="9" t="s">
        <v>297</v>
      </c>
      <c r="Q175" s="9"/>
      <c r="R175" s="9" t="s">
        <v>83</v>
      </c>
      <c r="S175" s="11" t="s">
        <v>298</v>
      </c>
      <c r="T175" s="11" t="s">
        <v>299</v>
      </c>
      <c r="U175" s="11" t="s">
        <v>85</v>
      </c>
      <c r="V175" s="11" t="s">
        <v>86</v>
      </c>
      <c r="W175" s="11" t="s">
        <v>1010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88</v>
      </c>
    </row>
    <row r="176" customFormat="false" ht="15" hidden="false" customHeight="false" outlineLevel="0" collapsed="false">
      <c r="A176" s="9" t="s">
        <v>1011</v>
      </c>
      <c r="B176" s="9" t="s">
        <v>1012</v>
      </c>
      <c r="C176" s="9" t="s">
        <v>956</v>
      </c>
      <c r="D176" s="9" t="s">
        <v>1013</v>
      </c>
      <c r="E176" s="10" t="n">
        <v>952.5</v>
      </c>
      <c r="F176" s="10" t="n">
        <v>850</v>
      </c>
      <c r="G176" s="10" t="n">
        <v>1050</v>
      </c>
      <c r="H176" s="11" t="s">
        <v>1014</v>
      </c>
      <c r="I176" s="9" t="s">
        <v>231</v>
      </c>
      <c r="J176" s="9"/>
      <c r="K176" s="9"/>
      <c r="L176" s="9" t="s">
        <v>1015</v>
      </c>
      <c r="M176" s="9" t="s">
        <v>1016</v>
      </c>
      <c r="N176" s="9" t="s">
        <v>660</v>
      </c>
      <c r="O176" s="9" t="s">
        <v>80</v>
      </c>
      <c r="P176" s="9" t="s">
        <v>297</v>
      </c>
      <c r="Q176" s="9"/>
      <c r="R176" s="9" t="s">
        <v>83</v>
      </c>
      <c r="S176" s="11" t="s">
        <v>298</v>
      </c>
      <c r="T176" s="11" t="s">
        <v>299</v>
      </c>
      <c r="U176" s="11" t="s">
        <v>85</v>
      </c>
      <c r="V176" s="11" t="s">
        <v>86</v>
      </c>
      <c r="W176" s="11" t="s">
        <v>1017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88</v>
      </c>
    </row>
    <row r="177" customFormat="false" ht="15" hidden="false" customHeight="false" outlineLevel="0" collapsed="false">
      <c r="A177" s="9" t="s">
        <v>1018</v>
      </c>
      <c r="B177" s="9" t="s">
        <v>1019</v>
      </c>
      <c r="C177" s="9" t="s">
        <v>956</v>
      </c>
      <c r="D177" s="9" t="s">
        <v>1020</v>
      </c>
      <c r="E177" s="10" t="n">
        <v>18.9</v>
      </c>
      <c r="F177" s="10" t="n">
        <v>15</v>
      </c>
      <c r="G177" s="10" t="n">
        <v>25</v>
      </c>
      <c r="H177" s="11" t="s">
        <v>1001</v>
      </c>
      <c r="I177" s="9" t="s">
        <v>75</v>
      </c>
      <c r="J177" s="9"/>
      <c r="K177" s="9"/>
      <c r="L177" s="9" t="s">
        <v>1021</v>
      </c>
      <c r="M177" s="9" t="s">
        <v>474</v>
      </c>
      <c r="N177" s="9" t="s">
        <v>475</v>
      </c>
      <c r="O177" s="9" t="s">
        <v>80</v>
      </c>
      <c r="P177" s="9" t="s">
        <v>297</v>
      </c>
      <c r="Q177" s="9"/>
      <c r="R177" s="9" t="s">
        <v>83</v>
      </c>
      <c r="S177" s="11" t="s">
        <v>298</v>
      </c>
      <c r="T177" s="11" t="s">
        <v>299</v>
      </c>
      <c r="U177" s="11" t="s">
        <v>85</v>
      </c>
      <c r="V177" s="11" t="s">
        <v>86</v>
      </c>
      <c r="W177" s="11" t="s">
        <v>1022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88</v>
      </c>
    </row>
    <row r="178" customFormat="false" ht="15" hidden="false" customHeight="false" outlineLevel="0" collapsed="false">
      <c r="A178" s="9" t="s">
        <v>1023</v>
      </c>
      <c r="B178" s="9" t="s">
        <v>1024</v>
      </c>
      <c r="C178" s="9" t="s">
        <v>956</v>
      </c>
      <c r="D178" s="11" t="s">
        <v>1025</v>
      </c>
      <c r="E178" s="10" t="n">
        <v>470000</v>
      </c>
      <c r="F178" s="9"/>
      <c r="G178" s="9"/>
      <c r="H178" s="11" t="s">
        <v>1026</v>
      </c>
      <c r="I178" s="9" t="s">
        <v>1027</v>
      </c>
      <c r="J178" s="13" t="n">
        <v>45936</v>
      </c>
      <c r="K178" s="9"/>
      <c r="L178" s="9" t="s">
        <v>1028</v>
      </c>
      <c r="M178" s="9" t="s">
        <v>1029</v>
      </c>
      <c r="N178" s="9" t="s">
        <v>1027</v>
      </c>
      <c r="O178" s="9" t="s">
        <v>80</v>
      </c>
      <c r="P178" s="9" t="s">
        <v>81</v>
      </c>
      <c r="Q178" s="9" t="s">
        <v>1030</v>
      </c>
      <c r="R178" s="9" t="s">
        <v>149</v>
      </c>
      <c r="S178" s="11" t="s">
        <v>84</v>
      </c>
      <c r="T178" s="9" t="s">
        <v>1030</v>
      </c>
      <c r="U178" s="11" t="s">
        <v>150</v>
      </c>
      <c r="V178" s="11" t="s">
        <v>86</v>
      </c>
      <c r="W178" s="11" t="s">
        <v>1031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88</v>
      </c>
    </row>
    <row r="179" customFormat="false" ht="15" hidden="false" customHeight="false" outlineLevel="0" collapsed="false">
      <c r="A179" s="9" t="s">
        <v>1032</v>
      </c>
      <c r="B179" s="9" t="s">
        <v>1033</v>
      </c>
      <c r="C179" s="9" t="s">
        <v>956</v>
      </c>
      <c r="D179" s="11" t="s">
        <v>1034</v>
      </c>
      <c r="E179" s="10" t="n">
        <v>350000</v>
      </c>
      <c r="F179" s="9"/>
      <c r="G179" s="10" t="n">
        <v>350000</v>
      </c>
      <c r="H179" s="11" t="s">
        <v>1026</v>
      </c>
      <c r="I179" s="9" t="s">
        <v>1035</v>
      </c>
      <c r="J179" s="13" t="n">
        <v>45965</v>
      </c>
      <c r="K179" s="9"/>
      <c r="L179" s="9" t="s">
        <v>1036</v>
      </c>
      <c r="M179" s="9" t="s">
        <v>1037</v>
      </c>
      <c r="N179" s="9" t="s">
        <v>1035</v>
      </c>
      <c r="O179" s="9" t="s">
        <v>80</v>
      </c>
      <c r="P179" s="9" t="s">
        <v>81</v>
      </c>
      <c r="Q179" s="9" t="s">
        <v>1038</v>
      </c>
      <c r="R179" s="9" t="s">
        <v>149</v>
      </c>
      <c r="S179" s="11" t="s">
        <v>84</v>
      </c>
      <c r="T179" s="9" t="s">
        <v>1038</v>
      </c>
      <c r="U179" s="11" t="s">
        <v>150</v>
      </c>
      <c r="V179" s="11" t="s">
        <v>86</v>
      </c>
      <c r="W179" s="11" t="s">
        <v>1039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88</v>
      </c>
    </row>
    <row r="180" customFormat="false" ht="15" hidden="false" customHeight="false" outlineLevel="0" collapsed="false">
      <c r="A180" s="9" t="s">
        <v>1040</v>
      </c>
      <c r="B180" s="9" t="s">
        <v>1041</v>
      </c>
      <c r="C180" s="9" t="s">
        <v>956</v>
      </c>
      <c r="D180" s="9" t="s">
        <v>1042</v>
      </c>
      <c r="E180" s="10" t="n">
        <v>30000</v>
      </c>
      <c r="F180" s="9"/>
      <c r="G180" s="9"/>
      <c r="H180" s="11" t="s">
        <v>1026</v>
      </c>
      <c r="I180" s="9" t="s">
        <v>1043</v>
      </c>
      <c r="J180" s="13" t="n">
        <v>46230</v>
      </c>
      <c r="K180" s="9"/>
      <c r="L180" s="9" t="s">
        <v>1044</v>
      </c>
      <c r="M180" s="9" t="s">
        <v>1045</v>
      </c>
      <c r="N180" s="9" t="s">
        <v>1043</v>
      </c>
      <c r="O180" s="9" t="s">
        <v>80</v>
      </c>
      <c r="P180" s="9" t="s">
        <v>81</v>
      </c>
      <c r="Q180" s="9" t="s">
        <v>1046</v>
      </c>
      <c r="R180" s="9" t="s">
        <v>149</v>
      </c>
      <c r="S180" s="11" t="s">
        <v>84</v>
      </c>
      <c r="T180" s="9" t="s">
        <v>1046</v>
      </c>
      <c r="U180" s="11" t="s">
        <v>150</v>
      </c>
      <c r="V180" s="11" t="s">
        <v>86</v>
      </c>
      <c r="W180" s="11" t="s">
        <v>1047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88</v>
      </c>
    </row>
    <row r="181" customFormat="false" ht="15" hidden="false" customHeight="false" outlineLevel="0" collapsed="false">
      <c r="A181" s="9" t="s">
        <v>1048</v>
      </c>
      <c r="B181" s="9" t="s">
        <v>1049</v>
      </c>
      <c r="C181" s="9" t="s">
        <v>956</v>
      </c>
      <c r="D181" s="11" t="s">
        <v>1050</v>
      </c>
      <c r="E181" s="10" t="n">
        <v>30000</v>
      </c>
      <c r="F181" s="9"/>
      <c r="G181" s="9"/>
      <c r="H181" s="11" t="s">
        <v>1026</v>
      </c>
      <c r="I181" s="9" t="s">
        <v>1051</v>
      </c>
      <c r="J181" s="13" t="n">
        <v>46000</v>
      </c>
      <c r="K181" s="9"/>
      <c r="L181" s="9" t="s">
        <v>1052</v>
      </c>
      <c r="M181" s="9" t="s">
        <v>1053</v>
      </c>
      <c r="N181" s="9" t="s">
        <v>1051</v>
      </c>
      <c r="O181" s="9" t="s">
        <v>80</v>
      </c>
      <c r="P181" s="9" t="s">
        <v>81</v>
      </c>
      <c r="Q181" s="9" t="s">
        <v>1054</v>
      </c>
      <c r="R181" s="9" t="s">
        <v>149</v>
      </c>
      <c r="S181" s="11" t="s">
        <v>84</v>
      </c>
      <c r="T181" s="9" t="s">
        <v>1054</v>
      </c>
      <c r="U181" s="11" t="s">
        <v>150</v>
      </c>
      <c r="V181" s="11" t="s">
        <v>86</v>
      </c>
      <c r="W181" s="11" t="s">
        <v>1055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88</v>
      </c>
    </row>
    <row r="182" customFormat="false" ht="15" hidden="false" customHeight="false" outlineLevel="0" collapsed="false">
      <c r="A182" s="9" t="s">
        <v>1056</v>
      </c>
      <c r="B182" s="9" t="s">
        <v>1057</v>
      </c>
      <c r="C182" s="9" t="s">
        <v>956</v>
      </c>
      <c r="D182" s="11" t="s">
        <v>1058</v>
      </c>
      <c r="E182" s="10" t="n">
        <v>50000</v>
      </c>
      <c r="F182" s="9"/>
      <c r="G182" s="9"/>
      <c r="H182" s="11" t="s">
        <v>1026</v>
      </c>
      <c r="I182" s="9" t="s">
        <v>1059</v>
      </c>
      <c r="J182" s="13" t="n">
        <v>46184</v>
      </c>
      <c r="K182" s="9"/>
      <c r="L182" s="9" t="s">
        <v>1060</v>
      </c>
      <c r="M182" s="9" t="s">
        <v>1061</v>
      </c>
      <c r="N182" s="9" t="s">
        <v>1059</v>
      </c>
      <c r="O182" s="9" t="s">
        <v>80</v>
      </c>
      <c r="P182" s="9" t="s">
        <v>81</v>
      </c>
      <c r="Q182" s="9" t="s">
        <v>1062</v>
      </c>
      <c r="R182" s="11" t="s">
        <v>101</v>
      </c>
      <c r="S182" s="11" t="s">
        <v>84</v>
      </c>
      <c r="T182" s="9" t="s">
        <v>1062</v>
      </c>
      <c r="U182" s="11" t="s">
        <v>101</v>
      </c>
      <c r="V182" s="11" t="s">
        <v>86</v>
      </c>
      <c r="W182" s="11" t="s">
        <v>1063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88</v>
      </c>
    </row>
    <row r="183" customFormat="false" ht="15" hidden="false" customHeight="false" outlineLevel="0" collapsed="false">
      <c r="A183" s="9" t="s">
        <v>1064</v>
      </c>
      <c r="B183" s="9" t="s">
        <v>1065</v>
      </c>
      <c r="C183" s="9" t="s">
        <v>956</v>
      </c>
      <c r="D183" s="11" t="s">
        <v>1066</v>
      </c>
      <c r="E183" s="10" t="n">
        <v>57000</v>
      </c>
      <c r="F183" s="9"/>
      <c r="G183" s="9"/>
      <c r="H183" s="11" t="s">
        <v>1026</v>
      </c>
      <c r="I183" s="9" t="s">
        <v>227</v>
      </c>
      <c r="J183" s="9"/>
      <c r="K183" s="9"/>
      <c r="L183" s="9" t="s">
        <v>1067</v>
      </c>
      <c r="M183" s="9" t="s">
        <v>1068</v>
      </c>
      <c r="N183" s="9" t="s">
        <v>313</v>
      </c>
      <c r="O183" s="9" t="s">
        <v>80</v>
      </c>
      <c r="P183" s="9" t="s">
        <v>81</v>
      </c>
      <c r="Q183" s="9" t="s">
        <v>1069</v>
      </c>
      <c r="R183" s="11" t="s">
        <v>101</v>
      </c>
      <c r="S183" s="11" t="s">
        <v>84</v>
      </c>
      <c r="T183" s="9" t="s">
        <v>1069</v>
      </c>
      <c r="U183" s="11" t="s">
        <v>101</v>
      </c>
      <c r="V183" s="11" t="s">
        <v>86</v>
      </c>
      <c r="W183" s="11" t="s">
        <v>1070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88</v>
      </c>
    </row>
    <row r="184" customFormat="false" ht="15" hidden="false" customHeight="false" outlineLevel="0" collapsed="false">
      <c r="A184" s="9" t="s">
        <v>1071</v>
      </c>
      <c r="B184" s="9" t="s">
        <v>1072</v>
      </c>
      <c r="C184" s="9" t="s">
        <v>956</v>
      </c>
      <c r="D184" s="11" t="s">
        <v>1073</v>
      </c>
      <c r="E184" s="10" t="n">
        <v>16000</v>
      </c>
      <c r="F184" s="9"/>
      <c r="G184" s="9"/>
      <c r="H184" s="11" t="s">
        <v>1026</v>
      </c>
      <c r="I184" s="9" t="s">
        <v>1074</v>
      </c>
      <c r="J184" s="13" t="n">
        <v>46296</v>
      </c>
      <c r="K184" s="9"/>
      <c r="L184" s="9" t="s">
        <v>1075</v>
      </c>
      <c r="M184" s="9" t="s">
        <v>1076</v>
      </c>
      <c r="N184" s="9" t="s">
        <v>1074</v>
      </c>
      <c r="O184" s="9" t="s">
        <v>80</v>
      </c>
      <c r="P184" s="9" t="s">
        <v>81</v>
      </c>
      <c r="Q184" s="9" t="s">
        <v>1077</v>
      </c>
      <c r="R184" s="9" t="s">
        <v>149</v>
      </c>
      <c r="S184" s="11" t="s">
        <v>84</v>
      </c>
      <c r="T184" s="9" t="s">
        <v>1077</v>
      </c>
      <c r="U184" s="11" t="s">
        <v>150</v>
      </c>
      <c r="V184" s="11" t="s">
        <v>86</v>
      </c>
      <c r="W184" s="11" t="s">
        <v>1078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88</v>
      </c>
    </row>
    <row r="185" customFormat="false" ht="15" hidden="false" customHeight="false" outlineLevel="0" collapsed="false">
      <c r="A185" s="9" t="s">
        <v>1079</v>
      </c>
      <c r="B185" s="9" t="s">
        <v>1080</v>
      </c>
      <c r="C185" s="9" t="s">
        <v>956</v>
      </c>
      <c r="D185" s="9" t="s">
        <v>1081</v>
      </c>
      <c r="E185" s="10" t="n">
        <v>0.025</v>
      </c>
      <c r="F185" s="10" t="n">
        <v>0.02</v>
      </c>
      <c r="G185" s="10" t="n">
        <v>0.04</v>
      </c>
      <c r="H185" s="11" t="s">
        <v>267</v>
      </c>
      <c r="I185" s="9" t="s">
        <v>1082</v>
      </c>
      <c r="J185" s="9"/>
      <c r="K185" s="9"/>
      <c r="L185" s="9" t="s">
        <v>1083</v>
      </c>
      <c r="M185" s="9" t="s">
        <v>1084</v>
      </c>
      <c r="N185" s="9" t="s">
        <v>80</v>
      </c>
      <c r="O185" s="9" t="s">
        <v>80</v>
      </c>
      <c r="P185" s="9" t="s">
        <v>297</v>
      </c>
      <c r="Q185" s="9"/>
      <c r="R185" s="11" t="s">
        <v>101</v>
      </c>
      <c r="S185" s="11" t="s">
        <v>298</v>
      </c>
      <c r="T185" s="11" t="s">
        <v>299</v>
      </c>
      <c r="U185" s="11" t="s">
        <v>101</v>
      </c>
      <c r="V185" s="11" t="s">
        <v>86</v>
      </c>
      <c r="W185" s="11" t="s">
        <v>1085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88</v>
      </c>
    </row>
    <row r="186" customFormat="false" ht="15" hidden="false" customHeight="false" outlineLevel="0" collapsed="false">
      <c r="A186" s="9" t="s">
        <v>1086</v>
      </c>
      <c r="B186" s="9" t="s">
        <v>1087</v>
      </c>
      <c r="C186" s="9" t="s">
        <v>956</v>
      </c>
      <c r="D186" s="11" t="s">
        <v>1088</v>
      </c>
      <c r="E186" s="10" t="n">
        <v>0.32</v>
      </c>
      <c r="F186" s="10" t="n">
        <v>0.25</v>
      </c>
      <c r="G186" s="10" t="n">
        <v>0.4</v>
      </c>
      <c r="H186" s="11" t="s">
        <v>267</v>
      </c>
      <c r="I186" s="9" t="s">
        <v>183</v>
      </c>
      <c r="J186" s="9"/>
      <c r="K186" s="9"/>
      <c r="L186" s="9" t="s">
        <v>1089</v>
      </c>
      <c r="M186" s="9" t="s">
        <v>341</v>
      </c>
      <c r="N186" s="9" t="s">
        <v>342</v>
      </c>
      <c r="O186" s="9" t="s">
        <v>80</v>
      </c>
      <c r="P186" s="9" t="s">
        <v>297</v>
      </c>
      <c r="Q186" s="9"/>
      <c r="R186" s="9" t="s">
        <v>83</v>
      </c>
      <c r="S186" s="11" t="s">
        <v>298</v>
      </c>
      <c r="T186" s="11" t="s">
        <v>299</v>
      </c>
      <c r="U186" s="11" t="s">
        <v>85</v>
      </c>
      <c r="V186" s="11" t="s">
        <v>86</v>
      </c>
      <c r="W186" s="11" t="s">
        <v>1090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88</v>
      </c>
    </row>
    <row r="187" customFormat="false" ht="15" hidden="false" customHeight="false" outlineLevel="0" collapsed="false">
      <c r="A187" s="9" t="s">
        <v>1091</v>
      </c>
      <c r="B187" s="9" t="s">
        <v>1092</v>
      </c>
      <c r="C187" s="9" t="s">
        <v>1093</v>
      </c>
      <c r="D187" s="9" t="s">
        <v>1094</v>
      </c>
      <c r="E187" s="10" t="n">
        <v>1000000</v>
      </c>
      <c r="F187" s="9"/>
      <c r="G187" s="9"/>
      <c r="H187" s="11" t="s">
        <v>1095</v>
      </c>
      <c r="I187" s="9" t="s">
        <v>1096</v>
      </c>
      <c r="J187" s="9"/>
      <c r="K187" s="9"/>
      <c r="L187" s="9" t="s">
        <v>1097</v>
      </c>
      <c r="M187" s="9" t="s">
        <v>1098</v>
      </c>
      <c r="N187" s="9" t="s">
        <v>1099</v>
      </c>
      <c r="O187" s="9" t="s">
        <v>80</v>
      </c>
      <c r="P187" s="9" t="s">
        <v>81</v>
      </c>
      <c r="Q187" s="9" t="s">
        <v>206</v>
      </c>
      <c r="R187" s="9" t="s">
        <v>149</v>
      </c>
      <c r="S187" s="11" t="s">
        <v>84</v>
      </c>
      <c r="T187" s="9" t="s">
        <v>206</v>
      </c>
      <c r="U187" s="11" t="s">
        <v>150</v>
      </c>
      <c r="V187" s="11" t="s">
        <v>86</v>
      </c>
      <c r="W187" s="11" t="s">
        <v>1100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88</v>
      </c>
    </row>
    <row r="188" customFormat="false" ht="15" hidden="false" customHeight="false" outlineLevel="0" collapsed="false">
      <c r="A188" s="9" t="s">
        <v>1101</v>
      </c>
      <c r="B188" s="9" t="s">
        <v>1102</v>
      </c>
      <c r="C188" s="9" t="s">
        <v>1093</v>
      </c>
      <c r="D188" s="9" t="s">
        <v>1103</v>
      </c>
      <c r="E188" s="9"/>
      <c r="F188" s="10" t="n">
        <v>1</v>
      </c>
      <c r="G188" s="9"/>
      <c r="H188" s="9" t="s">
        <v>1104</v>
      </c>
      <c r="I188" s="9" t="s">
        <v>304</v>
      </c>
      <c r="J188" s="9"/>
      <c r="K188" s="11" t="s">
        <v>144</v>
      </c>
      <c r="L188" s="9" t="s">
        <v>1097</v>
      </c>
      <c r="M188" s="9" t="s">
        <v>1098</v>
      </c>
      <c r="N188" s="9" t="s">
        <v>1099</v>
      </c>
      <c r="O188" s="9" t="s">
        <v>80</v>
      </c>
      <c r="P188" s="9" t="s">
        <v>81</v>
      </c>
      <c r="Q188" s="9" t="s">
        <v>206</v>
      </c>
      <c r="R188" s="9" t="s">
        <v>149</v>
      </c>
      <c r="S188" s="11" t="s">
        <v>84</v>
      </c>
      <c r="T188" s="9" t="s">
        <v>206</v>
      </c>
      <c r="U188" s="11" t="s">
        <v>150</v>
      </c>
      <c r="V188" s="11" t="s">
        <v>86</v>
      </c>
      <c r="W188" s="11" t="s">
        <v>1105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88</v>
      </c>
    </row>
    <row r="189" customFormat="false" ht="15" hidden="false" customHeight="false" outlineLevel="0" collapsed="false">
      <c r="A189" s="9" t="s">
        <v>1106</v>
      </c>
      <c r="B189" s="9" t="s">
        <v>1107</v>
      </c>
      <c r="C189" s="9" t="s">
        <v>1093</v>
      </c>
      <c r="D189" s="9" t="s">
        <v>1108</v>
      </c>
      <c r="E189" s="9"/>
      <c r="F189" s="10" t="n">
        <v>10</v>
      </c>
      <c r="G189" s="9"/>
      <c r="H189" s="9" t="s">
        <v>1109</v>
      </c>
      <c r="I189" s="9" t="s">
        <v>1096</v>
      </c>
      <c r="J189" s="9"/>
      <c r="K189" s="11" t="s">
        <v>76</v>
      </c>
      <c r="L189" s="9" t="s">
        <v>1097</v>
      </c>
      <c r="M189" s="9" t="s">
        <v>1098</v>
      </c>
      <c r="N189" s="9" t="s">
        <v>1099</v>
      </c>
      <c r="O189" s="9" t="s">
        <v>80</v>
      </c>
      <c r="P189" s="9" t="s">
        <v>81</v>
      </c>
      <c r="Q189" s="9" t="s">
        <v>206</v>
      </c>
      <c r="R189" s="9" t="s">
        <v>149</v>
      </c>
      <c r="S189" s="11" t="s">
        <v>84</v>
      </c>
      <c r="T189" s="9" t="s">
        <v>206</v>
      </c>
      <c r="U189" s="11" t="s">
        <v>150</v>
      </c>
      <c r="V189" s="11" t="s">
        <v>86</v>
      </c>
      <c r="W189" s="11" t="s">
        <v>1110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88</v>
      </c>
    </row>
    <row r="190" customFormat="false" ht="15" hidden="false" customHeight="false" outlineLevel="0" collapsed="false">
      <c r="A190" s="9" t="s">
        <v>1111</v>
      </c>
      <c r="B190" s="9" t="s">
        <v>1112</v>
      </c>
      <c r="C190" s="9" t="s">
        <v>1093</v>
      </c>
      <c r="D190" s="11" t="s">
        <v>1113</v>
      </c>
      <c r="E190" s="9"/>
      <c r="F190" s="9"/>
      <c r="G190" s="9"/>
      <c r="H190" s="11" t="s">
        <v>279</v>
      </c>
      <c r="I190" s="9" t="s">
        <v>194</v>
      </c>
      <c r="J190" s="9"/>
      <c r="K190" s="9"/>
      <c r="L190" s="9" t="s">
        <v>1097</v>
      </c>
      <c r="M190" s="9" t="s">
        <v>1098</v>
      </c>
      <c r="N190" s="9" t="s">
        <v>1099</v>
      </c>
      <c r="O190" s="9" t="s">
        <v>80</v>
      </c>
      <c r="P190" s="9" t="s">
        <v>81</v>
      </c>
      <c r="Q190" s="9" t="s">
        <v>1114</v>
      </c>
      <c r="R190" s="9" t="s">
        <v>149</v>
      </c>
      <c r="S190" s="11" t="s">
        <v>84</v>
      </c>
      <c r="T190" s="9" t="s">
        <v>1114</v>
      </c>
      <c r="U190" s="11" t="s">
        <v>150</v>
      </c>
      <c r="V190" s="11" t="s">
        <v>86</v>
      </c>
      <c r="W190" s="11" t="s">
        <v>1115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88</v>
      </c>
    </row>
    <row r="191" customFormat="false" ht="15" hidden="false" customHeight="false" outlineLevel="0" collapsed="false">
      <c r="A191" s="9" t="s">
        <v>1116</v>
      </c>
      <c r="B191" s="9" t="s">
        <v>1117</v>
      </c>
      <c r="C191" s="9" t="s">
        <v>1093</v>
      </c>
      <c r="D191" s="9" t="s">
        <v>1118</v>
      </c>
      <c r="E191" s="9"/>
      <c r="F191" s="10" t="n">
        <v>2</v>
      </c>
      <c r="G191" s="9"/>
      <c r="H191" s="9" t="s">
        <v>1104</v>
      </c>
      <c r="I191" s="9" t="s">
        <v>1119</v>
      </c>
      <c r="J191" s="9"/>
      <c r="K191" s="11" t="s">
        <v>144</v>
      </c>
      <c r="L191" s="9" t="s">
        <v>1120</v>
      </c>
      <c r="M191" s="9" t="s">
        <v>204</v>
      </c>
      <c r="N191" s="9" t="s">
        <v>205</v>
      </c>
      <c r="O191" s="9" t="s">
        <v>80</v>
      </c>
      <c r="P191" s="9" t="s">
        <v>81</v>
      </c>
      <c r="Q191" s="9" t="s">
        <v>206</v>
      </c>
      <c r="R191" s="9" t="s">
        <v>149</v>
      </c>
      <c r="S191" s="11" t="s">
        <v>84</v>
      </c>
      <c r="T191" s="9" t="s">
        <v>206</v>
      </c>
      <c r="U191" s="11" t="s">
        <v>150</v>
      </c>
      <c r="V191" s="11" t="s">
        <v>86</v>
      </c>
      <c r="W191" s="11" t="s">
        <v>1121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88</v>
      </c>
    </row>
    <row r="192" customFormat="false" ht="15" hidden="false" customHeight="false" outlineLevel="0" collapsed="false">
      <c r="A192" s="9" t="s">
        <v>1122</v>
      </c>
      <c r="B192" s="9" t="s">
        <v>1123</v>
      </c>
      <c r="C192" s="9" t="s">
        <v>1093</v>
      </c>
      <c r="D192" s="9" t="s">
        <v>1124</v>
      </c>
      <c r="E192" s="10" t="n">
        <v>3.5</v>
      </c>
      <c r="F192" s="9"/>
      <c r="G192" s="9"/>
      <c r="H192" s="9" t="s">
        <v>1104</v>
      </c>
      <c r="I192" s="9" t="s">
        <v>1119</v>
      </c>
      <c r="J192" s="9"/>
      <c r="K192" s="11" t="s">
        <v>144</v>
      </c>
      <c r="L192" s="9" t="s">
        <v>1125</v>
      </c>
      <c r="M192" s="9" t="s">
        <v>1126</v>
      </c>
      <c r="N192" s="9" t="s">
        <v>205</v>
      </c>
      <c r="O192" s="9" t="s">
        <v>80</v>
      </c>
      <c r="P192" s="9" t="s">
        <v>1127</v>
      </c>
      <c r="Q192" s="9"/>
      <c r="R192" s="9" t="s">
        <v>83</v>
      </c>
      <c r="S192" s="11" t="s">
        <v>1128</v>
      </c>
      <c r="T192" s="11" t="s">
        <v>1129</v>
      </c>
      <c r="U192" s="11" t="s">
        <v>1130</v>
      </c>
      <c r="V192" s="11" t="s">
        <v>86</v>
      </c>
      <c r="W192" s="11" t="s">
        <v>1131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88</v>
      </c>
    </row>
    <row r="193" customFormat="false" ht="15" hidden="false" customHeight="false" outlineLevel="0" collapsed="false">
      <c r="A193" s="9" t="s">
        <v>1132</v>
      </c>
      <c r="B193" s="9" t="s">
        <v>1133</v>
      </c>
      <c r="C193" s="9" t="s">
        <v>1093</v>
      </c>
      <c r="D193" s="9" t="s">
        <v>1134</v>
      </c>
      <c r="E193" s="10" t="n">
        <v>5</v>
      </c>
      <c r="F193" s="9"/>
      <c r="G193" s="9"/>
      <c r="H193" s="9" t="s">
        <v>1104</v>
      </c>
      <c r="I193" s="9" t="s">
        <v>1119</v>
      </c>
      <c r="J193" s="9"/>
      <c r="K193" s="11" t="s">
        <v>144</v>
      </c>
      <c r="L193" s="9" t="s">
        <v>1135</v>
      </c>
      <c r="M193" s="9" t="s">
        <v>1136</v>
      </c>
      <c r="N193" s="9" t="s">
        <v>929</v>
      </c>
      <c r="O193" s="9" t="s">
        <v>80</v>
      </c>
      <c r="P193" s="9" t="s">
        <v>81</v>
      </c>
      <c r="Q193" s="9" t="s">
        <v>206</v>
      </c>
      <c r="R193" s="9" t="s">
        <v>149</v>
      </c>
      <c r="S193" s="11" t="s">
        <v>84</v>
      </c>
      <c r="T193" s="9" t="s">
        <v>206</v>
      </c>
      <c r="U193" s="11" t="s">
        <v>150</v>
      </c>
      <c r="V193" s="11" t="s">
        <v>86</v>
      </c>
      <c r="W193" s="11" t="s">
        <v>1137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88</v>
      </c>
    </row>
    <row r="194" customFormat="false" ht="15" hidden="false" customHeight="false" outlineLevel="0" collapsed="false">
      <c r="A194" s="9" t="s">
        <v>1138</v>
      </c>
      <c r="B194" s="9" t="s">
        <v>1139</v>
      </c>
      <c r="C194" s="9" t="s">
        <v>1093</v>
      </c>
      <c r="D194" s="9" t="s">
        <v>1140</v>
      </c>
      <c r="E194" s="9"/>
      <c r="F194" s="9"/>
      <c r="G194" s="9"/>
      <c r="H194" s="11" t="s">
        <v>279</v>
      </c>
      <c r="I194" s="9" t="s">
        <v>1119</v>
      </c>
      <c r="J194" s="9"/>
      <c r="K194" s="9"/>
      <c r="L194" s="9" t="s">
        <v>1141</v>
      </c>
      <c r="M194" s="9" t="s">
        <v>1142</v>
      </c>
      <c r="N194" s="9" t="s">
        <v>631</v>
      </c>
      <c r="O194" s="9" t="s">
        <v>80</v>
      </c>
      <c r="P194" s="9" t="s">
        <v>1127</v>
      </c>
      <c r="Q194" s="9"/>
      <c r="R194" s="9" t="s">
        <v>83</v>
      </c>
      <c r="S194" s="11" t="s">
        <v>1128</v>
      </c>
      <c r="T194" s="11" t="s">
        <v>1129</v>
      </c>
      <c r="U194" s="11" t="s">
        <v>1130</v>
      </c>
      <c r="V194" s="11" t="s">
        <v>86</v>
      </c>
      <c r="W194" s="9" t="s">
        <v>1143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88</v>
      </c>
    </row>
    <row r="195" customFormat="false" ht="15" hidden="false" customHeight="false" outlineLevel="0" collapsed="false">
      <c r="A195" s="9" t="s">
        <v>1144</v>
      </c>
      <c r="B195" s="9" t="s">
        <v>1145</v>
      </c>
      <c r="C195" s="9" t="s">
        <v>1093</v>
      </c>
      <c r="D195" s="9" t="s">
        <v>1146</v>
      </c>
      <c r="E195" s="10" t="n">
        <v>2031</v>
      </c>
      <c r="F195" s="9"/>
      <c r="G195" s="9"/>
      <c r="H195" s="11" t="s">
        <v>1147</v>
      </c>
      <c r="I195" s="9" t="s">
        <v>1148</v>
      </c>
      <c r="J195" s="9"/>
      <c r="K195" s="9"/>
      <c r="L195" s="9" t="s">
        <v>1149</v>
      </c>
      <c r="M195" s="9" t="s">
        <v>1150</v>
      </c>
      <c r="N195" s="9" t="s">
        <v>631</v>
      </c>
      <c r="O195" s="9" t="s">
        <v>80</v>
      </c>
      <c r="P195" s="9" t="s">
        <v>1127</v>
      </c>
      <c r="Q195" s="9"/>
      <c r="R195" s="11" t="s">
        <v>101</v>
      </c>
      <c r="S195" s="11" t="s">
        <v>1128</v>
      </c>
      <c r="T195" s="11" t="s">
        <v>1129</v>
      </c>
      <c r="U195" s="11" t="s">
        <v>101</v>
      </c>
      <c r="V195" s="11" t="s">
        <v>86</v>
      </c>
      <c r="W195" s="9" t="s">
        <v>1151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88</v>
      </c>
    </row>
    <row r="196" customFormat="false" ht="15" hidden="false" customHeight="false" outlineLevel="0" collapsed="false">
      <c r="A196" s="9" t="s">
        <v>1152</v>
      </c>
      <c r="B196" s="9" t="s">
        <v>1153</v>
      </c>
      <c r="C196" s="9" t="s">
        <v>1093</v>
      </c>
      <c r="D196" s="9" t="s">
        <v>1154</v>
      </c>
      <c r="E196" s="10" t="n">
        <v>1</v>
      </c>
      <c r="F196" s="9"/>
      <c r="G196" s="9"/>
      <c r="H196" s="9" t="s">
        <v>1104</v>
      </c>
      <c r="I196" s="9" t="s">
        <v>304</v>
      </c>
      <c r="J196" s="9"/>
      <c r="K196" s="11" t="s">
        <v>144</v>
      </c>
      <c r="L196" s="9" t="s">
        <v>1155</v>
      </c>
      <c r="M196" s="9" t="s">
        <v>1150</v>
      </c>
      <c r="N196" s="9" t="s">
        <v>631</v>
      </c>
      <c r="O196" s="9" t="s">
        <v>80</v>
      </c>
      <c r="P196" s="9" t="s">
        <v>81</v>
      </c>
      <c r="Q196" s="9" t="s">
        <v>1156</v>
      </c>
      <c r="R196" s="11" t="s">
        <v>101</v>
      </c>
      <c r="S196" s="11" t="s">
        <v>84</v>
      </c>
      <c r="T196" s="9" t="s">
        <v>1156</v>
      </c>
      <c r="U196" s="11" t="s">
        <v>101</v>
      </c>
      <c r="V196" s="11" t="s">
        <v>86</v>
      </c>
      <c r="W196" s="11" t="s">
        <v>1157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88</v>
      </c>
    </row>
    <row r="197" customFormat="false" ht="15" hidden="false" customHeight="false" outlineLevel="0" collapsed="false">
      <c r="A197" s="9" t="s">
        <v>1158</v>
      </c>
      <c r="B197" s="9" t="s">
        <v>1159</v>
      </c>
      <c r="C197" s="9" t="s">
        <v>1093</v>
      </c>
      <c r="D197" s="9" t="s">
        <v>1160</v>
      </c>
      <c r="E197" s="9"/>
      <c r="F197" s="10" t="n">
        <v>21</v>
      </c>
      <c r="G197" s="10" t="n">
        <v>42</v>
      </c>
      <c r="H197" s="9" t="s">
        <v>1161</v>
      </c>
      <c r="I197" s="9" t="s">
        <v>1162</v>
      </c>
      <c r="J197" s="9"/>
      <c r="K197" s="11" t="s">
        <v>76</v>
      </c>
      <c r="L197" s="9" t="s">
        <v>1163</v>
      </c>
      <c r="M197" s="9" t="s">
        <v>1150</v>
      </c>
      <c r="N197" s="9" t="s">
        <v>631</v>
      </c>
      <c r="O197" s="9" t="s">
        <v>80</v>
      </c>
      <c r="P197" s="9" t="s">
        <v>297</v>
      </c>
      <c r="Q197" s="9"/>
      <c r="R197" s="9" t="s">
        <v>83</v>
      </c>
      <c r="S197" s="11" t="s">
        <v>298</v>
      </c>
      <c r="T197" s="11" t="s">
        <v>299</v>
      </c>
      <c r="U197" s="11" t="s">
        <v>85</v>
      </c>
      <c r="V197" s="11" t="s">
        <v>86</v>
      </c>
      <c r="W197" s="9" t="s">
        <v>1164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88</v>
      </c>
    </row>
    <row r="198" customFormat="false" ht="15" hidden="false" customHeight="false" outlineLevel="0" collapsed="false">
      <c r="A198" s="9" t="s">
        <v>1165</v>
      </c>
      <c r="B198" s="9" t="s">
        <v>1166</v>
      </c>
      <c r="C198" s="9" t="s">
        <v>1093</v>
      </c>
      <c r="D198" s="9" t="s">
        <v>1167</v>
      </c>
      <c r="E198" s="10" t="n">
        <v>200</v>
      </c>
      <c r="F198" s="9"/>
      <c r="G198" s="9"/>
      <c r="H198" s="9" t="s">
        <v>1168</v>
      </c>
      <c r="I198" s="11" t="s">
        <v>1169</v>
      </c>
      <c r="J198" s="9"/>
      <c r="K198" s="11" t="s">
        <v>76</v>
      </c>
      <c r="L198" s="9" t="s">
        <v>1170</v>
      </c>
      <c r="M198" s="9" t="s">
        <v>1171</v>
      </c>
      <c r="N198" s="9" t="s">
        <v>929</v>
      </c>
      <c r="O198" s="9" t="s">
        <v>80</v>
      </c>
      <c r="P198" s="9" t="s">
        <v>81</v>
      </c>
      <c r="Q198" s="9" t="s">
        <v>1172</v>
      </c>
      <c r="R198" s="9" t="s">
        <v>83</v>
      </c>
      <c r="S198" s="11" t="s">
        <v>84</v>
      </c>
      <c r="T198" s="9" t="s">
        <v>1172</v>
      </c>
      <c r="U198" s="11" t="s">
        <v>85</v>
      </c>
      <c r="V198" s="11" t="s">
        <v>86</v>
      </c>
      <c r="W198" s="11" t="s">
        <v>1173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88</v>
      </c>
    </row>
    <row r="199" customFormat="false" ht="15" hidden="false" customHeight="false" outlineLevel="0" collapsed="false">
      <c r="A199" s="9" t="s">
        <v>1174</v>
      </c>
      <c r="B199" s="9" t="s">
        <v>1175</v>
      </c>
      <c r="C199" s="9" t="s">
        <v>1093</v>
      </c>
      <c r="D199" s="9" t="s">
        <v>1176</v>
      </c>
      <c r="E199" s="10" t="n">
        <v>10</v>
      </c>
      <c r="F199" s="9"/>
      <c r="G199" s="9"/>
      <c r="H199" s="9" t="s">
        <v>1177</v>
      </c>
      <c r="I199" s="9" t="s">
        <v>1178</v>
      </c>
      <c r="J199" s="9"/>
      <c r="K199" s="11" t="s">
        <v>76</v>
      </c>
      <c r="L199" s="9" t="s">
        <v>1179</v>
      </c>
      <c r="M199" s="9" t="s">
        <v>1180</v>
      </c>
      <c r="N199" s="9" t="s">
        <v>1181</v>
      </c>
      <c r="O199" s="9" t="s">
        <v>80</v>
      </c>
      <c r="P199" s="9" t="s">
        <v>81</v>
      </c>
      <c r="Q199" s="9" t="s">
        <v>1182</v>
      </c>
      <c r="R199" s="9" t="s">
        <v>83</v>
      </c>
      <c r="S199" s="11" t="s">
        <v>84</v>
      </c>
      <c r="T199" s="9" t="s">
        <v>1182</v>
      </c>
      <c r="U199" s="11" t="s">
        <v>85</v>
      </c>
      <c r="V199" s="11" t="s">
        <v>86</v>
      </c>
      <c r="W199" s="9" t="s">
        <v>1183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88</v>
      </c>
    </row>
    <row r="200" customFormat="false" ht="15" hidden="false" customHeight="false" outlineLevel="0" collapsed="false">
      <c r="A200" s="9" t="s">
        <v>1184</v>
      </c>
      <c r="B200" s="9" t="s">
        <v>1185</v>
      </c>
      <c r="C200" s="9" t="s">
        <v>1093</v>
      </c>
      <c r="D200" s="9" t="s">
        <v>1186</v>
      </c>
      <c r="E200" s="10" t="n">
        <v>11</v>
      </c>
      <c r="F200" s="9"/>
      <c r="G200" s="9"/>
      <c r="H200" s="9" t="s">
        <v>1177</v>
      </c>
      <c r="I200" s="9" t="s">
        <v>1187</v>
      </c>
      <c r="J200" s="9"/>
      <c r="K200" s="11" t="s">
        <v>76</v>
      </c>
      <c r="L200" s="9" t="s">
        <v>1188</v>
      </c>
      <c r="M200" s="9" t="s">
        <v>1180</v>
      </c>
      <c r="N200" s="9" t="s">
        <v>1181</v>
      </c>
      <c r="O200" s="9" t="s">
        <v>80</v>
      </c>
      <c r="P200" s="9" t="s">
        <v>81</v>
      </c>
      <c r="Q200" s="9" t="s">
        <v>1182</v>
      </c>
      <c r="R200" s="9" t="s">
        <v>83</v>
      </c>
      <c r="S200" s="11" t="s">
        <v>84</v>
      </c>
      <c r="T200" s="9" t="s">
        <v>1182</v>
      </c>
      <c r="U200" s="11" t="s">
        <v>85</v>
      </c>
      <c r="V200" s="11" t="s">
        <v>86</v>
      </c>
      <c r="W200" s="11" t="s">
        <v>1189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88</v>
      </c>
    </row>
    <row r="201" customFormat="false" ht="15" hidden="false" customHeight="false" outlineLevel="0" collapsed="false">
      <c r="A201" s="9" t="s">
        <v>1190</v>
      </c>
      <c r="B201" s="9" t="s">
        <v>1191</v>
      </c>
      <c r="C201" s="9" t="s">
        <v>1093</v>
      </c>
      <c r="D201" s="9" t="s">
        <v>1192</v>
      </c>
      <c r="E201" s="10" t="n">
        <v>500000</v>
      </c>
      <c r="F201" s="9"/>
      <c r="G201" s="9"/>
      <c r="H201" s="11" t="s">
        <v>1193</v>
      </c>
      <c r="I201" s="9" t="s">
        <v>194</v>
      </c>
      <c r="J201" s="9"/>
      <c r="K201" s="9"/>
      <c r="L201" s="9" t="s">
        <v>1194</v>
      </c>
      <c r="M201" s="9" t="s">
        <v>1195</v>
      </c>
      <c r="N201" s="9" t="s">
        <v>1196</v>
      </c>
      <c r="O201" s="9" t="s">
        <v>80</v>
      </c>
      <c r="P201" s="9" t="s">
        <v>81</v>
      </c>
      <c r="Q201" s="9" t="s">
        <v>1197</v>
      </c>
      <c r="R201" s="9" t="s">
        <v>83</v>
      </c>
      <c r="S201" s="11" t="s">
        <v>84</v>
      </c>
      <c r="T201" s="9" t="s">
        <v>1197</v>
      </c>
      <c r="U201" s="11" t="s">
        <v>1130</v>
      </c>
      <c r="V201" s="11" t="s">
        <v>86</v>
      </c>
      <c r="W201" s="11" t="s">
        <v>1198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88</v>
      </c>
    </row>
    <row r="202" customFormat="false" ht="15" hidden="false" customHeight="false" outlineLevel="0" collapsed="false">
      <c r="A202" s="9" t="s">
        <v>1199</v>
      </c>
      <c r="B202" s="9" t="s">
        <v>1200</v>
      </c>
      <c r="C202" s="9" t="s">
        <v>1093</v>
      </c>
      <c r="D202" s="9" t="s">
        <v>1201</v>
      </c>
      <c r="E202" s="9"/>
      <c r="F202" s="10" t="n">
        <v>1000000</v>
      </c>
      <c r="G202" s="9"/>
      <c r="H202" s="11" t="s">
        <v>1202</v>
      </c>
      <c r="I202" s="9" t="s">
        <v>202</v>
      </c>
      <c r="J202" s="9"/>
      <c r="K202" s="9"/>
      <c r="L202" s="9" t="s">
        <v>1203</v>
      </c>
      <c r="M202" s="9" t="s">
        <v>1195</v>
      </c>
      <c r="N202" s="9" t="s">
        <v>1196</v>
      </c>
      <c r="O202" s="9" t="s">
        <v>80</v>
      </c>
      <c r="P202" s="9" t="s">
        <v>81</v>
      </c>
      <c r="Q202" s="9" t="s">
        <v>1197</v>
      </c>
      <c r="R202" s="11" t="s">
        <v>101</v>
      </c>
      <c r="S202" s="11" t="s">
        <v>84</v>
      </c>
      <c r="T202" s="9" t="s">
        <v>1197</v>
      </c>
      <c r="U202" s="11" t="s">
        <v>101</v>
      </c>
      <c r="V202" s="11" t="s">
        <v>86</v>
      </c>
      <c r="W202" s="11" t="s">
        <v>1204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88</v>
      </c>
    </row>
    <row r="203" customFormat="false" ht="15" hidden="false" customHeight="false" outlineLevel="0" collapsed="false">
      <c r="A203" s="9" t="s">
        <v>1205</v>
      </c>
      <c r="B203" s="9" t="s">
        <v>1206</v>
      </c>
      <c r="C203" s="9" t="s">
        <v>1093</v>
      </c>
      <c r="D203" s="9" t="s">
        <v>1207</v>
      </c>
      <c r="E203" s="10" t="n">
        <v>2.2</v>
      </c>
      <c r="F203" s="9"/>
      <c r="G203" s="9"/>
      <c r="H203" s="9" t="s">
        <v>1104</v>
      </c>
      <c r="I203" s="11" t="s">
        <v>1208</v>
      </c>
      <c r="J203" s="9"/>
      <c r="K203" s="11" t="s">
        <v>1209</v>
      </c>
      <c r="L203" s="9" t="s">
        <v>1203</v>
      </c>
      <c r="M203" s="9" t="s">
        <v>1195</v>
      </c>
      <c r="N203" s="9" t="s">
        <v>1196</v>
      </c>
      <c r="O203" s="9" t="s">
        <v>80</v>
      </c>
      <c r="P203" s="9" t="s">
        <v>81</v>
      </c>
      <c r="Q203" s="9" t="s">
        <v>1197</v>
      </c>
      <c r="R203" s="11" t="s">
        <v>101</v>
      </c>
      <c r="S203" s="11" t="s">
        <v>84</v>
      </c>
      <c r="T203" s="9" t="s">
        <v>1197</v>
      </c>
      <c r="U203" s="11" t="s">
        <v>101</v>
      </c>
      <c r="V203" s="11" t="s">
        <v>86</v>
      </c>
      <c r="W203" s="11" t="s">
        <v>1210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88</v>
      </c>
    </row>
    <row r="204" customFormat="false" ht="15" hidden="false" customHeight="false" outlineLevel="0" collapsed="false">
      <c r="A204" s="9" t="s">
        <v>1211</v>
      </c>
      <c r="B204" s="9" t="s">
        <v>1212</v>
      </c>
      <c r="C204" s="9" t="s">
        <v>1093</v>
      </c>
      <c r="D204" s="9" t="s">
        <v>1213</v>
      </c>
      <c r="E204" s="10" t="n">
        <v>11</v>
      </c>
      <c r="F204" s="9"/>
      <c r="G204" s="9"/>
      <c r="H204" s="9" t="s">
        <v>480</v>
      </c>
      <c r="I204" s="9" t="s">
        <v>1214</v>
      </c>
      <c r="J204" s="9"/>
      <c r="K204" s="11" t="s">
        <v>76</v>
      </c>
      <c r="L204" s="9" t="s">
        <v>1203</v>
      </c>
      <c r="M204" s="9" t="s">
        <v>1195</v>
      </c>
      <c r="N204" s="9" t="s">
        <v>1196</v>
      </c>
      <c r="O204" s="9" t="s">
        <v>80</v>
      </c>
      <c r="P204" s="9" t="s">
        <v>81</v>
      </c>
      <c r="Q204" s="9" t="s">
        <v>1197</v>
      </c>
      <c r="R204" s="11" t="s">
        <v>101</v>
      </c>
      <c r="S204" s="11" t="s">
        <v>84</v>
      </c>
      <c r="T204" s="9" t="s">
        <v>1197</v>
      </c>
      <c r="U204" s="11" t="s">
        <v>101</v>
      </c>
      <c r="V204" s="11" t="s">
        <v>86</v>
      </c>
      <c r="W204" s="11" t="s">
        <v>1215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88</v>
      </c>
    </row>
    <row r="205" customFormat="false" ht="15" hidden="false" customHeight="false" outlineLevel="0" collapsed="false">
      <c r="A205" s="9" t="s">
        <v>1216</v>
      </c>
      <c r="B205" s="9" t="s">
        <v>1217</v>
      </c>
      <c r="C205" s="9" t="s">
        <v>1093</v>
      </c>
      <c r="D205" s="9" t="s">
        <v>1218</v>
      </c>
      <c r="E205" s="10" t="n">
        <v>910</v>
      </c>
      <c r="F205" s="9"/>
      <c r="G205" s="10" t="n">
        <v>1037</v>
      </c>
      <c r="H205" s="9" t="s">
        <v>1219</v>
      </c>
      <c r="I205" s="9" t="s">
        <v>875</v>
      </c>
      <c r="J205" s="9"/>
      <c r="K205" s="9" t="s">
        <v>1220</v>
      </c>
      <c r="L205" s="9" t="s">
        <v>1221</v>
      </c>
      <c r="M205" s="9" t="s">
        <v>1222</v>
      </c>
      <c r="N205" s="9" t="s">
        <v>878</v>
      </c>
      <c r="O205" s="9" t="s">
        <v>80</v>
      </c>
      <c r="P205" s="9" t="s">
        <v>297</v>
      </c>
      <c r="Q205" s="9"/>
      <c r="R205" s="9" t="s">
        <v>83</v>
      </c>
      <c r="S205" s="11" t="s">
        <v>298</v>
      </c>
      <c r="T205" s="11" t="s">
        <v>299</v>
      </c>
      <c r="U205" s="11" t="s">
        <v>85</v>
      </c>
      <c r="V205" s="11" t="s">
        <v>86</v>
      </c>
      <c r="W205" s="11" t="s">
        <v>1223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88</v>
      </c>
    </row>
    <row r="206" customFormat="false" ht="15" hidden="false" customHeight="false" outlineLevel="0" collapsed="false">
      <c r="A206" s="9" t="s">
        <v>1224</v>
      </c>
      <c r="B206" s="9" t="s">
        <v>1225</v>
      </c>
      <c r="C206" s="9" t="s">
        <v>1093</v>
      </c>
      <c r="D206" s="9" t="s">
        <v>1226</v>
      </c>
      <c r="E206" s="10" t="n">
        <v>1925</v>
      </c>
      <c r="F206" s="9"/>
      <c r="G206" s="9"/>
      <c r="H206" s="9" t="s">
        <v>1219</v>
      </c>
      <c r="I206" s="9" t="s">
        <v>1227</v>
      </c>
      <c r="J206" s="9"/>
      <c r="K206" s="9" t="s">
        <v>1220</v>
      </c>
      <c r="L206" s="9" t="s">
        <v>1228</v>
      </c>
      <c r="M206" s="9" t="s">
        <v>1222</v>
      </c>
      <c r="N206" s="9" t="s">
        <v>878</v>
      </c>
      <c r="O206" s="9" t="s">
        <v>80</v>
      </c>
      <c r="P206" s="9" t="s">
        <v>297</v>
      </c>
      <c r="Q206" s="9"/>
      <c r="R206" s="9" t="s">
        <v>83</v>
      </c>
      <c r="S206" s="11" t="s">
        <v>298</v>
      </c>
      <c r="T206" s="11" t="s">
        <v>299</v>
      </c>
      <c r="U206" s="11" t="s">
        <v>85</v>
      </c>
      <c r="V206" s="11" t="s">
        <v>86</v>
      </c>
      <c r="W206" s="9" t="s">
        <v>1229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88</v>
      </c>
    </row>
    <row r="207" customFormat="false" ht="15" hidden="false" customHeight="false" outlineLevel="0" collapsed="false">
      <c r="A207" s="9" t="s">
        <v>1230</v>
      </c>
      <c r="B207" s="9" t="s">
        <v>1231</v>
      </c>
      <c r="C207" s="9" t="s">
        <v>1093</v>
      </c>
      <c r="D207" s="9" t="s">
        <v>1232</v>
      </c>
      <c r="E207" s="9"/>
      <c r="F207" s="9"/>
      <c r="G207" s="10" t="n">
        <v>5</v>
      </c>
      <c r="H207" s="9" t="s">
        <v>1104</v>
      </c>
      <c r="I207" s="9" t="s">
        <v>1233</v>
      </c>
      <c r="J207" s="9"/>
      <c r="K207" s="11" t="s">
        <v>144</v>
      </c>
      <c r="L207" s="9" t="s">
        <v>1234</v>
      </c>
      <c r="M207" s="9" t="s">
        <v>987</v>
      </c>
      <c r="N207" s="9" t="s">
        <v>988</v>
      </c>
      <c r="O207" s="9" t="s">
        <v>80</v>
      </c>
      <c r="P207" s="9" t="s">
        <v>81</v>
      </c>
      <c r="Q207" s="9" t="s">
        <v>206</v>
      </c>
      <c r="R207" s="9" t="s">
        <v>149</v>
      </c>
      <c r="S207" s="11" t="s">
        <v>84</v>
      </c>
      <c r="T207" s="9" t="s">
        <v>206</v>
      </c>
      <c r="U207" s="11" t="s">
        <v>150</v>
      </c>
      <c r="V207" s="11" t="s">
        <v>86</v>
      </c>
      <c r="W207" s="11" t="s">
        <v>1235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88</v>
      </c>
    </row>
    <row r="208" customFormat="false" ht="15" hidden="false" customHeight="false" outlineLevel="0" collapsed="false">
      <c r="A208" s="9" t="s">
        <v>1236</v>
      </c>
      <c r="B208" s="9" t="s">
        <v>1237</v>
      </c>
      <c r="C208" s="9" t="s">
        <v>1093</v>
      </c>
      <c r="D208" s="9" t="s">
        <v>1238</v>
      </c>
      <c r="E208" s="9"/>
      <c r="F208" s="10" t="n">
        <v>100</v>
      </c>
      <c r="G208" s="9"/>
      <c r="H208" s="9" t="s">
        <v>1239</v>
      </c>
      <c r="I208" s="9" t="s">
        <v>1233</v>
      </c>
      <c r="J208" s="9"/>
      <c r="K208" s="11" t="s">
        <v>76</v>
      </c>
      <c r="L208" s="9" t="s">
        <v>1234</v>
      </c>
      <c r="M208" s="9" t="s">
        <v>987</v>
      </c>
      <c r="N208" s="9" t="s">
        <v>988</v>
      </c>
      <c r="O208" s="9" t="s">
        <v>80</v>
      </c>
      <c r="P208" s="9" t="s">
        <v>81</v>
      </c>
      <c r="Q208" s="9" t="s">
        <v>206</v>
      </c>
      <c r="R208" s="9" t="s">
        <v>149</v>
      </c>
      <c r="S208" s="11" t="s">
        <v>84</v>
      </c>
      <c r="T208" s="9" t="s">
        <v>206</v>
      </c>
      <c r="U208" s="11" t="s">
        <v>150</v>
      </c>
      <c r="V208" s="11" t="s">
        <v>86</v>
      </c>
      <c r="W208" s="11" t="s">
        <v>1240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88</v>
      </c>
    </row>
    <row r="209" customFormat="false" ht="15" hidden="false" customHeight="false" outlineLevel="0" collapsed="false">
      <c r="A209" s="9" t="s">
        <v>1241</v>
      </c>
      <c r="B209" s="9" t="s">
        <v>1242</v>
      </c>
      <c r="C209" s="9" t="s">
        <v>1093</v>
      </c>
      <c r="D209" s="9" t="s">
        <v>1243</v>
      </c>
      <c r="E209" s="10" t="n">
        <v>1</v>
      </c>
      <c r="F209" s="9"/>
      <c r="G209" s="9"/>
      <c r="H209" s="9" t="s">
        <v>1244</v>
      </c>
      <c r="I209" s="9" t="s">
        <v>1245</v>
      </c>
      <c r="J209" s="9"/>
      <c r="K209" s="11" t="s">
        <v>144</v>
      </c>
      <c r="L209" s="9" t="s">
        <v>1234</v>
      </c>
      <c r="M209" s="9" t="s">
        <v>987</v>
      </c>
      <c r="N209" s="9" t="s">
        <v>988</v>
      </c>
      <c r="O209" s="9" t="s">
        <v>80</v>
      </c>
      <c r="P209" s="9" t="s">
        <v>81</v>
      </c>
      <c r="Q209" s="9" t="s">
        <v>206</v>
      </c>
      <c r="R209" s="9" t="s">
        <v>149</v>
      </c>
      <c r="S209" s="11" t="s">
        <v>84</v>
      </c>
      <c r="T209" s="9" t="s">
        <v>206</v>
      </c>
      <c r="U209" s="11" t="s">
        <v>150</v>
      </c>
      <c r="V209" s="11" t="s">
        <v>86</v>
      </c>
      <c r="W209" s="11" t="s">
        <v>1246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88</v>
      </c>
    </row>
    <row r="210" customFormat="false" ht="15" hidden="false" customHeight="false" outlineLevel="0" collapsed="false">
      <c r="A210" s="9" t="s">
        <v>1247</v>
      </c>
      <c r="B210" s="9" t="s">
        <v>1248</v>
      </c>
      <c r="C210" s="9" t="s">
        <v>1093</v>
      </c>
      <c r="D210" s="11" t="s">
        <v>1249</v>
      </c>
      <c r="E210" s="9"/>
      <c r="F210" s="10" t="n">
        <v>1000000</v>
      </c>
      <c r="G210" s="9"/>
      <c r="H210" s="11" t="s">
        <v>1202</v>
      </c>
      <c r="I210" s="9" t="s">
        <v>227</v>
      </c>
      <c r="J210" s="9"/>
      <c r="K210" s="9"/>
      <c r="L210" s="9" t="s">
        <v>1234</v>
      </c>
      <c r="M210" s="9" t="s">
        <v>987</v>
      </c>
      <c r="N210" s="9" t="s">
        <v>988</v>
      </c>
      <c r="O210" s="9" t="s">
        <v>80</v>
      </c>
      <c r="P210" s="9" t="s">
        <v>81</v>
      </c>
      <c r="Q210" s="9" t="s">
        <v>1114</v>
      </c>
      <c r="R210" s="9" t="s">
        <v>149</v>
      </c>
      <c r="S210" s="11" t="s">
        <v>84</v>
      </c>
      <c r="T210" s="9" t="s">
        <v>1114</v>
      </c>
      <c r="U210" s="11" t="s">
        <v>150</v>
      </c>
      <c r="V210" s="11" t="s">
        <v>86</v>
      </c>
      <c r="W210" s="11" t="s">
        <v>1250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88</v>
      </c>
    </row>
    <row r="211" customFormat="false" ht="15" hidden="false" customHeight="false" outlineLevel="0" collapsed="false">
      <c r="A211" s="9" t="s">
        <v>1251</v>
      </c>
      <c r="B211" s="9" t="s">
        <v>1252</v>
      </c>
      <c r="C211" s="9" t="s">
        <v>1093</v>
      </c>
      <c r="D211" s="11" t="s">
        <v>1253</v>
      </c>
      <c r="E211" s="9"/>
      <c r="F211" s="9"/>
      <c r="G211" s="9"/>
      <c r="H211" s="11" t="s">
        <v>279</v>
      </c>
      <c r="I211" s="9" t="s">
        <v>227</v>
      </c>
      <c r="J211" s="9"/>
      <c r="K211" s="9"/>
      <c r="L211" s="9" t="s">
        <v>1120</v>
      </c>
      <c r="M211" s="9" t="s">
        <v>204</v>
      </c>
      <c r="N211" s="9" t="s">
        <v>205</v>
      </c>
      <c r="O211" s="9" t="s">
        <v>80</v>
      </c>
      <c r="P211" s="9" t="s">
        <v>81</v>
      </c>
      <c r="Q211" s="9" t="s">
        <v>1114</v>
      </c>
      <c r="R211" s="9" t="s">
        <v>149</v>
      </c>
      <c r="S211" s="11" t="s">
        <v>84</v>
      </c>
      <c r="T211" s="9" t="s">
        <v>1114</v>
      </c>
      <c r="U211" s="11" t="s">
        <v>150</v>
      </c>
      <c r="V211" s="11" t="s">
        <v>86</v>
      </c>
      <c r="W211" s="11" t="s">
        <v>1254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88</v>
      </c>
    </row>
    <row r="212" customFormat="false" ht="15" hidden="false" customHeight="false" outlineLevel="0" collapsed="false">
      <c r="A212" s="9" t="s">
        <v>1255</v>
      </c>
      <c r="B212" s="9" t="s">
        <v>1256</v>
      </c>
      <c r="C212" s="9" t="s">
        <v>1093</v>
      </c>
      <c r="D212" s="9" t="s">
        <v>1257</v>
      </c>
      <c r="E212" s="10" t="n">
        <v>5</v>
      </c>
      <c r="F212" s="9"/>
      <c r="G212" s="9"/>
      <c r="H212" s="9" t="s">
        <v>1104</v>
      </c>
      <c r="I212" s="11" t="s">
        <v>1258</v>
      </c>
      <c r="J212" s="9"/>
      <c r="K212" s="11" t="s">
        <v>144</v>
      </c>
      <c r="L212" s="9" t="s">
        <v>1259</v>
      </c>
      <c r="M212" s="9" t="s">
        <v>1260</v>
      </c>
      <c r="N212" s="9" t="s">
        <v>1261</v>
      </c>
      <c r="O212" s="9" t="s">
        <v>80</v>
      </c>
      <c r="P212" s="9" t="s">
        <v>81</v>
      </c>
      <c r="Q212" s="9" t="s">
        <v>1262</v>
      </c>
      <c r="R212" s="9" t="s">
        <v>83</v>
      </c>
      <c r="S212" s="11" t="s">
        <v>84</v>
      </c>
      <c r="T212" s="9" t="s">
        <v>1262</v>
      </c>
      <c r="U212" s="11" t="s">
        <v>85</v>
      </c>
      <c r="V212" s="11" t="s">
        <v>86</v>
      </c>
      <c r="W212" s="11" t="s">
        <v>1263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88</v>
      </c>
    </row>
    <row r="213" customFormat="false" ht="15" hidden="false" customHeight="false" outlineLevel="0" collapsed="false">
      <c r="A213" s="9" t="s">
        <v>1264</v>
      </c>
      <c r="B213" s="9" t="s">
        <v>1265</v>
      </c>
      <c r="C213" s="9" t="s">
        <v>1093</v>
      </c>
      <c r="D213" s="9" t="s">
        <v>1266</v>
      </c>
      <c r="E213" s="10" t="n">
        <v>30</v>
      </c>
      <c r="F213" s="9"/>
      <c r="G213" s="9"/>
      <c r="H213" s="9" t="s">
        <v>1267</v>
      </c>
      <c r="I213" s="9" t="s">
        <v>1268</v>
      </c>
      <c r="J213" s="9"/>
      <c r="K213" s="11" t="s">
        <v>76</v>
      </c>
      <c r="L213" s="9" t="s">
        <v>1269</v>
      </c>
      <c r="M213" s="9" t="s">
        <v>1270</v>
      </c>
      <c r="N213" s="9" t="s">
        <v>1271</v>
      </c>
      <c r="O213" s="9" t="s">
        <v>80</v>
      </c>
      <c r="P213" s="9" t="s">
        <v>81</v>
      </c>
      <c r="Q213" s="9" t="s">
        <v>1272</v>
      </c>
      <c r="R213" s="9" t="s">
        <v>149</v>
      </c>
      <c r="S213" s="11" t="s">
        <v>84</v>
      </c>
      <c r="T213" s="9" t="s">
        <v>1272</v>
      </c>
      <c r="U213" s="11" t="s">
        <v>150</v>
      </c>
      <c r="V213" s="11" t="s">
        <v>86</v>
      </c>
      <c r="W213" s="11" t="s">
        <v>1273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88</v>
      </c>
    </row>
    <row r="214" customFormat="false" ht="15" hidden="false" customHeight="false" outlineLevel="0" collapsed="false">
      <c r="A214" s="9" t="s">
        <v>1274</v>
      </c>
      <c r="B214" s="9" t="s">
        <v>1275</v>
      </c>
      <c r="C214" s="9" t="s">
        <v>1093</v>
      </c>
      <c r="D214" s="9" t="s">
        <v>1276</v>
      </c>
      <c r="E214" s="9"/>
      <c r="F214" s="9"/>
      <c r="G214" s="10" t="n">
        <v>1</v>
      </c>
      <c r="H214" s="9" t="s">
        <v>1104</v>
      </c>
      <c r="I214" s="9" t="s">
        <v>1277</v>
      </c>
      <c r="J214" s="9"/>
      <c r="K214" s="11" t="s">
        <v>144</v>
      </c>
      <c r="L214" s="9" t="s">
        <v>1269</v>
      </c>
      <c r="M214" s="9" t="s">
        <v>1270</v>
      </c>
      <c r="N214" s="9" t="s">
        <v>1271</v>
      </c>
      <c r="O214" s="9" t="s">
        <v>80</v>
      </c>
      <c r="P214" s="9" t="s">
        <v>81</v>
      </c>
      <c r="Q214" s="9" t="s">
        <v>1278</v>
      </c>
      <c r="R214" s="9" t="s">
        <v>149</v>
      </c>
      <c r="S214" s="11" t="s">
        <v>84</v>
      </c>
      <c r="T214" s="9" t="s">
        <v>1278</v>
      </c>
      <c r="U214" s="11" t="s">
        <v>150</v>
      </c>
      <c r="V214" s="11" t="s">
        <v>86</v>
      </c>
      <c r="W214" s="11" t="s">
        <v>1279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88</v>
      </c>
    </row>
    <row r="215" customFormat="false" ht="15" hidden="false" customHeight="false" outlineLevel="0" collapsed="false">
      <c r="A215" s="9" t="s">
        <v>1280</v>
      </c>
      <c r="B215" s="9" t="s">
        <v>1281</v>
      </c>
      <c r="C215" s="9" t="s">
        <v>1093</v>
      </c>
      <c r="D215" s="9" t="s">
        <v>1282</v>
      </c>
      <c r="E215" s="10" t="n">
        <v>31.4</v>
      </c>
      <c r="F215" s="9"/>
      <c r="G215" s="9"/>
      <c r="H215" s="9" t="s">
        <v>1267</v>
      </c>
      <c r="I215" s="9" t="s">
        <v>1283</v>
      </c>
      <c r="J215" s="9"/>
      <c r="K215" s="11" t="s">
        <v>76</v>
      </c>
      <c r="L215" s="9" t="s">
        <v>1284</v>
      </c>
      <c r="M215" s="9" t="s">
        <v>1285</v>
      </c>
      <c r="N215" s="9" t="s">
        <v>79</v>
      </c>
      <c r="O215" s="9" t="s">
        <v>80</v>
      </c>
      <c r="P215" s="9" t="s">
        <v>81</v>
      </c>
      <c r="Q215" s="9" t="s">
        <v>1286</v>
      </c>
      <c r="R215" s="9" t="s">
        <v>83</v>
      </c>
      <c r="S215" s="11" t="s">
        <v>84</v>
      </c>
      <c r="T215" s="9" t="s">
        <v>1286</v>
      </c>
      <c r="U215" s="11" t="s">
        <v>1287</v>
      </c>
      <c r="V215" s="11" t="s">
        <v>86</v>
      </c>
      <c r="W215" s="11" t="s">
        <v>1288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88</v>
      </c>
    </row>
    <row r="216" customFormat="false" ht="15" hidden="false" customHeight="false" outlineLevel="0" collapsed="false">
      <c r="A216" s="9" t="s">
        <v>1289</v>
      </c>
      <c r="B216" s="9" t="s">
        <v>1290</v>
      </c>
      <c r="C216" s="9" t="s">
        <v>1093</v>
      </c>
      <c r="D216" s="11" t="s">
        <v>1291</v>
      </c>
      <c r="E216" s="10" t="n">
        <v>50</v>
      </c>
      <c r="F216" s="9"/>
      <c r="G216" s="9"/>
      <c r="H216" s="9" t="s">
        <v>1267</v>
      </c>
      <c r="I216" s="9" t="s">
        <v>1292</v>
      </c>
      <c r="J216" s="9"/>
      <c r="K216" s="11" t="s">
        <v>76</v>
      </c>
      <c r="L216" s="9" t="s">
        <v>1293</v>
      </c>
      <c r="M216" s="9" t="s">
        <v>1294</v>
      </c>
      <c r="N216" s="9" t="s">
        <v>1295</v>
      </c>
      <c r="O216" s="9" t="s">
        <v>80</v>
      </c>
      <c r="P216" s="9" t="s">
        <v>81</v>
      </c>
      <c r="Q216" s="9" t="s">
        <v>1296</v>
      </c>
      <c r="R216" s="9" t="s">
        <v>149</v>
      </c>
      <c r="S216" s="11" t="s">
        <v>84</v>
      </c>
      <c r="T216" s="9" t="s">
        <v>1296</v>
      </c>
      <c r="U216" s="11" t="s">
        <v>150</v>
      </c>
      <c r="V216" s="11" t="s">
        <v>86</v>
      </c>
      <c r="W216" s="11" t="s">
        <v>1297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88</v>
      </c>
    </row>
    <row r="217" customFormat="false" ht="15" hidden="false" customHeight="false" outlineLevel="0" collapsed="false">
      <c r="A217" s="9" t="s">
        <v>1298</v>
      </c>
      <c r="B217" s="9" t="s">
        <v>1299</v>
      </c>
      <c r="C217" s="9" t="s">
        <v>1093</v>
      </c>
      <c r="D217" s="9" t="s">
        <v>1300</v>
      </c>
      <c r="E217" s="9"/>
      <c r="F217" s="10" t="n">
        <v>168</v>
      </c>
      <c r="G217" s="10" t="n">
        <v>360</v>
      </c>
      <c r="H217" s="9" t="s">
        <v>1301</v>
      </c>
      <c r="I217" s="9" t="s">
        <v>304</v>
      </c>
      <c r="J217" s="9"/>
      <c r="K217" s="11" t="s">
        <v>144</v>
      </c>
      <c r="L217" s="9" t="s">
        <v>1302</v>
      </c>
      <c r="M217" s="9" t="s">
        <v>1303</v>
      </c>
      <c r="N217" s="9" t="s">
        <v>1295</v>
      </c>
      <c r="O217" s="9" t="s">
        <v>80</v>
      </c>
      <c r="P217" s="9" t="s">
        <v>297</v>
      </c>
      <c r="Q217" s="9"/>
      <c r="R217" s="9" t="s">
        <v>83</v>
      </c>
      <c r="S217" s="11" t="s">
        <v>298</v>
      </c>
      <c r="T217" s="11" t="s">
        <v>299</v>
      </c>
      <c r="U217" s="11" t="s">
        <v>85</v>
      </c>
      <c r="V217" s="11" t="s">
        <v>86</v>
      </c>
      <c r="W217" s="9" t="s">
        <v>1304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88</v>
      </c>
    </row>
    <row r="218" customFormat="false" ht="15" hidden="false" customHeight="false" outlineLevel="0" collapsed="false">
      <c r="A218" s="9" t="s">
        <v>1305</v>
      </c>
      <c r="B218" s="9" t="s">
        <v>1306</v>
      </c>
      <c r="C218" s="9" t="s">
        <v>1093</v>
      </c>
      <c r="D218" s="9" t="s">
        <v>1307</v>
      </c>
      <c r="E218" s="10" t="n">
        <v>245</v>
      </c>
      <c r="F218" s="9"/>
      <c r="G218" s="9"/>
      <c r="H218" s="9" t="s">
        <v>1219</v>
      </c>
      <c r="I218" s="9" t="s">
        <v>1308</v>
      </c>
      <c r="J218" s="9"/>
      <c r="K218" s="11" t="s">
        <v>144</v>
      </c>
      <c r="L218" s="9" t="s">
        <v>1309</v>
      </c>
      <c r="M218" s="9" t="s">
        <v>1310</v>
      </c>
      <c r="N218" s="9" t="s">
        <v>1311</v>
      </c>
      <c r="O218" s="9" t="s">
        <v>80</v>
      </c>
      <c r="P218" s="9" t="s">
        <v>81</v>
      </c>
      <c r="Q218" s="9" t="s">
        <v>1312</v>
      </c>
      <c r="R218" s="9" t="s">
        <v>83</v>
      </c>
      <c r="S218" s="11" t="s">
        <v>84</v>
      </c>
      <c r="T218" s="9" t="s">
        <v>1312</v>
      </c>
      <c r="U218" s="11" t="s">
        <v>85</v>
      </c>
      <c r="V218" s="11" t="s">
        <v>86</v>
      </c>
      <c r="W218" s="11" t="s">
        <v>1313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88</v>
      </c>
    </row>
    <row r="219" customFormat="false" ht="15" hidden="false" customHeight="false" outlineLevel="0" collapsed="false">
      <c r="A219" s="9" t="s">
        <v>1314</v>
      </c>
      <c r="B219" s="9" t="s">
        <v>1315</v>
      </c>
      <c r="C219" s="9" t="s">
        <v>1093</v>
      </c>
      <c r="D219" s="9" t="s">
        <v>1316</v>
      </c>
      <c r="E219" s="10" t="n">
        <v>7</v>
      </c>
      <c r="F219" s="9"/>
      <c r="G219" s="10" t="n">
        <v>17.7</v>
      </c>
      <c r="H219" s="9" t="s">
        <v>1317</v>
      </c>
      <c r="I219" s="9" t="s">
        <v>1318</v>
      </c>
      <c r="J219" s="9"/>
      <c r="K219" s="11" t="s">
        <v>76</v>
      </c>
      <c r="L219" s="9" t="s">
        <v>1319</v>
      </c>
      <c r="M219" s="9" t="s">
        <v>1310</v>
      </c>
      <c r="N219" s="9" t="s">
        <v>1311</v>
      </c>
      <c r="O219" s="9" t="s">
        <v>80</v>
      </c>
      <c r="P219" s="9" t="s">
        <v>81</v>
      </c>
      <c r="Q219" s="9" t="s">
        <v>1312</v>
      </c>
      <c r="R219" s="9" t="s">
        <v>83</v>
      </c>
      <c r="S219" s="11" t="s">
        <v>84</v>
      </c>
      <c r="T219" s="9" t="s">
        <v>1312</v>
      </c>
      <c r="U219" s="11" t="s">
        <v>85</v>
      </c>
      <c r="V219" s="11" t="s">
        <v>86</v>
      </c>
      <c r="W219" s="11" t="s">
        <v>1320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88</v>
      </c>
    </row>
    <row r="220" customFormat="false" ht="15" hidden="false" customHeight="false" outlineLevel="0" collapsed="false">
      <c r="A220" s="9" t="s">
        <v>1321</v>
      </c>
      <c r="B220" s="9" t="s">
        <v>1322</v>
      </c>
      <c r="C220" s="9" t="s">
        <v>1093</v>
      </c>
      <c r="D220" s="9" t="s">
        <v>1323</v>
      </c>
      <c r="E220" s="9"/>
      <c r="F220" s="10" t="n">
        <v>0.245</v>
      </c>
      <c r="G220" s="10" t="n">
        <v>2.295</v>
      </c>
      <c r="H220" s="9" t="s">
        <v>1104</v>
      </c>
      <c r="I220" s="9" t="s">
        <v>1119</v>
      </c>
      <c r="J220" s="9"/>
      <c r="K220" s="11" t="s">
        <v>144</v>
      </c>
      <c r="L220" s="9" t="s">
        <v>1319</v>
      </c>
      <c r="M220" s="9" t="s">
        <v>1310</v>
      </c>
      <c r="N220" s="9" t="s">
        <v>1311</v>
      </c>
      <c r="O220" s="9" t="s">
        <v>80</v>
      </c>
      <c r="P220" s="9" t="s">
        <v>81</v>
      </c>
      <c r="Q220" s="9" t="s">
        <v>1324</v>
      </c>
      <c r="R220" s="9" t="s">
        <v>83</v>
      </c>
      <c r="S220" s="11" t="s">
        <v>84</v>
      </c>
      <c r="T220" s="9" t="s">
        <v>1324</v>
      </c>
      <c r="U220" s="11" t="s">
        <v>85</v>
      </c>
      <c r="V220" s="11" t="s">
        <v>86</v>
      </c>
      <c r="W220" s="11" t="s">
        <v>1325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88</v>
      </c>
    </row>
    <row r="221" customFormat="false" ht="15" hidden="false" customHeight="false" outlineLevel="0" collapsed="false">
      <c r="A221" s="9" t="s">
        <v>1326</v>
      </c>
      <c r="B221" s="9" t="s">
        <v>1327</v>
      </c>
      <c r="C221" s="9" t="s">
        <v>1093</v>
      </c>
      <c r="D221" s="9" t="s">
        <v>1328</v>
      </c>
      <c r="E221" s="10" t="n">
        <v>401</v>
      </c>
      <c r="F221" s="9"/>
      <c r="G221" s="9"/>
      <c r="H221" s="9" t="s">
        <v>1219</v>
      </c>
      <c r="I221" s="9" t="s">
        <v>1329</v>
      </c>
      <c r="J221" s="9"/>
      <c r="K221" s="9" t="s">
        <v>1220</v>
      </c>
      <c r="L221" s="9" t="s">
        <v>1330</v>
      </c>
      <c r="M221" s="9" t="s">
        <v>1331</v>
      </c>
      <c r="N221" s="9" t="s">
        <v>1332</v>
      </c>
      <c r="O221" s="9" t="s">
        <v>80</v>
      </c>
      <c r="P221" s="9" t="s">
        <v>81</v>
      </c>
      <c r="Q221" s="9" t="s">
        <v>1333</v>
      </c>
      <c r="R221" s="9" t="s">
        <v>149</v>
      </c>
      <c r="S221" s="11" t="s">
        <v>84</v>
      </c>
      <c r="T221" s="9" t="s">
        <v>1333</v>
      </c>
      <c r="U221" s="11" t="s">
        <v>150</v>
      </c>
      <c r="V221" s="11" t="s">
        <v>86</v>
      </c>
      <c r="W221" s="11" t="s">
        <v>1334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88</v>
      </c>
    </row>
    <row r="222" customFormat="false" ht="15" hidden="false" customHeight="false" outlineLevel="0" collapsed="false">
      <c r="A222" s="9" t="s">
        <v>1335</v>
      </c>
      <c r="B222" s="9" t="s">
        <v>1336</v>
      </c>
      <c r="C222" s="9" t="s">
        <v>1093</v>
      </c>
      <c r="D222" s="9" t="s">
        <v>1337</v>
      </c>
      <c r="E222" s="10" t="n">
        <v>19</v>
      </c>
      <c r="F222" s="9"/>
      <c r="G222" s="9"/>
      <c r="H222" s="9" t="s">
        <v>1338</v>
      </c>
      <c r="I222" s="9" t="s">
        <v>1339</v>
      </c>
      <c r="J222" s="9"/>
      <c r="K222" s="11" t="s">
        <v>76</v>
      </c>
      <c r="L222" s="9" t="s">
        <v>1330</v>
      </c>
      <c r="M222" s="9" t="s">
        <v>1331</v>
      </c>
      <c r="N222" s="9" t="s">
        <v>1332</v>
      </c>
      <c r="O222" s="9" t="s">
        <v>80</v>
      </c>
      <c r="P222" s="9" t="s">
        <v>81</v>
      </c>
      <c r="Q222" s="9" t="s">
        <v>1333</v>
      </c>
      <c r="R222" s="9" t="s">
        <v>149</v>
      </c>
      <c r="S222" s="11" t="s">
        <v>84</v>
      </c>
      <c r="T222" s="9" t="s">
        <v>1333</v>
      </c>
      <c r="U222" s="11" t="s">
        <v>150</v>
      </c>
      <c r="V222" s="11" t="s">
        <v>86</v>
      </c>
      <c r="W222" s="11" t="s">
        <v>1340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88</v>
      </c>
    </row>
    <row r="223" customFormat="false" ht="15" hidden="false" customHeight="false" outlineLevel="0" collapsed="false">
      <c r="A223" s="9" t="s">
        <v>1341</v>
      </c>
      <c r="B223" s="9" t="s">
        <v>1342</v>
      </c>
      <c r="C223" s="9" t="s">
        <v>1093</v>
      </c>
      <c r="D223" s="9" t="s">
        <v>1343</v>
      </c>
      <c r="E223" s="10" t="n">
        <v>191</v>
      </c>
      <c r="F223" s="10" t="n">
        <v>96</v>
      </c>
      <c r="G223" s="9"/>
      <c r="H223" s="9" t="s">
        <v>1219</v>
      </c>
      <c r="I223" s="9" t="s">
        <v>1344</v>
      </c>
      <c r="J223" s="9"/>
      <c r="K223" s="11" t="s">
        <v>144</v>
      </c>
      <c r="L223" s="9" t="s">
        <v>1345</v>
      </c>
      <c r="M223" s="9" t="s">
        <v>1346</v>
      </c>
      <c r="N223" s="9" t="s">
        <v>1347</v>
      </c>
      <c r="O223" s="9" t="s">
        <v>80</v>
      </c>
      <c r="P223" s="9" t="s">
        <v>81</v>
      </c>
      <c r="Q223" s="9" t="s">
        <v>1348</v>
      </c>
      <c r="R223" s="9" t="s">
        <v>83</v>
      </c>
      <c r="S223" s="11" t="s">
        <v>84</v>
      </c>
      <c r="T223" s="9" t="s">
        <v>1348</v>
      </c>
      <c r="U223" s="11" t="s">
        <v>85</v>
      </c>
      <c r="V223" s="11" t="s">
        <v>86</v>
      </c>
      <c r="W223" s="11" t="s">
        <v>1349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88</v>
      </c>
    </row>
    <row r="224" customFormat="false" ht="15" hidden="false" customHeight="false" outlineLevel="0" collapsed="false">
      <c r="A224" s="9" t="s">
        <v>1350</v>
      </c>
      <c r="B224" s="9" t="s">
        <v>1351</v>
      </c>
      <c r="C224" s="9" t="s">
        <v>1093</v>
      </c>
      <c r="D224" s="9" t="s">
        <v>1352</v>
      </c>
      <c r="E224" s="10" t="n">
        <v>9.1</v>
      </c>
      <c r="F224" s="9"/>
      <c r="G224" s="10" t="n">
        <v>16.5</v>
      </c>
      <c r="H224" s="9" t="s">
        <v>1353</v>
      </c>
      <c r="I224" s="9" t="s">
        <v>1339</v>
      </c>
      <c r="J224" s="9"/>
      <c r="K224" s="11" t="s">
        <v>76</v>
      </c>
      <c r="L224" s="9" t="s">
        <v>1319</v>
      </c>
      <c r="M224" s="9" t="s">
        <v>1346</v>
      </c>
      <c r="N224" s="9" t="s">
        <v>1347</v>
      </c>
      <c r="O224" s="9" t="s">
        <v>80</v>
      </c>
      <c r="P224" s="9" t="s">
        <v>81</v>
      </c>
      <c r="Q224" s="9" t="s">
        <v>1354</v>
      </c>
      <c r="R224" s="9" t="s">
        <v>83</v>
      </c>
      <c r="S224" s="11" t="s">
        <v>84</v>
      </c>
      <c r="T224" s="9" t="s">
        <v>1354</v>
      </c>
      <c r="U224" s="11" t="s">
        <v>85</v>
      </c>
      <c r="V224" s="11" t="s">
        <v>86</v>
      </c>
      <c r="W224" s="11" t="s">
        <v>1355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88</v>
      </c>
    </row>
    <row r="225" customFormat="false" ht="15" hidden="false" customHeight="false" outlineLevel="0" collapsed="false">
      <c r="A225" s="9" t="s">
        <v>1356</v>
      </c>
      <c r="B225" s="9" t="s">
        <v>1357</v>
      </c>
      <c r="C225" s="9" t="s">
        <v>1093</v>
      </c>
      <c r="D225" s="9" t="s">
        <v>1358</v>
      </c>
      <c r="E225" s="10" t="n">
        <v>45</v>
      </c>
      <c r="F225" s="9"/>
      <c r="G225" s="9"/>
      <c r="H225" s="9" t="s">
        <v>1359</v>
      </c>
      <c r="I225" s="11" t="s">
        <v>1360</v>
      </c>
      <c r="J225" s="9"/>
      <c r="K225" s="11" t="s">
        <v>76</v>
      </c>
      <c r="L225" s="9" t="s">
        <v>1361</v>
      </c>
      <c r="M225" s="9" t="s">
        <v>1362</v>
      </c>
      <c r="N225" s="9" t="s">
        <v>1363</v>
      </c>
      <c r="O225" s="9" t="s">
        <v>80</v>
      </c>
      <c r="P225" s="9" t="s">
        <v>81</v>
      </c>
      <c r="Q225" s="9" t="s">
        <v>1364</v>
      </c>
      <c r="R225" s="9" t="s">
        <v>83</v>
      </c>
      <c r="S225" s="11" t="s">
        <v>84</v>
      </c>
      <c r="T225" s="9" t="s">
        <v>1364</v>
      </c>
      <c r="U225" s="11" t="s">
        <v>85</v>
      </c>
      <c r="V225" s="11" t="s">
        <v>86</v>
      </c>
      <c r="W225" s="11" t="s">
        <v>1365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88</v>
      </c>
    </row>
    <row r="226" customFormat="false" ht="15" hidden="false" customHeight="false" outlineLevel="0" collapsed="false">
      <c r="A226" s="9" t="s">
        <v>1366</v>
      </c>
      <c r="B226" s="9" t="s">
        <v>1367</v>
      </c>
      <c r="C226" s="9" t="s">
        <v>1093</v>
      </c>
      <c r="D226" s="9" t="s">
        <v>1368</v>
      </c>
      <c r="E226" s="10" t="n">
        <v>460</v>
      </c>
      <c r="F226" s="9"/>
      <c r="G226" s="9"/>
      <c r="H226" s="9" t="s">
        <v>1219</v>
      </c>
      <c r="I226" s="9" t="s">
        <v>1369</v>
      </c>
      <c r="J226" s="9"/>
      <c r="K226" s="11" t="s">
        <v>144</v>
      </c>
      <c r="L226" s="9" t="s">
        <v>1319</v>
      </c>
      <c r="M226" s="9" t="s">
        <v>1362</v>
      </c>
      <c r="N226" s="9" t="s">
        <v>1363</v>
      </c>
      <c r="O226" s="9" t="s">
        <v>80</v>
      </c>
      <c r="P226" s="9" t="s">
        <v>81</v>
      </c>
      <c r="Q226" s="9" t="s">
        <v>1370</v>
      </c>
      <c r="R226" s="9" t="s">
        <v>83</v>
      </c>
      <c r="S226" s="11" t="s">
        <v>84</v>
      </c>
      <c r="T226" s="9" t="s">
        <v>1370</v>
      </c>
      <c r="U226" s="11" t="s">
        <v>85</v>
      </c>
      <c r="V226" s="11" t="s">
        <v>86</v>
      </c>
      <c r="W226" s="11" t="s">
        <v>1371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88</v>
      </c>
    </row>
    <row r="227" customFormat="false" ht="15" hidden="false" customHeight="false" outlineLevel="0" collapsed="false">
      <c r="A227" s="9" t="s">
        <v>1372</v>
      </c>
      <c r="B227" s="9" t="s">
        <v>1373</v>
      </c>
      <c r="C227" s="9" t="s">
        <v>1093</v>
      </c>
      <c r="D227" s="9" t="s">
        <v>1374</v>
      </c>
      <c r="E227" s="10" t="n">
        <v>35</v>
      </c>
      <c r="F227" s="9"/>
      <c r="G227" s="9"/>
      <c r="H227" s="9" t="s">
        <v>1375</v>
      </c>
      <c r="I227" s="11" t="s">
        <v>1376</v>
      </c>
      <c r="J227" s="9"/>
      <c r="K227" s="11" t="s">
        <v>76</v>
      </c>
      <c r="L227" s="9" t="s">
        <v>1377</v>
      </c>
      <c r="M227" s="9" t="s">
        <v>1378</v>
      </c>
      <c r="N227" s="9" t="s">
        <v>697</v>
      </c>
      <c r="O227" s="9" t="s">
        <v>80</v>
      </c>
      <c r="P227" s="9" t="s">
        <v>81</v>
      </c>
      <c r="Q227" s="9" t="s">
        <v>1379</v>
      </c>
      <c r="R227" s="9" t="s">
        <v>83</v>
      </c>
      <c r="S227" s="11" t="s">
        <v>84</v>
      </c>
      <c r="T227" s="9" t="s">
        <v>1379</v>
      </c>
      <c r="U227" s="11" t="s">
        <v>85</v>
      </c>
      <c r="V227" s="11" t="s">
        <v>86</v>
      </c>
      <c r="W227" s="11" t="s">
        <v>1380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88</v>
      </c>
    </row>
    <row r="228" customFormat="false" ht="15" hidden="false" customHeight="false" outlineLevel="0" collapsed="false">
      <c r="A228" s="9" t="s">
        <v>1381</v>
      </c>
      <c r="B228" s="9" t="s">
        <v>1382</v>
      </c>
      <c r="C228" s="9" t="s">
        <v>1093</v>
      </c>
      <c r="D228" s="9" t="s">
        <v>1383</v>
      </c>
      <c r="E228" s="10" t="n">
        <v>350</v>
      </c>
      <c r="F228" s="9"/>
      <c r="G228" s="9"/>
      <c r="H228" s="9" t="s">
        <v>1219</v>
      </c>
      <c r="I228" s="11" t="s">
        <v>1384</v>
      </c>
      <c r="J228" s="9"/>
      <c r="K228" s="11" t="s">
        <v>144</v>
      </c>
      <c r="L228" s="9" t="s">
        <v>1385</v>
      </c>
      <c r="M228" s="9" t="s">
        <v>1378</v>
      </c>
      <c r="N228" s="9" t="s">
        <v>697</v>
      </c>
      <c r="O228" s="9" t="s">
        <v>80</v>
      </c>
      <c r="P228" s="9" t="s">
        <v>81</v>
      </c>
      <c r="Q228" s="9" t="s">
        <v>1386</v>
      </c>
      <c r="R228" s="11" t="s">
        <v>101</v>
      </c>
      <c r="S228" s="11" t="s">
        <v>84</v>
      </c>
      <c r="T228" s="9" t="s">
        <v>1386</v>
      </c>
      <c r="U228" s="11" t="s">
        <v>101</v>
      </c>
      <c r="V228" s="11" t="s">
        <v>86</v>
      </c>
      <c r="W228" s="11" t="s">
        <v>1387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88</v>
      </c>
    </row>
    <row r="229" customFormat="false" ht="15" hidden="false" customHeight="false" outlineLevel="0" collapsed="false">
      <c r="A229" s="9" t="s">
        <v>1388</v>
      </c>
      <c r="B229" s="9" t="s">
        <v>1389</v>
      </c>
      <c r="C229" s="9" t="s">
        <v>1093</v>
      </c>
      <c r="D229" s="9" t="s">
        <v>1390</v>
      </c>
      <c r="E229" s="9"/>
      <c r="F229" s="10" t="n">
        <v>300</v>
      </c>
      <c r="G229" s="9"/>
      <c r="H229" s="9" t="s">
        <v>1219</v>
      </c>
      <c r="I229" s="9" t="s">
        <v>1391</v>
      </c>
      <c r="J229" s="9"/>
      <c r="K229" s="11" t="s">
        <v>144</v>
      </c>
      <c r="L229" s="9" t="s">
        <v>1135</v>
      </c>
      <c r="M229" s="9" t="s">
        <v>1136</v>
      </c>
      <c r="N229" s="9" t="s">
        <v>929</v>
      </c>
      <c r="O229" s="9" t="s">
        <v>80</v>
      </c>
      <c r="P229" s="9" t="s">
        <v>81</v>
      </c>
      <c r="Q229" s="9" t="s">
        <v>1392</v>
      </c>
      <c r="R229" s="9" t="s">
        <v>149</v>
      </c>
      <c r="S229" s="11" t="s">
        <v>84</v>
      </c>
      <c r="T229" s="9" t="s">
        <v>1392</v>
      </c>
      <c r="U229" s="11" t="s">
        <v>150</v>
      </c>
      <c r="V229" s="11" t="s">
        <v>86</v>
      </c>
      <c r="W229" s="11" t="s">
        <v>1393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88</v>
      </c>
    </row>
    <row r="230" customFormat="false" ht="15" hidden="false" customHeight="false" outlineLevel="0" collapsed="false">
      <c r="A230" s="9" t="s">
        <v>1394</v>
      </c>
      <c r="B230" s="9" t="s">
        <v>1395</v>
      </c>
      <c r="C230" s="9" t="s">
        <v>1093</v>
      </c>
      <c r="D230" s="9" t="s">
        <v>1396</v>
      </c>
      <c r="E230" s="9"/>
      <c r="F230" s="10" t="n">
        <v>220000</v>
      </c>
      <c r="G230" s="9"/>
      <c r="H230" s="11" t="s">
        <v>1397</v>
      </c>
      <c r="I230" s="9" t="s">
        <v>231</v>
      </c>
      <c r="J230" s="9"/>
      <c r="K230" s="9"/>
      <c r="L230" s="9" t="s">
        <v>1135</v>
      </c>
      <c r="M230" s="9" t="s">
        <v>1136</v>
      </c>
      <c r="N230" s="9" t="s">
        <v>929</v>
      </c>
      <c r="O230" s="9" t="s">
        <v>80</v>
      </c>
      <c r="P230" s="9" t="s">
        <v>81</v>
      </c>
      <c r="Q230" s="9" t="s">
        <v>1114</v>
      </c>
      <c r="R230" s="9" t="s">
        <v>149</v>
      </c>
      <c r="S230" s="11" t="s">
        <v>84</v>
      </c>
      <c r="T230" s="9" t="s">
        <v>1114</v>
      </c>
      <c r="U230" s="11" t="s">
        <v>150</v>
      </c>
      <c r="V230" s="11" t="s">
        <v>86</v>
      </c>
      <c r="W230" s="11" t="s">
        <v>1398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88</v>
      </c>
    </row>
    <row r="231" customFormat="false" ht="15" hidden="false" customHeight="false" outlineLevel="0" collapsed="false">
      <c r="A231" s="9" t="s">
        <v>1399</v>
      </c>
      <c r="B231" s="9" t="s">
        <v>1400</v>
      </c>
      <c r="C231" s="9" t="s">
        <v>1093</v>
      </c>
      <c r="D231" s="9" t="s">
        <v>1401</v>
      </c>
      <c r="E231" s="10" t="n">
        <v>1.25</v>
      </c>
      <c r="F231" s="9"/>
      <c r="G231" s="9"/>
      <c r="H231" s="9" t="s">
        <v>1402</v>
      </c>
      <c r="I231" s="9" t="s">
        <v>1403</v>
      </c>
      <c r="J231" s="9"/>
      <c r="K231" s="11" t="s">
        <v>76</v>
      </c>
      <c r="L231" s="9" t="s">
        <v>1404</v>
      </c>
      <c r="M231" s="9" t="s">
        <v>1405</v>
      </c>
      <c r="N231" s="9" t="s">
        <v>412</v>
      </c>
      <c r="O231" s="9" t="s">
        <v>80</v>
      </c>
      <c r="P231" s="9" t="s">
        <v>1127</v>
      </c>
      <c r="Q231" s="9"/>
      <c r="R231" s="9" t="s">
        <v>83</v>
      </c>
      <c r="S231" s="11" t="s">
        <v>1128</v>
      </c>
      <c r="T231" s="11" t="s">
        <v>1129</v>
      </c>
      <c r="U231" s="11" t="s">
        <v>85</v>
      </c>
      <c r="V231" s="11" t="s">
        <v>86</v>
      </c>
      <c r="W231" s="9" t="s">
        <v>1406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88</v>
      </c>
    </row>
    <row r="232" customFormat="false" ht="15" hidden="false" customHeight="false" outlineLevel="0" collapsed="false">
      <c r="A232" s="9" t="s">
        <v>1407</v>
      </c>
      <c r="B232" s="9" t="s">
        <v>1408</v>
      </c>
      <c r="C232" s="9" t="s">
        <v>1093</v>
      </c>
      <c r="D232" s="9" t="s">
        <v>1409</v>
      </c>
      <c r="E232" s="10" t="n">
        <v>180</v>
      </c>
      <c r="F232" s="9"/>
      <c r="G232" s="9"/>
      <c r="H232" s="11" t="s">
        <v>1410</v>
      </c>
      <c r="I232" s="9" t="s">
        <v>1411</v>
      </c>
      <c r="J232" s="9"/>
      <c r="K232" s="9"/>
      <c r="L232" s="9" t="s">
        <v>1412</v>
      </c>
      <c r="M232" s="9" t="s">
        <v>1413</v>
      </c>
      <c r="N232" s="9" t="s">
        <v>1414</v>
      </c>
      <c r="O232" s="9" t="s">
        <v>80</v>
      </c>
      <c r="P232" s="9" t="s">
        <v>81</v>
      </c>
      <c r="Q232" s="9" t="s">
        <v>1415</v>
      </c>
      <c r="R232" s="9" t="s">
        <v>83</v>
      </c>
      <c r="S232" s="11" t="s">
        <v>84</v>
      </c>
      <c r="T232" s="9" t="s">
        <v>1415</v>
      </c>
      <c r="U232" s="11" t="s">
        <v>1130</v>
      </c>
      <c r="V232" s="11" t="s">
        <v>86</v>
      </c>
      <c r="W232" s="9" t="s">
        <v>1416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88</v>
      </c>
    </row>
    <row r="233" customFormat="false" ht="15" hidden="false" customHeight="false" outlineLevel="0" collapsed="false">
      <c r="A233" s="9" t="s">
        <v>1417</v>
      </c>
      <c r="B233" s="9" t="s">
        <v>1418</v>
      </c>
      <c r="C233" s="9" t="s">
        <v>1093</v>
      </c>
      <c r="D233" s="9" t="s">
        <v>1419</v>
      </c>
      <c r="E233" s="9"/>
      <c r="F233" s="9"/>
      <c r="G233" s="10" t="n">
        <v>84.5</v>
      </c>
      <c r="H233" s="9" t="s">
        <v>1420</v>
      </c>
      <c r="I233" s="9" t="s">
        <v>1421</v>
      </c>
      <c r="J233" s="9"/>
      <c r="K233" s="11" t="s">
        <v>76</v>
      </c>
      <c r="L233" s="9" t="s">
        <v>1422</v>
      </c>
      <c r="M233" s="9" t="s">
        <v>1423</v>
      </c>
      <c r="N233" s="9" t="s">
        <v>79</v>
      </c>
      <c r="O233" s="9" t="s">
        <v>80</v>
      </c>
      <c r="P233" s="9" t="s">
        <v>81</v>
      </c>
      <c r="Q233" s="9" t="s">
        <v>1424</v>
      </c>
      <c r="R233" s="9" t="s">
        <v>83</v>
      </c>
      <c r="S233" s="11" t="s">
        <v>84</v>
      </c>
      <c r="T233" s="9" t="s">
        <v>1424</v>
      </c>
      <c r="U233" s="11" t="s">
        <v>85</v>
      </c>
      <c r="V233" s="11" t="s">
        <v>86</v>
      </c>
      <c r="W233" s="11" t="s">
        <v>1425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88</v>
      </c>
    </row>
    <row r="234" customFormat="false" ht="15" hidden="false" customHeight="false" outlineLevel="0" collapsed="false">
      <c r="A234" s="9" t="s">
        <v>1426</v>
      </c>
      <c r="B234" s="9" t="s">
        <v>1427</v>
      </c>
      <c r="C234" s="9" t="s">
        <v>1093</v>
      </c>
      <c r="D234" s="9" t="s">
        <v>1428</v>
      </c>
      <c r="E234" s="9" t="n">
        <f aca="false">SRC_ANT_227*INP_014</f>
        <v>45</v>
      </c>
      <c r="F234" s="9"/>
      <c r="G234" s="9"/>
      <c r="H234" s="9" t="s">
        <v>1429</v>
      </c>
      <c r="I234" s="9" t="s">
        <v>1403</v>
      </c>
      <c r="J234" s="9"/>
      <c r="K234" s="11" t="s">
        <v>76</v>
      </c>
      <c r="L234" s="9" t="s">
        <v>1430</v>
      </c>
      <c r="M234" s="9" t="s">
        <v>1260</v>
      </c>
      <c r="N234" s="9" t="s">
        <v>1261</v>
      </c>
      <c r="O234" s="9" t="s">
        <v>80</v>
      </c>
      <c r="P234" s="9" t="s">
        <v>100</v>
      </c>
      <c r="Q234" s="9"/>
      <c r="R234" s="11" t="s">
        <v>101</v>
      </c>
      <c r="S234" s="11" t="s">
        <v>102</v>
      </c>
      <c r="T234" s="11" t="s">
        <v>103</v>
      </c>
      <c r="U234" s="11" t="s">
        <v>102</v>
      </c>
      <c r="V234" s="9" t="s">
        <v>104</v>
      </c>
      <c r="W234" s="11" t="s">
        <v>1431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88</v>
      </c>
    </row>
    <row r="235" customFormat="false" ht="15" hidden="false" customHeight="false" outlineLevel="0" collapsed="false">
      <c r="A235" s="9" t="s">
        <v>1432</v>
      </c>
      <c r="B235" s="9" t="s">
        <v>1433</v>
      </c>
      <c r="C235" s="9" t="s">
        <v>1093</v>
      </c>
      <c r="D235" s="9" t="s">
        <v>1434</v>
      </c>
      <c r="E235" s="9"/>
      <c r="F235" s="9"/>
      <c r="G235" s="10" t="n">
        <v>2</v>
      </c>
      <c r="H235" s="9" t="s">
        <v>1104</v>
      </c>
      <c r="I235" s="11" t="s">
        <v>1435</v>
      </c>
      <c r="J235" s="9"/>
      <c r="K235" s="11" t="s">
        <v>144</v>
      </c>
      <c r="L235" s="9" t="s">
        <v>1436</v>
      </c>
      <c r="M235" s="9" t="s">
        <v>1437</v>
      </c>
      <c r="N235" s="9" t="s">
        <v>1438</v>
      </c>
      <c r="O235" s="9" t="s">
        <v>80</v>
      </c>
      <c r="P235" s="9" t="s">
        <v>81</v>
      </c>
      <c r="Q235" s="9" t="s">
        <v>1439</v>
      </c>
      <c r="R235" s="9" t="s">
        <v>149</v>
      </c>
      <c r="S235" s="11" t="s">
        <v>84</v>
      </c>
      <c r="T235" s="9" t="s">
        <v>1439</v>
      </c>
      <c r="U235" s="11" t="s">
        <v>150</v>
      </c>
      <c r="V235" s="11" t="s">
        <v>86</v>
      </c>
      <c r="W235" s="11" t="s">
        <v>1440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88</v>
      </c>
    </row>
    <row r="236" customFormat="false" ht="15" hidden="false" customHeight="false" outlineLevel="0" collapsed="false">
      <c r="A236" s="9" t="s">
        <v>1441</v>
      </c>
      <c r="B236" s="9" t="s">
        <v>1442</v>
      </c>
      <c r="C236" s="9" t="s">
        <v>1093</v>
      </c>
      <c r="D236" s="9" t="s">
        <v>1443</v>
      </c>
      <c r="E236" s="9"/>
      <c r="F236" s="10" t="n">
        <v>20</v>
      </c>
      <c r="G236" s="9"/>
      <c r="H236" s="9" t="s">
        <v>1267</v>
      </c>
      <c r="I236" s="9" t="s">
        <v>1444</v>
      </c>
      <c r="J236" s="9"/>
      <c r="K236" s="11" t="s">
        <v>76</v>
      </c>
      <c r="L236" s="9" t="s">
        <v>1445</v>
      </c>
      <c r="M236" s="9" t="s">
        <v>1423</v>
      </c>
      <c r="N236" s="9" t="s">
        <v>79</v>
      </c>
      <c r="O236" s="9" t="s">
        <v>80</v>
      </c>
      <c r="P236" s="9" t="s">
        <v>81</v>
      </c>
      <c r="Q236" s="9" t="s">
        <v>1424</v>
      </c>
      <c r="R236" s="9" t="s">
        <v>83</v>
      </c>
      <c r="S236" s="11" t="s">
        <v>84</v>
      </c>
      <c r="T236" s="9" t="s">
        <v>1424</v>
      </c>
      <c r="U236" s="11" t="s">
        <v>85</v>
      </c>
      <c r="V236" s="11" t="s">
        <v>86</v>
      </c>
      <c r="W236" s="11" t="s">
        <v>1446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88</v>
      </c>
    </row>
    <row r="237" customFormat="false" ht="15" hidden="false" customHeight="false" outlineLevel="0" collapsed="false">
      <c r="A237" s="9" t="s">
        <v>1447</v>
      </c>
      <c r="B237" s="9" t="s">
        <v>1448</v>
      </c>
      <c r="C237" s="9" t="s">
        <v>1093</v>
      </c>
      <c r="D237" s="9" t="s">
        <v>1449</v>
      </c>
      <c r="E237" s="9"/>
      <c r="F237" s="9"/>
      <c r="G237" s="9"/>
      <c r="H237" s="11" t="s">
        <v>279</v>
      </c>
      <c r="I237" s="9" t="s">
        <v>1450</v>
      </c>
      <c r="J237" s="9"/>
      <c r="K237" s="9"/>
      <c r="L237" s="9" t="s">
        <v>1451</v>
      </c>
      <c r="M237" s="9" t="s">
        <v>1452</v>
      </c>
      <c r="N237" s="9" t="s">
        <v>1453</v>
      </c>
      <c r="O237" s="9" t="s">
        <v>80</v>
      </c>
      <c r="P237" s="9" t="s">
        <v>81</v>
      </c>
      <c r="Q237" s="9" t="s">
        <v>1454</v>
      </c>
      <c r="R237" s="9" t="s">
        <v>149</v>
      </c>
      <c r="S237" s="11" t="s">
        <v>84</v>
      </c>
      <c r="T237" s="9" t="s">
        <v>1454</v>
      </c>
      <c r="U237" s="11" t="s">
        <v>150</v>
      </c>
      <c r="V237" s="11" t="s">
        <v>86</v>
      </c>
      <c r="W237" s="11" t="s">
        <v>1455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88</v>
      </c>
    </row>
    <row r="238" customFormat="false" ht="15" hidden="false" customHeight="false" outlineLevel="0" collapsed="false">
      <c r="A238" s="9" t="s">
        <v>1456</v>
      </c>
      <c r="B238" s="9" t="s">
        <v>1457</v>
      </c>
      <c r="C238" s="9" t="s">
        <v>1093</v>
      </c>
      <c r="D238" s="9" t="s">
        <v>1458</v>
      </c>
      <c r="E238" s="10" t="n">
        <v>1.8</v>
      </c>
      <c r="F238" s="9"/>
      <c r="G238" s="9"/>
      <c r="H238" s="9" t="s">
        <v>1459</v>
      </c>
      <c r="I238" s="9" t="s">
        <v>1460</v>
      </c>
      <c r="J238" s="9"/>
      <c r="K238" s="11" t="s">
        <v>76</v>
      </c>
      <c r="L238" s="9" t="s">
        <v>1461</v>
      </c>
      <c r="M238" s="9" t="s">
        <v>1462</v>
      </c>
      <c r="N238" s="9" t="s">
        <v>1463</v>
      </c>
      <c r="O238" s="9" t="s">
        <v>80</v>
      </c>
      <c r="P238" s="9" t="s">
        <v>81</v>
      </c>
      <c r="Q238" s="9" t="s">
        <v>1464</v>
      </c>
      <c r="R238" s="9" t="s">
        <v>83</v>
      </c>
      <c r="S238" s="11" t="s">
        <v>84</v>
      </c>
      <c r="T238" s="9" t="s">
        <v>1464</v>
      </c>
      <c r="U238" s="11" t="s">
        <v>85</v>
      </c>
      <c r="V238" s="11" t="s">
        <v>86</v>
      </c>
      <c r="W238" s="11" t="s">
        <v>1465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88</v>
      </c>
    </row>
    <row r="239" customFormat="false" ht="15" hidden="false" customHeight="false" outlineLevel="0" collapsed="false">
      <c r="A239" s="9" t="s">
        <v>1466</v>
      </c>
      <c r="B239" s="9" t="s">
        <v>1467</v>
      </c>
      <c r="C239" s="9" t="s">
        <v>1093</v>
      </c>
      <c r="D239" s="9" t="s">
        <v>1468</v>
      </c>
      <c r="E239" s="9"/>
      <c r="F239" s="9"/>
      <c r="G239" s="9"/>
      <c r="H239" s="11" t="s">
        <v>1469</v>
      </c>
      <c r="I239" s="9" t="s">
        <v>194</v>
      </c>
      <c r="J239" s="9"/>
      <c r="K239" s="9"/>
      <c r="L239" s="9" t="s">
        <v>1470</v>
      </c>
      <c r="M239" s="9" t="s">
        <v>1471</v>
      </c>
      <c r="N239" s="9" t="s">
        <v>1099</v>
      </c>
      <c r="O239" s="9" t="s">
        <v>80</v>
      </c>
      <c r="P239" s="9" t="s">
        <v>81</v>
      </c>
      <c r="Q239" s="9" t="s">
        <v>1472</v>
      </c>
      <c r="R239" s="9" t="s">
        <v>149</v>
      </c>
      <c r="S239" s="11" t="s">
        <v>84</v>
      </c>
      <c r="T239" s="9" t="s">
        <v>1472</v>
      </c>
      <c r="U239" s="11" t="s">
        <v>150</v>
      </c>
      <c r="V239" s="11" t="s">
        <v>86</v>
      </c>
      <c r="W239" s="9" t="s">
        <v>1473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88</v>
      </c>
    </row>
    <row r="240" customFormat="false" ht="15" hidden="false" customHeight="false" outlineLevel="0" collapsed="false">
      <c r="A240" s="9" t="s">
        <v>1474</v>
      </c>
      <c r="B240" s="9" t="s">
        <v>1475</v>
      </c>
      <c r="C240" s="9" t="s">
        <v>1093</v>
      </c>
      <c r="D240" s="9" t="s">
        <v>1476</v>
      </c>
      <c r="E240" s="10" t="n">
        <v>10</v>
      </c>
      <c r="F240" s="9"/>
      <c r="G240" s="9"/>
      <c r="H240" s="9" t="s">
        <v>1359</v>
      </c>
      <c r="I240" s="11" t="s">
        <v>1477</v>
      </c>
      <c r="J240" s="9"/>
      <c r="K240" s="11" t="s">
        <v>76</v>
      </c>
      <c r="L240" s="9" t="s">
        <v>1478</v>
      </c>
      <c r="M240" s="9" t="s">
        <v>1479</v>
      </c>
      <c r="N240" s="9" t="s">
        <v>1332</v>
      </c>
      <c r="O240" s="9" t="s">
        <v>80</v>
      </c>
      <c r="P240" s="9" t="s">
        <v>81</v>
      </c>
      <c r="Q240" s="9" t="s">
        <v>1480</v>
      </c>
      <c r="R240" s="9" t="s">
        <v>83</v>
      </c>
      <c r="S240" s="11" t="s">
        <v>84</v>
      </c>
      <c r="T240" s="9" t="s">
        <v>1480</v>
      </c>
      <c r="U240" s="11" t="s">
        <v>85</v>
      </c>
      <c r="V240" s="11" t="s">
        <v>86</v>
      </c>
      <c r="W240" s="11" t="s">
        <v>1481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88</v>
      </c>
    </row>
    <row r="241" customFormat="false" ht="15" hidden="false" customHeight="false" outlineLevel="0" collapsed="false">
      <c r="A241" s="9" t="s">
        <v>1482</v>
      </c>
      <c r="B241" s="9" t="s">
        <v>1483</v>
      </c>
      <c r="C241" s="9" t="s">
        <v>1093</v>
      </c>
      <c r="D241" s="9" t="s">
        <v>1484</v>
      </c>
      <c r="E241" s="10" t="n">
        <v>133</v>
      </c>
      <c r="F241" s="9"/>
      <c r="G241" s="9"/>
      <c r="H241" s="9" t="s">
        <v>1219</v>
      </c>
      <c r="I241" s="11" t="s">
        <v>1485</v>
      </c>
      <c r="J241" s="9"/>
      <c r="K241" s="11" t="s">
        <v>144</v>
      </c>
      <c r="L241" s="9" t="s">
        <v>1486</v>
      </c>
      <c r="M241" s="9" t="s">
        <v>1487</v>
      </c>
      <c r="N241" s="9" t="s">
        <v>1332</v>
      </c>
      <c r="O241" s="9" t="s">
        <v>80</v>
      </c>
      <c r="P241" s="9" t="s">
        <v>81</v>
      </c>
      <c r="Q241" s="9" t="s">
        <v>1488</v>
      </c>
      <c r="R241" s="11" t="s">
        <v>101</v>
      </c>
      <c r="S241" s="11" t="s">
        <v>84</v>
      </c>
      <c r="T241" s="9" t="s">
        <v>1488</v>
      </c>
      <c r="U241" s="11" t="s">
        <v>101</v>
      </c>
      <c r="V241" s="11" t="s">
        <v>86</v>
      </c>
      <c r="W241" s="11" t="s">
        <v>1489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88</v>
      </c>
    </row>
    <row r="242" customFormat="false" ht="15" hidden="false" customHeight="false" outlineLevel="0" collapsed="false">
      <c r="A242" s="9" t="s">
        <v>1490</v>
      </c>
      <c r="B242" s="9" t="s">
        <v>1491</v>
      </c>
      <c r="C242" s="9" t="s">
        <v>1093</v>
      </c>
      <c r="D242" s="9" t="s">
        <v>1492</v>
      </c>
      <c r="E242" s="10" t="n">
        <v>500</v>
      </c>
      <c r="F242" s="9"/>
      <c r="G242" s="10" t="n">
        <v>7700</v>
      </c>
      <c r="H242" s="9" t="s">
        <v>1493</v>
      </c>
      <c r="I242" s="9" t="s">
        <v>1494</v>
      </c>
      <c r="J242" s="9"/>
      <c r="K242" s="11" t="s">
        <v>144</v>
      </c>
      <c r="L242" s="9" t="s">
        <v>1495</v>
      </c>
      <c r="M242" s="9" t="s">
        <v>1496</v>
      </c>
      <c r="N242" s="9" t="s">
        <v>1497</v>
      </c>
      <c r="O242" s="9" t="s">
        <v>80</v>
      </c>
      <c r="P242" s="9" t="s">
        <v>81</v>
      </c>
      <c r="Q242" s="9" t="s">
        <v>1498</v>
      </c>
      <c r="R242" s="9" t="s">
        <v>83</v>
      </c>
      <c r="S242" s="11" t="s">
        <v>84</v>
      </c>
      <c r="T242" s="9" t="s">
        <v>1498</v>
      </c>
      <c r="U242" s="11" t="s">
        <v>85</v>
      </c>
      <c r="V242" s="11" t="s">
        <v>86</v>
      </c>
      <c r="W242" s="11" t="s">
        <v>1499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88</v>
      </c>
    </row>
    <row r="243" customFormat="false" ht="15" hidden="false" customHeight="false" outlineLevel="0" collapsed="false">
      <c r="A243" s="9" t="s">
        <v>1500</v>
      </c>
      <c r="B243" s="9" t="s">
        <v>1501</v>
      </c>
      <c r="C243" s="9" t="s">
        <v>1093</v>
      </c>
      <c r="D243" s="9" t="s">
        <v>1502</v>
      </c>
      <c r="E243" s="10" t="n">
        <v>15</v>
      </c>
      <c r="F243" s="9"/>
      <c r="G243" s="9"/>
      <c r="H243" s="9" t="s">
        <v>480</v>
      </c>
      <c r="I243" s="9" t="s">
        <v>463</v>
      </c>
      <c r="J243" s="9"/>
      <c r="K243" s="11" t="s">
        <v>76</v>
      </c>
      <c r="L243" s="9" t="s">
        <v>1503</v>
      </c>
      <c r="M243" s="9" t="s">
        <v>1504</v>
      </c>
      <c r="N243" s="9" t="s">
        <v>1505</v>
      </c>
      <c r="O243" s="9" t="s">
        <v>80</v>
      </c>
      <c r="P243" s="9" t="s">
        <v>81</v>
      </c>
      <c r="Q243" s="9" t="s">
        <v>1379</v>
      </c>
      <c r="R243" s="9" t="s">
        <v>83</v>
      </c>
      <c r="S243" s="11" t="s">
        <v>84</v>
      </c>
      <c r="T243" s="9" t="s">
        <v>1379</v>
      </c>
      <c r="U243" s="11" t="s">
        <v>85</v>
      </c>
      <c r="V243" s="11" t="s">
        <v>86</v>
      </c>
      <c r="W243" s="11" t="s">
        <v>1506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88</v>
      </c>
    </row>
    <row r="244" customFormat="false" ht="15" hidden="false" customHeight="false" outlineLevel="0" collapsed="false">
      <c r="A244" s="9" t="s">
        <v>1507</v>
      </c>
      <c r="B244" s="9" t="s">
        <v>1508</v>
      </c>
      <c r="C244" s="9" t="s">
        <v>1093</v>
      </c>
      <c r="D244" s="9" t="s">
        <v>1509</v>
      </c>
      <c r="E244" s="10" t="n">
        <v>207</v>
      </c>
      <c r="F244" s="10" t="n">
        <v>168</v>
      </c>
      <c r="G244" s="9"/>
      <c r="H244" s="9" t="s">
        <v>1219</v>
      </c>
      <c r="I244" s="9" t="s">
        <v>1510</v>
      </c>
      <c r="J244" s="9"/>
      <c r="K244" s="9" t="s">
        <v>1220</v>
      </c>
      <c r="L244" s="9" t="s">
        <v>1511</v>
      </c>
      <c r="M244" s="9" t="s">
        <v>1512</v>
      </c>
      <c r="N244" s="9" t="s">
        <v>878</v>
      </c>
      <c r="O244" s="9" t="s">
        <v>80</v>
      </c>
      <c r="P244" s="9" t="s">
        <v>297</v>
      </c>
      <c r="Q244" s="9"/>
      <c r="R244" s="9" t="s">
        <v>83</v>
      </c>
      <c r="S244" s="11" t="s">
        <v>298</v>
      </c>
      <c r="T244" s="11" t="s">
        <v>299</v>
      </c>
      <c r="U244" s="11" t="s">
        <v>85</v>
      </c>
      <c r="V244" s="11" t="s">
        <v>86</v>
      </c>
      <c r="W244" s="11" t="s">
        <v>1513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88</v>
      </c>
    </row>
    <row r="245" customFormat="false" ht="15" hidden="false" customHeight="false" outlineLevel="0" collapsed="false">
      <c r="A245" s="9" t="s">
        <v>1514</v>
      </c>
      <c r="B245" s="9" t="s">
        <v>1515</v>
      </c>
      <c r="C245" s="9" t="s">
        <v>1093</v>
      </c>
      <c r="D245" s="9" t="s">
        <v>1516</v>
      </c>
      <c r="E245" s="9"/>
      <c r="F245" s="9"/>
      <c r="G245" s="10" t="n">
        <v>517</v>
      </c>
      <c r="H245" s="9" t="s">
        <v>1517</v>
      </c>
      <c r="I245" s="9" t="s">
        <v>1518</v>
      </c>
      <c r="J245" s="9"/>
      <c r="K245" s="11" t="s">
        <v>76</v>
      </c>
      <c r="L245" s="9" t="s">
        <v>1519</v>
      </c>
      <c r="M245" s="9" t="s">
        <v>1520</v>
      </c>
      <c r="N245" s="9" t="s">
        <v>1521</v>
      </c>
      <c r="O245" s="9" t="s">
        <v>80</v>
      </c>
      <c r="P245" s="9" t="s">
        <v>81</v>
      </c>
      <c r="Q245" s="9" t="s">
        <v>1522</v>
      </c>
      <c r="R245" s="9" t="s">
        <v>83</v>
      </c>
      <c r="S245" s="11" t="s">
        <v>84</v>
      </c>
      <c r="T245" s="9" t="s">
        <v>1522</v>
      </c>
      <c r="U245" s="11" t="s">
        <v>85</v>
      </c>
      <c r="V245" s="11" t="s">
        <v>86</v>
      </c>
      <c r="W245" s="11" t="s">
        <v>1523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88</v>
      </c>
    </row>
    <row r="246" customFormat="false" ht="15" hidden="false" customHeight="false" outlineLevel="0" collapsed="false">
      <c r="A246" s="9" t="s">
        <v>1524</v>
      </c>
      <c r="B246" s="9" t="s">
        <v>1525</v>
      </c>
      <c r="C246" s="9" t="s">
        <v>1093</v>
      </c>
      <c r="D246" s="9" t="s">
        <v>1526</v>
      </c>
      <c r="E246" s="9"/>
      <c r="F246" s="10" t="n">
        <v>14.8</v>
      </c>
      <c r="G246" s="9"/>
      <c r="H246" s="9" t="s">
        <v>1104</v>
      </c>
      <c r="I246" s="9" t="s">
        <v>1518</v>
      </c>
      <c r="J246" s="9"/>
      <c r="K246" s="11" t="s">
        <v>144</v>
      </c>
      <c r="L246" s="9" t="s">
        <v>1527</v>
      </c>
      <c r="M246" s="9" t="s">
        <v>1528</v>
      </c>
      <c r="N246" s="9" t="s">
        <v>1261</v>
      </c>
      <c r="O246" s="9" t="s">
        <v>80</v>
      </c>
      <c r="P246" s="9" t="s">
        <v>81</v>
      </c>
      <c r="Q246" s="9" t="s">
        <v>1529</v>
      </c>
      <c r="R246" s="9" t="s">
        <v>83</v>
      </c>
      <c r="S246" s="11" t="s">
        <v>84</v>
      </c>
      <c r="T246" s="9" t="s">
        <v>1529</v>
      </c>
      <c r="U246" s="11" t="s">
        <v>85</v>
      </c>
      <c r="V246" s="11" t="s">
        <v>86</v>
      </c>
      <c r="W246" s="11" t="s">
        <v>1530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88</v>
      </c>
    </row>
    <row r="247" customFormat="false" ht="15" hidden="false" customHeight="false" outlineLevel="0" collapsed="false">
      <c r="A247" s="9" t="s">
        <v>1531</v>
      </c>
      <c r="B247" s="9" t="s">
        <v>1532</v>
      </c>
      <c r="C247" s="9" t="s">
        <v>1093</v>
      </c>
      <c r="D247" s="11" t="s">
        <v>1533</v>
      </c>
      <c r="E247" s="9"/>
      <c r="F247" s="10" t="n">
        <v>16</v>
      </c>
      <c r="G247" s="10" t="n">
        <v>17</v>
      </c>
      <c r="H247" s="9" t="s">
        <v>1104</v>
      </c>
      <c r="I247" s="9" t="s">
        <v>845</v>
      </c>
      <c r="J247" s="9"/>
      <c r="K247" s="11" t="s">
        <v>144</v>
      </c>
      <c r="L247" s="9" t="s">
        <v>1534</v>
      </c>
      <c r="M247" s="9" t="s">
        <v>1535</v>
      </c>
      <c r="N247" s="9" t="s">
        <v>1521</v>
      </c>
      <c r="O247" s="9" t="s">
        <v>80</v>
      </c>
      <c r="P247" s="9" t="s">
        <v>81</v>
      </c>
      <c r="Q247" s="11" t="s">
        <v>1536</v>
      </c>
      <c r="R247" s="11" t="s">
        <v>101</v>
      </c>
      <c r="S247" s="11" t="s">
        <v>84</v>
      </c>
      <c r="T247" s="11" t="s">
        <v>1536</v>
      </c>
      <c r="U247" s="11" t="s">
        <v>101</v>
      </c>
      <c r="V247" s="11" t="s">
        <v>86</v>
      </c>
      <c r="W247" s="11" t="s">
        <v>1537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88</v>
      </c>
    </row>
    <row r="248" customFormat="false" ht="15" hidden="false" customHeight="false" outlineLevel="0" collapsed="false">
      <c r="A248" s="9" t="s">
        <v>1538</v>
      </c>
      <c r="B248" s="9" t="s">
        <v>1539</v>
      </c>
      <c r="C248" s="9" t="s">
        <v>1093</v>
      </c>
      <c r="D248" s="11" t="s">
        <v>1540</v>
      </c>
      <c r="E248" s="10" t="n">
        <v>180</v>
      </c>
      <c r="F248" s="9"/>
      <c r="G248" s="9"/>
      <c r="H248" s="9" t="s">
        <v>1541</v>
      </c>
      <c r="I248" s="11" t="s">
        <v>1542</v>
      </c>
      <c r="J248" s="9"/>
      <c r="K248" s="11" t="s">
        <v>76</v>
      </c>
      <c r="L248" s="9" t="s">
        <v>1543</v>
      </c>
      <c r="M248" s="9" t="s">
        <v>1520</v>
      </c>
      <c r="N248" s="9" t="s">
        <v>1521</v>
      </c>
      <c r="O248" s="9" t="s">
        <v>80</v>
      </c>
      <c r="P248" s="9" t="s">
        <v>81</v>
      </c>
      <c r="Q248" s="9" t="s">
        <v>1544</v>
      </c>
      <c r="R248" s="9" t="s">
        <v>83</v>
      </c>
      <c r="S248" s="11" t="s">
        <v>84</v>
      </c>
      <c r="T248" s="9" t="s">
        <v>1544</v>
      </c>
      <c r="U248" s="11" t="s">
        <v>85</v>
      </c>
      <c r="V248" s="11" t="s">
        <v>86</v>
      </c>
      <c r="W248" s="11" t="s">
        <v>1545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88</v>
      </c>
    </row>
    <row r="249" customFormat="false" ht="15" hidden="false" customHeight="false" outlineLevel="0" collapsed="false">
      <c r="A249" s="9" t="s">
        <v>1546</v>
      </c>
      <c r="B249" s="9" t="s">
        <v>1547</v>
      </c>
      <c r="C249" s="9" t="s">
        <v>1093</v>
      </c>
      <c r="D249" s="11" t="s">
        <v>1548</v>
      </c>
      <c r="E249" s="10" t="n">
        <v>518</v>
      </c>
      <c r="F249" s="9"/>
      <c r="G249" s="9"/>
      <c r="H249" s="9" t="s">
        <v>1549</v>
      </c>
      <c r="I249" s="9" t="s">
        <v>1233</v>
      </c>
      <c r="J249" s="9"/>
      <c r="K249" s="11" t="s">
        <v>76</v>
      </c>
      <c r="L249" s="9" t="s">
        <v>1550</v>
      </c>
      <c r="M249" s="9" t="s">
        <v>1423</v>
      </c>
      <c r="N249" s="9" t="s">
        <v>79</v>
      </c>
      <c r="O249" s="9" t="s">
        <v>80</v>
      </c>
      <c r="P249" s="9" t="s">
        <v>81</v>
      </c>
      <c r="Q249" s="9" t="s">
        <v>1551</v>
      </c>
      <c r="R249" s="9" t="s">
        <v>83</v>
      </c>
      <c r="S249" s="11" t="s">
        <v>84</v>
      </c>
      <c r="T249" s="9" t="s">
        <v>1551</v>
      </c>
      <c r="U249" s="11" t="s">
        <v>85</v>
      </c>
      <c r="V249" s="11" t="s">
        <v>86</v>
      </c>
      <c r="W249" s="11" t="s">
        <v>1552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88</v>
      </c>
    </row>
    <row r="250" customFormat="false" ht="15" hidden="false" customHeight="false" outlineLevel="0" collapsed="false">
      <c r="A250" s="9" t="s">
        <v>1553</v>
      </c>
      <c r="B250" s="9" t="s">
        <v>1554</v>
      </c>
      <c r="C250" s="9" t="s">
        <v>1093</v>
      </c>
      <c r="D250" s="11" t="s">
        <v>1555</v>
      </c>
      <c r="E250" s="10" t="n">
        <v>0.8</v>
      </c>
      <c r="F250" s="9"/>
      <c r="G250" s="9"/>
      <c r="H250" s="11" t="s">
        <v>267</v>
      </c>
      <c r="I250" s="9" t="s">
        <v>1233</v>
      </c>
      <c r="J250" s="9"/>
      <c r="K250" s="9"/>
      <c r="L250" s="9" t="s">
        <v>1445</v>
      </c>
      <c r="M250" s="9" t="s">
        <v>1423</v>
      </c>
      <c r="N250" s="9" t="s">
        <v>79</v>
      </c>
      <c r="O250" s="9" t="s">
        <v>80</v>
      </c>
      <c r="P250" s="9" t="s">
        <v>81</v>
      </c>
      <c r="Q250" s="9" t="s">
        <v>1556</v>
      </c>
      <c r="R250" s="9" t="s">
        <v>83</v>
      </c>
      <c r="S250" s="11" t="s">
        <v>84</v>
      </c>
      <c r="T250" s="9" t="s">
        <v>1556</v>
      </c>
      <c r="U250" s="11" t="s">
        <v>85</v>
      </c>
      <c r="V250" s="11" t="s">
        <v>86</v>
      </c>
      <c r="W250" s="11" t="s">
        <v>1557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88</v>
      </c>
    </row>
    <row r="251" customFormat="false" ht="15" hidden="false" customHeight="false" outlineLevel="0" collapsed="false">
      <c r="A251" s="9" t="s">
        <v>1558</v>
      </c>
      <c r="B251" s="9" t="s">
        <v>1559</v>
      </c>
      <c r="C251" s="9" t="s">
        <v>1093</v>
      </c>
      <c r="D251" s="9" t="s">
        <v>1560</v>
      </c>
      <c r="E251" s="9"/>
      <c r="F251" s="10" t="n">
        <v>111.1</v>
      </c>
      <c r="G251" s="9"/>
      <c r="H251" s="9" t="s">
        <v>1267</v>
      </c>
      <c r="I251" s="9" t="s">
        <v>1561</v>
      </c>
      <c r="J251" s="9"/>
      <c r="K251" s="11" t="s">
        <v>76</v>
      </c>
      <c r="L251" s="9" t="s">
        <v>1562</v>
      </c>
      <c r="M251" s="9" t="s">
        <v>1285</v>
      </c>
      <c r="N251" s="9" t="s">
        <v>79</v>
      </c>
      <c r="O251" s="9" t="s">
        <v>80</v>
      </c>
      <c r="P251" s="9" t="s">
        <v>81</v>
      </c>
      <c r="Q251" s="9" t="s">
        <v>1563</v>
      </c>
      <c r="R251" s="9" t="s">
        <v>83</v>
      </c>
      <c r="S251" s="11" t="s">
        <v>84</v>
      </c>
      <c r="T251" s="9" t="s">
        <v>1563</v>
      </c>
      <c r="U251" s="11" t="s">
        <v>85</v>
      </c>
      <c r="V251" s="11" t="s">
        <v>86</v>
      </c>
      <c r="W251" s="11" t="s">
        <v>1564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88</v>
      </c>
    </row>
    <row r="252" customFormat="false" ht="15" hidden="false" customHeight="false" outlineLevel="0" collapsed="false">
      <c r="A252" s="9" t="s">
        <v>1565</v>
      </c>
      <c r="B252" s="9" t="s">
        <v>1566</v>
      </c>
      <c r="C252" s="9" t="s">
        <v>1093</v>
      </c>
      <c r="D252" s="9" t="s">
        <v>1567</v>
      </c>
      <c r="E252" s="10" t="n">
        <v>110</v>
      </c>
      <c r="F252" s="9"/>
      <c r="G252" s="9"/>
      <c r="H252" s="9" t="s">
        <v>1267</v>
      </c>
      <c r="I252" s="9" t="s">
        <v>1568</v>
      </c>
      <c r="J252" s="9"/>
      <c r="K252" s="11" t="s">
        <v>76</v>
      </c>
      <c r="L252" s="9" t="s">
        <v>1562</v>
      </c>
      <c r="M252" s="9" t="s">
        <v>1285</v>
      </c>
      <c r="N252" s="9" t="s">
        <v>79</v>
      </c>
      <c r="O252" s="9" t="s">
        <v>80</v>
      </c>
      <c r="P252" s="9" t="s">
        <v>81</v>
      </c>
      <c r="Q252" s="9" t="s">
        <v>1563</v>
      </c>
      <c r="R252" s="9" t="s">
        <v>83</v>
      </c>
      <c r="S252" s="11" t="s">
        <v>84</v>
      </c>
      <c r="T252" s="9" t="s">
        <v>1563</v>
      </c>
      <c r="U252" s="11" t="s">
        <v>85</v>
      </c>
      <c r="V252" s="11" t="s">
        <v>86</v>
      </c>
      <c r="W252" s="11" t="s">
        <v>1569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88</v>
      </c>
    </row>
    <row r="253" customFormat="false" ht="15" hidden="false" customHeight="false" outlineLevel="0" collapsed="false">
      <c r="A253" s="9" t="s">
        <v>1570</v>
      </c>
      <c r="B253" s="9" t="s">
        <v>1571</v>
      </c>
      <c r="C253" s="9" t="s">
        <v>1093</v>
      </c>
      <c r="D253" s="9" t="s">
        <v>1572</v>
      </c>
      <c r="E253" s="10" t="n">
        <v>161.2</v>
      </c>
      <c r="F253" s="9"/>
      <c r="G253" s="9"/>
      <c r="H253" s="9" t="s">
        <v>1267</v>
      </c>
      <c r="I253" s="11" t="s">
        <v>1573</v>
      </c>
      <c r="J253" s="9"/>
      <c r="K253" s="11" t="s">
        <v>76</v>
      </c>
      <c r="L253" s="9" t="s">
        <v>1445</v>
      </c>
      <c r="M253" s="9" t="s">
        <v>1423</v>
      </c>
      <c r="N253" s="9" t="s">
        <v>79</v>
      </c>
      <c r="O253" s="9" t="s">
        <v>80</v>
      </c>
      <c r="P253" s="9" t="s">
        <v>81</v>
      </c>
      <c r="Q253" s="9" t="s">
        <v>1556</v>
      </c>
      <c r="R253" s="9" t="s">
        <v>83</v>
      </c>
      <c r="S253" s="11" t="s">
        <v>84</v>
      </c>
      <c r="T253" s="9" t="s">
        <v>1556</v>
      </c>
      <c r="U253" s="11" t="s">
        <v>85</v>
      </c>
      <c r="V253" s="11" t="s">
        <v>86</v>
      </c>
      <c r="W253" s="11" t="s">
        <v>1574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88</v>
      </c>
    </row>
    <row r="254" customFormat="false" ht="15" hidden="false" customHeight="false" outlineLevel="0" collapsed="false">
      <c r="A254" s="9" t="s">
        <v>1575</v>
      </c>
      <c r="B254" s="9" t="s">
        <v>1576</v>
      </c>
      <c r="C254" s="9" t="s">
        <v>1093</v>
      </c>
      <c r="D254" s="9" t="s">
        <v>1577</v>
      </c>
      <c r="E254" s="10" t="n">
        <v>125.2</v>
      </c>
      <c r="F254" s="9"/>
      <c r="G254" s="9"/>
      <c r="H254" s="9" t="s">
        <v>1168</v>
      </c>
      <c r="I254" s="11" t="s">
        <v>1578</v>
      </c>
      <c r="J254" s="9"/>
      <c r="K254" s="11" t="s">
        <v>76</v>
      </c>
      <c r="L254" s="9" t="s">
        <v>1579</v>
      </c>
      <c r="M254" s="9" t="s">
        <v>1580</v>
      </c>
      <c r="N254" s="9" t="s">
        <v>1074</v>
      </c>
      <c r="O254" s="9" t="s">
        <v>80</v>
      </c>
      <c r="P254" s="9" t="s">
        <v>81</v>
      </c>
      <c r="Q254" s="9" t="s">
        <v>1424</v>
      </c>
      <c r="R254" s="9" t="s">
        <v>83</v>
      </c>
      <c r="S254" s="11" t="s">
        <v>84</v>
      </c>
      <c r="T254" s="9" t="s">
        <v>1424</v>
      </c>
      <c r="U254" s="11" t="s">
        <v>85</v>
      </c>
      <c r="V254" s="11" t="s">
        <v>86</v>
      </c>
      <c r="W254" s="11" t="s">
        <v>1581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88</v>
      </c>
    </row>
    <row r="255" customFormat="false" ht="15" hidden="false" customHeight="false" outlineLevel="0" collapsed="false">
      <c r="A255" s="9" t="s">
        <v>1582</v>
      </c>
      <c r="B255" s="9" t="s">
        <v>1583</v>
      </c>
      <c r="C255" s="9" t="s">
        <v>1093</v>
      </c>
      <c r="D255" s="9" t="s">
        <v>1584</v>
      </c>
      <c r="E255" s="9"/>
      <c r="F255" s="9"/>
      <c r="G255" s="10" t="n">
        <v>42</v>
      </c>
      <c r="H255" s="9" t="s">
        <v>480</v>
      </c>
      <c r="I255" s="9" t="s">
        <v>1585</v>
      </c>
      <c r="J255" s="9"/>
      <c r="K255" s="11" t="s">
        <v>76</v>
      </c>
      <c r="L255" s="9" t="s">
        <v>1586</v>
      </c>
      <c r="M255" s="9" t="s">
        <v>1580</v>
      </c>
      <c r="N255" s="9" t="s">
        <v>1074</v>
      </c>
      <c r="O255" s="9" t="s">
        <v>80</v>
      </c>
      <c r="P255" s="9" t="s">
        <v>81</v>
      </c>
      <c r="Q255" s="9" t="s">
        <v>1587</v>
      </c>
      <c r="R255" s="9" t="s">
        <v>83</v>
      </c>
      <c r="S255" s="11" t="s">
        <v>84</v>
      </c>
      <c r="T255" s="9" t="s">
        <v>1587</v>
      </c>
      <c r="U255" s="11" t="s">
        <v>85</v>
      </c>
      <c r="V255" s="11" t="s">
        <v>86</v>
      </c>
      <c r="W255" s="11" t="s">
        <v>1588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88</v>
      </c>
    </row>
    <row r="256" customFormat="false" ht="15" hidden="false" customHeight="false" outlineLevel="0" collapsed="false">
      <c r="A256" s="9" t="s">
        <v>1589</v>
      </c>
      <c r="B256" s="9" t="s">
        <v>1590</v>
      </c>
      <c r="C256" s="9" t="s">
        <v>1093</v>
      </c>
      <c r="D256" s="9" t="s">
        <v>1591</v>
      </c>
      <c r="E256" s="10" t="n">
        <v>7.33</v>
      </c>
      <c r="F256" s="9"/>
      <c r="G256" s="9"/>
      <c r="H256" s="9" t="s">
        <v>480</v>
      </c>
      <c r="I256" s="9" t="s">
        <v>75</v>
      </c>
      <c r="J256" s="9"/>
      <c r="K256" s="11" t="s">
        <v>76</v>
      </c>
      <c r="L256" s="9" t="s">
        <v>1592</v>
      </c>
      <c r="M256" s="9" t="s">
        <v>1593</v>
      </c>
      <c r="N256" s="9" t="s">
        <v>1594</v>
      </c>
      <c r="O256" s="9" t="s">
        <v>80</v>
      </c>
      <c r="P256" s="9" t="s">
        <v>81</v>
      </c>
      <c r="Q256" s="9" t="s">
        <v>1563</v>
      </c>
      <c r="R256" s="9" t="s">
        <v>83</v>
      </c>
      <c r="S256" s="11" t="s">
        <v>84</v>
      </c>
      <c r="T256" s="9" t="s">
        <v>1563</v>
      </c>
      <c r="U256" s="11" t="s">
        <v>85</v>
      </c>
      <c r="V256" s="11" t="s">
        <v>86</v>
      </c>
      <c r="W256" s="11" t="s">
        <v>1595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88</v>
      </c>
    </row>
    <row r="257" customFormat="false" ht="15" hidden="false" customHeight="false" outlineLevel="0" collapsed="false">
      <c r="A257" s="9" t="s">
        <v>1596</v>
      </c>
      <c r="B257" s="9" t="s">
        <v>1597</v>
      </c>
      <c r="C257" s="9" t="s">
        <v>1093</v>
      </c>
      <c r="D257" s="9" t="s">
        <v>1598</v>
      </c>
      <c r="E257" s="10" t="n">
        <v>4.1</v>
      </c>
      <c r="F257" s="9"/>
      <c r="G257" s="9"/>
      <c r="H257" s="9" t="s">
        <v>480</v>
      </c>
      <c r="I257" s="9" t="s">
        <v>75</v>
      </c>
      <c r="J257" s="9"/>
      <c r="K257" s="11" t="s">
        <v>76</v>
      </c>
      <c r="L257" s="9" t="s">
        <v>1599</v>
      </c>
      <c r="M257" s="9" t="s">
        <v>1600</v>
      </c>
      <c r="N257" s="9" t="s">
        <v>370</v>
      </c>
      <c r="O257" s="9" t="s">
        <v>80</v>
      </c>
      <c r="P257" s="9" t="s">
        <v>81</v>
      </c>
      <c r="Q257" s="9" t="s">
        <v>1601</v>
      </c>
      <c r="R257" s="9" t="s">
        <v>83</v>
      </c>
      <c r="S257" s="11" t="s">
        <v>84</v>
      </c>
      <c r="T257" s="9" t="s">
        <v>1601</v>
      </c>
      <c r="U257" s="11" t="s">
        <v>85</v>
      </c>
      <c r="V257" s="11" t="s">
        <v>86</v>
      </c>
      <c r="W257" s="11" t="s">
        <v>1602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88</v>
      </c>
    </row>
    <row r="258" customFormat="false" ht="15" hidden="false" customHeight="false" outlineLevel="0" collapsed="false">
      <c r="A258" s="9" t="s">
        <v>1603</v>
      </c>
      <c r="B258" s="9" t="s">
        <v>1604</v>
      </c>
      <c r="C258" s="9" t="s">
        <v>1093</v>
      </c>
      <c r="D258" s="9" t="s">
        <v>374</v>
      </c>
      <c r="E258" s="10" t="n">
        <v>0.23</v>
      </c>
      <c r="F258" s="9"/>
      <c r="G258" s="9"/>
      <c r="H258" s="11" t="s">
        <v>267</v>
      </c>
      <c r="I258" s="9" t="s">
        <v>75</v>
      </c>
      <c r="J258" s="9"/>
      <c r="K258" s="9"/>
      <c r="L258" s="9" t="s">
        <v>1605</v>
      </c>
      <c r="M258" s="9" t="s">
        <v>1600</v>
      </c>
      <c r="N258" s="9" t="s">
        <v>370</v>
      </c>
      <c r="O258" s="9" t="s">
        <v>80</v>
      </c>
      <c r="P258" s="9" t="s">
        <v>81</v>
      </c>
      <c r="Q258" s="9" t="s">
        <v>1601</v>
      </c>
      <c r="R258" s="9" t="s">
        <v>83</v>
      </c>
      <c r="S258" s="11" t="s">
        <v>84</v>
      </c>
      <c r="T258" s="9" t="s">
        <v>1601</v>
      </c>
      <c r="U258" s="11" t="s">
        <v>85</v>
      </c>
      <c r="V258" s="11" t="s">
        <v>86</v>
      </c>
      <c r="W258" s="11" t="s">
        <v>1606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88</v>
      </c>
    </row>
    <row r="259" customFormat="false" ht="15" hidden="false" customHeight="false" outlineLevel="0" collapsed="false">
      <c r="A259" s="9" t="s">
        <v>1607</v>
      </c>
      <c r="B259" s="9" t="s">
        <v>1608</v>
      </c>
      <c r="C259" s="9" t="s">
        <v>1093</v>
      </c>
      <c r="D259" s="9" t="s">
        <v>1609</v>
      </c>
      <c r="E259" s="9" t="n">
        <f aca="false">SRC_ANT_252-SRC_ANT_253</f>
        <v>3.23</v>
      </c>
      <c r="F259" s="9"/>
      <c r="G259" s="9"/>
      <c r="H259" s="9" t="s">
        <v>480</v>
      </c>
      <c r="I259" s="9" t="s">
        <v>75</v>
      </c>
      <c r="J259" s="9"/>
      <c r="K259" s="11" t="s">
        <v>76</v>
      </c>
      <c r="L259" s="11" t="s">
        <v>1610</v>
      </c>
      <c r="M259" s="9" t="s">
        <v>1593</v>
      </c>
      <c r="N259" s="9" t="s">
        <v>1594</v>
      </c>
      <c r="O259" s="9" t="s">
        <v>80</v>
      </c>
      <c r="P259" s="9" t="s">
        <v>100</v>
      </c>
      <c r="Q259" s="9"/>
      <c r="R259" s="11" t="s">
        <v>101</v>
      </c>
      <c r="S259" s="11" t="s">
        <v>102</v>
      </c>
      <c r="T259" s="11" t="s">
        <v>103</v>
      </c>
      <c r="U259" s="11" t="s">
        <v>102</v>
      </c>
      <c r="V259" s="9" t="s">
        <v>104</v>
      </c>
      <c r="W259" s="9" t="s">
        <v>1611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88</v>
      </c>
    </row>
    <row r="260" customFormat="false" ht="15" hidden="false" customHeight="false" outlineLevel="0" collapsed="false">
      <c r="A260" s="9" t="s">
        <v>1612</v>
      </c>
      <c r="B260" s="9" t="s">
        <v>1613</v>
      </c>
      <c r="C260" s="9" t="s">
        <v>1093</v>
      </c>
      <c r="D260" s="9" t="s">
        <v>1614</v>
      </c>
      <c r="E260" s="10" t="n">
        <v>1.359</v>
      </c>
      <c r="F260" s="9"/>
      <c r="G260" s="9"/>
      <c r="H260" s="9" t="s">
        <v>480</v>
      </c>
      <c r="I260" s="9" t="s">
        <v>98</v>
      </c>
      <c r="J260" s="9"/>
      <c r="K260" s="11" t="s">
        <v>310</v>
      </c>
      <c r="L260" s="9" t="s">
        <v>1615</v>
      </c>
      <c r="M260" s="9" t="s">
        <v>1616</v>
      </c>
      <c r="N260" s="9" t="s">
        <v>1617</v>
      </c>
      <c r="O260" s="9" t="s">
        <v>80</v>
      </c>
      <c r="P260" s="9" t="s">
        <v>81</v>
      </c>
      <c r="Q260" s="11" t="s">
        <v>1618</v>
      </c>
      <c r="R260" s="11" t="s">
        <v>101</v>
      </c>
      <c r="S260" s="11" t="s">
        <v>84</v>
      </c>
      <c r="T260" s="11" t="s">
        <v>1618</v>
      </c>
      <c r="U260" s="11" t="s">
        <v>101</v>
      </c>
      <c r="V260" s="11" t="s">
        <v>86</v>
      </c>
      <c r="W260" s="11" t="s">
        <v>1619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88</v>
      </c>
    </row>
    <row r="261" customFormat="false" ht="15" hidden="false" customHeight="false" outlineLevel="0" collapsed="false">
      <c r="A261" s="9" t="s">
        <v>1620</v>
      </c>
      <c r="B261" s="9" t="s">
        <v>1621</v>
      </c>
      <c r="C261" s="9" t="s">
        <v>1093</v>
      </c>
      <c r="D261" s="9" t="s">
        <v>1622</v>
      </c>
      <c r="E261" s="10" t="n">
        <v>2.66</v>
      </c>
      <c r="F261" s="9"/>
      <c r="G261" s="9"/>
      <c r="H261" s="9" t="s">
        <v>480</v>
      </c>
      <c r="I261" s="9" t="s">
        <v>1623</v>
      </c>
      <c r="J261" s="9"/>
      <c r="K261" s="11" t="s">
        <v>310</v>
      </c>
      <c r="L261" s="9" t="s">
        <v>1624</v>
      </c>
      <c r="M261" s="9" t="s">
        <v>1616</v>
      </c>
      <c r="N261" s="9" t="s">
        <v>1617</v>
      </c>
      <c r="O261" s="9" t="s">
        <v>80</v>
      </c>
      <c r="P261" s="9" t="s">
        <v>81</v>
      </c>
      <c r="Q261" s="11" t="s">
        <v>1618</v>
      </c>
      <c r="R261" s="11" t="s">
        <v>101</v>
      </c>
      <c r="S261" s="11" t="s">
        <v>84</v>
      </c>
      <c r="T261" s="11" t="s">
        <v>1618</v>
      </c>
      <c r="U261" s="11" t="s">
        <v>101</v>
      </c>
      <c r="V261" s="11" t="s">
        <v>86</v>
      </c>
      <c r="W261" s="11" t="s">
        <v>1625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88</v>
      </c>
    </row>
    <row r="262" customFormat="false" ht="15" hidden="false" customHeight="false" outlineLevel="0" collapsed="false">
      <c r="A262" s="9" t="s">
        <v>1626</v>
      </c>
      <c r="B262" s="9" t="s">
        <v>1627</v>
      </c>
      <c r="C262" s="9" t="s">
        <v>1093</v>
      </c>
      <c r="D262" s="9" t="s">
        <v>1628</v>
      </c>
      <c r="E262" s="10" t="n">
        <v>12</v>
      </c>
      <c r="F262" s="9"/>
      <c r="G262" s="9"/>
      <c r="H262" s="9" t="s">
        <v>480</v>
      </c>
      <c r="I262" s="9" t="s">
        <v>304</v>
      </c>
      <c r="J262" s="9"/>
      <c r="K262" s="11" t="s">
        <v>76</v>
      </c>
      <c r="L262" s="9" t="s">
        <v>1629</v>
      </c>
      <c r="M262" s="9" t="s">
        <v>1630</v>
      </c>
      <c r="N262" s="9" t="s">
        <v>1631</v>
      </c>
      <c r="O262" s="9" t="s">
        <v>80</v>
      </c>
      <c r="P262" s="9" t="s">
        <v>81</v>
      </c>
      <c r="Q262" s="9" t="s">
        <v>1632</v>
      </c>
      <c r="R262" s="9" t="s">
        <v>83</v>
      </c>
      <c r="S262" s="11" t="s">
        <v>84</v>
      </c>
      <c r="T262" s="9" t="s">
        <v>1632</v>
      </c>
      <c r="U262" s="11" t="s">
        <v>85</v>
      </c>
      <c r="V262" s="11" t="s">
        <v>86</v>
      </c>
      <c r="W262" s="11" t="s">
        <v>1633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88</v>
      </c>
    </row>
    <row r="263" customFormat="false" ht="15" hidden="false" customHeight="false" outlineLevel="0" collapsed="false">
      <c r="A263" s="9" t="s">
        <v>1634</v>
      </c>
      <c r="B263" s="9" t="s">
        <v>1635</v>
      </c>
      <c r="C263" s="9" t="s">
        <v>1093</v>
      </c>
      <c r="D263" s="9" t="s">
        <v>1636</v>
      </c>
      <c r="E263" s="10" t="n">
        <v>7</v>
      </c>
      <c r="F263" s="9"/>
      <c r="G263" s="9"/>
      <c r="H263" s="9" t="s">
        <v>480</v>
      </c>
      <c r="I263" s="9" t="s">
        <v>304</v>
      </c>
      <c r="J263" s="9"/>
      <c r="K263" s="11" t="s">
        <v>76</v>
      </c>
      <c r="L263" s="9" t="s">
        <v>1637</v>
      </c>
      <c r="M263" s="9" t="s">
        <v>1630</v>
      </c>
      <c r="N263" s="9" t="s">
        <v>1631</v>
      </c>
      <c r="O263" s="9" t="s">
        <v>80</v>
      </c>
      <c r="P263" s="9" t="s">
        <v>81</v>
      </c>
      <c r="Q263" s="9" t="s">
        <v>1601</v>
      </c>
      <c r="R263" s="9" t="s">
        <v>83</v>
      </c>
      <c r="S263" s="11" t="s">
        <v>84</v>
      </c>
      <c r="T263" s="9" t="s">
        <v>1601</v>
      </c>
      <c r="U263" s="11" t="s">
        <v>85</v>
      </c>
      <c r="V263" s="11" t="s">
        <v>86</v>
      </c>
      <c r="W263" s="11" t="s">
        <v>1638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88</v>
      </c>
    </row>
    <row r="264" customFormat="false" ht="15" hidden="false" customHeight="false" outlineLevel="0" collapsed="false">
      <c r="A264" s="9" t="s">
        <v>1639</v>
      </c>
      <c r="B264" s="9" t="s">
        <v>1640</v>
      </c>
      <c r="C264" s="9" t="s">
        <v>1093</v>
      </c>
      <c r="D264" s="11" t="s">
        <v>1641</v>
      </c>
      <c r="E264" s="9"/>
      <c r="F264" s="10" t="n">
        <v>100</v>
      </c>
      <c r="G264" s="9"/>
      <c r="H264" s="9" t="s">
        <v>480</v>
      </c>
      <c r="I264" s="9" t="s">
        <v>1642</v>
      </c>
      <c r="J264" s="9"/>
      <c r="K264" s="11" t="s">
        <v>76</v>
      </c>
      <c r="L264" s="9" t="s">
        <v>1643</v>
      </c>
      <c r="M264" s="9" t="s">
        <v>1644</v>
      </c>
      <c r="N264" s="9" t="s">
        <v>1645</v>
      </c>
      <c r="O264" s="9" t="s">
        <v>80</v>
      </c>
      <c r="P264" s="9" t="s">
        <v>81</v>
      </c>
      <c r="Q264" s="9" t="s">
        <v>1601</v>
      </c>
      <c r="R264" s="9" t="s">
        <v>83</v>
      </c>
      <c r="S264" s="11" t="s">
        <v>84</v>
      </c>
      <c r="T264" s="9" t="s">
        <v>1601</v>
      </c>
      <c r="U264" s="11" t="s">
        <v>85</v>
      </c>
      <c r="V264" s="11" t="s">
        <v>86</v>
      </c>
      <c r="W264" s="11" t="s">
        <v>1646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88</v>
      </c>
    </row>
    <row r="265" customFormat="false" ht="15" hidden="false" customHeight="false" outlineLevel="0" collapsed="false">
      <c r="A265" s="9" t="s">
        <v>1647</v>
      </c>
      <c r="B265" s="9" t="s">
        <v>1648</v>
      </c>
      <c r="C265" s="9" t="s">
        <v>1093</v>
      </c>
      <c r="D265" s="11" t="s">
        <v>1649</v>
      </c>
      <c r="E265" s="9"/>
      <c r="F265" s="9"/>
      <c r="G265" s="10" t="n">
        <v>100</v>
      </c>
      <c r="H265" s="9" t="s">
        <v>1650</v>
      </c>
      <c r="I265" s="11" t="s">
        <v>1542</v>
      </c>
      <c r="J265" s="9"/>
      <c r="K265" s="11" t="s">
        <v>76</v>
      </c>
      <c r="L265" s="9" t="s">
        <v>1651</v>
      </c>
      <c r="M265" s="9" t="s">
        <v>1652</v>
      </c>
      <c r="N265" s="9" t="s">
        <v>1653</v>
      </c>
      <c r="O265" s="9" t="s">
        <v>80</v>
      </c>
      <c r="P265" s="9" t="s">
        <v>81</v>
      </c>
      <c r="Q265" s="9" t="s">
        <v>1601</v>
      </c>
      <c r="R265" s="9" t="s">
        <v>83</v>
      </c>
      <c r="S265" s="11" t="s">
        <v>84</v>
      </c>
      <c r="T265" s="9" t="s">
        <v>1601</v>
      </c>
      <c r="U265" s="11" t="s">
        <v>85</v>
      </c>
      <c r="V265" s="11" t="s">
        <v>86</v>
      </c>
      <c r="W265" s="11" t="s">
        <v>1654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88</v>
      </c>
    </row>
    <row r="266" customFormat="false" ht="15" hidden="false" customHeight="false" outlineLevel="0" collapsed="false">
      <c r="A266" s="9" t="s">
        <v>1655</v>
      </c>
      <c r="B266" s="9" t="s">
        <v>1656</v>
      </c>
      <c r="C266" s="9" t="s">
        <v>1093</v>
      </c>
      <c r="D266" s="11" t="s">
        <v>1657</v>
      </c>
      <c r="E266" s="10" t="n">
        <v>30</v>
      </c>
      <c r="F266" s="9"/>
      <c r="G266" s="9"/>
      <c r="H266" s="9" t="s">
        <v>74</v>
      </c>
      <c r="I266" s="9" t="s">
        <v>1658</v>
      </c>
      <c r="J266" s="9"/>
      <c r="K266" s="11" t="s">
        <v>76</v>
      </c>
      <c r="L266" s="9" t="s">
        <v>1659</v>
      </c>
      <c r="M266" s="9" t="s">
        <v>1660</v>
      </c>
      <c r="N266" s="9" t="s">
        <v>631</v>
      </c>
      <c r="O266" s="9" t="s">
        <v>80</v>
      </c>
      <c r="P266" s="9" t="s">
        <v>81</v>
      </c>
      <c r="Q266" s="9" t="s">
        <v>1661</v>
      </c>
      <c r="R266" s="9" t="s">
        <v>83</v>
      </c>
      <c r="S266" s="11" t="s">
        <v>84</v>
      </c>
      <c r="T266" s="9" t="s">
        <v>1661</v>
      </c>
      <c r="U266" s="11" t="s">
        <v>1287</v>
      </c>
      <c r="V266" s="11" t="s">
        <v>86</v>
      </c>
      <c r="W266" s="11" t="s">
        <v>1662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88</v>
      </c>
    </row>
    <row r="267" customFormat="false" ht="15" hidden="false" customHeight="false" outlineLevel="0" collapsed="false">
      <c r="A267" s="9" t="s">
        <v>1663</v>
      </c>
      <c r="B267" s="9" t="s">
        <v>1664</v>
      </c>
      <c r="C267" s="9" t="s">
        <v>1093</v>
      </c>
      <c r="D267" s="11" t="s">
        <v>1665</v>
      </c>
      <c r="E267" s="9"/>
      <c r="F267" s="10" t="n">
        <v>80</v>
      </c>
      <c r="G267" s="9"/>
      <c r="H267" s="9" t="s">
        <v>1541</v>
      </c>
      <c r="I267" s="9" t="s">
        <v>1421</v>
      </c>
      <c r="J267" s="9"/>
      <c r="K267" s="11" t="s">
        <v>76</v>
      </c>
      <c r="L267" s="9" t="s">
        <v>1666</v>
      </c>
      <c r="M267" s="9" t="s">
        <v>1667</v>
      </c>
      <c r="N267" s="9" t="s">
        <v>1653</v>
      </c>
      <c r="O267" s="9" t="s">
        <v>80</v>
      </c>
      <c r="P267" s="9" t="s">
        <v>81</v>
      </c>
      <c r="Q267" s="9" t="s">
        <v>1601</v>
      </c>
      <c r="R267" s="9" t="s">
        <v>83</v>
      </c>
      <c r="S267" s="11" t="s">
        <v>84</v>
      </c>
      <c r="T267" s="9" t="s">
        <v>1601</v>
      </c>
      <c r="U267" s="11" t="s">
        <v>85</v>
      </c>
      <c r="V267" s="11" t="s">
        <v>86</v>
      </c>
      <c r="W267" s="11" t="s">
        <v>1668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88</v>
      </c>
    </row>
    <row r="268" customFormat="false" ht="15" hidden="false" customHeight="false" outlineLevel="0" collapsed="false">
      <c r="A268" s="9" t="s">
        <v>1669</v>
      </c>
      <c r="B268" s="9" t="s">
        <v>1670</v>
      </c>
      <c r="C268" s="9" t="s">
        <v>1093</v>
      </c>
      <c r="D268" s="11" t="s">
        <v>1671</v>
      </c>
      <c r="E268" s="9"/>
      <c r="F268" s="9"/>
      <c r="G268" s="9"/>
      <c r="H268" s="11" t="s">
        <v>1672</v>
      </c>
      <c r="I268" s="9" t="s">
        <v>213</v>
      </c>
      <c r="J268" s="9"/>
      <c r="K268" s="9"/>
      <c r="L268" s="9" t="s">
        <v>1673</v>
      </c>
      <c r="M268" s="9" t="s">
        <v>1674</v>
      </c>
      <c r="N268" s="9" t="s">
        <v>1675</v>
      </c>
      <c r="O268" s="9" t="s">
        <v>80</v>
      </c>
      <c r="P268" s="9" t="s">
        <v>81</v>
      </c>
      <c r="Q268" s="9" t="s">
        <v>1676</v>
      </c>
      <c r="R268" s="9" t="s">
        <v>83</v>
      </c>
      <c r="S268" s="11" t="s">
        <v>84</v>
      </c>
      <c r="T268" s="9" t="s">
        <v>1676</v>
      </c>
      <c r="U268" s="11" t="s">
        <v>85</v>
      </c>
      <c r="V268" s="11" t="s">
        <v>86</v>
      </c>
      <c r="W268" s="9" t="s">
        <v>1677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88</v>
      </c>
    </row>
    <row r="269" customFormat="false" ht="15" hidden="false" customHeight="false" outlineLevel="0" collapsed="false">
      <c r="A269" s="9" t="s">
        <v>1678</v>
      </c>
      <c r="B269" s="9" t="s">
        <v>1679</v>
      </c>
      <c r="C269" s="9" t="s">
        <v>1093</v>
      </c>
      <c r="D269" s="11" t="s">
        <v>1680</v>
      </c>
      <c r="E269" s="10" t="n">
        <v>5</v>
      </c>
      <c r="F269" s="10" t="n">
        <v>1.4</v>
      </c>
      <c r="G269" s="10" t="n">
        <v>15</v>
      </c>
      <c r="H269" s="9" t="s">
        <v>1681</v>
      </c>
      <c r="I269" s="9" t="s">
        <v>1682</v>
      </c>
      <c r="J269" s="9"/>
      <c r="K269" s="11" t="s">
        <v>144</v>
      </c>
      <c r="L269" s="9" t="s">
        <v>1683</v>
      </c>
      <c r="M269" s="9" t="s">
        <v>1684</v>
      </c>
      <c r="N269" s="9" t="s">
        <v>1685</v>
      </c>
      <c r="O269" s="9" t="s">
        <v>80</v>
      </c>
      <c r="P269" s="9" t="s">
        <v>297</v>
      </c>
      <c r="Q269" s="9"/>
      <c r="R269" s="9" t="s">
        <v>83</v>
      </c>
      <c r="S269" s="11" t="s">
        <v>298</v>
      </c>
      <c r="T269" s="11" t="s">
        <v>299</v>
      </c>
      <c r="U269" s="11" t="s">
        <v>85</v>
      </c>
      <c r="V269" s="11" t="s">
        <v>86</v>
      </c>
      <c r="W269" s="11" t="s">
        <v>1686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88</v>
      </c>
    </row>
    <row r="270" customFormat="false" ht="15" hidden="false" customHeight="false" outlineLevel="0" collapsed="false">
      <c r="A270" s="9" t="s">
        <v>1687</v>
      </c>
      <c r="B270" s="9" t="s">
        <v>1688</v>
      </c>
      <c r="C270" s="9" t="s">
        <v>1093</v>
      </c>
      <c r="D270" s="11" t="s">
        <v>1689</v>
      </c>
      <c r="E270" s="10" t="n">
        <v>10</v>
      </c>
      <c r="F270" s="10" t="n">
        <v>9.5</v>
      </c>
      <c r="G270" s="9"/>
      <c r="H270" s="9" t="s">
        <v>1690</v>
      </c>
      <c r="I270" s="9" t="s">
        <v>1691</v>
      </c>
      <c r="J270" s="9"/>
      <c r="K270" s="11" t="s">
        <v>144</v>
      </c>
      <c r="L270" s="9" t="s">
        <v>1692</v>
      </c>
      <c r="M270" s="9" t="s">
        <v>1693</v>
      </c>
      <c r="N270" s="9" t="s">
        <v>1694</v>
      </c>
      <c r="O270" s="9" t="s">
        <v>80</v>
      </c>
      <c r="P270" s="9" t="s">
        <v>81</v>
      </c>
      <c r="Q270" s="11" t="s">
        <v>1695</v>
      </c>
      <c r="R270" s="11" t="s">
        <v>101</v>
      </c>
      <c r="S270" s="11" t="s">
        <v>84</v>
      </c>
      <c r="T270" s="11" t="s">
        <v>1695</v>
      </c>
      <c r="U270" s="11" t="s">
        <v>101</v>
      </c>
      <c r="V270" s="11" t="s">
        <v>86</v>
      </c>
      <c r="W270" s="11" t="s">
        <v>1696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88</v>
      </c>
    </row>
    <row r="271" customFormat="false" ht="15" hidden="false" customHeight="false" outlineLevel="0" collapsed="false">
      <c r="A271" s="9" t="s">
        <v>1697</v>
      </c>
      <c r="B271" s="9" t="s">
        <v>1698</v>
      </c>
      <c r="C271" s="9" t="s">
        <v>1093</v>
      </c>
      <c r="D271" s="11" t="s">
        <v>1699</v>
      </c>
      <c r="E271" s="10" t="n">
        <v>5</v>
      </c>
      <c r="F271" s="9"/>
      <c r="G271" s="9"/>
      <c r="H271" s="9" t="s">
        <v>1700</v>
      </c>
      <c r="I271" s="9" t="s">
        <v>1245</v>
      </c>
      <c r="J271" s="9"/>
      <c r="K271" s="11" t="s">
        <v>144</v>
      </c>
      <c r="L271" s="9" t="s">
        <v>1701</v>
      </c>
      <c r="M271" s="9" t="s">
        <v>1702</v>
      </c>
      <c r="N271" s="9" t="s">
        <v>1694</v>
      </c>
      <c r="O271" s="9" t="s">
        <v>80</v>
      </c>
      <c r="P271" s="9" t="s">
        <v>81</v>
      </c>
      <c r="Q271" s="9" t="s">
        <v>1703</v>
      </c>
      <c r="R271" s="9" t="s">
        <v>83</v>
      </c>
      <c r="S271" s="11" t="s">
        <v>84</v>
      </c>
      <c r="T271" s="9" t="s">
        <v>1703</v>
      </c>
      <c r="U271" s="11" t="s">
        <v>85</v>
      </c>
      <c r="V271" s="11" t="s">
        <v>86</v>
      </c>
      <c r="W271" s="11" t="s">
        <v>1704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88</v>
      </c>
    </row>
    <row r="272" customFormat="false" ht="15" hidden="false" customHeight="false" outlineLevel="0" collapsed="false">
      <c r="A272" s="9" t="s">
        <v>1705</v>
      </c>
      <c r="B272" s="9" t="s">
        <v>1706</v>
      </c>
      <c r="C272" s="9" t="s">
        <v>1093</v>
      </c>
      <c r="D272" s="9" t="s">
        <v>1707</v>
      </c>
      <c r="E272" s="9" t="n">
        <f aca="false">SRC_ANT_267*SRC_ANT_379</f>
        <v>10</v>
      </c>
      <c r="F272" s="9"/>
      <c r="G272" s="9"/>
      <c r="H272" s="9" t="s">
        <v>1104</v>
      </c>
      <c r="I272" s="9" t="s">
        <v>1691</v>
      </c>
      <c r="J272" s="9"/>
      <c r="K272" s="11" t="s">
        <v>144</v>
      </c>
      <c r="L272" s="9" t="s">
        <v>1708</v>
      </c>
      <c r="M272" s="9" t="s">
        <v>1702</v>
      </c>
      <c r="N272" s="9" t="s">
        <v>1694</v>
      </c>
      <c r="O272" s="9" t="s">
        <v>80</v>
      </c>
      <c r="P272" s="9" t="s">
        <v>100</v>
      </c>
      <c r="Q272" s="9"/>
      <c r="R272" s="11" t="s">
        <v>101</v>
      </c>
      <c r="S272" s="11" t="s">
        <v>102</v>
      </c>
      <c r="T272" s="11" t="s">
        <v>103</v>
      </c>
      <c r="U272" s="11" t="s">
        <v>102</v>
      </c>
      <c r="V272" s="9" t="s">
        <v>104</v>
      </c>
      <c r="W272" s="9" t="s">
        <v>1709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88</v>
      </c>
    </row>
    <row r="273" customFormat="false" ht="15" hidden="false" customHeight="false" outlineLevel="0" collapsed="false">
      <c r="A273" s="9" t="s">
        <v>1710</v>
      </c>
      <c r="B273" s="9" t="s">
        <v>1711</v>
      </c>
      <c r="C273" s="9" t="s">
        <v>1093</v>
      </c>
      <c r="D273" s="9" t="s">
        <v>1712</v>
      </c>
      <c r="E273" s="10" t="n">
        <v>1.4</v>
      </c>
      <c r="F273" s="9"/>
      <c r="G273" s="9"/>
      <c r="H273" s="9" t="s">
        <v>1104</v>
      </c>
      <c r="I273" s="9" t="s">
        <v>202</v>
      </c>
      <c r="J273" s="9"/>
      <c r="K273" s="11" t="s">
        <v>144</v>
      </c>
      <c r="L273" s="9" t="s">
        <v>1713</v>
      </c>
      <c r="M273" s="9" t="s">
        <v>1714</v>
      </c>
      <c r="N273" s="9"/>
      <c r="O273" s="9" t="s">
        <v>80</v>
      </c>
      <c r="P273" s="9" t="s">
        <v>81</v>
      </c>
      <c r="Q273" s="11" t="s">
        <v>1715</v>
      </c>
      <c r="R273" s="11" t="s">
        <v>101</v>
      </c>
      <c r="S273" s="11" t="s">
        <v>84</v>
      </c>
      <c r="T273" s="11" t="s">
        <v>1715</v>
      </c>
      <c r="U273" s="11" t="s">
        <v>101</v>
      </c>
      <c r="V273" s="11" t="s">
        <v>86</v>
      </c>
      <c r="W273" s="11" t="s">
        <v>1716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88</v>
      </c>
    </row>
    <row r="274" customFormat="false" ht="15" hidden="false" customHeight="false" outlineLevel="0" collapsed="false">
      <c r="A274" s="9" t="s">
        <v>1717</v>
      </c>
      <c r="B274" s="9" t="s">
        <v>1718</v>
      </c>
      <c r="C274" s="9" t="s">
        <v>1093</v>
      </c>
      <c r="D274" s="9" t="s">
        <v>1719</v>
      </c>
      <c r="E274" s="10" t="n">
        <v>11</v>
      </c>
      <c r="F274" s="9"/>
      <c r="G274" s="9"/>
      <c r="H274" s="9" t="s">
        <v>1720</v>
      </c>
      <c r="I274" s="11" t="s">
        <v>1721</v>
      </c>
      <c r="J274" s="9"/>
      <c r="K274" s="11" t="s">
        <v>144</v>
      </c>
      <c r="L274" s="9" t="s">
        <v>1722</v>
      </c>
      <c r="M274" s="9" t="s">
        <v>1528</v>
      </c>
      <c r="N274" s="9" t="s">
        <v>1261</v>
      </c>
      <c r="O274" s="9" t="s">
        <v>80</v>
      </c>
      <c r="P274" s="9" t="s">
        <v>81</v>
      </c>
      <c r="Q274" s="9" t="s">
        <v>1529</v>
      </c>
      <c r="R274" s="9" t="s">
        <v>83</v>
      </c>
      <c r="S274" s="11" t="s">
        <v>84</v>
      </c>
      <c r="T274" s="9" t="s">
        <v>1529</v>
      </c>
      <c r="U274" s="11" t="s">
        <v>85</v>
      </c>
      <c r="V274" s="11" t="s">
        <v>86</v>
      </c>
      <c r="W274" s="11" t="s">
        <v>1723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88</v>
      </c>
    </row>
    <row r="275" customFormat="false" ht="15" hidden="false" customHeight="false" outlineLevel="0" collapsed="false">
      <c r="A275" s="9" t="s">
        <v>1724</v>
      </c>
      <c r="B275" s="9" t="s">
        <v>1725</v>
      </c>
      <c r="C275" s="9" t="s">
        <v>1093</v>
      </c>
      <c r="D275" s="9" t="s">
        <v>1726</v>
      </c>
      <c r="E275" s="10" t="n">
        <v>80</v>
      </c>
      <c r="F275" s="9"/>
      <c r="G275" s="9"/>
      <c r="H275" s="9" t="s">
        <v>1727</v>
      </c>
      <c r="I275" s="11" t="s">
        <v>1728</v>
      </c>
      <c r="J275" s="9"/>
      <c r="K275" s="11" t="s">
        <v>76</v>
      </c>
      <c r="L275" s="9" t="s">
        <v>1722</v>
      </c>
      <c r="M275" s="9" t="s">
        <v>1528</v>
      </c>
      <c r="N275" s="9" t="s">
        <v>1261</v>
      </c>
      <c r="O275" s="9" t="s">
        <v>80</v>
      </c>
      <c r="P275" s="9" t="s">
        <v>81</v>
      </c>
      <c r="Q275" s="9" t="s">
        <v>1529</v>
      </c>
      <c r="R275" s="9" t="s">
        <v>83</v>
      </c>
      <c r="S275" s="11" t="s">
        <v>84</v>
      </c>
      <c r="T275" s="9" t="s">
        <v>1529</v>
      </c>
      <c r="U275" s="11" t="s">
        <v>85</v>
      </c>
      <c r="V275" s="11" t="s">
        <v>86</v>
      </c>
      <c r="W275" s="11" t="s">
        <v>1729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88</v>
      </c>
    </row>
    <row r="276" customFormat="false" ht="15" hidden="false" customHeight="false" outlineLevel="0" collapsed="false">
      <c r="A276" s="9" t="s">
        <v>1730</v>
      </c>
      <c r="B276" s="9" t="s">
        <v>1731</v>
      </c>
      <c r="C276" s="9" t="s">
        <v>1093</v>
      </c>
      <c r="D276" s="9" t="s">
        <v>1732</v>
      </c>
      <c r="E276" s="9"/>
      <c r="F276" s="10" t="n">
        <v>30</v>
      </c>
      <c r="G276" s="9"/>
      <c r="H276" s="9" t="s">
        <v>1733</v>
      </c>
      <c r="I276" s="11" t="s">
        <v>1384</v>
      </c>
      <c r="J276" s="9"/>
      <c r="K276" s="11" t="s">
        <v>76</v>
      </c>
      <c r="L276" s="9" t="s">
        <v>1722</v>
      </c>
      <c r="M276" s="9" t="s">
        <v>1528</v>
      </c>
      <c r="N276" s="9" t="s">
        <v>1261</v>
      </c>
      <c r="O276" s="9" t="s">
        <v>80</v>
      </c>
      <c r="P276" s="9" t="s">
        <v>81</v>
      </c>
      <c r="Q276" s="9" t="s">
        <v>1529</v>
      </c>
      <c r="R276" s="9" t="s">
        <v>83</v>
      </c>
      <c r="S276" s="11" t="s">
        <v>84</v>
      </c>
      <c r="T276" s="9" t="s">
        <v>1529</v>
      </c>
      <c r="U276" s="11" t="s">
        <v>85</v>
      </c>
      <c r="V276" s="11" t="s">
        <v>86</v>
      </c>
      <c r="W276" s="11" t="s">
        <v>1734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88</v>
      </c>
    </row>
    <row r="277" customFormat="false" ht="15" hidden="false" customHeight="false" outlineLevel="0" collapsed="false">
      <c r="A277" s="9" t="s">
        <v>1735</v>
      </c>
      <c r="B277" s="9" t="s">
        <v>1736</v>
      </c>
      <c r="C277" s="9" t="s">
        <v>1093</v>
      </c>
      <c r="D277" s="9" t="s">
        <v>1737</v>
      </c>
      <c r="E277" s="10" t="n">
        <v>200</v>
      </c>
      <c r="F277" s="9"/>
      <c r="G277" s="9"/>
      <c r="H277" s="9" t="s">
        <v>1738</v>
      </c>
      <c r="I277" s="11" t="s">
        <v>1739</v>
      </c>
      <c r="J277" s="9"/>
      <c r="K277" s="11" t="s">
        <v>76</v>
      </c>
      <c r="L277" s="9" t="s">
        <v>1740</v>
      </c>
      <c r="M277" s="9" t="s">
        <v>1260</v>
      </c>
      <c r="N277" s="9" t="s">
        <v>1261</v>
      </c>
      <c r="O277" s="9" t="s">
        <v>80</v>
      </c>
      <c r="P277" s="9" t="s">
        <v>81</v>
      </c>
      <c r="Q277" s="9" t="s">
        <v>1529</v>
      </c>
      <c r="R277" s="9" t="s">
        <v>83</v>
      </c>
      <c r="S277" s="11" t="s">
        <v>84</v>
      </c>
      <c r="T277" s="9" t="s">
        <v>1529</v>
      </c>
      <c r="U277" s="11" t="s">
        <v>85</v>
      </c>
      <c r="V277" s="11" t="s">
        <v>86</v>
      </c>
      <c r="W277" s="11" t="s">
        <v>1741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88</v>
      </c>
    </row>
    <row r="278" customFormat="false" ht="15" hidden="false" customHeight="false" outlineLevel="0" collapsed="false">
      <c r="A278" s="9" t="s">
        <v>1742</v>
      </c>
      <c r="B278" s="9" t="s">
        <v>1743</v>
      </c>
      <c r="C278" s="9" t="s">
        <v>1744</v>
      </c>
      <c r="D278" s="9" t="s">
        <v>1745</v>
      </c>
      <c r="E278" s="10" t="n">
        <v>12.65</v>
      </c>
      <c r="F278" s="9"/>
      <c r="G278" s="9"/>
      <c r="H278" s="9" t="s">
        <v>480</v>
      </c>
      <c r="I278" s="9" t="s">
        <v>1746</v>
      </c>
      <c r="J278" s="9"/>
      <c r="K278" s="11" t="s">
        <v>76</v>
      </c>
      <c r="L278" s="9" t="s">
        <v>1747</v>
      </c>
      <c r="M278" s="9" t="s">
        <v>1748</v>
      </c>
      <c r="N278" s="9" t="s">
        <v>79</v>
      </c>
      <c r="O278" s="9" t="s">
        <v>80</v>
      </c>
      <c r="P278" s="9" t="s">
        <v>81</v>
      </c>
      <c r="Q278" s="9" t="s">
        <v>1749</v>
      </c>
      <c r="R278" s="9" t="s">
        <v>83</v>
      </c>
      <c r="S278" s="11" t="s">
        <v>84</v>
      </c>
      <c r="T278" s="9" t="s">
        <v>1749</v>
      </c>
      <c r="U278" s="11" t="s">
        <v>1287</v>
      </c>
      <c r="V278" s="11" t="s">
        <v>86</v>
      </c>
      <c r="W278" s="11" t="s">
        <v>1750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88</v>
      </c>
    </row>
    <row r="279" customFormat="false" ht="15" hidden="false" customHeight="false" outlineLevel="0" collapsed="false">
      <c r="A279" s="9" t="s">
        <v>1751</v>
      </c>
      <c r="B279" s="9" t="s">
        <v>1752</v>
      </c>
      <c r="C279" s="9" t="s">
        <v>1744</v>
      </c>
      <c r="D279" s="9" t="s">
        <v>1753</v>
      </c>
      <c r="E279" s="10" t="n">
        <v>13</v>
      </c>
      <c r="F279" s="9"/>
      <c r="G279" s="9"/>
      <c r="H279" s="9" t="s">
        <v>480</v>
      </c>
      <c r="I279" s="9" t="s">
        <v>1746</v>
      </c>
      <c r="J279" s="9"/>
      <c r="K279" s="11" t="s">
        <v>76</v>
      </c>
      <c r="L279" s="9" t="s">
        <v>1754</v>
      </c>
      <c r="M279" s="9" t="s">
        <v>1755</v>
      </c>
      <c r="N279" s="9" t="s">
        <v>79</v>
      </c>
      <c r="O279" s="9" t="s">
        <v>80</v>
      </c>
      <c r="P279" s="9" t="s">
        <v>81</v>
      </c>
      <c r="Q279" s="9" t="s">
        <v>1749</v>
      </c>
      <c r="R279" s="9" t="s">
        <v>83</v>
      </c>
      <c r="S279" s="11" t="s">
        <v>84</v>
      </c>
      <c r="T279" s="9" t="s">
        <v>1749</v>
      </c>
      <c r="U279" s="11" t="s">
        <v>85</v>
      </c>
      <c r="V279" s="11" t="s">
        <v>86</v>
      </c>
      <c r="W279" s="11" t="s">
        <v>1756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88</v>
      </c>
    </row>
    <row r="280" customFormat="false" ht="15" hidden="false" customHeight="false" outlineLevel="0" collapsed="false">
      <c r="A280" s="9" t="s">
        <v>1757</v>
      </c>
      <c r="B280" s="9" t="s">
        <v>1758</v>
      </c>
      <c r="C280" s="9" t="s">
        <v>1744</v>
      </c>
      <c r="D280" s="9" t="s">
        <v>1759</v>
      </c>
      <c r="E280" s="10" t="n">
        <v>7.33</v>
      </c>
      <c r="F280" s="9"/>
      <c r="G280" s="9"/>
      <c r="H280" s="9" t="s">
        <v>480</v>
      </c>
      <c r="I280" s="9" t="s">
        <v>1746</v>
      </c>
      <c r="J280" s="9"/>
      <c r="K280" s="11" t="s">
        <v>76</v>
      </c>
      <c r="L280" s="9" t="s">
        <v>1747</v>
      </c>
      <c r="M280" s="9" t="s">
        <v>1748</v>
      </c>
      <c r="N280" s="9" t="s">
        <v>79</v>
      </c>
      <c r="O280" s="9" t="s">
        <v>80</v>
      </c>
      <c r="P280" s="9" t="s">
        <v>81</v>
      </c>
      <c r="Q280" s="9" t="s">
        <v>1749</v>
      </c>
      <c r="R280" s="9" t="s">
        <v>83</v>
      </c>
      <c r="S280" s="11" t="s">
        <v>84</v>
      </c>
      <c r="T280" s="9" t="s">
        <v>1749</v>
      </c>
      <c r="U280" s="11" t="s">
        <v>1287</v>
      </c>
      <c r="V280" s="11" t="s">
        <v>86</v>
      </c>
      <c r="W280" s="11" t="s">
        <v>1760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88</v>
      </c>
    </row>
    <row r="281" customFormat="false" ht="15" hidden="false" customHeight="false" outlineLevel="0" collapsed="false">
      <c r="A281" s="9" t="s">
        <v>1761</v>
      </c>
      <c r="B281" s="9" t="s">
        <v>1762</v>
      </c>
      <c r="C281" s="9" t="s">
        <v>1744</v>
      </c>
      <c r="D281" s="9" t="s">
        <v>1763</v>
      </c>
      <c r="E281" s="9" t="n">
        <f aca="false">SRC_ANT_274-SRC_ANT_276</f>
        <v>5.32</v>
      </c>
      <c r="F281" s="9"/>
      <c r="G281" s="9"/>
      <c r="H281" s="9" t="s">
        <v>480</v>
      </c>
      <c r="I281" s="9" t="s">
        <v>1746</v>
      </c>
      <c r="J281" s="9"/>
      <c r="K281" s="11" t="s">
        <v>76</v>
      </c>
      <c r="L281" s="9" t="s">
        <v>1764</v>
      </c>
      <c r="M281" s="9" t="s">
        <v>1748</v>
      </c>
      <c r="N281" s="9" t="s">
        <v>79</v>
      </c>
      <c r="O281" s="9" t="s">
        <v>80</v>
      </c>
      <c r="P281" s="9" t="s">
        <v>100</v>
      </c>
      <c r="Q281" s="9"/>
      <c r="R281" s="11" t="s">
        <v>101</v>
      </c>
      <c r="S281" s="11" t="s">
        <v>102</v>
      </c>
      <c r="T281" s="11" t="s">
        <v>103</v>
      </c>
      <c r="U281" s="11" t="s">
        <v>102</v>
      </c>
      <c r="V281" s="9" t="s">
        <v>104</v>
      </c>
      <c r="W281" s="11" t="s">
        <v>1765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88</v>
      </c>
    </row>
    <row r="282" customFormat="false" ht="15" hidden="false" customHeight="false" outlineLevel="0" collapsed="false">
      <c r="A282" s="9" t="s">
        <v>1766</v>
      </c>
      <c r="B282" s="9" t="s">
        <v>1767</v>
      </c>
      <c r="C282" s="9" t="s">
        <v>1744</v>
      </c>
      <c r="D282" s="9" t="s">
        <v>1768</v>
      </c>
      <c r="E282" s="10" t="n">
        <v>8.06</v>
      </c>
      <c r="F282" s="9"/>
      <c r="G282" s="9"/>
      <c r="H282" s="9" t="s">
        <v>480</v>
      </c>
      <c r="I282" s="9" t="s">
        <v>1746</v>
      </c>
      <c r="J282" s="9"/>
      <c r="K282" s="9"/>
      <c r="L282" s="9" t="s">
        <v>1747</v>
      </c>
      <c r="M282" s="9" t="s">
        <v>1748</v>
      </c>
      <c r="N282" s="9" t="s">
        <v>79</v>
      </c>
      <c r="O282" s="9" t="s">
        <v>80</v>
      </c>
      <c r="P282" s="9" t="s">
        <v>81</v>
      </c>
      <c r="Q282" s="9" t="s">
        <v>1749</v>
      </c>
      <c r="R282" s="9" t="s">
        <v>83</v>
      </c>
      <c r="S282" s="11" t="s">
        <v>84</v>
      </c>
      <c r="T282" s="9" t="s">
        <v>1749</v>
      </c>
      <c r="U282" s="11" t="s">
        <v>1287</v>
      </c>
      <c r="V282" s="11" t="s">
        <v>86</v>
      </c>
      <c r="W282" s="11" t="s">
        <v>1769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88</v>
      </c>
    </row>
    <row r="283" customFormat="false" ht="15" hidden="false" customHeight="false" outlineLevel="0" collapsed="false">
      <c r="A283" s="9" t="s">
        <v>1770</v>
      </c>
      <c r="B283" s="9" t="s">
        <v>1771</v>
      </c>
      <c r="C283" s="9" t="s">
        <v>1744</v>
      </c>
      <c r="D283" s="9" t="s">
        <v>1772</v>
      </c>
      <c r="E283" s="10" t="n">
        <v>2.98</v>
      </c>
      <c r="F283" s="9"/>
      <c r="G283" s="9"/>
      <c r="H283" s="9" t="s">
        <v>480</v>
      </c>
      <c r="I283" s="9" t="s">
        <v>1773</v>
      </c>
      <c r="J283" s="9"/>
      <c r="K283" s="9"/>
      <c r="L283" s="9" t="s">
        <v>1747</v>
      </c>
      <c r="M283" s="9" t="s">
        <v>1748</v>
      </c>
      <c r="N283" s="9" t="s">
        <v>79</v>
      </c>
      <c r="O283" s="9" t="s">
        <v>80</v>
      </c>
      <c r="P283" s="9" t="s">
        <v>81</v>
      </c>
      <c r="Q283" s="9" t="s">
        <v>1749</v>
      </c>
      <c r="R283" s="9" t="s">
        <v>83</v>
      </c>
      <c r="S283" s="11" t="s">
        <v>84</v>
      </c>
      <c r="T283" s="9" t="s">
        <v>1749</v>
      </c>
      <c r="U283" s="11" t="s">
        <v>1287</v>
      </c>
      <c r="V283" s="11" t="s">
        <v>86</v>
      </c>
      <c r="W283" s="11" t="s">
        <v>1774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88</v>
      </c>
    </row>
    <row r="284" customFormat="false" ht="15" hidden="false" customHeight="false" outlineLevel="0" collapsed="false">
      <c r="A284" s="9" t="s">
        <v>1775</v>
      </c>
      <c r="B284" s="9" t="s">
        <v>1776</v>
      </c>
      <c r="C284" s="9" t="s">
        <v>1744</v>
      </c>
      <c r="D284" s="9" t="s">
        <v>1777</v>
      </c>
      <c r="E284" s="10" t="n">
        <v>42</v>
      </c>
      <c r="F284" s="9"/>
      <c r="G284" s="9"/>
      <c r="H284" s="9" t="s">
        <v>480</v>
      </c>
      <c r="I284" s="9" t="s">
        <v>1746</v>
      </c>
      <c r="J284" s="9"/>
      <c r="K284" s="9"/>
      <c r="L284" s="9" t="s">
        <v>1747</v>
      </c>
      <c r="M284" s="9" t="s">
        <v>1748</v>
      </c>
      <c r="N284" s="9" t="s">
        <v>79</v>
      </c>
      <c r="O284" s="9" t="s">
        <v>80</v>
      </c>
      <c r="P284" s="9" t="s">
        <v>81</v>
      </c>
      <c r="Q284" s="9" t="s">
        <v>1749</v>
      </c>
      <c r="R284" s="9" t="s">
        <v>83</v>
      </c>
      <c r="S284" s="11" t="s">
        <v>84</v>
      </c>
      <c r="T284" s="9" t="s">
        <v>1749</v>
      </c>
      <c r="U284" s="11" t="s">
        <v>1287</v>
      </c>
      <c r="V284" s="11" t="s">
        <v>86</v>
      </c>
      <c r="W284" s="11" t="s">
        <v>1778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88</v>
      </c>
    </row>
    <row r="285" customFormat="false" ht="15" hidden="false" customHeight="false" outlineLevel="0" collapsed="false">
      <c r="A285" s="9" t="s">
        <v>1779</v>
      </c>
      <c r="B285" s="9" t="s">
        <v>1780</v>
      </c>
      <c r="C285" s="9" t="s">
        <v>1744</v>
      </c>
      <c r="D285" s="9" t="s">
        <v>1781</v>
      </c>
      <c r="E285" s="10" t="n">
        <v>34</v>
      </c>
      <c r="F285" s="9"/>
      <c r="G285" s="9"/>
      <c r="H285" s="9" t="s">
        <v>480</v>
      </c>
      <c r="I285" s="9" t="s">
        <v>1746</v>
      </c>
      <c r="J285" s="9"/>
      <c r="K285" s="9"/>
      <c r="L285" s="9" t="s">
        <v>1747</v>
      </c>
      <c r="M285" s="9" t="s">
        <v>1748</v>
      </c>
      <c r="N285" s="9" t="s">
        <v>79</v>
      </c>
      <c r="O285" s="9" t="s">
        <v>80</v>
      </c>
      <c r="P285" s="9" t="s">
        <v>81</v>
      </c>
      <c r="Q285" s="9" t="s">
        <v>1749</v>
      </c>
      <c r="R285" s="9" t="s">
        <v>83</v>
      </c>
      <c r="S285" s="11" t="s">
        <v>84</v>
      </c>
      <c r="T285" s="9" t="s">
        <v>1749</v>
      </c>
      <c r="U285" s="11" t="s">
        <v>1287</v>
      </c>
      <c r="V285" s="11" t="s">
        <v>86</v>
      </c>
      <c r="W285" s="11" t="s">
        <v>1782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88</v>
      </c>
    </row>
    <row r="286" customFormat="false" ht="15" hidden="false" customHeight="false" outlineLevel="0" collapsed="false">
      <c r="A286" s="9" t="s">
        <v>1783</v>
      </c>
      <c r="B286" s="9" t="s">
        <v>1784</v>
      </c>
      <c r="C286" s="9" t="s">
        <v>1744</v>
      </c>
      <c r="D286" s="9" t="s">
        <v>1785</v>
      </c>
      <c r="E286" s="10" t="n">
        <v>0.71</v>
      </c>
      <c r="F286" s="9"/>
      <c r="G286" s="9"/>
      <c r="H286" s="9" t="s">
        <v>1786</v>
      </c>
      <c r="I286" s="9" t="s">
        <v>110</v>
      </c>
      <c r="J286" s="9"/>
      <c r="K286" s="9"/>
      <c r="L286" s="9" t="s">
        <v>1787</v>
      </c>
      <c r="M286" s="9" t="s">
        <v>1788</v>
      </c>
      <c r="N286" s="9" t="s">
        <v>412</v>
      </c>
      <c r="O286" s="9" t="s">
        <v>80</v>
      </c>
      <c r="P286" s="9" t="s">
        <v>81</v>
      </c>
      <c r="Q286" s="9" t="s">
        <v>1789</v>
      </c>
      <c r="R286" s="9" t="s">
        <v>83</v>
      </c>
      <c r="S286" s="11" t="s">
        <v>84</v>
      </c>
      <c r="T286" s="9" t="s">
        <v>1789</v>
      </c>
      <c r="U286" s="11" t="s">
        <v>85</v>
      </c>
      <c r="V286" s="11" t="s">
        <v>86</v>
      </c>
      <c r="W286" s="11" t="s">
        <v>1790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88</v>
      </c>
    </row>
    <row r="287" customFormat="false" ht="15" hidden="false" customHeight="false" outlineLevel="0" collapsed="false">
      <c r="A287" s="9" t="s">
        <v>1791</v>
      </c>
      <c r="B287" s="9" t="s">
        <v>1792</v>
      </c>
      <c r="C287" s="9" t="s">
        <v>1744</v>
      </c>
      <c r="D287" s="11" t="s">
        <v>1793</v>
      </c>
      <c r="E287" s="10" t="n">
        <v>718</v>
      </c>
      <c r="F287" s="9"/>
      <c r="G287" s="9"/>
      <c r="H287" s="11" t="s">
        <v>1026</v>
      </c>
      <c r="I287" s="9" t="s">
        <v>1794</v>
      </c>
      <c r="J287" s="9"/>
      <c r="K287" s="9"/>
      <c r="L287" s="9" t="s">
        <v>1795</v>
      </c>
      <c r="M287" s="9" t="s">
        <v>1796</v>
      </c>
      <c r="N287" s="9" t="s">
        <v>993</v>
      </c>
      <c r="O287" s="9" t="s">
        <v>80</v>
      </c>
      <c r="P287" s="9" t="s">
        <v>297</v>
      </c>
      <c r="Q287" s="9"/>
      <c r="R287" s="11" t="s">
        <v>101</v>
      </c>
      <c r="S287" s="11" t="s">
        <v>298</v>
      </c>
      <c r="T287" s="11" t="s">
        <v>299</v>
      </c>
      <c r="U287" s="11" t="s">
        <v>101</v>
      </c>
      <c r="V287" s="11" t="s">
        <v>86</v>
      </c>
      <c r="W287" s="11" t="s">
        <v>1797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88</v>
      </c>
    </row>
    <row r="288" customFormat="false" ht="15" hidden="false" customHeight="false" outlineLevel="0" collapsed="false">
      <c r="A288" s="9" t="s">
        <v>1798</v>
      </c>
      <c r="B288" s="9" t="s">
        <v>1799</v>
      </c>
      <c r="C288" s="9" t="s">
        <v>1744</v>
      </c>
      <c r="D288" s="11" t="s">
        <v>1793</v>
      </c>
      <c r="E288" s="10" t="n">
        <v>1324</v>
      </c>
      <c r="F288" s="9"/>
      <c r="G288" s="9"/>
      <c r="H288" s="11" t="s">
        <v>1026</v>
      </c>
      <c r="I288" s="9" t="s">
        <v>1800</v>
      </c>
      <c r="J288" s="9"/>
      <c r="K288" s="9"/>
      <c r="L288" s="9" t="s">
        <v>1801</v>
      </c>
      <c r="M288" s="9" t="s">
        <v>1796</v>
      </c>
      <c r="N288" s="9" t="s">
        <v>993</v>
      </c>
      <c r="O288" s="9" t="s">
        <v>80</v>
      </c>
      <c r="P288" s="9" t="s">
        <v>297</v>
      </c>
      <c r="Q288" s="9"/>
      <c r="R288" s="11" t="s">
        <v>101</v>
      </c>
      <c r="S288" s="11" t="s">
        <v>298</v>
      </c>
      <c r="T288" s="11" t="s">
        <v>299</v>
      </c>
      <c r="U288" s="11" t="s">
        <v>101</v>
      </c>
      <c r="V288" s="11" t="s">
        <v>86</v>
      </c>
      <c r="W288" s="9" t="s">
        <v>1802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88</v>
      </c>
    </row>
    <row r="289" customFormat="false" ht="15" hidden="false" customHeight="false" outlineLevel="0" collapsed="false">
      <c r="A289" s="9" t="s">
        <v>1803</v>
      </c>
      <c r="B289" s="9" t="s">
        <v>1804</v>
      </c>
      <c r="C289" s="9" t="s">
        <v>1744</v>
      </c>
      <c r="D289" s="11" t="s">
        <v>1793</v>
      </c>
      <c r="E289" s="10" t="n">
        <v>3089</v>
      </c>
      <c r="F289" s="9"/>
      <c r="G289" s="9"/>
      <c r="H289" s="11" t="s">
        <v>1026</v>
      </c>
      <c r="I289" s="9" t="s">
        <v>1805</v>
      </c>
      <c r="J289" s="9"/>
      <c r="K289" s="9"/>
      <c r="L289" s="9" t="s">
        <v>1801</v>
      </c>
      <c r="M289" s="9" t="s">
        <v>1796</v>
      </c>
      <c r="N289" s="9" t="s">
        <v>993</v>
      </c>
      <c r="O289" s="9" t="s">
        <v>80</v>
      </c>
      <c r="P289" s="9" t="s">
        <v>297</v>
      </c>
      <c r="Q289" s="9"/>
      <c r="R289" s="11" t="s">
        <v>101</v>
      </c>
      <c r="S289" s="11" t="s">
        <v>298</v>
      </c>
      <c r="T289" s="11" t="s">
        <v>299</v>
      </c>
      <c r="U289" s="11" t="s">
        <v>101</v>
      </c>
      <c r="V289" s="11" t="s">
        <v>86</v>
      </c>
      <c r="W289" s="9" t="s">
        <v>1806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88</v>
      </c>
    </row>
    <row r="290" customFormat="false" ht="15" hidden="false" customHeight="false" outlineLevel="0" collapsed="false">
      <c r="A290" s="9" t="s">
        <v>1807</v>
      </c>
      <c r="B290" s="9" t="s">
        <v>1808</v>
      </c>
      <c r="C290" s="9" t="s">
        <v>1744</v>
      </c>
      <c r="D290" s="11" t="s">
        <v>1793</v>
      </c>
      <c r="E290" s="10" t="n">
        <v>3950</v>
      </c>
      <c r="F290" s="9"/>
      <c r="G290" s="9"/>
      <c r="H290" s="11" t="s">
        <v>1026</v>
      </c>
      <c r="I290" s="9" t="s">
        <v>110</v>
      </c>
      <c r="J290" s="9"/>
      <c r="K290" s="9"/>
      <c r="L290" s="9" t="s">
        <v>1801</v>
      </c>
      <c r="M290" s="9" t="s">
        <v>1796</v>
      </c>
      <c r="N290" s="9" t="s">
        <v>993</v>
      </c>
      <c r="O290" s="9" t="s">
        <v>80</v>
      </c>
      <c r="P290" s="9" t="s">
        <v>297</v>
      </c>
      <c r="Q290" s="9"/>
      <c r="R290" s="11" t="s">
        <v>101</v>
      </c>
      <c r="S290" s="11" t="s">
        <v>298</v>
      </c>
      <c r="T290" s="11" t="s">
        <v>299</v>
      </c>
      <c r="U290" s="11" t="s">
        <v>101</v>
      </c>
      <c r="V290" s="11" t="s">
        <v>86</v>
      </c>
      <c r="W290" s="11" t="s">
        <v>1809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88</v>
      </c>
    </row>
    <row r="291" customFormat="false" ht="15" hidden="false" customHeight="false" outlineLevel="0" collapsed="false">
      <c r="A291" s="9" t="s">
        <v>1810</v>
      </c>
      <c r="B291" s="9" t="s">
        <v>1811</v>
      </c>
      <c r="C291" s="9" t="s">
        <v>1744</v>
      </c>
      <c r="D291" s="11" t="s">
        <v>1812</v>
      </c>
      <c r="E291" s="9"/>
      <c r="F291" s="10" t="n">
        <v>2500</v>
      </c>
      <c r="G291" s="10" t="n">
        <v>5000</v>
      </c>
      <c r="H291" s="11" t="s">
        <v>1026</v>
      </c>
      <c r="I291" s="9" t="s">
        <v>993</v>
      </c>
      <c r="J291" s="9"/>
      <c r="K291" s="9"/>
      <c r="L291" s="9" t="s">
        <v>1813</v>
      </c>
      <c r="M291" s="9" t="s">
        <v>1814</v>
      </c>
      <c r="N291" s="9" t="s">
        <v>1815</v>
      </c>
      <c r="O291" s="9" t="s">
        <v>80</v>
      </c>
      <c r="P291" s="9" t="s">
        <v>297</v>
      </c>
      <c r="Q291" s="9"/>
      <c r="R291" s="9" t="s">
        <v>83</v>
      </c>
      <c r="S291" s="11" t="s">
        <v>298</v>
      </c>
      <c r="T291" s="11" t="s">
        <v>299</v>
      </c>
      <c r="U291" s="11" t="s">
        <v>85</v>
      </c>
      <c r="V291" s="11" t="s">
        <v>86</v>
      </c>
      <c r="W291" s="11" t="s">
        <v>1816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88</v>
      </c>
    </row>
    <row r="292" customFormat="false" ht="15" hidden="false" customHeight="false" outlineLevel="0" collapsed="false">
      <c r="A292" s="9" t="s">
        <v>1817</v>
      </c>
      <c r="B292" s="9" t="s">
        <v>1818</v>
      </c>
      <c r="C292" s="9" t="s">
        <v>1744</v>
      </c>
      <c r="D292" s="9" t="s">
        <v>1819</v>
      </c>
      <c r="E292" s="10" t="n">
        <v>2.5</v>
      </c>
      <c r="F292" s="9"/>
      <c r="G292" s="9"/>
      <c r="H292" s="9" t="s">
        <v>480</v>
      </c>
      <c r="I292" s="9" t="s">
        <v>1773</v>
      </c>
      <c r="J292" s="9"/>
      <c r="K292" s="11" t="s">
        <v>76</v>
      </c>
      <c r="L292" s="9" t="s">
        <v>1820</v>
      </c>
      <c r="M292" s="9" t="s">
        <v>1821</v>
      </c>
      <c r="N292" s="9" t="s">
        <v>717</v>
      </c>
      <c r="O292" s="9" t="s">
        <v>80</v>
      </c>
      <c r="P292" s="9" t="s">
        <v>81</v>
      </c>
      <c r="Q292" s="9" t="s">
        <v>1749</v>
      </c>
      <c r="R292" s="9" t="s">
        <v>83</v>
      </c>
      <c r="S292" s="11" t="s">
        <v>84</v>
      </c>
      <c r="T292" s="9" t="s">
        <v>1749</v>
      </c>
      <c r="U292" s="11" t="s">
        <v>85</v>
      </c>
      <c r="V292" s="11" t="s">
        <v>86</v>
      </c>
      <c r="W292" s="11" t="s">
        <v>1822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88</v>
      </c>
    </row>
    <row r="293" customFormat="false" ht="15" hidden="false" customHeight="false" outlineLevel="0" collapsed="false">
      <c r="A293" s="9" t="s">
        <v>1823</v>
      </c>
      <c r="B293" s="9" t="s">
        <v>1824</v>
      </c>
      <c r="C293" s="9" t="s">
        <v>1744</v>
      </c>
      <c r="D293" s="9" t="s">
        <v>1825</v>
      </c>
      <c r="E293" s="10" t="n">
        <v>8</v>
      </c>
      <c r="F293" s="9"/>
      <c r="G293" s="9"/>
      <c r="H293" s="9" t="s">
        <v>480</v>
      </c>
      <c r="I293" s="9" t="s">
        <v>1773</v>
      </c>
      <c r="J293" s="9"/>
      <c r="K293" s="9"/>
      <c r="L293" s="9" t="s">
        <v>1826</v>
      </c>
      <c r="M293" s="9" t="s">
        <v>1821</v>
      </c>
      <c r="N293" s="9" t="s">
        <v>717</v>
      </c>
      <c r="O293" s="9" t="s">
        <v>80</v>
      </c>
      <c r="P293" s="9" t="s">
        <v>81</v>
      </c>
      <c r="Q293" s="9" t="s">
        <v>1749</v>
      </c>
      <c r="R293" s="9" t="s">
        <v>83</v>
      </c>
      <c r="S293" s="11" t="s">
        <v>84</v>
      </c>
      <c r="T293" s="9" t="s">
        <v>1749</v>
      </c>
      <c r="U293" s="11" t="s">
        <v>85</v>
      </c>
      <c r="V293" s="11" t="s">
        <v>86</v>
      </c>
      <c r="W293" s="11" t="s">
        <v>1827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88</v>
      </c>
    </row>
    <row r="294" customFormat="false" ht="15" hidden="false" customHeight="false" outlineLevel="0" collapsed="false">
      <c r="A294" s="9" t="s">
        <v>1828</v>
      </c>
      <c r="B294" s="9" t="s">
        <v>1829</v>
      </c>
      <c r="C294" s="9" t="s">
        <v>1744</v>
      </c>
      <c r="D294" s="9" t="s">
        <v>1830</v>
      </c>
      <c r="E294" s="10" t="n">
        <v>5.6</v>
      </c>
      <c r="F294" s="9"/>
      <c r="G294" s="9"/>
      <c r="H294" s="9" t="s">
        <v>480</v>
      </c>
      <c r="I294" s="9" t="s">
        <v>1773</v>
      </c>
      <c r="J294" s="9"/>
      <c r="K294" s="9"/>
      <c r="L294" s="9" t="s">
        <v>1831</v>
      </c>
      <c r="M294" s="9" t="s">
        <v>1832</v>
      </c>
      <c r="N294" s="9" t="s">
        <v>1833</v>
      </c>
      <c r="O294" s="9" t="s">
        <v>80</v>
      </c>
      <c r="P294" s="9" t="s">
        <v>81</v>
      </c>
      <c r="Q294" s="9" t="s">
        <v>1789</v>
      </c>
      <c r="R294" s="9" t="s">
        <v>83</v>
      </c>
      <c r="S294" s="11" t="s">
        <v>84</v>
      </c>
      <c r="T294" s="9" t="s">
        <v>1789</v>
      </c>
      <c r="U294" s="11" t="s">
        <v>85</v>
      </c>
      <c r="V294" s="11" t="s">
        <v>86</v>
      </c>
      <c r="W294" s="11" t="s">
        <v>1834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88</v>
      </c>
    </row>
    <row r="295" customFormat="false" ht="15" hidden="false" customHeight="false" outlineLevel="0" collapsed="false">
      <c r="A295" s="9" t="s">
        <v>1835</v>
      </c>
      <c r="B295" s="9" t="s">
        <v>1836</v>
      </c>
      <c r="C295" s="9" t="s">
        <v>1744</v>
      </c>
      <c r="D295" s="9" t="s">
        <v>1837</v>
      </c>
      <c r="E295" s="10" t="n">
        <v>-0.94</v>
      </c>
      <c r="F295" s="9"/>
      <c r="G295" s="9"/>
      <c r="H295" s="11" t="s">
        <v>267</v>
      </c>
      <c r="I295" s="9" t="s">
        <v>1773</v>
      </c>
      <c r="J295" s="9"/>
      <c r="K295" s="9"/>
      <c r="L295" s="9" t="s">
        <v>1838</v>
      </c>
      <c r="M295" s="9" t="s">
        <v>1839</v>
      </c>
      <c r="N295" s="9" t="s">
        <v>1035</v>
      </c>
      <c r="O295" s="9" t="s">
        <v>80</v>
      </c>
      <c r="P295" s="9" t="s">
        <v>81</v>
      </c>
      <c r="Q295" s="9" t="s">
        <v>1789</v>
      </c>
      <c r="R295" s="9" t="s">
        <v>83</v>
      </c>
      <c r="S295" s="11" t="s">
        <v>84</v>
      </c>
      <c r="T295" s="9" t="s">
        <v>1789</v>
      </c>
      <c r="U295" s="11" t="s">
        <v>85</v>
      </c>
      <c r="V295" s="11" t="s">
        <v>86</v>
      </c>
      <c r="W295" s="11" t="s">
        <v>1840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88</v>
      </c>
    </row>
    <row r="296" customFormat="false" ht="15" hidden="false" customHeight="false" outlineLevel="0" collapsed="false">
      <c r="A296" s="9" t="s">
        <v>1841</v>
      </c>
      <c r="B296" s="9" t="s">
        <v>1842</v>
      </c>
      <c r="C296" s="9" t="s">
        <v>1744</v>
      </c>
      <c r="D296" s="9" t="s">
        <v>1843</v>
      </c>
      <c r="E296" s="10" t="n">
        <v>0.4</v>
      </c>
      <c r="F296" s="9"/>
      <c r="G296" s="9"/>
      <c r="H296" s="11" t="s">
        <v>267</v>
      </c>
      <c r="I296" s="9" t="s">
        <v>1746</v>
      </c>
      <c r="J296" s="9"/>
      <c r="K296" s="9"/>
      <c r="L296" s="9" t="s">
        <v>1844</v>
      </c>
      <c r="M296" s="9" t="s">
        <v>388</v>
      </c>
      <c r="N296" s="9" t="s">
        <v>370</v>
      </c>
      <c r="O296" s="9" t="s">
        <v>80</v>
      </c>
      <c r="P296" s="9" t="s">
        <v>81</v>
      </c>
      <c r="Q296" s="9" t="s">
        <v>1789</v>
      </c>
      <c r="R296" s="9" t="s">
        <v>83</v>
      </c>
      <c r="S296" s="11" t="s">
        <v>84</v>
      </c>
      <c r="T296" s="9" t="s">
        <v>1789</v>
      </c>
      <c r="U296" s="11" t="s">
        <v>85</v>
      </c>
      <c r="V296" s="11" t="s">
        <v>86</v>
      </c>
      <c r="W296" s="11" t="s">
        <v>1845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88</v>
      </c>
    </row>
    <row r="297" customFormat="false" ht="15" hidden="false" customHeight="false" outlineLevel="0" collapsed="false">
      <c r="A297" s="9" t="s">
        <v>1846</v>
      </c>
      <c r="B297" s="9" t="s">
        <v>1847</v>
      </c>
      <c r="C297" s="9" t="s">
        <v>1744</v>
      </c>
      <c r="D297" s="11" t="s">
        <v>1848</v>
      </c>
      <c r="E297" s="10" t="n">
        <v>0.8</v>
      </c>
      <c r="F297" s="10" t="n">
        <v>0.8</v>
      </c>
      <c r="G297" s="9"/>
      <c r="H297" s="11" t="s">
        <v>267</v>
      </c>
      <c r="I297" s="9" t="s">
        <v>119</v>
      </c>
      <c r="J297" s="9"/>
      <c r="K297" s="11" t="s">
        <v>76</v>
      </c>
      <c r="L297" s="9" t="s">
        <v>1849</v>
      </c>
      <c r="M297" s="9" t="s">
        <v>1850</v>
      </c>
      <c r="N297" s="9" t="s">
        <v>397</v>
      </c>
      <c r="O297" s="9" t="s">
        <v>80</v>
      </c>
      <c r="P297" s="9" t="s">
        <v>81</v>
      </c>
      <c r="Q297" s="11" t="s">
        <v>1851</v>
      </c>
      <c r="R297" s="9" t="s">
        <v>83</v>
      </c>
      <c r="S297" s="11" t="s">
        <v>84</v>
      </c>
      <c r="T297" s="11" t="s">
        <v>1851</v>
      </c>
      <c r="U297" s="11" t="s">
        <v>85</v>
      </c>
      <c r="V297" s="11" t="s">
        <v>86</v>
      </c>
      <c r="W297" s="11" t="s">
        <v>1852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88</v>
      </c>
    </row>
    <row r="298" customFormat="false" ht="15" hidden="false" customHeight="false" outlineLevel="0" collapsed="false">
      <c r="A298" s="9" t="s">
        <v>1853</v>
      </c>
      <c r="B298" s="9" t="s">
        <v>1854</v>
      </c>
      <c r="C298" s="9" t="s">
        <v>1744</v>
      </c>
      <c r="D298" s="9" t="s">
        <v>1855</v>
      </c>
      <c r="E298" s="9" t="n">
        <f aca="false">SRC_ANT_276/SRC_ANT_001</f>
        <v>1.59347826086957</v>
      </c>
      <c r="F298" s="9"/>
      <c r="G298" s="9"/>
      <c r="H298" s="11" t="s">
        <v>745</v>
      </c>
      <c r="I298" s="9" t="s">
        <v>1746</v>
      </c>
      <c r="J298" s="9"/>
      <c r="K298" s="9"/>
      <c r="L298" s="9" t="s">
        <v>1856</v>
      </c>
      <c r="M298" s="9" t="s">
        <v>1857</v>
      </c>
      <c r="N298" s="9" t="s">
        <v>845</v>
      </c>
      <c r="O298" s="9" t="s">
        <v>80</v>
      </c>
      <c r="P298" s="9" t="s">
        <v>100</v>
      </c>
      <c r="Q298" s="9"/>
      <c r="R298" s="11" t="s">
        <v>101</v>
      </c>
      <c r="S298" s="11" t="s">
        <v>102</v>
      </c>
      <c r="T298" s="11" t="s">
        <v>103</v>
      </c>
      <c r="U298" s="11" t="s">
        <v>102</v>
      </c>
      <c r="V298" s="9" t="s">
        <v>104</v>
      </c>
      <c r="W298" s="11" t="s">
        <v>1858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88</v>
      </c>
    </row>
    <row r="299" customFormat="false" ht="15" hidden="false" customHeight="false" outlineLevel="0" collapsed="false">
      <c r="A299" s="9" t="s">
        <v>1859</v>
      </c>
      <c r="B299" s="9" t="s">
        <v>1860</v>
      </c>
      <c r="C299" s="9" t="s">
        <v>1744</v>
      </c>
      <c r="D299" s="11" t="s">
        <v>1861</v>
      </c>
      <c r="E299" s="10" t="n">
        <v>3500</v>
      </c>
      <c r="F299" s="9"/>
      <c r="G299" s="9"/>
      <c r="H299" s="11" t="s">
        <v>1026</v>
      </c>
      <c r="I299" s="9" t="s">
        <v>834</v>
      </c>
      <c r="J299" s="13" t="n">
        <v>46174</v>
      </c>
      <c r="K299" s="9"/>
      <c r="L299" s="9" t="s">
        <v>1862</v>
      </c>
      <c r="M299" s="9" t="s">
        <v>1863</v>
      </c>
      <c r="N299" s="9" t="s">
        <v>834</v>
      </c>
      <c r="O299" s="9" t="s">
        <v>80</v>
      </c>
      <c r="P299" s="9" t="s">
        <v>81</v>
      </c>
      <c r="Q299" s="9" t="s">
        <v>1864</v>
      </c>
      <c r="R299" s="11" t="s">
        <v>101</v>
      </c>
      <c r="S299" s="11" t="s">
        <v>84</v>
      </c>
      <c r="T299" s="9" t="s">
        <v>1864</v>
      </c>
      <c r="U299" s="11" t="s">
        <v>101</v>
      </c>
      <c r="V299" s="11" t="s">
        <v>86</v>
      </c>
      <c r="W299" s="11" t="s">
        <v>1865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88</v>
      </c>
    </row>
    <row r="300" customFormat="false" ht="15" hidden="false" customHeight="false" outlineLevel="0" collapsed="false">
      <c r="A300" s="9" t="s">
        <v>1866</v>
      </c>
      <c r="B300" s="9" t="s">
        <v>1867</v>
      </c>
      <c r="C300" s="9" t="s">
        <v>1744</v>
      </c>
      <c r="D300" s="11" t="s">
        <v>1868</v>
      </c>
      <c r="E300" s="10" t="n">
        <v>0.125</v>
      </c>
      <c r="F300" s="9"/>
      <c r="G300" s="9"/>
      <c r="H300" s="9" t="s">
        <v>480</v>
      </c>
      <c r="I300" s="9" t="s">
        <v>110</v>
      </c>
      <c r="J300" s="9"/>
      <c r="K300" s="9"/>
      <c r="L300" s="9" t="s">
        <v>1869</v>
      </c>
      <c r="M300" s="9" t="s">
        <v>1870</v>
      </c>
      <c r="N300" s="9" t="s">
        <v>878</v>
      </c>
      <c r="O300" s="9" t="s">
        <v>80</v>
      </c>
      <c r="P300" s="9" t="s">
        <v>81</v>
      </c>
      <c r="Q300" s="9" t="s">
        <v>1871</v>
      </c>
      <c r="R300" s="11" t="s">
        <v>101</v>
      </c>
      <c r="S300" s="11" t="s">
        <v>84</v>
      </c>
      <c r="T300" s="9" t="s">
        <v>1871</v>
      </c>
      <c r="U300" s="11" t="s">
        <v>101</v>
      </c>
      <c r="V300" s="11" t="s">
        <v>86</v>
      </c>
      <c r="W300" s="11" t="s">
        <v>1872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88</v>
      </c>
    </row>
    <row r="301" customFormat="false" ht="15" hidden="false" customHeight="false" outlineLevel="0" collapsed="false">
      <c r="A301" s="9" t="s">
        <v>1873</v>
      </c>
      <c r="B301" s="9" t="s">
        <v>1874</v>
      </c>
      <c r="C301" s="9" t="s">
        <v>1744</v>
      </c>
      <c r="D301" s="9" t="s">
        <v>1875</v>
      </c>
      <c r="E301" s="9" t="n">
        <f aca="false">SRC_ANT_296/SRC_ANT_378</f>
        <v>1.25</v>
      </c>
      <c r="F301" s="9"/>
      <c r="G301" s="9"/>
      <c r="H301" s="9" t="s">
        <v>480</v>
      </c>
      <c r="I301" s="9" t="s">
        <v>110</v>
      </c>
      <c r="J301" s="9"/>
      <c r="K301" s="9"/>
      <c r="L301" s="9" t="s">
        <v>1876</v>
      </c>
      <c r="M301" s="9" t="s">
        <v>1870</v>
      </c>
      <c r="N301" s="9" t="s">
        <v>878</v>
      </c>
      <c r="O301" s="9" t="s">
        <v>80</v>
      </c>
      <c r="P301" s="9" t="s">
        <v>100</v>
      </c>
      <c r="Q301" s="9"/>
      <c r="R301" s="11" t="s">
        <v>101</v>
      </c>
      <c r="S301" s="11" t="s">
        <v>102</v>
      </c>
      <c r="T301" s="11" t="s">
        <v>103</v>
      </c>
      <c r="U301" s="11" t="s">
        <v>102</v>
      </c>
      <c r="V301" s="9" t="s">
        <v>104</v>
      </c>
      <c r="W301" s="11" t="s">
        <v>1877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88</v>
      </c>
    </row>
    <row r="302" customFormat="false" ht="15" hidden="false" customHeight="false" outlineLevel="0" collapsed="false">
      <c r="A302" s="9" t="s">
        <v>1878</v>
      </c>
      <c r="B302" s="9" t="s">
        <v>1879</v>
      </c>
      <c r="C302" s="9" t="s">
        <v>1880</v>
      </c>
      <c r="D302" s="9" t="s">
        <v>1881</v>
      </c>
      <c r="E302" s="10" t="n">
        <v>65</v>
      </c>
      <c r="F302" s="9"/>
      <c r="G302" s="9"/>
      <c r="H302" s="9" t="s">
        <v>480</v>
      </c>
      <c r="I302" s="9" t="s">
        <v>234</v>
      </c>
      <c r="J302" s="13" t="n">
        <v>46170</v>
      </c>
      <c r="K302" s="11" t="s">
        <v>76</v>
      </c>
      <c r="L302" s="9" t="s">
        <v>232</v>
      </c>
      <c r="M302" s="9" t="s">
        <v>233</v>
      </c>
      <c r="N302" s="9" t="s">
        <v>234</v>
      </c>
      <c r="O302" s="9" t="s">
        <v>80</v>
      </c>
      <c r="P302" s="9" t="s">
        <v>81</v>
      </c>
      <c r="Q302" s="9" t="s">
        <v>148</v>
      </c>
      <c r="R302" s="9" t="s">
        <v>149</v>
      </c>
      <c r="S302" s="11" t="s">
        <v>84</v>
      </c>
      <c r="T302" s="9" t="s">
        <v>148</v>
      </c>
      <c r="U302" s="11" t="s">
        <v>150</v>
      </c>
      <c r="V302" s="11" t="s">
        <v>86</v>
      </c>
      <c r="W302" s="11" t="s">
        <v>1882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88</v>
      </c>
    </row>
    <row r="303" customFormat="false" ht="15" hidden="false" customHeight="false" outlineLevel="0" collapsed="false">
      <c r="A303" s="9" t="s">
        <v>1883</v>
      </c>
      <c r="B303" s="9" t="s">
        <v>1884</v>
      </c>
      <c r="C303" s="9" t="s">
        <v>1880</v>
      </c>
      <c r="D303" s="9" t="s">
        <v>1885</v>
      </c>
      <c r="E303" s="10" t="n">
        <v>965</v>
      </c>
      <c r="F303" s="9"/>
      <c r="G303" s="9"/>
      <c r="H303" s="9" t="s">
        <v>480</v>
      </c>
      <c r="I303" s="9" t="s">
        <v>234</v>
      </c>
      <c r="J303" s="13" t="n">
        <v>46170</v>
      </c>
      <c r="K303" s="9"/>
      <c r="L303" s="9" t="s">
        <v>1886</v>
      </c>
      <c r="M303" s="9" t="s">
        <v>1887</v>
      </c>
      <c r="N303" s="9" t="s">
        <v>234</v>
      </c>
      <c r="O303" s="9" t="s">
        <v>80</v>
      </c>
      <c r="P303" s="9" t="s">
        <v>81</v>
      </c>
      <c r="Q303" s="9" t="s">
        <v>1888</v>
      </c>
      <c r="R303" s="9" t="s">
        <v>83</v>
      </c>
      <c r="S303" s="11" t="s">
        <v>84</v>
      </c>
      <c r="T303" s="9" t="s">
        <v>1888</v>
      </c>
      <c r="U303" s="11" t="s">
        <v>85</v>
      </c>
      <c r="V303" s="11" t="s">
        <v>86</v>
      </c>
      <c r="W303" s="9" t="s">
        <v>1889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88</v>
      </c>
    </row>
    <row r="304" customFormat="false" ht="15" hidden="false" customHeight="false" outlineLevel="0" collapsed="false">
      <c r="A304" s="9" t="s">
        <v>1890</v>
      </c>
      <c r="B304" s="9" t="s">
        <v>1891</v>
      </c>
      <c r="C304" s="9" t="s">
        <v>1880</v>
      </c>
      <c r="D304" s="9" t="s">
        <v>1892</v>
      </c>
      <c r="E304" s="10" t="n">
        <v>15</v>
      </c>
      <c r="F304" s="9"/>
      <c r="G304" s="9"/>
      <c r="H304" s="9" t="s">
        <v>480</v>
      </c>
      <c r="I304" s="9" t="s">
        <v>234</v>
      </c>
      <c r="J304" s="13" t="n">
        <v>46170</v>
      </c>
      <c r="K304" s="11" t="s">
        <v>76</v>
      </c>
      <c r="L304" s="9" t="s">
        <v>232</v>
      </c>
      <c r="M304" s="9" t="s">
        <v>233</v>
      </c>
      <c r="N304" s="9" t="s">
        <v>234</v>
      </c>
      <c r="O304" s="9" t="s">
        <v>80</v>
      </c>
      <c r="P304" s="9" t="s">
        <v>81</v>
      </c>
      <c r="Q304" s="9" t="s">
        <v>148</v>
      </c>
      <c r="R304" s="9" t="s">
        <v>149</v>
      </c>
      <c r="S304" s="11" t="s">
        <v>84</v>
      </c>
      <c r="T304" s="9" t="s">
        <v>148</v>
      </c>
      <c r="U304" s="11" t="s">
        <v>150</v>
      </c>
      <c r="V304" s="11" t="s">
        <v>86</v>
      </c>
      <c r="W304" s="11" t="s">
        <v>1893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88</v>
      </c>
    </row>
    <row r="305" customFormat="false" ht="15" hidden="false" customHeight="false" outlineLevel="0" collapsed="false">
      <c r="A305" s="9" t="s">
        <v>1894</v>
      </c>
      <c r="B305" s="9" t="s">
        <v>1895</v>
      </c>
      <c r="C305" s="9" t="s">
        <v>1880</v>
      </c>
      <c r="D305" s="9" t="s">
        <v>1896</v>
      </c>
      <c r="E305" s="9"/>
      <c r="F305" s="9"/>
      <c r="G305" s="9"/>
      <c r="H305" s="11" t="s">
        <v>1897</v>
      </c>
      <c r="I305" s="9" t="s">
        <v>234</v>
      </c>
      <c r="J305" s="13" t="n">
        <v>46170</v>
      </c>
      <c r="K305" s="9"/>
      <c r="L305" s="9" t="s">
        <v>232</v>
      </c>
      <c r="M305" s="9" t="s">
        <v>233</v>
      </c>
      <c r="N305" s="9" t="s">
        <v>234</v>
      </c>
      <c r="O305" s="9" t="s">
        <v>80</v>
      </c>
      <c r="P305" s="9" t="s">
        <v>81</v>
      </c>
      <c r="Q305" s="9" t="s">
        <v>148</v>
      </c>
      <c r="R305" s="9" t="s">
        <v>149</v>
      </c>
      <c r="S305" s="11" t="s">
        <v>84</v>
      </c>
      <c r="T305" s="9" t="s">
        <v>148</v>
      </c>
      <c r="U305" s="11" t="s">
        <v>150</v>
      </c>
      <c r="V305" s="11" t="s">
        <v>86</v>
      </c>
      <c r="W305" s="11" t="s">
        <v>1898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88</v>
      </c>
    </row>
    <row r="306" customFormat="false" ht="15" hidden="false" customHeight="false" outlineLevel="0" collapsed="false">
      <c r="A306" s="9" t="s">
        <v>1899</v>
      </c>
      <c r="B306" s="9" t="s">
        <v>1900</v>
      </c>
      <c r="C306" s="9" t="s">
        <v>1880</v>
      </c>
      <c r="D306" s="9" t="s">
        <v>1901</v>
      </c>
      <c r="E306" s="10" t="n">
        <v>30</v>
      </c>
      <c r="F306" s="9"/>
      <c r="G306" s="9"/>
      <c r="H306" s="9" t="s">
        <v>480</v>
      </c>
      <c r="I306" s="9" t="s">
        <v>213</v>
      </c>
      <c r="J306" s="9"/>
      <c r="K306" s="11" t="s">
        <v>76</v>
      </c>
      <c r="L306" s="9" t="s">
        <v>1902</v>
      </c>
      <c r="M306" s="9" t="s">
        <v>1903</v>
      </c>
      <c r="N306" s="9" t="s">
        <v>213</v>
      </c>
      <c r="O306" s="9" t="s">
        <v>80</v>
      </c>
      <c r="P306" s="9" t="s">
        <v>81</v>
      </c>
      <c r="Q306" s="9" t="s">
        <v>1904</v>
      </c>
      <c r="R306" s="11" t="s">
        <v>101</v>
      </c>
      <c r="S306" s="11" t="s">
        <v>84</v>
      </c>
      <c r="T306" s="9" t="s">
        <v>1904</v>
      </c>
      <c r="U306" s="11" t="s">
        <v>101</v>
      </c>
      <c r="V306" s="11" t="s">
        <v>86</v>
      </c>
      <c r="W306" s="11" t="s">
        <v>1905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88</v>
      </c>
    </row>
    <row r="307" customFormat="false" ht="15" hidden="false" customHeight="false" outlineLevel="0" collapsed="false">
      <c r="A307" s="9" t="s">
        <v>1906</v>
      </c>
      <c r="B307" s="9" t="s">
        <v>1907</v>
      </c>
      <c r="C307" s="9" t="s">
        <v>1880</v>
      </c>
      <c r="D307" s="9" t="s">
        <v>1908</v>
      </c>
      <c r="E307" s="10" t="n">
        <v>380</v>
      </c>
      <c r="F307" s="9"/>
      <c r="G307" s="9"/>
      <c r="H307" s="9" t="s">
        <v>480</v>
      </c>
      <c r="I307" s="9" t="s">
        <v>213</v>
      </c>
      <c r="J307" s="9"/>
      <c r="K307" s="9"/>
      <c r="L307" s="9" t="s">
        <v>1902</v>
      </c>
      <c r="M307" s="9" t="s">
        <v>1903</v>
      </c>
      <c r="N307" s="9" t="s">
        <v>213</v>
      </c>
      <c r="O307" s="9" t="s">
        <v>80</v>
      </c>
      <c r="P307" s="9" t="s">
        <v>81</v>
      </c>
      <c r="Q307" s="9" t="s">
        <v>148</v>
      </c>
      <c r="R307" s="11" t="s">
        <v>101</v>
      </c>
      <c r="S307" s="11" t="s">
        <v>84</v>
      </c>
      <c r="T307" s="9" t="s">
        <v>148</v>
      </c>
      <c r="U307" s="11" t="s">
        <v>101</v>
      </c>
      <c r="V307" s="11" t="s">
        <v>86</v>
      </c>
      <c r="W307" s="9" t="s">
        <v>1909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88</v>
      </c>
    </row>
    <row r="308" customFormat="false" ht="15" hidden="false" customHeight="false" outlineLevel="0" collapsed="false">
      <c r="A308" s="9" t="s">
        <v>1910</v>
      </c>
      <c r="B308" s="9" t="s">
        <v>1911</v>
      </c>
      <c r="C308" s="9" t="s">
        <v>1880</v>
      </c>
      <c r="D308" s="11" t="s">
        <v>1912</v>
      </c>
      <c r="E308" s="10" t="n">
        <v>125</v>
      </c>
      <c r="F308" s="10" t="n">
        <v>125</v>
      </c>
      <c r="G308" s="9"/>
      <c r="H308" s="9" t="s">
        <v>480</v>
      </c>
      <c r="I308" s="9" t="s">
        <v>845</v>
      </c>
      <c r="J308" s="9"/>
      <c r="K308" s="11" t="s">
        <v>76</v>
      </c>
      <c r="L308" s="9" t="s">
        <v>1913</v>
      </c>
      <c r="M308" s="9" t="s">
        <v>138</v>
      </c>
      <c r="N308" s="9" t="s">
        <v>79</v>
      </c>
      <c r="O308" s="9" t="s">
        <v>80</v>
      </c>
      <c r="P308" s="9" t="s">
        <v>81</v>
      </c>
      <c r="Q308" s="9" t="s">
        <v>1914</v>
      </c>
      <c r="R308" s="9" t="s">
        <v>83</v>
      </c>
      <c r="S308" s="11" t="s">
        <v>84</v>
      </c>
      <c r="T308" s="9" t="s">
        <v>1914</v>
      </c>
      <c r="U308" s="11" t="s">
        <v>1287</v>
      </c>
      <c r="V308" s="11" t="s">
        <v>86</v>
      </c>
      <c r="W308" s="11" t="s">
        <v>1915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88</v>
      </c>
    </row>
    <row r="309" customFormat="false" ht="15" hidden="false" customHeight="false" outlineLevel="0" collapsed="false">
      <c r="A309" s="9" t="s">
        <v>1916</v>
      </c>
      <c r="B309" s="9" t="s">
        <v>1917</v>
      </c>
      <c r="C309" s="9" t="s">
        <v>1880</v>
      </c>
      <c r="D309" s="11" t="s">
        <v>1918</v>
      </c>
      <c r="E309" s="10" t="n">
        <v>20.28</v>
      </c>
      <c r="F309" s="9"/>
      <c r="G309" s="9"/>
      <c r="H309" s="9" t="s">
        <v>480</v>
      </c>
      <c r="I309" s="9" t="s">
        <v>481</v>
      </c>
      <c r="J309" s="13" t="n">
        <v>46022</v>
      </c>
      <c r="K309" s="9"/>
      <c r="L309" s="9" t="s">
        <v>1747</v>
      </c>
      <c r="M309" s="9" t="s">
        <v>1748</v>
      </c>
      <c r="N309" s="9" t="s">
        <v>79</v>
      </c>
      <c r="O309" s="9" t="s">
        <v>80</v>
      </c>
      <c r="P309" s="9" t="s">
        <v>81</v>
      </c>
      <c r="Q309" s="9" t="s">
        <v>1919</v>
      </c>
      <c r="R309" s="9" t="s">
        <v>83</v>
      </c>
      <c r="S309" s="11" t="s">
        <v>84</v>
      </c>
      <c r="T309" s="9" t="s">
        <v>1919</v>
      </c>
      <c r="U309" s="11" t="s">
        <v>1287</v>
      </c>
      <c r="V309" s="11" t="s">
        <v>86</v>
      </c>
      <c r="W309" s="11" t="s">
        <v>1920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88</v>
      </c>
    </row>
    <row r="310" customFormat="false" ht="15" hidden="false" customHeight="false" outlineLevel="0" collapsed="false">
      <c r="A310" s="9" t="s">
        <v>1921</v>
      </c>
      <c r="B310" s="9" t="s">
        <v>1922</v>
      </c>
      <c r="C310" s="9" t="s">
        <v>1880</v>
      </c>
      <c r="D310" s="11" t="s">
        <v>1923</v>
      </c>
      <c r="E310" s="10" t="n">
        <v>15</v>
      </c>
      <c r="F310" s="9"/>
      <c r="G310" s="9"/>
      <c r="H310" s="9" t="s">
        <v>480</v>
      </c>
      <c r="I310" s="9" t="s">
        <v>845</v>
      </c>
      <c r="J310" s="9"/>
      <c r="K310" s="11" t="s">
        <v>76</v>
      </c>
      <c r="L310" s="9" t="s">
        <v>1924</v>
      </c>
      <c r="M310" s="9" t="s">
        <v>1925</v>
      </c>
      <c r="N310" s="9" t="s">
        <v>79</v>
      </c>
      <c r="O310" s="9" t="s">
        <v>80</v>
      </c>
      <c r="P310" s="9" t="s">
        <v>81</v>
      </c>
      <c r="Q310" s="9" t="s">
        <v>1749</v>
      </c>
      <c r="R310" s="9" t="s">
        <v>83</v>
      </c>
      <c r="S310" s="11" t="s">
        <v>84</v>
      </c>
      <c r="T310" s="9" t="s">
        <v>1749</v>
      </c>
      <c r="U310" s="11" t="s">
        <v>1287</v>
      </c>
      <c r="V310" s="11" t="s">
        <v>86</v>
      </c>
      <c r="W310" s="11" t="s">
        <v>1926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88</v>
      </c>
    </row>
    <row r="311" customFormat="false" ht="15" hidden="false" customHeight="false" outlineLevel="0" collapsed="false">
      <c r="A311" s="9" t="s">
        <v>1927</v>
      </c>
      <c r="B311" s="9" t="s">
        <v>1928</v>
      </c>
      <c r="C311" s="9" t="s">
        <v>1880</v>
      </c>
      <c r="D311" s="11" t="s">
        <v>1929</v>
      </c>
      <c r="E311" s="10" t="n">
        <v>71</v>
      </c>
      <c r="F311" s="10" t="n">
        <v>71</v>
      </c>
      <c r="G311" s="9"/>
      <c r="H311" s="9" t="s">
        <v>480</v>
      </c>
      <c r="I311" s="9" t="s">
        <v>845</v>
      </c>
      <c r="J311" s="9"/>
      <c r="K311" s="11" t="s">
        <v>76</v>
      </c>
      <c r="L311" s="9" t="s">
        <v>1924</v>
      </c>
      <c r="M311" s="9" t="s">
        <v>1925</v>
      </c>
      <c r="N311" s="9" t="s">
        <v>79</v>
      </c>
      <c r="O311" s="9" t="s">
        <v>80</v>
      </c>
      <c r="P311" s="9" t="s">
        <v>81</v>
      </c>
      <c r="Q311" s="9" t="s">
        <v>1930</v>
      </c>
      <c r="R311" s="9" t="s">
        <v>83</v>
      </c>
      <c r="S311" s="11" t="s">
        <v>84</v>
      </c>
      <c r="T311" s="9" t="s">
        <v>1930</v>
      </c>
      <c r="U311" s="11" t="s">
        <v>1287</v>
      </c>
      <c r="V311" s="11" t="s">
        <v>86</v>
      </c>
      <c r="W311" s="11" t="s">
        <v>1931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88</v>
      </c>
    </row>
    <row r="312" customFormat="false" ht="15" hidden="false" customHeight="false" outlineLevel="0" collapsed="false">
      <c r="A312" s="9" t="s">
        <v>1932</v>
      </c>
      <c r="B312" s="9" t="s">
        <v>1933</v>
      </c>
      <c r="C312" s="9" t="s">
        <v>1880</v>
      </c>
      <c r="D312" s="11" t="s">
        <v>1934</v>
      </c>
      <c r="E312" s="9"/>
      <c r="F312" s="9"/>
      <c r="G312" s="9"/>
      <c r="H312" s="11" t="s">
        <v>1935</v>
      </c>
      <c r="I312" s="9" t="s">
        <v>834</v>
      </c>
      <c r="J312" s="13" t="n">
        <v>46174</v>
      </c>
      <c r="K312" s="9"/>
      <c r="L312" s="9" t="s">
        <v>1936</v>
      </c>
      <c r="M312" s="9" t="s">
        <v>1937</v>
      </c>
      <c r="N312" s="9" t="s">
        <v>834</v>
      </c>
      <c r="O312" s="9" t="s">
        <v>80</v>
      </c>
      <c r="P312" s="9" t="s">
        <v>1127</v>
      </c>
      <c r="Q312" s="9"/>
      <c r="R312" s="9" t="s">
        <v>149</v>
      </c>
      <c r="S312" s="11" t="s">
        <v>1128</v>
      </c>
      <c r="T312" s="11" t="s">
        <v>1129</v>
      </c>
      <c r="U312" s="11" t="s">
        <v>150</v>
      </c>
      <c r="V312" s="11" t="s">
        <v>86</v>
      </c>
      <c r="W312" s="9" t="s">
        <v>1938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88</v>
      </c>
    </row>
    <row r="313" customFormat="false" ht="15" hidden="false" customHeight="false" outlineLevel="0" collapsed="false">
      <c r="A313" s="9" t="s">
        <v>1939</v>
      </c>
      <c r="B313" s="9" t="s">
        <v>1940</v>
      </c>
      <c r="C313" s="9" t="s">
        <v>1880</v>
      </c>
      <c r="D313" s="9" t="s">
        <v>1941</v>
      </c>
      <c r="E313" s="9"/>
      <c r="F313" s="9"/>
      <c r="G313" s="9"/>
      <c r="H313" s="11" t="s">
        <v>1897</v>
      </c>
      <c r="I313" s="9" t="s">
        <v>1009</v>
      </c>
      <c r="J313" s="13" t="n">
        <v>46176</v>
      </c>
      <c r="K313" s="9"/>
      <c r="L313" s="9" t="s">
        <v>1942</v>
      </c>
      <c r="M313" s="9" t="s">
        <v>1943</v>
      </c>
      <c r="N313" s="9" t="s">
        <v>1009</v>
      </c>
      <c r="O313" s="9" t="s">
        <v>80</v>
      </c>
      <c r="P313" s="9" t="s">
        <v>81</v>
      </c>
      <c r="Q313" s="11" t="s">
        <v>1944</v>
      </c>
      <c r="R313" s="9" t="s">
        <v>83</v>
      </c>
      <c r="S313" s="11" t="s">
        <v>84</v>
      </c>
      <c r="T313" s="11" t="s">
        <v>1944</v>
      </c>
      <c r="U313" s="11" t="s">
        <v>85</v>
      </c>
      <c r="V313" s="11" t="s">
        <v>86</v>
      </c>
      <c r="W313" s="11" t="s">
        <v>1945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88</v>
      </c>
    </row>
    <row r="314" customFormat="false" ht="15" hidden="false" customHeight="false" outlineLevel="0" collapsed="false">
      <c r="A314" s="9" t="s">
        <v>1946</v>
      </c>
      <c r="B314" s="9" t="s">
        <v>1947</v>
      </c>
      <c r="C314" s="9" t="s">
        <v>1880</v>
      </c>
      <c r="D314" s="9" t="s">
        <v>1948</v>
      </c>
      <c r="E314" s="10" t="n">
        <v>2000</v>
      </c>
      <c r="F314" s="10" t="n">
        <v>2000</v>
      </c>
      <c r="G314" s="9"/>
      <c r="H314" s="9" t="s">
        <v>480</v>
      </c>
      <c r="I314" s="9" t="s">
        <v>1949</v>
      </c>
      <c r="J314" s="9"/>
      <c r="K314" s="9"/>
      <c r="L314" s="9" t="s">
        <v>1950</v>
      </c>
      <c r="M314" s="9" t="s">
        <v>1748</v>
      </c>
      <c r="N314" s="9" t="s">
        <v>79</v>
      </c>
      <c r="O314" s="9" t="s">
        <v>80</v>
      </c>
      <c r="P314" s="9" t="s">
        <v>81</v>
      </c>
      <c r="Q314" s="11" t="s">
        <v>1951</v>
      </c>
      <c r="R314" s="9" t="s">
        <v>83</v>
      </c>
      <c r="S314" s="11" t="s">
        <v>84</v>
      </c>
      <c r="T314" s="11" t="s">
        <v>1951</v>
      </c>
      <c r="U314" s="11" t="s">
        <v>85</v>
      </c>
      <c r="V314" s="11" t="s">
        <v>86</v>
      </c>
      <c r="W314" s="11" t="s">
        <v>1952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88</v>
      </c>
    </row>
    <row r="315" customFormat="false" ht="15" hidden="false" customHeight="false" outlineLevel="0" collapsed="false">
      <c r="A315" s="9" t="s">
        <v>1953</v>
      </c>
      <c r="B315" s="9" t="s">
        <v>1954</v>
      </c>
      <c r="C315" s="9" t="s">
        <v>1880</v>
      </c>
      <c r="D315" s="11" t="s">
        <v>1955</v>
      </c>
      <c r="E315" s="10" t="n">
        <v>50.1</v>
      </c>
      <c r="F315" s="9"/>
      <c r="G315" s="9"/>
      <c r="H315" s="9" t="s">
        <v>1956</v>
      </c>
      <c r="I315" s="9" t="s">
        <v>845</v>
      </c>
      <c r="J315" s="9"/>
      <c r="K315" s="9"/>
      <c r="L315" s="9" t="s">
        <v>1747</v>
      </c>
      <c r="M315" s="9" t="s">
        <v>1748</v>
      </c>
      <c r="N315" s="9" t="s">
        <v>79</v>
      </c>
      <c r="O315" s="9" t="s">
        <v>80</v>
      </c>
      <c r="P315" s="9" t="s">
        <v>81</v>
      </c>
      <c r="Q315" s="9" t="s">
        <v>1749</v>
      </c>
      <c r="R315" s="9" t="s">
        <v>83</v>
      </c>
      <c r="S315" s="11" t="s">
        <v>84</v>
      </c>
      <c r="T315" s="9" t="s">
        <v>1749</v>
      </c>
      <c r="U315" s="11" t="s">
        <v>1287</v>
      </c>
      <c r="V315" s="11" t="s">
        <v>86</v>
      </c>
      <c r="W315" s="11" t="s">
        <v>1957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88</v>
      </c>
    </row>
    <row r="316" customFormat="false" ht="15" hidden="false" customHeight="false" outlineLevel="0" collapsed="false">
      <c r="A316" s="9" t="s">
        <v>1958</v>
      </c>
      <c r="B316" s="9" t="s">
        <v>1959</v>
      </c>
      <c r="C316" s="9" t="s">
        <v>1880</v>
      </c>
      <c r="D316" s="9" t="s">
        <v>1960</v>
      </c>
      <c r="E316" s="10" t="n">
        <v>13</v>
      </c>
      <c r="F316" s="9"/>
      <c r="G316" s="9"/>
      <c r="H316" s="9" t="s">
        <v>480</v>
      </c>
      <c r="I316" s="9" t="s">
        <v>147</v>
      </c>
      <c r="J316" s="13" t="n">
        <v>45902</v>
      </c>
      <c r="K316" s="11" t="s">
        <v>76</v>
      </c>
      <c r="L316" s="9" t="s">
        <v>145</v>
      </c>
      <c r="M316" s="9" t="s">
        <v>146</v>
      </c>
      <c r="N316" s="9" t="s">
        <v>147</v>
      </c>
      <c r="O316" s="9" t="s">
        <v>80</v>
      </c>
      <c r="P316" s="9" t="s">
        <v>81</v>
      </c>
      <c r="Q316" s="9" t="s">
        <v>148</v>
      </c>
      <c r="R316" s="9" t="s">
        <v>149</v>
      </c>
      <c r="S316" s="11" t="s">
        <v>84</v>
      </c>
      <c r="T316" s="9" t="s">
        <v>148</v>
      </c>
      <c r="U316" s="11" t="s">
        <v>150</v>
      </c>
      <c r="V316" s="11" t="s">
        <v>86</v>
      </c>
      <c r="W316" s="11" t="s">
        <v>1961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88</v>
      </c>
    </row>
    <row r="317" customFormat="false" ht="15" hidden="false" customHeight="false" outlineLevel="0" collapsed="false">
      <c r="A317" s="9" t="s">
        <v>1962</v>
      </c>
      <c r="B317" s="9" t="s">
        <v>1963</v>
      </c>
      <c r="C317" s="9" t="s">
        <v>1880</v>
      </c>
      <c r="D317" s="9" t="s">
        <v>1964</v>
      </c>
      <c r="E317" s="10" t="n">
        <v>183</v>
      </c>
      <c r="F317" s="9"/>
      <c r="G317" s="9"/>
      <c r="H317" s="9" t="s">
        <v>480</v>
      </c>
      <c r="I317" s="9" t="s">
        <v>147</v>
      </c>
      <c r="J317" s="13" t="n">
        <v>45902</v>
      </c>
      <c r="K317" s="9"/>
      <c r="L317" s="9" t="s">
        <v>145</v>
      </c>
      <c r="M317" s="9" t="s">
        <v>146</v>
      </c>
      <c r="N317" s="9" t="s">
        <v>147</v>
      </c>
      <c r="O317" s="9" t="s">
        <v>80</v>
      </c>
      <c r="P317" s="9" t="s">
        <v>81</v>
      </c>
      <c r="Q317" s="9" t="s">
        <v>148</v>
      </c>
      <c r="R317" s="9" t="s">
        <v>149</v>
      </c>
      <c r="S317" s="11" t="s">
        <v>84</v>
      </c>
      <c r="T317" s="9" t="s">
        <v>148</v>
      </c>
      <c r="U317" s="11" t="s">
        <v>150</v>
      </c>
      <c r="V317" s="11" t="s">
        <v>86</v>
      </c>
      <c r="W317" s="11" t="s">
        <v>1965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88</v>
      </c>
    </row>
    <row r="318" customFormat="false" ht="15" hidden="false" customHeight="false" outlineLevel="0" collapsed="false">
      <c r="A318" s="9" t="s">
        <v>1966</v>
      </c>
      <c r="B318" s="9" t="s">
        <v>1967</v>
      </c>
      <c r="C318" s="9" t="s">
        <v>1880</v>
      </c>
      <c r="D318" s="9" t="s">
        <v>1968</v>
      </c>
      <c r="E318" s="10" t="n">
        <v>3.5</v>
      </c>
      <c r="F318" s="9"/>
      <c r="G318" s="9"/>
      <c r="H318" s="9" t="s">
        <v>480</v>
      </c>
      <c r="I318" s="9" t="s">
        <v>1969</v>
      </c>
      <c r="J318" s="13" t="n">
        <v>45719</v>
      </c>
      <c r="K318" s="11" t="s">
        <v>76</v>
      </c>
      <c r="L318" s="9" t="s">
        <v>1970</v>
      </c>
      <c r="M318" s="9" t="s">
        <v>1971</v>
      </c>
      <c r="N318" s="9" t="s">
        <v>1969</v>
      </c>
      <c r="O318" s="9" t="s">
        <v>80</v>
      </c>
      <c r="P318" s="9" t="s">
        <v>81</v>
      </c>
      <c r="Q318" s="9" t="s">
        <v>148</v>
      </c>
      <c r="R318" s="9" t="s">
        <v>149</v>
      </c>
      <c r="S318" s="11" t="s">
        <v>84</v>
      </c>
      <c r="T318" s="9" t="s">
        <v>148</v>
      </c>
      <c r="U318" s="11" t="s">
        <v>150</v>
      </c>
      <c r="V318" s="11" t="s">
        <v>86</v>
      </c>
      <c r="W318" s="11" t="s">
        <v>1972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88</v>
      </c>
    </row>
    <row r="319" customFormat="false" ht="15" hidden="false" customHeight="false" outlineLevel="0" collapsed="false">
      <c r="A319" s="9" t="s">
        <v>1973</v>
      </c>
      <c r="B319" s="9" t="s">
        <v>1974</v>
      </c>
      <c r="C319" s="9" t="s">
        <v>1880</v>
      </c>
      <c r="D319" s="9" t="s">
        <v>1975</v>
      </c>
      <c r="E319" s="10" t="n">
        <v>61.5</v>
      </c>
      <c r="F319" s="9"/>
      <c r="G319" s="9"/>
      <c r="H319" s="9" t="s">
        <v>480</v>
      </c>
      <c r="I319" s="9" t="s">
        <v>1969</v>
      </c>
      <c r="J319" s="13" t="n">
        <v>45719</v>
      </c>
      <c r="K319" s="9"/>
      <c r="L319" s="9" t="s">
        <v>1976</v>
      </c>
      <c r="M319" s="9" t="s">
        <v>1971</v>
      </c>
      <c r="N319" s="9" t="s">
        <v>1969</v>
      </c>
      <c r="O319" s="9" t="s">
        <v>80</v>
      </c>
      <c r="P319" s="9" t="s">
        <v>81</v>
      </c>
      <c r="Q319" s="9" t="s">
        <v>148</v>
      </c>
      <c r="R319" s="9" t="s">
        <v>149</v>
      </c>
      <c r="S319" s="11" t="s">
        <v>84</v>
      </c>
      <c r="T319" s="9" t="s">
        <v>148</v>
      </c>
      <c r="U319" s="11" t="s">
        <v>150</v>
      </c>
      <c r="V319" s="11" t="s">
        <v>86</v>
      </c>
      <c r="W319" s="11" t="s">
        <v>1977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88</v>
      </c>
    </row>
    <row r="320" customFormat="false" ht="15" hidden="false" customHeight="false" outlineLevel="0" collapsed="false">
      <c r="A320" s="9" t="s">
        <v>1978</v>
      </c>
      <c r="B320" s="9" t="s">
        <v>1979</v>
      </c>
      <c r="C320" s="9" t="s">
        <v>1880</v>
      </c>
      <c r="D320" s="9" t="s">
        <v>1980</v>
      </c>
      <c r="E320" s="9"/>
      <c r="F320" s="9"/>
      <c r="G320" s="9"/>
      <c r="H320" s="11" t="s">
        <v>1897</v>
      </c>
      <c r="I320" s="9" t="s">
        <v>216</v>
      </c>
      <c r="J320" s="13" t="n">
        <v>46065</v>
      </c>
      <c r="K320" s="9"/>
      <c r="L320" s="9" t="s">
        <v>446</v>
      </c>
      <c r="M320" s="9" t="s">
        <v>215</v>
      </c>
      <c r="N320" s="9" t="s">
        <v>216</v>
      </c>
      <c r="O320" s="9" t="s">
        <v>80</v>
      </c>
      <c r="P320" s="9" t="s">
        <v>81</v>
      </c>
      <c r="Q320" s="9" t="s">
        <v>148</v>
      </c>
      <c r="R320" s="9" t="s">
        <v>149</v>
      </c>
      <c r="S320" s="11" t="s">
        <v>84</v>
      </c>
      <c r="T320" s="9" t="s">
        <v>148</v>
      </c>
      <c r="U320" s="11" t="s">
        <v>150</v>
      </c>
      <c r="V320" s="11" t="s">
        <v>86</v>
      </c>
      <c r="W320" s="11" t="s">
        <v>1981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88</v>
      </c>
    </row>
    <row r="321" customFormat="false" ht="15" hidden="false" customHeight="false" outlineLevel="0" collapsed="false">
      <c r="A321" s="9" t="s">
        <v>1982</v>
      </c>
      <c r="B321" s="9" t="s">
        <v>1983</v>
      </c>
      <c r="C321" s="9" t="s">
        <v>1880</v>
      </c>
      <c r="D321" s="9" t="s">
        <v>1984</v>
      </c>
      <c r="E321" s="10" t="n">
        <v>8</v>
      </c>
      <c r="F321" s="9"/>
      <c r="G321" s="9"/>
      <c r="H321" s="9" t="s">
        <v>480</v>
      </c>
      <c r="I321" s="9" t="s">
        <v>481</v>
      </c>
      <c r="J321" s="13" t="n">
        <v>46022</v>
      </c>
      <c r="K321" s="11" t="s">
        <v>76</v>
      </c>
      <c r="L321" s="9" t="s">
        <v>1985</v>
      </c>
      <c r="M321" s="9" t="s">
        <v>1986</v>
      </c>
      <c r="N321" s="9" t="s">
        <v>1987</v>
      </c>
      <c r="O321" s="9" t="s">
        <v>80</v>
      </c>
      <c r="P321" s="9" t="s">
        <v>1127</v>
      </c>
      <c r="Q321" s="9"/>
      <c r="R321" s="9" t="s">
        <v>149</v>
      </c>
      <c r="S321" s="11" t="s">
        <v>1128</v>
      </c>
      <c r="T321" s="11" t="s">
        <v>1129</v>
      </c>
      <c r="U321" s="11" t="s">
        <v>150</v>
      </c>
      <c r="V321" s="11" t="s">
        <v>86</v>
      </c>
      <c r="W321" s="11" t="s">
        <v>1988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88</v>
      </c>
    </row>
    <row r="322" customFormat="false" ht="15" hidden="false" customHeight="false" outlineLevel="0" collapsed="false">
      <c r="A322" s="9" t="s">
        <v>1989</v>
      </c>
      <c r="B322" s="9" t="s">
        <v>1990</v>
      </c>
      <c r="C322" s="9" t="s">
        <v>1880</v>
      </c>
      <c r="D322" s="9" t="s">
        <v>1991</v>
      </c>
      <c r="E322" s="10" t="n">
        <v>4</v>
      </c>
      <c r="F322" s="9"/>
      <c r="G322" s="9"/>
      <c r="H322" s="9" t="s">
        <v>480</v>
      </c>
      <c r="I322" s="9" t="s">
        <v>1992</v>
      </c>
      <c r="J322" s="13" t="n">
        <v>45618</v>
      </c>
      <c r="K322" s="11" t="s">
        <v>76</v>
      </c>
      <c r="L322" s="9" t="s">
        <v>1993</v>
      </c>
      <c r="M322" s="9" t="s">
        <v>1994</v>
      </c>
      <c r="N322" s="9" t="s">
        <v>1992</v>
      </c>
      <c r="O322" s="9" t="s">
        <v>80</v>
      </c>
      <c r="P322" s="9" t="s">
        <v>81</v>
      </c>
      <c r="Q322" s="9" t="s">
        <v>148</v>
      </c>
      <c r="R322" s="9" t="s">
        <v>149</v>
      </c>
      <c r="S322" s="11" t="s">
        <v>84</v>
      </c>
      <c r="T322" s="9" t="s">
        <v>148</v>
      </c>
      <c r="U322" s="11" t="s">
        <v>150</v>
      </c>
      <c r="V322" s="11" t="s">
        <v>86</v>
      </c>
      <c r="W322" s="11" t="s">
        <v>1995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88</v>
      </c>
    </row>
    <row r="323" customFormat="false" ht="15" hidden="false" customHeight="false" outlineLevel="0" collapsed="false">
      <c r="A323" s="9" t="s">
        <v>1996</v>
      </c>
      <c r="B323" s="9" t="s">
        <v>1997</v>
      </c>
      <c r="C323" s="9" t="s">
        <v>1880</v>
      </c>
      <c r="D323" s="9" t="s">
        <v>1998</v>
      </c>
      <c r="E323" s="10" t="n">
        <v>5</v>
      </c>
      <c r="F323" s="9"/>
      <c r="G323" s="9"/>
      <c r="H323" s="9" t="s">
        <v>480</v>
      </c>
      <c r="I323" s="9" t="s">
        <v>119</v>
      </c>
      <c r="J323" s="9"/>
      <c r="K323" s="11" t="s">
        <v>76</v>
      </c>
      <c r="L323" s="9" t="s">
        <v>1999</v>
      </c>
      <c r="M323" s="9" t="s">
        <v>2000</v>
      </c>
      <c r="N323" s="9" t="s">
        <v>2001</v>
      </c>
      <c r="O323" s="9" t="s">
        <v>80</v>
      </c>
      <c r="P323" s="9" t="s">
        <v>1127</v>
      </c>
      <c r="Q323" s="9"/>
      <c r="R323" s="9" t="s">
        <v>149</v>
      </c>
      <c r="S323" s="11" t="s">
        <v>1128</v>
      </c>
      <c r="T323" s="11" t="s">
        <v>1129</v>
      </c>
      <c r="U323" s="11" t="s">
        <v>150</v>
      </c>
      <c r="V323" s="11" t="s">
        <v>86</v>
      </c>
      <c r="W323" s="11" t="s">
        <v>2002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88</v>
      </c>
    </row>
    <row r="324" customFormat="false" ht="15" hidden="false" customHeight="false" outlineLevel="0" collapsed="false">
      <c r="A324" s="9" t="s">
        <v>2003</v>
      </c>
      <c r="B324" s="9" t="s">
        <v>2004</v>
      </c>
      <c r="C324" s="9" t="s">
        <v>1880</v>
      </c>
      <c r="D324" s="9" t="s">
        <v>2005</v>
      </c>
      <c r="E324" s="10" t="n">
        <v>5</v>
      </c>
      <c r="F324" s="9"/>
      <c r="G324" s="9"/>
      <c r="H324" s="9" t="s">
        <v>480</v>
      </c>
      <c r="I324" s="9" t="s">
        <v>119</v>
      </c>
      <c r="J324" s="9"/>
      <c r="K324" s="11" t="s">
        <v>76</v>
      </c>
      <c r="L324" s="9" t="s">
        <v>1999</v>
      </c>
      <c r="M324" s="9" t="s">
        <v>2000</v>
      </c>
      <c r="N324" s="9" t="s">
        <v>2001</v>
      </c>
      <c r="O324" s="9" t="s">
        <v>80</v>
      </c>
      <c r="P324" s="9" t="s">
        <v>1127</v>
      </c>
      <c r="Q324" s="9"/>
      <c r="R324" s="9" t="s">
        <v>149</v>
      </c>
      <c r="S324" s="11" t="s">
        <v>1128</v>
      </c>
      <c r="T324" s="11" t="s">
        <v>1129</v>
      </c>
      <c r="U324" s="11" t="s">
        <v>150</v>
      </c>
      <c r="V324" s="11" t="s">
        <v>86</v>
      </c>
      <c r="W324" s="9" t="s">
        <v>2006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88</v>
      </c>
    </row>
    <row r="325" customFormat="false" ht="15" hidden="false" customHeight="false" outlineLevel="0" collapsed="false">
      <c r="A325" s="9" t="s">
        <v>2007</v>
      </c>
      <c r="B325" s="9" t="s">
        <v>2008</v>
      </c>
      <c r="C325" s="9" t="s">
        <v>1880</v>
      </c>
      <c r="D325" s="9" t="s">
        <v>2009</v>
      </c>
      <c r="E325" s="10" t="n">
        <v>20</v>
      </c>
      <c r="F325" s="9"/>
      <c r="G325" s="9"/>
      <c r="H325" s="9" t="s">
        <v>480</v>
      </c>
      <c r="I325" s="9" t="s">
        <v>227</v>
      </c>
      <c r="J325" s="9"/>
      <c r="K325" s="11" t="s">
        <v>76</v>
      </c>
      <c r="L325" s="9" t="s">
        <v>2010</v>
      </c>
      <c r="M325" s="9" t="s">
        <v>1986</v>
      </c>
      <c r="N325" s="9" t="s">
        <v>1987</v>
      </c>
      <c r="O325" s="9" t="s">
        <v>80</v>
      </c>
      <c r="P325" s="9" t="s">
        <v>1127</v>
      </c>
      <c r="Q325" s="9"/>
      <c r="R325" s="9" t="s">
        <v>149</v>
      </c>
      <c r="S325" s="11" t="s">
        <v>1128</v>
      </c>
      <c r="T325" s="11" t="s">
        <v>1129</v>
      </c>
      <c r="U325" s="11" t="s">
        <v>150</v>
      </c>
      <c r="V325" s="11" t="s">
        <v>86</v>
      </c>
      <c r="W325" s="11" t="s">
        <v>2011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88</v>
      </c>
    </row>
    <row r="326" customFormat="false" ht="15" hidden="false" customHeight="false" outlineLevel="0" collapsed="false">
      <c r="A326" s="9" t="s">
        <v>2012</v>
      </c>
      <c r="B326" s="9" t="s">
        <v>2013</v>
      </c>
      <c r="C326" s="9" t="s">
        <v>1880</v>
      </c>
      <c r="D326" s="9" t="s">
        <v>2014</v>
      </c>
      <c r="E326" s="10" t="n">
        <v>15</v>
      </c>
      <c r="F326" s="9"/>
      <c r="G326" s="9"/>
      <c r="H326" s="9" t="s">
        <v>480</v>
      </c>
      <c r="I326" s="9" t="s">
        <v>677</v>
      </c>
      <c r="J326" s="13" t="n">
        <v>46203</v>
      </c>
      <c r="K326" s="11" t="s">
        <v>76</v>
      </c>
      <c r="L326" s="9" t="s">
        <v>1999</v>
      </c>
      <c r="M326" s="9" t="s">
        <v>2000</v>
      </c>
      <c r="N326" s="9" t="s">
        <v>2001</v>
      </c>
      <c r="O326" s="9" t="s">
        <v>80</v>
      </c>
      <c r="P326" s="9" t="s">
        <v>1127</v>
      </c>
      <c r="Q326" s="9"/>
      <c r="R326" s="9" t="s">
        <v>149</v>
      </c>
      <c r="S326" s="11" t="s">
        <v>1128</v>
      </c>
      <c r="T326" s="11" t="s">
        <v>1129</v>
      </c>
      <c r="U326" s="11" t="s">
        <v>150</v>
      </c>
      <c r="V326" s="11" t="s">
        <v>86</v>
      </c>
      <c r="W326" s="11" t="s">
        <v>2015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88</v>
      </c>
    </row>
    <row r="327" customFormat="false" ht="15" hidden="false" customHeight="false" outlineLevel="0" collapsed="false">
      <c r="A327" s="9" t="s">
        <v>2016</v>
      </c>
      <c r="B327" s="9" t="s">
        <v>2017</v>
      </c>
      <c r="C327" s="9" t="s">
        <v>1880</v>
      </c>
      <c r="D327" s="9" t="s">
        <v>2018</v>
      </c>
      <c r="E327" s="9" t="n">
        <f aca="false">SRC_ANT_317+SRC_ANT_319+SRC_ANT_320</f>
        <v>18</v>
      </c>
      <c r="F327" s="9"/>
      <c r="G327" s="9"/>
      <c r="H327" s="9" t="s">
        <v>480</v>
      </c>
      <c r="I327" s="9" t="s">
        <v>677</v>
      </c>
      <c r="J327" s="13" t="n">
        <v>46203</v>
      </c>
      <c r="K327" s="11" t="s">
        <v>76</v>
      </c>
      <c r="L327" s="9" t="s">
        <v>2019</v>
      </c>
      <c r="M327" s="9" t="s">
        <v>2000</v>
      </c>
      <c r="N327" s="9" t="s">
        <v>2001</v>
      </c>
      <c r="O327" s="9" t="s">
        <v>80</v>
      </c>
      <c r="P327" s="9" t="s">
        <v>100</v>
      </c>
      <c r="Q327" s="9"/>
      <c r="R327" s="11" t="s">
        <v>101</v>
      </c>
      <c r="S327" s="11" t="s">
        <v>102</v>
      </c>
      <c r="T327" s="11" t="s">
        <v>103</v>
      </c>
      <c r="U327" s="11" t="s">
        <v>102</v>
      </c>
      <c r="V327" s="9" t="s">
        <v>104</v>
      </c>
      <c r="W327" s="11" t="s">
        <v>2020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88</v>
      </c>
    </row>
    <row r="328" customFormat="false" ht="15" hidden="false" customHeight="false" outlineLevel="0" collapsed="false">
      <c r="A328" s="9" t="s">
        <v>2021</v>
      </c>
      <c r="B328" s="9" t="s">
        <v>2022</v>
      </c>
      <c r="C328" s="9" t="s">
        <v>1880</v>
      </c>
      <c r="D328" s="9" t="s">
        <v>2023</v>
      </c>
      <c r="E328" s="10" t="n">
        <v>25</v>
      </c>
      <c r="F328" s="10" t="n">
        <v>5</v>
      </c>
      <c r="G328" s="10" t="n">
        <v>25</v>
      </c>
      <c r="H328" s="9" t="s">
        <v>480</v>
      </c>
      <c r="I328" s="9" t="s">
        <v>988</v>
      </c>
      <c r="J328" s="13" t="n">
        <v>46132</v>
      </c>
      <c r="K328" s="11" t="s">
        <v>76</v>
      </c>
      <c r="L328" s="9" t="s">
        <v>2024</v>
      </c>
      <c r="M328" s="9" t="s">
        <v>2025</v>
      </c>
      <c r="N328" s="9" t="s">
        <v>988</v>
      </c>
      <c r="O328" s="9" t="s">
        <v>80</v>
      </c>
      <c r="P328" s="9" t="s">
        <v>81</v>
      </c>
      <c r="Q328" s="9" t="s">
        <v>2026</v>
      </c>
      <c r="R328" s="11" t="s">
        <v>101</v>
      </c>
      <c r="S328" s="11" t="s">
        <v>84</v>
      </c>
      <c r="T328" s="9" t="s">
        <v>2026</v>
      </c>
      <c r="U328" s="11" t="s">
        <v>101</v>
      </c>
      <c r="V328" s="11" t="s">
        <v>86</v>
      </c>
      <c r="W328" s="11" t="s">
        <v>2027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88</v>
      </c>
    </row>
    <row r="329" customFormat="false" ht="15" hidden="false" customHeight="false" outlineLevel="0" collapsed="false">
      <c r="A329" s="9" t="s">
        <v>2028</v>
      </c>
      <c r="B329" s="9" t="s">
        <v>2029</v>
      </c>
      <c r="C329" s="9" t="s">
        <v>1880</v>
      </c>
      <c r="D329" s="9" t="s">
        <v>2030</v>
      </c>
      <c r="E329" s="10" t="n">
        <v>92.5</v>
      </c>
      <c r="F329" s="9"/>
      <c r="G329" s="9"/>
      <c r="H329" s="9" t="s">
        <v>480</v>
      </c>
      <c r="I329" s="9" t="s">
        <v>677</v>
      </c>
      <c r="J329" s="13" t="n">
        <v>46203</v>
      </c>
      <c r="K329" s="9"/>
      <c r="L329" s="9" t="s">
        <v>1999</v>
      </c>
      <c r="M329" s="9" t="s">
        <v>2000</v>
      </c>
      <c r="N329" s="9" t="s">
        <v>2001</v>
      </c>
      <c r="O329" s="9" t="s">
        <v>80</v>
      </c>
      <c r="P329" s="9" t="s">
        <v>1127</v>
      </c>
      <c r="Q329" s="9"/>
      <c r="R329" s="9" t="s">
        <v>149</v>
      </c>
      <c r="S329" s="11" t="s">
        <v>1128</v>
      </c>
      <c r="T329" s="11" t="s">
        <v>1129</v>
      </c>
      <c r="U329" s="11" t="s">
        <v>150</v>
      </c>
      <c r="V329" s="11" t="s">
        <v>86</v>
      </c>
      <c r="W329" s="9" t="s">
        <v>2031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88</v>
      </c>
    </row>
    <row r="330" customFormat="false" ht="15" hidden="false" customHeight="false" outlineLevel="0" collapsed="false">
      <c r="A330" s="9" t="s">
        <v>2032</v>
      </c>
      <c r="B330" s="9" t="s">
        <v>2033</v>
      </c>
      <c r="C330" s="9" t="s">
        <v>1880</v>
      </c>
      <c r="D330" s="9" t="s">
        <v>2034</v>
      </c>
      <c r="E330" s="10" t="n">
        <v>97.9</v>
      </c>
      <c r="F330" s="9"/>
      <c r="G330" s="9"/>
      <c r="H330" s="9" t="s">
        <v>480</v>
      </c>
      <c r="I330" s="9" t="s">
        <v>677</v>
      </c>
      <c r="J330" s="13" t="n">
        <v>46203</v>
      </c>
      <c r="K330" s="9"/>
      <c r="L330" s="9" t="s">
        <v>1999</v>
      </c>
      <c r="M330" s="9" t="s">
        <v>2000</v>
      </c>
      <c r="N330" s="9" t="s">
        <v>2001</v>
      </c>
      <c r="O330" s="9" t="s">
        <v>80</v>
      </c>
      <c r="P330" s="9" t="s">
        <v>1127</v>
      </c>
      <c r="Q330" s="9"/>
      <c r="R330" s="9" t="s">
        <v>149</v>
      </c>
      <c r="S330" s="11" t="s">
        <v>1128</v>
      </c>
      <c r="T330" s="11" t="s">
        <v>1129</v>
      </c>
      <c r="U330" s="11" t="s">
        <v>150</v>
      </c>
      <c r="V330" s="11" t="s">
        <v>86</v>
      </c>
      <c r="W330" s="9" t="s">
        <v>2035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88</v>
      </c>
    </row>
    <row r="331" customFormat="false" ht="15" hidden="false" customHeight="false" outlineLevel="0" collapsed="false">
      <c r="A331" s="9" t="s">
        <v>2036</v>
      </c>
      <c r="B331" s="9" t="s">
        <v>2037</v>
      </c>
      <c r="C331" s="9" t="s">
        <v>1880</v>
      </c>
      <c r="D331" s="9" t="s">
        <v>2038</v>
      </c>
      <c r="E331" s="10" t="n">
        <v>3</v>
      </c>
      <c r="F331" s="10" t="n">
        <v>3</v>
      </c>
      <c r="G331" s="9"/>
      <c r="H331" s="9" t="s">
        <v>480</v>
      </c>
      <c r="I331" s="9" t="s">
        <v>2039</v>
      </c>
      <c r="J331" s="9"/>
      <c r="K331" s="11" t="s">
        <v>76</v>
      </c>
      <c r="L331" s="9" t="s">
        <v>2040</v>
      </c>
      <c r="M331" s="9" t="s">
        <v>2041</v>
      </c>
      <c r="N331" s="9" t="s">
        <v>2042</v>
      </c>
      <c r="O331" s="9" t="s">
        <v>80</v>
      </c>
      <c r="P331" s="9" t="s">
        <v>1127</v>
      </c>
      <c r="Q331" s="9"/>
      <c r="R331" s="9" t="s">
        <v>83</v>
      </c>
      <c r="S331" s="11" t="s">
        <v>1128</v>
      </c>
      <c r="T331" s="11" t="s">
        <v>1129</v>
      </c>
      <c r="U331" s="11" t="s">
        <v>85</v>
      </c>
      <c r="V331" s="11" t="s">
        <v>86</v>
      </c>
      <c r="W331" s="11" t="s">
        <v>2043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88</v>
      </c>
    </row>
    <row r="332" customFormat="false" ht="15" hidden="false" customHeight="false" outlineLevel="0" collapsed="false">
      <c r="A332" s="9" t="s">
        <v>2044</v>
      </c>
      <c r="B332" s="9" t="s">
        <v>2045</v>
      </c>
      <c r="C332" s="9" t="s">
        <v>1880</v>
      </c>
      <c r="D332" s="9" t="s">
        <v>2046</v>
      </c>
      <c r="E332" s="10" t="n">
        <v>10</v>
      </c>
      <c r="F332" s="9"/>
      <c r="G332" s="9"/>
      <c r="H332" s="9" t="s">
        <v>480</v>
      </c>
      <c r="I332" s="9" t="s">
        <v>2047</v>
      </c>
      <c r="J332" s="13" t="n">
        <v>46136</v>
      </c>
      <c r="K332" s="11" t="s">
        <v>76</v>
      </c>
      <c r="L332" s="9" t="s">
        <v>2048</v>
      </c>
      <c r="M332" s="9" t="s">
        <v>2049</v>
      </c>
      <c r="N332" s="9" t="s">
        <v>2047</v>
      </c>
      <c r="O332" s="9" t="s">
        <v>80</v>
      </c>
      <c r="P332" s="9" t="s">
        <v>81</v>
      </c>
      <c r="Q332" s="9" t="s">
        <v>2050</v>
      </c>
      <c r="R332" s="9" t="s">
        <v>83</v>
      </c>
      <c r="S332" s="11" t="s">
        <v>84</v>
      </c>
      <c r="T332" s="9" t="s">
        <v>2050</v>
      </c>
      <c r="U332" s="11" t="s">
        <v>85</v>
      </c>
      <c r="V332" s="11" t="s">
        <v>86</v>
      </c>
      <c r="W332" s="11" t="s">
        <v>2051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88</v>
      </c>
    </row>
    <row r="333" customFormat="false" ht="15" hidden="false" customHeight="false" outlineLevel="0" collapsed="false">
      <c r="A333" s="9" t="s">
        <v>2052</v>
      </c>
      <c r="B333" s="9" t="s">
        <v>2053</v>
      </c>
      <c r="C333" s="9" t="s">
        <v>1880</v>
      </c>
      <c r="D333" s="9" t="s">
        <v>2054</v>
      </c>
      <c r="E333" s="10" t="n">
        <v>30</v>
      </c>
      <c r="F333" s="10" t="n">
        <v>0</v>
      </c>
      <c r="G333" s="10" t="n">
        <v>30</v>
      </c>
      <c r="H333" s="9" t="s">
        <v>480</v>
      </c>
      <c r="I333" s="9" t="s">
        <v>2047</v>
      </c>
      <c r="J333" s="13" t="n">
        <v>46136</v>
      </c>
      <c r="K333" s="11" t="s">
        <v>76</v>
      </c>
      <c r="L333" s="9" t="s">
        <v>2055</v>
      </c>
      <c r="M333" s="9" t="s">
        <v>2049</v>
      </c>
      <c r="N333" s="9" t="s">
        <v>2047</v>
      </c>
      <c r="O333" s="9" t="s">
        <v>80</v>
      </c>
      <c r="P333" s="9" t="s">
        <v>81</v>
      </c>
      <c r="Q333" s="9" t="s">
        <v>2050</v>
      </c>
      <c r="R333" s="9" t="s">
        <v>83</v>
      </c>
      <c r="S333" s="11" t="s">
        <v>84</v>
      </c>
      <c r="T333" s="9" t="s">
        <v>2050</v>
      </c>
      <c r="U333" s="11" t="s">
        <v>85</v>
      </c>
      <c r="V333" s="11" t="s">
        <v>86</v>
      </c>
      <c r="W333" s="11" t="s">
        <v>2056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88</v>
      </c>
    </row>
    <row r="334" customFormat="false" ht="15" hidden="false" customHeight="false" outlineLevel="0" collapsed="false">
      <c r="A334" s="9" t="s">
        <v>2057</v>
      </c>
      <c r="B334" s="9" t="s">
        <v>2058</v>
      </c>
      <c r="C334" s="9" t="s">
        <v>1880</v>
      </c>
      <c r="D334" s="9" t="s">
        <v>2059</v>
      </c>
      <c r="E334" s="10" t="n">
        <v>15</v>
      </c>
      <c r="F334" s="9"/>
      <c r="G334" s="10" t="n">
        <v>15</v>
      </c>
      <c r="H334" s="9" t="s">
        <v>480</v>
      </c>
      <c r="I334" s="9" t="s">
        <v>1271</v>
      </c>
      <c r="J334" s="13" t="n">
        <v>45979</v>
      </c>
      <c r="K334" s="11" t="s">
        <v>76</v>
      </c>
      <c r="L334" s="9" t="s">
        <v>2060</v>
      </c>
      <c r="M334" s="9" t="s">
        <v>1270</v>
      </c>
      <c r="N334" s="9" t="s">
        <v>1271</v>
      </c>
      <c r="O334" s="9" t="s">
        <v>80</v>
      </c>
      <c r="P334" s="9" t="s">
        <v>81</v>
      </c>
      <c r="Q334" s="9" t="s">
        <v>2061</v>
      </c>
      <c r="R334" s="9" t="s">
        <v>149</v>
      </c>
      <c r="S334" s="11" t="s">
        <v>84</v>
      </c>
      <c r="T334" s="9" t="s">
        <v>2061</v>
      </c>
      <c r="U334" s="11" t="s">
        <v>150</v>
      </c>
      <c r="V334" s="11" t="s">
        <v>86</v>
      </c>
      <c r="W334" s="11" t="s">
        <v>2062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88</v>
      </c>
    </row>
    <row r="335" customFormat="false" ht="15" hidden="false" customHeight="false" outlineLevel="0" collapsed="false">
      <c r="A335" s="9" t="s">
        <v>2063</v>
      </c>
      <c r="B335" s="9" t="s">
        <v>2064</v>
      </c>
      <c r="C335" s="9" t="s">
        <v>1880</v>
      </c>
      <c r="D335" s="9" t="s">
        <v>2065</v>
      </c>
      <c r="E335" s="10" t="n">
        <v>5</v>
      </c>
      <c r="F335" s="9"/>
      <c r="G335" s="9"/>
      <c r="H335" s="9" t="s">
        <v>480</v>
      </c>
      <c r="I335" s="9" t="s">
        <v>2066</v>
      </c>
      <c r="J335" s="9"/>
      <c r="K335" s="11" t="s">
        <v>76</v>
      </c>
      <c r="L335" s="9" t="s">
        <v>2067</v>
      </c>
      <c r="M335" s="9" t="s">
        <v>2068</v>
      </c>
      <c r="N335" s="9" t="s">
        <v>2069</v>
      </c>
      <c r="O335" s="9" t="s">
        <v>80</v>
      </c>
      <c r="P335" s="9" t="s">
        <v>81</v>
      </c>
      <c r="Q335" s="11" t="s">
        <v>2070</v>
      </c>
      <c r="R335" s="9" t="s">
        <v>83</v>
      </c>
      <c r="S335" s="11" t="s">
        <v>84</v>
      </c>
      <c r="T335" s="11" t="s">
        <v>2070</v>
      </c>
      <c r="U335" s="11" t="s">
        <v>85</v>
      </c>
      <c r="V335" s="11" t="s">
        <v>86</v>
      </c>
      <c r="W335" s="11" t="s">
        <v>2071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88</v>
      </c>
    </row>
    <row r="336" customFormat="false" ht="15" hidden="false" customHeight="false" outlineLevel="0" collapsed="false">
      <c r="A336" s="9" t="s">
        <v>2072</v>
      </c>
      <c r="B336" s="9" t="s">
        <v>2073</v>
      </c>
      <c r="C336" s="9" t="s">
        <v>1880</v>
      </c>
      <c r="D336" s="9" t="s">
        <v>2074</v>
      </c>
      <c r="E336" s="10" t="n">
        <v>5</v>
      </c>
      <c r="F336" s="9"/>
      <c r="G336" s="10" t="n">
        <v>5</v>
      </c>
      <c r="H336" s="9" t="s">
        <v>480</v>
      </c>
      <c r="I336" s="9" t="s">
        <v>845</v>
      </c>
      <c r="J336" s="9"/>
      <c r="K336" s="11" t="s">
        <v>76</v>
      </c>
      <c r="L336" s="9" t="s">
        <v>1747</v>
      </c>
      <c r="M336" s="9" t="s">
        <v>1748</v>
      </c>
      <c r="N336" s="9" t="s">
        <v>79</v>
      </c>
      <c r="O336" s="9" t="s">
        <v>80</v>
      </c>
      <c r="P336" s="9" t="s">
        <v>81</v>
      </c>
      <c r="Q336" s="9" t="s">
        <v>1749</v>
      </c>
      <c r="R336" s="9" t="s">
        <v>83</v>
      </c>
      <c r="S336" s="11" t="s">
        <v>84</v>
      </c>
      <c r="T336" s="9" t="s">
        <v>1749</v>
      </c>
      <c r="U336" s="11" t="s">
        <v>1287</v>
      </c>
      <c r="V336" s="11" t="s">
        <v>86</v>
      </c>
      <c r="W336" s="11" t="s">
        <v>2075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88</v>
      </c>
    </row>
    <row r="337" customFormat="false" ht="15" hidden="false" customHeight="false" outlineLevel="0" collapsed="false">
      <c r="A337" s="9" t="s">
        <v>2076</v>
      </c>
      <c r="B337" s="9" t="s">
        <v>2077</v>
      </c>
      <c r="C337" s="9" t="s">
        <v>1880</v>
      </c>
      <c r="D337" s="9" t="s">
        <v>2078</v>
      </c>
      <c r="E337" s="10" t="n">
        <v>10</v>
      </c>
      <c r="F337" s="9"/>
      <c r="G337" s="10" t="n">
        <v>10</v>
      </c>
      <c r="H337" s="9" t="s">
        <v>480</v>
      </c>
      <c r="I337" s="9" t="s">
        <v>2079</v>
      </c>
      <c r="J337" s="13" t="n">
        <v>46276</v>
      </c>
      <c r="K337" s="11" t="s">
        <v>76</v>
      </c>
      <c r="L337" s="9" t="s">
        <v>2080</v>
      </c>
      <c r="M337" s="9" t="s">
        <v>2081</v>
      </c>
      <c r="N337" s="9" t="s">
        <v>397</v>
      </c>
      <c r="O337" s="9" t="s">
        <v>80</v>
      </c>
      <c r="P337" s="9" t="s">
        <v>81</v>
      </c>
      <c r="Q337" s="11" t="s">
        <v>2082</v>
      </c>
      <c r="R337" s="9" t="s">
        <v>83</v>
      </c>
      <c r="S337" s="11" t="s">
        <v>84</v>
      </c>
      <c r="T337" s="11" t="s">
        <v>2082</v>
      </c>
      <c r="U337" s="11" t="s">
        <v>85</v>
      </c>
      <c r="V337" s="11" t="s">
        <v>86</v>
      </c>
      <c r="W337" s="11" t="s">
        <v>2083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88</v>
      </c>
    </row>
    <row r="338" customFormat="false" ht="15" hidden="false" customHeight="false" outlineLevel="0" collapsed="false">
      <c r="A338" s="9" t="s">
        <v>2084</v>
      </c>
      <c r="B338" s="9" t="s">
        <v>2085</v>
      </c>
      <c r="C338" s="9" t="s">
        <v>1880</v>
      </c>
      <c r="D338" s="9" t="s">
        <v>2086</v>
      </c>
      <c r="E338" s="10" t="n">
        <v>56.09</v>
      </c>
      <c r="F338" s="9"/>
      <c r="G338" s="9"/>
      <c r="H338" s="9" t="s">
        <v>2087</v>
      </c>
      <c r="I338" s="9" t="s">
        <v>172</v>
      </c>
      <c r="J338" s="9"/>
      <c r="K338" s="9"/>
      <c r="L338" s="9" t="s">
        <v>2088</v>
      </c>
      <c r="M338" s="9" t="s">
        <v>2089</v>
      </c>
      <c r="N338" s="9" t="s">
        <v>2090</v>
      </c>
      <c r="O338" s="9" t="s">
        <v>80</v>
      </c>
      <c r="P338" s="9" t="s">
        <v>81</v>
      </c>
      <c r="Q338" s="11" t="s">
        <v>2091</v>
      </c>
      <c r="R338" s="9" t="s">
        <v>83</v>
      </c>
      <c r="S338" s="11" t="s">
        <v>84</v>
      </c>
      <c r="T338" s="11" t="s">
        <v>2091</v>
      </c>
      <c r="U338" s="11" t="s">
        <v>85</v>
      </c>
      <c r="V338" s="11" t="s">
        <v>86</v>
      </c>
      <c r="W338" s="11" t="s">
        <v>2092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88</v>
      </c>
    </row>
    <row r="339" customFormat="false" ht="15" hidden="false" customHeight="false" outlineLevel="0" collapsed="false">
      <c r="A339" s="9" t="s">
        <v>2093</v>
      </c>
      <c r="B339" s="9" t="s">
        <v>2094</v>
      </c>
      <c r="C339" s="9" t="s">
        <v>1880</v>
      </c>
      <c r="D339" s="9" t="s">
        <v>2095</v>
      </c>
      <c r="E339" s="9"/>
      <c r="F339" s="10" t="n">
        <v>5</v>
      </c>
      <c r="G339" s="10" t="n">
        <v>6</v>
      </c>
      <c r="H339" s="9" t="s">
        <v>480</v>
      </c>
      <c r="I339" s="9" t="s">
        <v>213</v>
      </c>
      <c r="J339" s="9"/>
      <c r="K339" s="11" t="s">
        <v>76</v>
      </c>
      <c r="L339" s="9" t="s">
        <v>2096</v>
      </c>
      <c r="M339" s="9" t="s">
        <v>2097</v>
      </c>
      <c r="N339" s="9" t="s">
        <v>2098</v>
      </c>
      <c r="O339" s="9" t="s">
        <v>80</v>
      </c>
      <c r="P339" s="9" t="s">
        <v>81</v>
      </c>
      <c r="Q339" s="11" t="s">
        <v>2091</v>
      </c>
      <c r="R339" s="9" t="s">
        <v>83</v>
      </c>
      <c r="S339" s="11" t="s">
        <v>84</v>
      </c>
      <c r="T339" s="11" t="s">
        <v>2091</v>
      </c>
      <c r="U339" s="11" t="s">
        <v>85</v>
      </c>
      <c r="V339" s="11" t="s">
        <v>86</v>
      </c>
      <c r="W339" s="11" t="s">
        <v>2099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88</v>
      </c>
    </row>
    <row r="340" customFormat="false" ht="15" hidden="false" customHeight="false" outlineLevel="0" collapsed="false">
      <c r="A340" s="9" t="s">
        <v>2100</v>
      </c>
      <c r="B340" s="9" t="s">
        <v>2101</v>
      </c>
      <c r="C340" s="9" t="s">
        <v>1880</v>
      </c>
      <c r="D340" s="9" t="s">
        <v>2102</v>
      </c>
      <c r="E340" s="9"/>
      <c r="F340" s="9"/>
      <c r="G340" s="10" t="n">
        <v>6</v>
      </c>
      <c r="H340" s="9" t="s">
        <v>480</v>
      </c>
      <c r="I340" s="9" t="s">
        <v>227</v>
      </c>
      <c r="J340" s="9"/>
      <c r="K340" s="11" t="s">
        <v>76</v>
      </c>
      <c r="L340" s="9" t="s">
        <v>2103</v>
      </c>
      <c r="M340" s="9" t="s">
        <v>2104</v>
      </c>
      <c r="N340" s="9" t="s">
        <v>2105</v>
      </c>
      <c r="O340" s="9" t="s">
        <v>80</v>
      </c>
      <c r="P340" s="9" t="s">
        <v>81</v>
      </c>
      <c r="Q340" s="11" t="s">
        <v>2106</v>
      </c>
      <c r="R340" s="9" t="s">
        <v>83</v>
      </c>
      <c r="S340" s="11" t="s">
        <v>84</v>
      </c>
      <c r="T340" s="11" t="s">
        <v>2106</v>
      </c>
      <c r="U340" s="11" t="s">
        <v>85</v>
      </c>
      <c r="V340" s="11" t="s">
        <v>86</v>
      </c>
      <c r="W340" s="11" t="s">
        <v>2107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88</v>
      </c>
    </row>
    <row r="341" customFormat="false" ht="15" hidden="false" customHeight="false" outlineLevel="0" collapsed="false">
      <c r="A341" s="9" t="s">
        <v>2108</v>
      </c>
      <c r="B341" s="9" t="s">
        <v>2109</v>
      </c>
      <c r="C341" s="9" t="s">
        <v>1880</v>
      </c>
      <c r="D341" s="9" t="s">
        <v>2110</v>
      </c>
      <c r="E341" s="10" t="n">
        <v>0.45</v>
      </c>
      <c r="F341" s="9"/>
      <c r="G341" s="9"/>
      <c r="H341" s="9" t="s">
        <v>480</v>
      </c>
      <c r="I341" s="9" t="s">
        <v>2111</v>
      </c>
      <c r="J341" s="13" t="n">
        <v>45069</v>
      </c>
      <c r="K341" s="11" t="s">
        <v>76</v>
      </c>
      <c r="L341" s="9" t="s">
        <v>2112</v>
      </c>
      <c r="M341" s="9" t="s">
        <v>2113</v>
      </c>
      <c r="N341" s="9" t="s">
        <v>2111</v>
      </c>
      <c r="O341" s="9" t="s">
        <v>80</v>
      </c>
      <c r="P341" s="9" t="s">
        <v>81</v>
      </c>
      <c r="Q341" s="9" t="s">
        <v>148</v>
      </c>
      <c r="R341" s="9" t="s">
        <v>149</v>
      </c>
      <c r="S341" s="11" t="s">
        <v>84</v>
      </c>
      <c r="T341" s="9" t="s">
        <v>148</v>
      </c>
      <c r="U341" s="11" t="s">
        <v>150</v>
      </c>
      <c r="V341" s="11" t="s">
        <v>86</v>
      </c>
      <c r="W341" s="11" t="s">
        <v>2114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88</v>
      </c>
    </row>
    <row r="342" customFormat="false" ht="15" hidden="false" customHeight="false" outlineLevel="0" collapsed="false">
      <c r="A342" s="9" t="s">
        <v>2115</v>
      </c>
      <c r="B342" s="9" t="s">
        <v>2116</v>
      </c>
      <c r="C342" s="9" t="s">
        <v>1880</v>
      </c>
      <c r="D342" s="9" t="s">
        <v>2117</v>
      </c>
      <c r="E342" s="10" t="n">
        <v>0.75</v>
      </c>
      <c r="F342" s="9"/>
      <c r="G342" s="9"/>
      <c r="H342" s="9" t="s">
        <v>480</v>
      </c>
      <c r="I342" s="9" t="s">
        <v>2118</v>
      </c>
      <c r="J342" s="9"/>
      <c r="K342" s="11" t="s">
        <v>76</v>
      </c>
      <c r="L342" s="9" t="s">
        <v>2119</v>
      </c>
      <c r="M342" s="9" t="s">
        <v>2120</v>
      </c>
      <c r="N342" s="9" t="s">
        <v>2121</v>
      </c>
      <c r="O342" s="9" t="s">
        <v>80</v>
      </c>
      <c r="P342" s="9" t="s">
        <v>81</v>
      </c>
      <c r="Q342" s="11" t="s">
        <v>1944</v>
      </c>
      <c r="R342" s="9" t="s">
        <v>83</v>
      </c>
      <c r="S342" s="11" t="s">
        <v>84</v>
      </c>
      <c r="T342" s="11" t="s">
        <v>1944</v>
      </c>
      <c r="U342" s="11" t="s">
        <v>85</v>
      </c>
      <c r="V342" s="11" t="s">
        <v>86</v>
      </c>
      <c r="W342" s="11" t="s">
        <v>2122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88</v>
      </c>
    </row>
    <row r="343" customFormat="false" ht="15" hidden="false" customHeight="false" outlineLevel="0" collapsed="false">
      <c r="A343" s="9" t="s">
        <v>2123</v>
      </c>
      <c r="B343" s="9" t="s">
        <v>2124</v>
      </c>
      <c r="C343" s="9" t="s">
        <v>1880</v>
      </c>
      <c r="D343" s="11" t="s">
        <v>2125</v>
      </c>
      <c r="E343" s="10" t="n">
        <v>1000</v>
      </c>
      <c r="F343" s="10" t="n">
        <v>960</v>
      </c>
      <c r="G343" s="10" t="n">
        <v>1150</v>
      </c>
      <c r="H343" s="9" t="s">
        <v>480</v>
      </c>
      <c r="I343" s="9" t="s">
        <v>227</v>
      </c>
      <c r="J343" s="9"/>
      <c r="K343" s="9"/>
      <c r="L343" s="9" t="s">
        <v>2126</v>
      </c>
      <c r="M343" s="9" t="s">
        <v>2127</v>
      </c>
      <c r="N343" s="9" t="s">
        <v>2128</v>
      </c>
      <c r="O343" s="9" t="s">
        <v>80</v>
      </c>
      <c r="P343" s="9" t="s">
        <v>297</v>
      </c>
      <c r="Q343" s="9"/>
      <c r="R343" s="9" t="s">
        <v>83</v>
      </c>
      <c r="S343" s="11" t="s">
        <v>298</v>
      </c>
      <c r="T343" s="11" t="s">
        <v>299</v>
      </c>
      <c r="U343" s="11" t="s">
        <v>85</v>
      </c>
      <c r="V343" s="11" t="s">
        <v>86</v>
      </c>
      <c r="W343" s="11" t="s">
        <v>2129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88</v>
      </c>
    </row>
    <row r="344" customFormat="false" ht="15" hidden="false" customHeight="false" outlineLevel="0" collapsed="false">
      <c r="A344" s="9" t="s">
        <v>2130</v>
      </c>
      <c r="B344" s="9" t="s">
        <v>2131</v>
      </c>
      <c r="C344" s="9" t="s">
        <v>1880</v>
      </c>
      <c r="D344" s="9" t="s">
        <v>2132</v>
      </c>
      <c r="E344" s="9"/>
      <c r="F344" s="9"/>
      <c r="G344" s="9"/>
      <c r="H344" s="11" t="s">
        <v>1897</v>
      </c>
      <c r="I344" s="9" t="s">
        <v>2133</v>
      </c>
      <c r="J344" s="9"/>
      <c r="K344" s="9"/>
      <c r="L344" s="9" t="s">
        <v>2134</v>
      </c>
      <c r="M344" s="9" t="s">
        <v>2135</v>
      </c>
      <c r="N344" s="9" t="s">
        <v>2136</v>
      </c>
      <c r="O344" s="9" t="s">
        <v>80</v>
      </c>
      <c r="P344" s="9" t="s">
        <v>81</v>
      </c>
      <c r="Q344" s="11" t="s">
        <v>2137</v>
      </c>
      <c r="R344" s="9" t="s">
        <v>83</v>
      </c>
      <c r="S344" s="11" t="s">
        <v>84</v>
      </c>
      <c r="T344" s="11" t="s">
        <v>2137</v>
      </c>
      <c r="U344" s="11" t="s">
        <v>85</v>
      </c>
      <c r="V344" s="11" t="s">
        <v>86</v>
      </c>
      <c r="W344" s="11" t="s">
        <v>2138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88</v>
      </c>
    </row>
    <row r="345" customFormat="false" ht="15" hidden="false" customHeight="false" outlineLevel="0" collapsed="false">
      <c r="A345" s="9" t="s">
        <v>2139</v>
      </c>
      <c r="B345" s="9" t="s">
        <v>2140</v>
      </c>
      <c r="C345" s="9" t="s">
        <v>1880</v>
      </c>
      <c r="D345" s="9" t="s">
        <v>2141</v>
      </c>
      <c r="E345" s="10" t="n">
        <v>100</v>
      </c>
      <c r="F345" s="9"/>
      <c r="G345" s="10" t="n">
        <v>100</v>
      </c>
      <c r="H345" s="9" t="s">
        <v>480</v>
      </c>
      <c r="I345" s="9" t="s">
        <v>2133</v>
      </c>
      <c r="J345" s="9"/>
      <c r="K345" s="11" t="s">
        <v>76</v>
      </c>
      <c r="L345" s="9" t="s">
        <v>2142</v>
      </c>
      <c r="M345" s="9" t="s">
        <v>2135</v>
      </c>
      <c r="N345" s="9" t="s">
        <v>2136</v>
      </c>
      <c r="O345" s="9" t="s">
        <v>80</v>
      </c>
      <c r="P345" s="9" t="s">
        <v>81</v>
      </c>
      <c r="Q345" s="11" t="s">
        <v>1944</v>
      </c>
      <c r="R345" s="9" t="s">
        <v>83</v>
      </c>
      <c r="S345" s="11" t="s">
        <v>84</v>
      </c>
      <c r="T345" s="11" t="s">
        <v>1944</v>
      </c>
      <c r="U345" s="11" t="s">
        <v>85</v>
      </c>
      <c r="V345" s="11" t="s">
        <v>86</v>
      </c>
      <c r="W345" s="11" t="s">
        <v>2143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88</v>
      </c>
    </row>
    <row r="346" customFormat="false" ht="15" hidden="false" customHeight="false" outlineLevel="0" collapsed="false">
      <c r="A346" s="9" t="s">
        <v>2144</v>
      </c>
      <c r="B346" s="9" t="s">
        <v>2145</v>
      </c>
      <c r="C346" s="9" t="s">
        <v>1880</v>
      </c>
      <c r="D346" s="9" t="s">
        <v>2146</v>
      </c>
      <c r="E346" s="9"/>
      <c r="F346" s="10" t="n">
        <v>1800</v>
      </c>
      <c r="G346" s="10" t="n">
        <v>2000</v>
      </c>
      <c r="H346" s="9" t="s">
        <v>480</v>
      </c>
      <c r="I346" s="9" t="s">
        <v>2133</v>
      </c>
      <c r="J346" s="9"/>
      <c r="K346" s="9"/>
      <c r="L346" s="9" t="s">
        <v>2142</v>
      </c>
      <c r="M346" s="9" t="s">
        <v>2135</v>
      </c>
      <c r="N346" s="9" t="s">
        <v>2136</v>
      </c>
      <c r="O346" s="9" t="s">
        <v>80</v>
      </c>
      <c r="P346" s="9" t="s">
        <v>81</v>
      </c>
      <c r="Q346" s="11" t="s">
        <v>2147</v>
      </c>
      <c r="R346" s="9" t="s">
        <v>83</v>
      </c>
      <c r="S346" s="11" t="s">
        <v>84</v>
      </c>
      <c r="T346" s="11" t="s">
        <v>2147</v>
      </c>
      <c r="U346" s="11" t="s">
        <v>85</v>
      </c>
      <c r="V346" s="11" t="s">
        <v>86</v>
      </c>
      <c r="W346" s="11" t="s">
        <v>2148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88</v>
      </c>
    </row>
    <row r="347" customFormat="false" ht="15" hidden="false" customHeight="false" outlineLevel="0" collapsed="false">
      <c r="A347" s="9" t="s">
        <v>2149</v>
      </c>
      <c r="B347" s="9" t="s">
        <v>2150</v>
      </c>
      <c r="C347" s="9" t="s">
        <v>1880</v>
      </c>
      <c r="D347" s="11" t="s">
        <v>2151</v>
      </c>
      <c r="E347" s="9"/>
      <c r="F347" s="9"/>
      <c r="G347" s="9"/>
      <c r="H347" s="11" t="s">
        <v>1897</v>
      </c>
      <c r="I347" s="9" t="s">
        <v>707</v>
      </c>
      <c r="J347" s="13" t="n">
        <v>46287</v>
      </c>
      <c r="K347" s="9"/>
      <c r="L347" s="9" t="s">
        <v>2152</v>
      </c>
      <c r="M347" s="9" t="s">
        <v>2153</v>
      </c>
      <c r="N347" s="9" t="s">
        <v>707</v>
      </c>
      <c r="O347" s="9" t="s">
        <v>80</v>
      </c>
      <c r="P347" s="9" t="s">
        <v>81</v>
      </c>
      <c r="Q347" s="11" t="s">
        <v>2154</v>
      </c>
      <c r="R347" s="11" t="s">
        <v>101</v>
      </c>
      <c r="S347" s="11" t="s">
        <v>84</v>
      </c>
      <c r="T347" s="11" t="s">
        <v>2154</v>
      </c>
      <c r="U347" s="11" t="s">
        <v>101</v>
      </c>
      <c r="V347" s="11" t="s">
        <v>86</v>
      </c>
      <c r="W347" s="11" t="s">
        <v>2155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88</v>
      </c>
    </row>
    <row r="348" customFormat="false" ht="15" hidden="false" customHeight="false" outlineLevel="0" collapsed="false">
      <c r="A348" s="9" t="s">
        <v>2156</v>
      </c>
      <c r="B348" s="9" t="s">
        <v>2157</v>
      </c>
      <c r="C348" s="9" t="s">
        <v>1880</v>
      </c>
      <c r="D348" s="11" t="s">
        <v>2158</v>
      </c>
      <c r="E348" s="10" t="n">
        <v>15</v>
      </c>
      <c r="F348" s="10" t="n">
        <v>10</v>
      </c>
      <c r="G348" s="10" t="n">
        <v>15</v>
      </c>
      <c r="H348" s="9" t="s">
        <v>480</v>
      </c>
      <c r="I348" s="9" t="s">
        <v>2159</v>
      </c>
      <c r="J348" s="13" t="n">
        <v>46268</v>
      </c>
      <c r="K348" s="11" t="s">
        <v>76</v>
      </c>
      <c r="L348" s="9" t="s">
        <v>2160</v>
      </c>
      <c r="M348" s="9" t="s">
        <v>2161</v>
      </c>
      <c r="N348" s="9" t="s">
        <v>2162</v>
      </c>
      <c r="O348" s="9" t="s">
        <v>80</v>
      </c>
      <c r="P348" s="9" t="s">
        <v>81</v>
      </c>
      <c r="Q348" s="11" t="s">
        <v>1851</v>
      </c>
      <c r="R348" s="9" t="s">
        <v>83</v>
      </c>
      <c r="S348" s="11" t="s">
        <v>84</v>
      </c>
      <c r="T348" s="11" t="s">
        <v>1851</v>
      </c>
      <c r="U348" s="11" t="s">
        <v>85</v>
      </c>
      <c r="V348" s="11" t="s">
        <v>86</v>
      </c>
      <c r="W348" s="11" t="s">
        <v>2163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88</v>
      </c>
    </row>
    <row r="349" customFormat="false" ht="15" hidden="false" customHeight="false" outlineLevel="0" collapsed="false">
      <c r="A349" s="9" t="s">
        <v>2164</v>
      </c>
      <c r="B349" s="9" t="s">
        <v>2165</v>
      </c>
      <c r="C349" s="9" t="s">
        <v>1880</v>
      </c>
      <c r="D349" s="11" t="s">
        <v>2166</v>
      </c>
      <c r="E349" s="10" t="n">
        <v>0.19</v>
      </c>
      <c r="F349" s="9"/>
      <c r="G349" s="9"/>
      <c r="H349" s="11" t="s">
        <v>267</v>
      </c>
      <c r="I349" s="9" t="s">
        <v>845</v>
      </c>
      <c r="J349" s="9"/>
      <c r="K349" s="9"/>
      <c r="L349" s="9" t="s">
        <v>2167</v>
      </c>
      <c r="M349" s="9" t="s">
        <v>2168</v>
      </c>
      <c r="N349" s="9" t="s">
        <v>79</v>
      </c>
      <c r="O349" s="9" t="s">
        <v>80</v>
      </c>
      <c r="P349" s="9" t="s">
        <v>81</v>
      </c>
      <c r="Q349" s="9" t="s">
        <v>2169</v>
      </c>
      <c r="R349" s="11" t="s">
        <v>101</v>
      </c>
      <c r="S349" s="11" t="s">
        <v>84</v>
      </c>
      <c r="T349" s="9" t="s">
        <v>2169</v>
      </c>
      <c r="U349" s="11" t="s">
        <v>101</v>
      </c>
      <c r="V349" s="11" t="s">
        <v>86</v>
      </c>
      <c r="W349" s="11" t="s">
        <v>2170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88</v>
      </c>
    </row>
    <row r="350" customFormat="false" ht="15" hidden="false" customHeight="false" outlineLevel="0" collapsed="false">
      <c r="A350" s="9" t="s">
        <v>2171</v>
      </c>
      <c r="B350" s="9" t="s">
        <v>2172</v>
      </c>
      <c r="C350" s="9" t="s">
        <v>2173</v>
      </c>
      <c r="D350" s="9" t="s">
        <v>2174</v>
      </c>
      <c r="E350" s="10" t="n">
        <v>0.56</v>
      </c>
      <c r="F350" s="9"/>
      <c r="G350" s="9"/>
      <c r="H350" s="9" t="s">
        <v>1786</v>
      </c>
      <c r="I350" s="9" t="s">
        <v>119</v>
      </c>
      <c r="J350" s="9"/>
      <c r="K350" s="9"/>
      <c r="L350" s="9" t="s">
        <v>1787</v>
      </c>
      <c r="M350" s="9" t="s">
        <v>1788</v>
      </c>
      <c r="N350" s="9" t="s">
        <v>412</v>
      </c>
      <c r="O350" s="9" t="s">
        <v>80</v>
      </c>
      <c r="P350" s="9" t="s">
        <v>81</v>
      </c>
      <c r="Q350" s="9" t="s">
        <v>1789</v>
      </c>
      <c r="R350" s="9" t="s">
        <v>83</v>
      </c>
      <c r="S350" s="11" t="s">
        <v>84</v>
      </c>
      <c r="T350" s="9" t="s">
        <v>1789</v>
      </c>
      <c r="U350" s="11" t="s">
        <v>85</v>
      </c>
      <c r="V350" s="11" t="s">
        <v>86</v>
      </c>
      <c r="W350" s="11" t="s">
        <v>2175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88</v>
      </c>
    </row>
    <row r="351" customFormat="false" ht="15" hidden="false" customHeight="false" outlineLevel="0" collapsed="false">
      <c r="A351" s="9" t="s">
        <v>2176</v>
      </c>
      <c r="B351" s="9" t="s">
        <v>2177</v>
      </c>
      <c r="C351" s="9" t="s">
        <v>2173</v>
      </c>
      <c r="D351" s="9" t="s">
        <v>2178</v>
      </c>
      <c r="E351" s="10" t="n">
        <v>10.9</v>
      </c>
      <c r="F351" s="9"/>
      <c r="G351" s="9"/>
      <c r="H351" s="9" t="s">
        <v>480</v>
      </c>
      <c r="I351" s="9" t="s">
        <v>119</v>
      </c>
      <c r="J351" s="9"/>
      <c r="K351" s="9"/>
      <c r="L351" s="9" t="s">
        <v>1787</v>
      </c>
      <c r="M351" s="9" t="s">
        <v>1788</v>
      </c>
      <c r="N351" s="9" t="s">
        <v>412</v>
      </c>
      <c r="O351" s="9" t="s">
        <v>80</v>
      </c>
      <c r="P351" s="9" t="s">
        <v>81</v>
      </c>
      <c r="Q351" s="9" t="s">
        <v>1789</v>
      </c>
      <c r="R351" s="9" t="s">
        <v>83</v>
      </c>
      <c r="S351" s="11" t="s">
        <v>84</v>
      </c>
      <c r="T351" s="9" t="s">
        <v>1789</v>
      </c>
      <c r="U351" s="11" t="s">
        <v>85</v>
      </c>
      <c r="V351" s="11" t="s">
        <v>86</v>
      </c>
      <c r="W351" s="11" t="s">
        <v>2179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88</v>
      </c>
    </row>
    <row r="352" customFormat="false" ht="15" hidden="false" customHeight="false" outlineLevel="0" collapsed="false">
      <c r="A352" s="9" t="s">
        <v>2180</v>
      </c>
      <c r="B352" s="9" t="s">
        <v>2181</v>
      </c>
      <c r="C352" s="9" t="s">
        <v>2173</v>
      </c>
      <c r="D352" s="9" t="s">
        <v>2182</v>
      </c>
      <c r="E352" s="10" t="n">
        <v>0.559</v>
      </c>
      <c r="F352" s="9"/>
      <c r="G352" s="9"/>
      <c r="H352" s="9" t="s">
        <v>480</v>
      </c>
      <c r="I352" s="9" t="s">
        <v>119</v>
      </c>
      <c r="J352" s="9"/>
      <c r="K352" s="9"/>
      <c r="L352" s="9" t="s">
        <v>1787</v>
      </c>
      <c r="M352" s="9" t="s">
        <v>1788</v>
      </c>
      <c r="N352" s="9" t="s">
        <v>412</v>
      </c>
      <c r="O352" s="9" t="s">
        <v>80</v>
      </c>
      <c r="P352" s="9" t="s">
        <v>81</v>
      </c>
      <c r="Q352" s="9" t="s">
        <v>1789</v>
      </c>
      <c r="R352" s="9" t="s">
        <v>83</v>
      </c>
      <c r="S352" s="11" t="s">
        <v>84</v>
      </c>
      <c r="T352" s="9" t="s">
        <v>1789</v>
      </c>
      <c r="U352" s="11" t="s">
        <v>85</v>
      </c>
      <c r="V352" s="11" t="s">
        <v>86</v>
      </c>
      <c r="W352" s="11" t="s">
        <v>2183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88</v>
      </c>
    </row>
    <row r="353" customFormat="false" ht="15" hidden="false" customHeight="false" outlineLevel="0" collapsed="false">
      <c r="A353" s="9" t="s">
        <v>2184</v>
      </c>
      <c r="B353" s="9" t="s">
        <v>2185</v>
      </c>
      <c r="C353" s="9" t="s">
        <v>2173</v>
      </c>
      <c r="D353" s="11" t="s">
        <v>2186</v>
      </c>
      <c r="E353" s="10" t="n">
        <v>2028</v>
      </c>
      <c r="F353" s="9"/>
      <c r="G353" s="9"/>
      <c r="H353" s="11" t="s">
        <v>2187</v>
      </c>
      <c r="I353" s="9" t="s">
        <v>2188</v>
      </c>
      <c r="J353" s="9"/>
      <c r="K353" s="9"/>
      <c r="L353" s="9" t="s">
        <v>2189</v>
      </c>
      <c r="M353" s="9" t="s">
        <v>1788</v>
      </c>
      <c r="N353" s="9" t="s">
        <v>412</v>
      </c>
      <c r="O353" s="9" t="s">
        <v>80</v>
      </c>
      <c r="P353" s="9" t="s">
        <v>81</v>
      </c>
      <c r="Q353" s="9" t="s">
        <v>1789</v>
      </c>
      <c r="R353" s="9" t="s">
        <v>83</v>
      </c>
      <c r="S353" s="11" t="s">
        <v>84</v>
      </c>
      <c r="T353" s="9" t="s">
        <v>1789</v>
      </c>
      <c r="U353" s="11" t="s">
        <v>85</v>
      </c>
      <c r="V353" s="11" t="s">
        <v>86</v>
      </c>
      <c r="W353" s="11" t="s">
        <v>2190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88</v>
      </c>
    </row>
    <row r="354" customFormat="false" ht="15" hidden="false" customHeight="false" outlineLevel="0" collapsed="false">
      <c r="A354" s="9" t="s">
        <v>2191</v>
      </c>
      <c r="B354" s="9" t="s">
        <v>2192</v>
      </c>
      <c r="C354" s="9" t="s">
        <v>2173</v>
      </c>
      <c r="D354" s="9" t="s">
        <v>2193</v>
      </c>
      <c r="E354" s="10" t="n">
        <v>11.5</v>
      </c>
      <c r="F354" s="10" t="n">
        <v>11.5</v>
      </c>
      <c r="G354" s="9"/>
      <c r="H354" s="9" t="s">
        <v>480</v>
      </c>
      <c r="I354" s="9" t="s">
        <v>119</v>
      </c>
      <c r="J354" s="9"/>
      <c r="K354" s="9"/>
      <c r="L354" s="9" t="s">
        <v>2194</v>
      </c>
      <c r="M354" s="9" t="s">
        <v>128</v>
      </c>
      <c r="N354" s="9" t="s">
        <v>129</v>
      </c>
      <c r="O354" s="9" t="s">
        <v>80</v>
      </c>
      <c r="P354" s="9" t="s">
        <v>81</v>
      </c>
      <c r="Q354" s="9" t="s">
        <v>2195</v>
      </c>
      <c r="R354" s="9" t="s">
        <v>83</v>
      </c>
      <c r="S354" s="11" t="s">
        <v>84</v>
      </c>
      <c r="T354" s="9" t="s">
        <v>2195</v>
      </c>
      <c r="U354" s="11" t="s">
        <v>1287</v>
      </c>
      <c r="V354" s="11" t="s">
        <v>86</v>
      </c>
      <c r="W354" s="11" t="s">
        <v>2196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88</v>
      </c>
    </row>
    <row r="355" customFormat="false" ht="15" hidden="false" customHeight="false" outlineLevel="0" collapsed="false">
      <c r="A355" s="9" t="s">
        <v>2197</v>
      </c>
      <c r="B355" s="9" t="s">
        <v>2198</v>
      </c>
      <c r="C355" s="9" t="s">
        <v>2173</v>
      </c>
      <c r="D355" s="11" t="s">
        <v>2199</v>
      </c>
      <c r="E355" s="9"/>
      <c r="F355" s="9"/>
      <c r="G355" s="9"/>
      <c r="H355" s="11" t="s">
        <v>1897</v>
      </c>
      <c r="I355" s="9" t="s">
        <v>394</v>
      </c>
      <c r="J355" s="9"/>
      <c r="K355" s="9"/>
      <c r="L355" s="9" t="s">
        <v>2200</v>
      </c>
      <c r="M355" s="9" t="s">
        <v>1748</v>
      </c>
      <c r="N355" s="9" t="s">
        <v>79</v>
      </c>
      <c r="O355" s="9" t="s">
        <v>80</v>
      </c>
      <c r="P355" s="9" t="s">
        <v>81</v>
      </c>
      <c r="Q355" s="9" t="s">
        <v>148</v>
      </c>
      <c r="R355" s="9" t="s">
        <v>83</v>
      </c>
      <c r="S355" s="11" t="s">
        <v>84</v>
      </c>
      <c r="T355" s="9" t="s">
        <v>148</v>
      </c>
      <c r="U355" s="11" t="s">
        <v>85</v>
      </c>
      <c r="V355" s="11" t="s">
        <v>86</v>
      </c>
      <c r="W355" s="11" t="s">
        <v>2201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88</v>
      </c>
    </row>
    <row r="356" customFormat="false" ht="15" hidden="false" customHeight="false" outlineLevel="0" collapsed="false">
      <c r="A356" s="9" t="s">
        <v>2202</v>
      </c>
      <c r="B356" s="9" t="s">
        <v>2203</v>
      </c>
      <c r="C356" s="9" t="s">
        <v>2173</v>
      </c>
      <c r="D356" s="9" t="s">
        <v>2204</v>
      </c>
      <c r="E356" s="10" t="n">
        <v>3</v>
      </c>
      <c r="F356" s="9"/>
      <c r="G356" s="9"/>
      <c r="H356" s="9" t="s">
        <v>480</v>
      </c>
      <c r="I356" s="9" t="s">
        <v>1746</v>
      </c>
      <c r="J356" s="9"/>
      <c r="K356" s="9"/>
      <c r="L356" s="9" t="s">
        <v>2205</v>
      </c>
      <c r="M356" s="9" t="s">
        <v>1832</v>
      </c>
      <c r="N356" s="9" t="s">
        <v>1833</v>
      </c>
      <c r="O356" s="9" t="s">
        <v>80</v>
      </c>
      <c r="P356" s="9" t="s">
        <v>81</v>
      </c>
      <c r="Q356" s="9" t="s">
        <v>1789</v>
      </c>
      <c r="R356" s="9" t="s">
        <v>83</v>
      </c>
      <c r="S356" s="11" t="s">
        <v>84</v>
      </c>
      <c r="T356" s="9" t="s">
        <v>1789</v>
      </c>
      <c r="U356" s="11" t="s">
        <v>85</v>
      </c>
      <c r="V356" s="11" t="s">
        <v>86</v>
      </c>
      <c r="W356" s="11" t="s">
        <v>2206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88</v>
      </c>
    </row>
    <row r="357" customFormat="false" ht="15" hidden="false" customHeight="false" outlineLevel="0" collapsed="false">
      <c r="A357" s="9" t="s">
        <v>2207</v>
      </c>
      <c r="B357" s="9" t="s">
        <v>2208</v>
      </c>
      <c r="C357" s="9" t="s">
        <v>2173</v>
      </c>
      <c r="D357" s="9" t="s">
        <v>2209</v>
      </c>
      <c r="E357" s="10" t="n">
        <v>0.33</v>
      </c>
      <c r="F357" s="9"/>
      <c r="G357" s="9"/>
      <c r="H357" s="11" t="s">
        <v>267</v>
      </c>
      <c r="I357" s="9" t="s">
        <v>2210</v>
      </c>
      <c r="J357" s="9"/>
      <c r="K357" s="9"/>
      <c r="L357" s="9" t="s">
        <v>2211</v>
      </c>
      <c r="M357" s="9" t="s">
        <v>2212</v>
      </c>
      <c r="N357" s="9" t="s">
        <v>2213</v>
      </c>
      <c r="O357" s="9" t="s">
        <v>80</v>
      </c>
      <c r="P357" s="9" t="s">
        <v>81</v>
      </c>
      <c r="Q357" s="9" t="s">
        <v>1789</v>
      </c>
      <c r="R357" s="9" t="s">
        <v>83</v>
      </c>
      <c r="S357" s="11" t="s">
        <v>84</v>
      </c>
      <c r="T357" s="9" t="s">
        <v>1789</v>
      </c>
      <c r="U357" s="11" t="s">
        <v>85</v>
      </c>
      <c r="V357" s="11" t="s">
        <v>86</v>
      </c>
      <c r="W357" s="11" t="s">
        <v>2214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88</v>
      </c>
    </row>
    <row r="358" customFormat="false" ht="15" hidden="false" customHeight="false" outlineLevel="0" collapsed="false">
      <c r="A358" s="9" t="s">
        <v>2215</v>
      </c>
      <c r="B358" s="9" t="s">
        <v>2216</v>
      </c>
      <c r="C358" s="9" t="s">
        <v>2173</v>
      </c>
      <c r="D358" s="9" t="s">
        <v>2217</v>
      </c>
      <c r="E358" s="10" t="n">
        <v>0.09</v>
      </c>
      <c r="F358" s="9"/>
      <c r="G358" s="9"/>
      <c r="H358" s="11" t="s">
        <v>267</v>
      </c>
      <c r="I358" s="9" t="s">
        <v>2218</v>
      </c>
      <c r="J358" s="9"/>
      <c r="K358" s="9"/>
      <c r="L358" s="9" t="s">
        <v>2211</v>
      </c>
      <c r="M358" s="9" t="s">
        <v>2212</v>
      </c>
      <c r="N358" s="9" t="s">
        <v>2213</v>
      </c>
      <c r="O358" s="9" t="s">
        <v>80</v>
      </c>
      <c r="P358" s="9" t="s">
        <v>81</v>
      </c>
      <c r="Q358" s="9" t="s">
        <v>1789</v>
      </c>
      <c r="R358" s="9" t="s">
        <v>83</v>
      </c>
      <c r="S358" s="11" t="s">
        <v>84</v>
      </c>
      <c r="T358" s="9" t="s">
        <v>1789</v>
      </c>
      <c r="U358" s="11" t="s">
        <v>85</v>
      </c>
      <c r="V358" s="11" t="s">
        <v>86</v>
      </c>
      <c r="W358" s="11" t="s">
        <v>2219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88</v>
      </c>
    </row>
    <row r="359" customFormat="false" ht="15" hidden="false" customHeight="false" outlineLevel="0" collapsed="false">
      <c r="A359" s="9" t="s">
        <v>2220</v>
      </c>
      <c r="B359" s="9" t="s">
        <v>2221</v>
      </c>
      <c r="C359" s="9" t="s">
        <v>2173</v>
      </c>
      <c r="D359" s="9" t="s">
        <v>2222</v>
      </c>
      <c r="E359" s="10" t="n">
        <v>12</v>
      </c>
      <c r="F359" s="9"/>
      <c r="G359" s="9"/>
      <c r="H359" s="9" t="s">
        <v>480</v>
      </c>
      <c r="I359" s="9" t="s">
        <v>2210</v>
      </c>
      <c r="J359" s="9"/>
      <c r="K359" s="9"/>
      <c r="L359" s="9" t="s">
        <v>2223</v>
      </c>
      <c r="M359" s="9" t="s">
        <v>1630</v>
      </c>
      <c r="N359" s="9" t="s">
        <v>1631</v>
      </c>
      <c r="O359" s="9" t="s">
        <v>80</v>
      </c>
      <c r="P359" s="9" t="s">
        <v>81</v>
      </c>
      <c r="Q359" s="9" t="s">
        <v>1789</v>
      </c>
      <c r="R359" s="9" t="s">
        <v>83</v>
      </c>
      <c r="S359" s="11" t="s">
        <v>84</v>
      </c>
      <c r="T359" s="9" t="s">
        <v>1789</v>
      </c>
      <c r="U359" s="11" t="s">
        <v>85</v>
      </c>
      <c r="V359" s="11" t="s">
        <v>86</v>
      </c>
      <c r="W359" s="11" t="s">
        <v>2224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88</v>
      </c>
    </row>
    <row r="360" customFormat="false" ht="15" hidden="false" customHeight="false" outlineLevel="0" collapsed="false">
      <c r="A360" s="9" t="s">
        <v>2225</v>
      </c>
      <c r="B360" s="9" t="s">
        <v>2226</v>
      </c>
      <c r="C360" s="9" t="s">
        <v>2173</v>
      </c>
      <c r="D360" s="9" t="s">
        <v>2227</v>
      </c>
      <c r="E360" s="10" t="n">
        <v>7</v>
      </c>
      <c r="F360" s="9"/>
      <c r="G360" s="9"/>
      <c r="H360" s="9" t="s">
        <v>480</v>
      </c>
      <c r="I360" s="9" t="s">
        <v>2210</v>
      </c>
      <c r="J360" s="9"/>
      <c r="K360" s="9"/>
      <c r="L360" s="9" t="s">
        <v>2228</v>
      </c>
      <c r="M360" s="9" t="s">
        <v>1630</v>
      </c>
      <c r="N360" s="9" t="s">
        <v>1631</v>
      </c>
      <c r="O360" s="9" t="s">
        <v>80</v>
      </c>
      <c r="P360" s="9" t="s">
        <v>81</v>
      </c>
      <c r="Q360" s="9" t="s">
        <v>1789</v>
      </c>
      <c r="R360" s="9" t="s">
        <v>83</v>
      </c>
      <c r="S360" s="11" t="s">
        <v>84</v>
      </c>
      <c r="T360" s="9" t="s">
        <v>1789</v>
      </c>
      <c r="U360" s="11" t="s">
        <v>85</v>
      </c>
      <c r="V360" s="11" t="s">
        <v>86</v>
      </c>
      <c r="W360" s="11" t="s">
        <v>2229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88</v>
      </c>
    </row>
    <row r="361" customFormat="false" ht="15" hidden="false" customHeight="false" outlineLevel="0" collapsed="false">
      <c r="A361" s="9" t="s">
        <v>2230</v>
      </c>
      <c r="B361" s="9" t="s">
        <v>2231</v>
      </c>
      <c r="C361" s="9" t="s">
        <v>2173</v>
      </c>
      <c r="D361" s="11" t="s">
        <v>2232</v>
      </c>
      <c r="E361" s="10" t="n">
        <v>30</v>
      </c>
      <c r="F361" s="9"/>
      <c r="G361" s="9"/>
      <c r="H361" s="9" t="s">
        <v>74</v>
      </c>
      <c r="I361" s="9" t="s">
        <v>2188</v>
      </c>
      <c r="J361" s="9"/>
      <c r="K361" s="9"/>
      <c r="L361" s="9" t="s">
        <v>2233</v>
      </c>
      <c r="M361" s="9" t="s">
        <v>1660</v>
      </c>
      <c r="N361" s="9" t="s">
        <v>631</v>
      </c>
      <c r="O361" s="9" t="s">
        <v>80</v>
      </c>
      <c r="P361" s="9" t="s">
        <v>81</v>
      </c>
      <c r="Q361" s="9" t="s">
        <v>2234</v>
      </c>
      <c r="R361" s="9" t="s">
        <v>83</v>
      </c>
      <c r="S361" s="11" t="s">
        <v>84</v>
      </c>
      <c r="T361" s="9" t="s">
        <v>2234</v>
      </c>
      <c r="U361" s="11" t="s">
        <v>1287</v>
      </c>
      <c r="V361" s="11" t="s">
        <v>86</v>
      </c>
      <c r="W361" s="11" t="s">
        <v>2235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88</v>
      </c>
    </row>
    <row r="362" customFormat="false" ht="15" hidden="false" customHeight="false" outlineLevel="0" collapsed="false">
      <c r="A362" s="9" t="s">
        <v>2236</v>
      </c>
      <c r="B362" s="9" t="s">
        <v>2237</v>
      </c>
      <c r="C362" s="9" t="s">
        <v>2173</v>
      </c>
      <c r="D362" s="9" t="s">
        <v>2238</v>
      </c>
      <c r="E362" s="10" t="n">
        <v>2.2</v>
      </c>
      <c r="F362" s="9"/>
      <c r="G362" s="9"/>
      <c r="H362" s="9" t="s">
        <v>480</v>
      </c>
      <c r="I362" s="9" t="s">
        <v>1746</v>
      </c>
      <c r="J362" s="9"/>
      <c r="K362" s="9"/>
      <c r="L362" s="9" t="s">
        <v>2205</v>
      </c>
      <c r="M362" s="9" t="s">
        <v>1832</v>
      </c>
      <c r="N362" s="9" t="s">
        <v>1833</v>
      </c>
      <c r="O362" s="9" t="s">
        <v>80</v>
      </c>
      <c r="P362" s="9" t="s">
        <v>81</v>
      </c>
      <c r="Q362" s="9" t="s">
        <v>1789</v>
      </c>
      <c r="R362" s="9" t="s">
        <v>83</v>
      </c>
      <c r="S362" s="11" t="s">
        <v>84</v>
      </c>
      <c r="T362" s="9" t="s">
        <v>1789</v>
      </c>
      <c r="U362" s="11" t="s">
        <v>85</v>
      </c>
      <c r="V362" s="11" t="s">
        <v>86</v>
      </c>
      <c r="W362" s="11" t="s">
        <v>2239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88</v>
      </c>
    </row>
    <row r="363" customFormat="false" ht="15" hidden="false" customHeight="false" outlineLevel="0" collapsed="false">
      <c r="A363" s="9" t="s">
        <v>2240</v>
      </c>
      <c r="B363" s="9" t="s">
        <v>2241</v>
      </c>
      <c r="C363" s="9" t="s">
        <v>2173</v>
      </c>
      <c r="D363" s="9" t="s">
        <v>2242</v>
      </c>
      <c r="E363" s="10" t="n">
        <v>12</v>
      </c>
      <c r="F363" s="9"/>
      <c r="G363" s="9"/>
      <c r="H363" s="9" t="s">
        <v>480</v>
      </c>
      <c r="I363" s="9" t="s">
        <v>2218</v>
      </c>
      <c r="J363" s="9"/>
      <c r="K363" s="9"/>
      <c r="L363" s="9" t="s">
        <v>2205</v>
      </c>
      <c r="M363" s="9" t="s">
        <v>1832</v>
      </c>
      <c r="N363" s="9" t="s">
        <v>1833</v>
      </c>
      <c r="O363" s="9" t="s">
        <v>80</v>
      </c>
      <c r="P363" s="9" t="s">
        <v>81</v>
      </c>
      <c r="Q363" s="9" t="s">
        <v>1789</v>
      </c>
      <c r="R363" s="9" t="s">
        <v>83</v>
      </c>
      <c r="S363" s="11" t="s">
        <v>84</v>
      </c>
      <c r="T363" s="9" t="s">
        <v>1789</v>
      </c>
      <c r="U363" s="11" t="s">
        <v>85</v>
      </c>
      <c r="V363" s="11" t="s">
        <v>86</v>
      </c>
      <c r="W363" s="11" t="s">
        <v>2243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88</v>
      </c>
    </row>
    <row r="364" customFormat="false" ht="15" hidden="false" customHeight="false" outlineLevel="0" collapsed="false">
      <c r="A364" s="9" t="s">
        <v>2244</v>
      </c>
      <c r="B364" s="9" t="s">
        <v>2245</v>
      </c>
      <c r="C364" s="9" t="s">
        <v>2173</v>
      </c>
      <c r="D364" s="9" t="s">
        <v>2246</v>
      </c>
      <c r="E364" s="10" t="n">
        <v>34.5</v>
      </c>
      <c r="F364" s="9"/>
      <c r="G364" s="9"/>
      <c r="H364" s="9" t="s">
        <v>480</v>
      </c>
      <c r="I364" s="9" t="s">
        <v>2218</v>
      </c>
      <c r="J364" s="9"/>
      <c r="K364" s="9"/>
      <c r="L364" s="9" t="s">
        <v>2205</v>
      </c>
      <c r="M364" s="9" t="s">
        <v>1832</v>
      </c>
      <c r="N364" s="9" t="s">
        <v>1833</v>
      </c>
      <c r="O364" s="9" t="s">
        <v>80</v>
      </c>
      <c r="P364" s="9" t="s">
        <v>81</v>
      </c>
      <c r="Q364" s="9" t="s">
        <v>1789</v>
      </c>
      <c r="R364" s="9" t="s">
        <v>83</v>
      </c>
      <c r="S364" s="11" t="s">
        <v>84</v>
      </c>
      <c r="T364" s="9" t="s">
        <v>1789</v>
      </c>
      <c r="U364" s="11" t="s">
        <v>85</v>
      </c>
      <c r="V364" s="11" t="s">
        <v>86</v>
      </c>
      <c r="W364" s="11" t="s">
        <v>2247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88</v>
      </c>
    </row>
    <row r="365" customFormat="false" ht="15" hidden="false" customHeight="false" outlineLevel="0" collapsed="false">
      <c r="A365" s="9" t="s">
        <v>2248</v>
      </c>
      <c r="B365" s="9" t="s">
        <v>2249</v>
      </c>
      <c r="C365" s="9" t="s">
        <v>2173</v>
      </c>
      <c r="D365" s="11" t="s">
        <v>2250</v>
      </c>
      <c r="E365" s="10" t="n">
        <v>2027</v>
      </c>
      <c r="F365" s="9"/>
      <c r="G365" s="9"/>
      <c r="H365" s="11" t="s">
        <v>2187</v>
      </c>
      <c r="I365" s="9" t="s">
        <v>2218</v>
      </c>
      <c r="J365" s="9"/>
      <c r="K365" s="9"/>
      <c r="L365" s="9" t="s">
        <v>2205</v>
      </c>
      <c r="M365" s="9" t="s">
        <v>1832</v>
      </c>
      <c r="N365" s="9" t="s">
        <v>1833</v>
      </c>
      <c r="O365" s="9" t="s">
        <v>80</v>
      </c>
      <c r="P365" s="9" t="s">
        <v>81</v>
      </c>
      <c r="Q365" s="9" t="s">
        <v>1789</v>
      </c>
      <c r="R365" s="9" t="s">
        <v>83</v>
      </c>
      <c r="S365" s="11" t="s">
        <v>84</v>
      </c>
      <c r="T365" s="9" t="s">
        <v>1789</v>
      </c>
      <c r="U365" s="11" t="s">
        <v>85</v>
      </c>
      <c r="V365" s="11" t="s">
        <v>86</v>
      </c>
      <c r="W365" s="11" t="s">
        <v>2251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88</v>
      </c>
    </row>
    <row r="366" customFormat="false" ht="15" hidden="false" customHeight="false" outlineLevel="0" collapsed="false">
      <c r="A366" s="9" t="s">
        <v>2252</v>
      </c>
      <c r="B366" s="9" t="s">
        <v>2253</v>
      </c>
      <c r="C366" s="9" t="s">
        <v>2173</v>
      </c>
      <c r="D366" s="9" t="s">
        <v>2254</v>
      </c>
      <c r="E366" s="10" t="n">
        <v>70</v>
      </c>
      <c r="F366" s="9"/>
      <c r="G366" s="10" t="n">
        <v>70</v>
      </c>
      <c r="H366" s="9" t="s">
        <v>480</v>
      </c>
      <c r="I366" s="9" t="s">
        <v>2188</v>
      </c>
      <c r="J366" s="9"/>
      <c r="K366" s="9"/>
      <c r="L366" s="9" t="s">
        <v>1838</v>
      </c>
      <c r="M366" s="9" t="s">
        <v>1839</v>
      </c>
      <c r="N366" s="9" t="s">
        <v>1035</v>
      </c>
      <c r="O366" s="9" t="s">
        <v>80</v>
      </c>
      <c r="P366" s="9" t="s">
        <v>81</v>
      </c>
      <c r="Q366" s="9" t="s">
        <v>1789</v>
      </c>
      <c r="R366" s="9" t="s">
        <v>83</v>
      </c>
      <c r="S366" s="11" t="s">
        <v>84</v>
      </c>
      <c r="T366" s="9" t="s">
        <v>1789</v>
      </c>
      <c r="U366" s="11" t="s">
        <v>85</v>
      </c>
      <c r="V366" s="11" t="s">
        <v>86</v>
      </c>
      <c r="W366" s="11" t="s">
        <v>2255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88</v>
      </c>
    </row>
    <row r="367" customFormat="false" ht="15" hidden="false" customHeight="false" outlineLevel="0" collapsed="false">
      <c r="A367" s="9" t="s">
        <v>2256</v>
      </c>
      <c r="B367" s="9" t="s">
        <v>2257</v>
      </c>
      <c r="C367" s="9" t="s">
        <v>2173</v>
      </c>
      <c r="D367" s="11" t="s">
        <v>2258</v>
      </c>
      <c r="E367" s="9"/>
      <c r="F367" s="10" t="n">
        <v>15.2</v>
      </c>
      <c r="G367" s="10" t="n">
        <v>38.9</v>
      </c>
      <c r="H367" s="9" t="s">
        <v>480</v>
      </c>
      <c r="I367" s="9" t="s">
        <v>2259</v>
      </c>
      <c r="J367" s="9"/>
      <c r="K367" s="9"/>
      <c r="L367" s="9" t="s">
        <v>2260</v>
      </c>
      <c r="M367" s="9" t="s">
        <v>2261</v>
      </c>
      <c r="N367" s="9" t="s">
        <v>2066</v>
      </c>
      <c r="O367" s="9" t="s">
        <v>80</v>
      </c>
      <c r="P367" s="9" t="s">
        <v>81</v>
      </c>
      <c r="Q367" s="9" t="s">
        <v>1789</v>
      </c>
      <c r="R367" s="9" t="s">
        <v>83</v>
      </c>
      <c r="S367" s="11" t="s">
        <v>84</v>
      </c>
      <c r="T367" s="9" t="s">
        <v>1789</v>
      </c>
      <c r="U367" s="11" t="s">
        <v>85</v>
      </c>
      <c r="V367" s="11" t="s">
        <v>86</v>
      </c>
      <c r="W367" s="9" t="s">
        <v>2262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88</v>
      </c>
    </row>
    <row r="368" customFormat="false" ht="15" hidden="false" customHeight="false" outlineLevel="0" collapsed="false">
      <c r="A368" s="9" t="s">
        <v>2263</v>
      </c>
      <c r="B368" s="9" t="s">
        <v>2264</v>
      </c>
      <c r="C368" s="9" t="s">
        <v>2173</v>
      </c>
      <c r="D368" s="9" t="s">
        <v>2265</v>
      </c>
      <c r="E368" s="9"/>
      <c r="F368" s="10" t="n">
        <v>20</v>
      </c>
      <c r="G368" s="10" t="n">
        <v>26</v>
      </c>
      <c r="H368" s="9" t="s">
        <v>74</v>
      </c>
      <c r="I368" s="9" t="s">
        <v>1245</v>
      </c>
      <c r="J368" s="9"/>
      <c r="K368" s="9"/>
      <c r="L368" s="9" t="s">
        <v>1838</v>
      </c>
      <c r="M368" s="9" t="s">
        <v>1839</v>
      </c>
      <c r="N368" s="9" t="s">
        <v>1035</v>
      </c>
      <c r="O368" s="9" t="s">
        <v>80</v>
      </c>
      <c r="P368" s="9" t="s">
        <v>81</v>
      </c>
      <c r="Q368" s="9" t="s">
        <v>1789</v>
      </c>
      <c r="R368" s="9" t="s">
        <v>83</v>
      </c>
      <c r="S368" s="11" t="s">
        <v>84</v>
      </c>
      <c r="T368" s="9" t="s">
        <v>1789</v>
      </c>
      <c r="U368" s="11" t="s">
        <v>85</v>
      </c>
      <c r="V368" s="11" t="s">
        <v>86</v>
      </c>
      <c r="W368" s="11" t="s">
        <v>2266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88</v>
      </c>
    </row>
    <row r="369" customFormat="false" ht="15" hidden="false" customHeight="false" outlineLevel="0" collapsed="false">
      <c r="A369" s="9" t="s">
        <v>2267</v>
      </c>
      <c r="B369" s="9" t="s">
        <v>2268</v>
      </c>
      <c r="C369" s="9" t="s">
        <v>2173</v>
      </c>
      <c r="D369" s="9" t="s">
        <v>2269</v>
      </c>
      <c r="E369" s="10" t="n">
        <v>17</v>
      </c>
      <c r="F369" s="9"/>
      <c r="G369" s="9"/>
      <c r="H369" s="9" t="s">
        <v>480</v>
      </c>
      <c r="I369" s="9" t="s">
        <v>2188</v>
      </c>
      <c r="J369" s="9"/>
      <c r="K369" s="9"/>
      <c r="L369" s="9" t="s">
        <v>1838</v>
      </c>
      <c r="M369" s="9" t="s">
        <v>1839</v>
      </c>
      <c r="N369" s="9" t="s">
        <v>1035</v>
      </c>
      <c r="O369" s="9" t="s">
        <v>80</v>
      </c>
      <c r="P369" s="9" t="s">
        <v>81</v>
      </c>
      <c r="Q369" s="9" t="s">
        <v>1789</v>
      </c>
      <c r="R369" s="9" t="s">
        <v>83</v>
      </c>
      <c r="S369" s="11" t="s">
        <v>84</v>
      </c>
      <c r="T369" s="9" t="s">
        <v>1789</v>
      </c>
      <c r="U369" s="11" t="s">
        <v>85</v>
      </c>
      <c r="V369" s="11" t="s">
        <v>86</v>
      </c>
      <c r="W369" s="11" t="s">
        <v>2270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88</v>
      </c>
    </row>
    <row r="370" customFormat="false" ht="15" hidden="false" customHeight="false" outlineLevel="0" collapsed="false">
      <c r="A370" s="9" t="s">
        <v>2271</v>
      </c>
      <c r="B370" s="9" t="s">
        <v>2272</v>
      </c>
      <c r="C370" s="9" t="s">
        <v>2173</v>
      </c>
      <c r="D370" s="11" t="s">
        <v>2273</v>
      </c>
      <c r="E370" s="10" t="n">
        <v>2028</v>
      </c>
      <c r="F370" s="9"/>
      <c r="G370" s="9"/>
      <c r="H370" s="11" t="s">
        <v>2187</v>
      </c>
      <c r="I370" s="9" t="s">
        <v>2188</v>
      </c>
      <c r="J370" s="9"/>
      <c r="K370" s="9"/>
      <c r="L370" s="9" t="s">
        <v>1838</v>
      </c>
      <c r="M370" s="9" t="s">
        <v>1839</v>
      </c>
      <c r="N370" s="9" t="s">
        <v>1035</v>
      </c>
      <c r="O370" s="9" t="s">
        <v>80</v>
      </c>
      <c r="P370" s="9" t="s">
        <v>81</v>
      </c>
      <c r="Q370" s="9" t="s">
        <v>1789</v>
      </c>
      <c r="R370" s="9" t="s">
        <v>83</v>
      </c>
      <c r="S370" s="11" t="s">
        <v>84</v>
      </c>
      <c r="T370" s="9" t="s">
        <v>1789</v>
      </c>
      <c r="U370" s="11" t="s">
        <v>85</v>
      </c>
      <c r="V370" s="11" t="s">
        <v>86</v>
      </c>
      <c r="W370" s="11" t="s">
        <v>2274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88</v>
      </c>
    </row>
    <row r="371" customFormat="false" ht="15" hidden="false" customHeight="false" outlineLevel="0" collapsed="false">
      <c r="A371" s="9" t="s">
        <v>2275</v>
      </c>
      <c r="B371" s="9" t="s">
        <v>2276</v>
      </c>
      <c r="C371" s="9" t="s">
        <v>2173</v>
      </c>
      <c r="D371" s="11" t="s">
        <v>2277</v>
      </c>
      <c r="E371" s="10" t="n">
        <v>2028</v>
      </c>
      <c r="F371" s="9"/>
      <c r="G371" s="9"/>
      <c r="H371" s="11" t="s">
        <v>2187</v>
      </c>
      <c r="I371" s="9" t="s">
        <v>2188</v>
      </c>
      <c r="J371" s="9"/>
      <c r="K371" s="9"/>
      <c r="L371" s="9" t="s">
        <v>2211</v>
      </c>
      <c r="M371" s="9" t="s">
        <v>2212</v>
      </c>
      <c r="N371" s="9" t="s">
        <v>2213</v>
      </c>
      <c r="O371" s="9" t="s">
        <v>80</v>
      </c>
      <c r="P371" s="9" t="s">
        <v>81</v>
      </c>
      <c r="Q371" s="9" t="s">
        <v>1789</v>
      </c>
      <c r="R371" s="9" t="s">
        <v>83</v>
      </c>
      <c r="S371" s="11" t="s">
        <v>84</v>
      </c>
      <c r="T371" s="9" t="s">
        <v>1789</v>
      </c>
      <c r="U371" s="11" t="s">
        <v>85</v>
      </c>
      <c r="V371" s="11" t="s">
        <v>86</v>
      </c>
      <c r="W371" s="11" t="s">
        <v>2278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88</v>
      </c>
    </row>
    <row r="372" customFormat="false" ht="15" hidden="false" customHeight="false" outlineLevel="0" collapsed="false">
      <c r="A372" s="9" t="s">
        <v>2279</v>
      </c>
      <c r="B372" s="9" t="s">
        <v>2280</v>
      </c>
      <c r="C372" s="9" t="s">
        <v>2173</v>
      </c>
      <c r="D372" s="9" t="s">
        <v>2281</v>
      </c>
      <c r="E372" s="10" t="n">
        <v>18</v>
      </c>
      <c r="F372" s="9"/>
      <c r="G372" s="10" t="n">
        <v>18</v>
      </c>
      <c r="H372" s="9" t="s">
        <v>480</v>
      </c>
      <c r="I372" s="9" t="s">
        <v>2210</v>
      </c>
      <c r="J372" s="9"/>
      <c r="K372" s="9"/>
      <c r="L372" s="9" t="s">
        <v>2282</v>
      </c>
      <c r="M372" s="9" t="s">
        <v>2283</v>
      </c>
      <c r="N372" s="9" t="s">
        <v>1645</v>
      </c>
      <c r="O372" s="9" t="s">
        <v>80</v>
      </c>
      <c r="P372" s="9" t="s">
        <v>81</v>
      </c>
      <c r="Q372" s="9" t="s">
        <v>1789</v>
      </c>
      <c r="R372" s="9" t="s">
        <v>83</v>
      </c>
      <c r="S372" s="11" t="s">
        <v>84</v>
      </c>
      <c r="T372" s="9" t="s">
        <v>1789</v>
      </c>
      <c r="U372" s="11" t="s">
        <v>85</v>
      </c>
      <c r="V372" s="11" t="s">
        <v>86</v>
      </c>
      <c r="W372" s="11" t="s">
        <v>2284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88</v>
      </c>
    </row>
    <row r="373" customFormat="false" ht="15" hidden="false" customHeight="false" outlineLevel="0" collapsed="false">
      <c r="A373" s="9" t="s">
        <v>2285</v>
      </c>
      <c r="B373" s="9" t="s">
        <v>2286</v>
      </c>
      <c r="C373" s="9" t="s">
        <v>2173</v>
      </c>
      <c r="D373" s="9" t="s">
        <v>2287</v>
      </c>
      <c r="E373" s="10" t="n">
        <v>55</v>
      </c>
      <c r="F373" s="9"/>
      <c r="G373" s="9"/>
      <c r="H373" s="9" t="s">
        <v>480</v>
      </c>
      <c r="I373" s="9" t="s">
        <v>2218</v>
      </c>
      <c r="J373" s="9"/>
      <c r="K373" s="9"/>
      <c r="L373" s="9" t="s">
        <v>2288</v>
      </c>
      <c r="M373" s="9" t="s">
        <v>2283</v>
      </c>
      <c r="N373" s="9" t="s">
        <v>1645</v>
      </c>
      <c r="O373" s="9" t="s">
        <v>80</v>
      </c>
      <c r="P373" s="9" t="s">
        <v>81</v>
      </c>
      <c r="Q373" s="9" t="s">
        <v>1789</v>
      </c>
      <c r="R373" s="9" t="s">
        <v>83</v>
      </c>
      <c r="S373" s="11" t="s">
        <v>84</v>
      </c>
      <c r="T373" s="9" t="s">
        <v>1789</v>
      </c>
      <c r="U373" s="11" t="s">
        <v>85</v>
      </c>
      <c r="V373" s="11" t="s">
        <v>86</v>
      </c>
      <c r="W373" s="11" t="s">
        <v>2289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88</v>
      </c>
    </row>
    <row r="374" customFormat="false" ht="15" hidden="false" customHeight="false" outlineLevel="0" collapsed="false">
      <c r="A374" s="9" t="s">
        <v>2290</v>
      </c>
      <c r="B374" s="9" t="s">
        <v>2291</v>
      </c>
      <c r="C374" s="9" t="s">
        <v>2173</v>
      </c>
      <c r="D374" s="9" t="s">
        <v>2292</v>
      </c>
      <c r="E374" s="10" t="n">
        <v>148</v>
      </c>
      <c r="F374" s="9"/>
      <c r="G374" s="10" t="n">
        <v>148</v>
      </c>
      <c r="H374" s="9" t="s">
        <v>480</v>
      </c>
      <c r="I374" s="9" t="s">
        <v>2293</v>
      </c>
      <c r="J374" s="9"/>
      <c r="K374" s="9"/>
      <c r="L374" s="9" t="s">
        <v>2228</v>
      </c>
      <c r="M374" s="9" t="s">
        <v>1630</v>
      </c>
      <c r="N374" s="9" t="s">
        <v>1631</v>
      </c>
      <c r="O374" s="9" t="s">
        <v>80</v>
      </c>
      <c r="P374" s="9" t="s">
        <v>81</v>
      </c>
      <c r="Q374" s="9" t="s">
        <v>1789</v>
      </c>
      <c r="R374" s="9" t="s">
        <v>83</v>
      </c>
      <c r="S374" s="11" t="s">
        <v>84</v>
      </c>
      <c r="T374" s="9" t="s">
        <v>1789</v>
      </c>
      <c r="U374" s="11" t="s">
        <v>85</v>
      </c>
      <c r="V374" s="11" t="s">
        <v>86</v>
      </c>
      <c r="W374" s="11" t="s">
        <v>2294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88</v>
      </c>
    </row>
    <row r="375" customFormat="false" ht="15" hidden="false" customHeight="false" outlineLevel="0" collapsed="false">
      <c r="A375" s="9" t="s">
        <v>2295</v>
      </c>
      <c r="B375" s="9" t="s">
        <v>2296</v>
      </c>
      <c r="C375" s="9" t="s">
        <v>2173</v>
      </c>
      <c r="D375" s="11" t="s">
        <v>2297</v>
      </c>
      <c r="E375" s="10" t="n">
        <v>2028</v>
      </c>
      <c r="F375" s="9"/>
      <c r="G375" s="9"/>
      <c r="H375" s="11" t="s">
        <v>2187</v>
      </c>
      <c r="I375" s="9" t="s">
        <v>2188</v>
      </c>
      <c r="J375" s="9"/>
      <c r="K375" s="9"/>
      <c r="L375" s="9" t="s">
        <v>2288</v>
      </c>
      <c r="M375" s="9" t="s">
        <v>2283</v>
      </c>
      <c r="N375" s="9" t="s">
        <v>1645</v>
      </c>
      <c r="O375" s="9" t="s">
        <v>80</v>
      </c>
      <c r="P375" s="9" t="s">
        <v>81</v>
      </c>
      <c r="Q375" s="9" t="s">
        <v>1789</v>
      </c>
      <c r="R375" s="9" t="s">
        <v>83</v>
      </c>
      <c r="S375" s="11" t="s">
        <v>84</v>
      </c>
      <c r="T375" s="9" t="s">
        <v>1789</v>
      </c>
      <c r="U375" s="11" t="s">
        <v>85</v>
      </c>
      <c r="V375" s="11" t="s">
        <v>86</v>
      </c>
      <c r="W375" s="11" t="s">
        <v>2298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88</v>
      </c>
    </row>
    <row r="376" customFormat="false" ht="15" hidden="false" customHeight="false" outlineLevel="0" collapsed="false">
      <c r="A376" s="9" t="s">
        <v>2299</v>
      </c>
      <c r="B376" s="9" t="s">
        <v>2300</v>
      </c>
      <c r="C376" s="9" t="s">
        <v>2173</v>
      </c>
      <c r="D376" s="11" t="s">
        <v>2301</v>
      </c>
      <c r="E376" s="10" t="n">
        <v>2028</v>
      </c>
      <c r="F376" s="9"/>
      <c r="G376" s="9"/>
      <c r="H376" s="11" t="s">
        <v>2187</v>
      </c>
      <c r="I376" s="9" t="s">
        <v>2188</v>
      </c>
      <c r="J376" s="9"/>
      <c r="K376" s="9"/>
      <c r="L376" s="9" t="s">
        <v>2302</v>
      </c>
      <c r="M376" s="9" t="s">
        <v>2303</v>
      </c>
      <c r="N376" s="9" t="s">
        <v>227</v>
      </c>
      <c r="O376" s="9" t="s">
        <v>80</v>
      </c>
      <c r="P376" s="9" t="s">
        <v>81</v>
      </c>
      <c r="Q376" s="9" t="s">
        <v>1789</v>
      </c>
      <c r="R376" s="9" t="s">
        <v>83</v>
      </c>
      <c r="S376" s="11" t="s">
        <v>84</v>
      </c>
      <c r="T376" s="9" t="s">
        <v>1789</v>
      </c>
      <c r="U376" s="11" t="s">
        <v>85</v>
      </c>
      <c r="V376" s="11" t="s">
        <v>86</v>
      </c>
      <c r="W376" s="11" t="s">
        <v>2304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88</v>
      </c>
    </row>
    <row r="377" customFormat="false" ht="15" hidden="false" customHeight="false" outlineLevel="0" collapsed="false">
      <c r="A377" s="9" t="s">
        <v>2305</v>
      </c>
      <c r="B377" s="9" t="s">
        <v>2306</v>
      </c>
      <c r="C377" s="9" t="s">
        <v>2173</v>
      </c>
      <c r="D377" s="9" t="s">
        <v>2307</v>
      </c>
      <c r="E377" s="9"/>
      <c r="F377" s="10" t="n">
        <v>100</v>
      </c>
      <c r="G377" s="10" t="n">
        <v>120</v>
      </c>
      <c r="H377" s="9" t="s">
        <v>74</v>
      </c>
      <c r="I377" s="9" t="s">
        <v>1245</v>
      </c>
      <c r="J377" s="9"/>
      <c r="K377" s="9"/>
      <c r="L377" s="9" t="s">
        <v>2308</v>
      </c>
      <c r="M377" s="9" t="s">
        <v>240</v>
      </c>
      <c r="N377" s="9" t="s">
        <v>113</v>
      </c>
      <c r="O377" s="9" t="s">
        <v>80</v>
      </c>
      <c r="P377" s="9" t="s">
        <v>81</v>
      </c>
      <c r="Q377" s="11" t="s">
        <v>2309</v>
      </c>
      <c r="R377" s="9" t="s">
        <v>83</v>
      </c>
      <c r="S377" s="11" t="s">
        <v>84</v>
      </c>
      <c r="T377" s="11" t="s">
        <v>2309</v>
      </c>
      <c r="U377" s="11" t="s">
        <v>85</v>
      </c>
      <c r="V377" s="11" t="s">
        <v>86</v>
      </c>
      <c r="W377" s="11" t="s">
        <v>2310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88</v>
      </c>
    </row>
    <row r="378" customFormat="false" ht="15" hidden="false" customHeight="false" outlineLevel="0" collapsed="false">
      <c r="A378" s="9" t="s">
        <v>2311</v>
      </c>
      <c r="B378" s="9" t="s">
        <v>2312</v>
      </c>
      <c r="C378" s="9" t="s">
        <v>2173</v>
      </c>
      <c r="D378" s="11" t="s">
        <v>2313</v>
      </c>
      <c r="E378" s="10" t="n">
        <v>30000</v>
      </c>
      <c r="F378" s="10" t="n">
        <v>30000</v>
      </c>
      <c r="G378" s="9"/>
      <c r="H378" s="9" t="s">
        <v>480</v>
      </c>
      <c r="I378" s="9" t="s">
        <v>463</v>
      </c>
      <c r="J378" s="9"/>
      <c r="K378" s="9"/>
      <c r="L378" s="9" t="s">
        <v>2189</v>
      </c>
      <c r="M378" s="9" t="s">
        <v>2314</v>
      </c>
      <c r="N378" s="9" t="s">
        <v>2315</v>
      </c>
      <c r="O378" s="9" t="s">
        <v>80</v>
      </c>
      <c r="P378" s="9" t="s">
        <v>81</v>
      </c>
      <c r="Q378" s="9" t="s">
        <v>2316</v>
      </c>
      <c r="R378" s="9" t="s">
        <v>83</v>
      </c>
      <c r="S378" s="11" t="s">
        <v>84</v>
      </c>
      <c r="T378" s="9" t="s">
        <v>2316</v>
      </c>
      <c r="U378" s="11" t="s">
        <v>85</v>
      </c>
      <c r="V378" s="11" t="s">
        <v>86</v>
      </c>
      <c r="W378" s="11" t="s">
        <v>2317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88</v>
      </c>
    </row>
    <row r="379" customFormat="false" ht="15" hidden="false" customHeight="false" outlineLevel="0" collapsed="false">
      <c r="A379" s="9" t="s">
        <v>2318</v>
      </c>
      <c r="B379" s="9" t="s">
        <v>2319</v>
      </c>
      <c r="C379" s="9" t="s">
        <v>2173</v>
      </c>
      <c r="D379" s="9" t="s">
        <v>2320</v>
      </c>
      <c r="E379" s="10" t="n">
        <v>0.5</v>
      </c>
      <c r="F379" s="9"/>
      <c r="G379" s="9"/>
      <c r="H379" s="11" t="s">
        <v>267</v>
      </c>
      <c r="I379" s="9" t="s">
        <v>1746</v>
      </c>
      <c r="J379" s="9"/>
      <c r="K379" s="9"/>
      <c r="L379" s="9" t="s">
        <v>1838</v>
      </c>
      <c r="M379" s="9" t="s">
        <v>1839</v>
      </c>
      <c r="N379" s="9" t="s">
        <v>1035</v>
      </c>
      <c r="O379" s="9" t="s">
        <v>80</v>
      </c>
      <c r="P379" s="9" t="s">
        <v>81</v>
      </c>
      <c r="Q379" s="9" t="s">
        <v>1789</v>
      </c>
      <c r="R379" s="9" t="s">
        <v>83</v>
      </c>
      <c r="S379" s="11" t="s">
        <v>84</v>
      </c>
      <c r="T379" s="9" t="s">
        <v>1789</v>
      </c>
      <c r="U379" s="11" t="s">
        <v>85</v>
      </c>
      <c r="V379" s="11" t="s">
        <v>86</v>
      </c>
      <c r="W379" s="11" t="s">
        <v>2321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88</v>
      </c>
    </row>
    <row r="380" customFormat="false" ht="15" hidden="false" customHeight="false" outlineLevel="0" collapsed="false">
      <c r="A380" s="9" t="s">
        <v>2322</v>
      </c>
      <c r="B380" s="9" t="s">
        <v>2323</v>
      </c>
      <c r="C380" s="9" t="s">
        <v>2173</v>
      </c>
      <c r="D380" s="9" t="s">
        <v>2324</v>
      </c>
      <c r="E380" s="10" t="n">
        <v>0.77</v>
      </c>
      <c r="F380" s="9"/>
      <c r="G380" s="9"/>
      <c r="H380" s="11" t="s">
        <v>267</v>
      </c>
      <c r="I380" s="9" t="s">
        <v>2188</v>
      </c>
      <c r="J380" s="9"/>
      <c r="K380" s="9"/>
      <c r="L380" s="9" t="s">
        <v>1838</v>
      </c>
      <c r="M380" s="9" t="s">
        <v>1839</v>
      </c>
      <c r="N380" s="9" t="s">
        <v>1035</v>
      </c>
      <c r="O380" s="9" t="s">
        <v>80</v>
      </c>
      <c r="P380" s="9" t="s">
        <v>81</v>
      </c>
      <c r="Q380" s="9" t="s">
        <v>1789</v>
      </c>
      <c r="R380" s="9" t="s">
        <v>83</v>
      </c>
      <c r="S380" s="11" t="s">
        <v>84</v>
      </c>
      <c r="T380" s="9" t="s">
        <v>1789</v>
      </c>
      <c r="U380" s="11" t="s">
        <v>85</v>
      </c>
      <c r="V380" s="11" t="s">
        <v>86</v>
      </c>
      <c r="W380" s="11" t="s">
        <v>2325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88</v>
      </c>
    </row>
    <row r="381" customFormat="false" ht="15" hidden="false" customHeight="false" outlineLevel="0" collapsed="false">
      <c r="A381" s="9" t="s">
        <v>2326</v>
      </c>
      <c r="B381" s="9" t="s">
        <v>2327</v>
      </c>
      <c r="C381" s="9" t="s">
        <v>72</v>
      </c>
      <c r="D381" s="9" t="s">
        <v>2328</v>
      </c>
      <c r="E381" s="10" t="n">
        <v>10.88</v>
      </c>
      <c r="F381" s="9"/>
      <c r="G381" s="9"/>
      <c r="H381" s="11" t="s">
        <v>2329</v>
      </c>
      <c r="I381" s="9" t="s">
        <v>75</v>
      </c>
      <c r="J381" s="9"/>
      <c r="K381" s="11" t="s">
        <v>76</v>
      </c>
      <c r="L381" s="9" t="s">
        <v>77</v>
      </c>
      <c r="M381" s="9" t="s">
        <v>78</v>
      </c>
      <c r="N381" s="9" t="s">
        <v>79</v>
      </c>
      <c r="O381" s="9" t="s">
        <v>80</v>
      </c>
      <c r="P381" s="9" t="s">
        <v>81</v>
      </c>
      <c r="Q381" s="9" t="s">
        <v>82</v>
      </c>
      <c r="R381" s="9" t="s">
        <v>83</v>
      </c>
      <c r="S381" s="11" t="s">
        <v>84</v>
      </c>
      <c r="T381" s="9" t="s">
        <v>82</v>
      </c>
      <c r="U381" s="11" t="s">
        <v>85</v>
      </c>
      <c r="V381" s="11" t="s">
        <v>86</v>
      </c>
      <c r="W381" s="9" t="s">
        <v>2330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88</v>
      </c>
    </row>
    <row r="382" customFormat="false" ht="15" hidden="false" customHeight="false" outlineLevel="0" collapsed="false">
      <c r="A382" s="9" t="s">
        <v>2331</v>
      </c>
      <c r="B382" s="9" t="s">
        <v>2332</v>
      </c>
      <c r="C382" s="9" t="s">
        <v>1744</v>
      </c>
      <c r="D382" s="11" t="s">
        <v>2333</v>
      </c>
      <c r="E382" s="10" t="n">
        <v>0.1</v>
      </c>
      <c r="F382" s="9"/>
      <c r="G382" s="9"/>
      <c r="H382" s="11" t="s">
        <v>267</v>
      </c>
      <c r="I382" s="9" t="s">
        <v>110</v>
      </c>
      <c r="J382" s="9"/>
      <c r="K382" s="9"/>
      <c r="L382" s="9" t="s">
        <v>1869</v>
      </c>
      <c r="M382" s="9" t="s">
        <v>1870</v>
      </c>
      <c r="N382" s="9" t="s">
        <v>878</v>
      </c>
      <c r="O382" s="9" t="s">
        <v>80</v>
      </c>
      <c r="P382" s="9" t="s">
        <v>81</v>
      </c>
      <c r="Q382" s="9" t="s">
        <v>1871</v>
      </c>
      <c r="R382" s="11" t="s">
        <v>101</v>
      </c>
      <c r="S382" s="11" t="s">
        <v>84</v>
      </c>
      <c r="T382" s="9" t="s">
        <v>1871</v>
      </c>
      <c r="U382" s="11" t="s">
        <v>101</v>
      </c>
      <c r="V382" s="11" t="s">
        <v>86</v>
      </c>
      <c r="W382" s="9" t="s">
        <v>2334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88</v>
      </c>
    </row>
    <row r="383" customFormat="false" ht="15" hidden="false" customHeight="false" outlineLevel="0" collapsed="false">
      <c r="A383" s="9" t="s">
        <v>2335</v>
      </c>
      <c r="B383" s="9" t="s">
        <v>2336</v>
      </c>
      <c r="C383" s="9" t="s">
        <v>1093</v>
      </c>
      <c r="D383" s="9" t="s">
        <v>2337</v>
      </c>
      <c r="E383" s="10" t="n">
        <v>2</v>
      </c>
      <c r="F383" s="9"/>
      <c r="G383" s="9"/>
      <c r="H383" s="11" t="s">
        <v>745</v>
      </c>
      <c r="I383" s="9" t="s">
        <v>1691</v>
      </c>
      <c r="J383" s="9"/>
      <c r="K383" s="11" t="s">
        <v>144</v>
      </c>
      <c r="L383" s="9" t="s">
        <v>1701</v>
      </c>
      <c r="M383" s="9" t="s">
        <v>1702</v>
      </c>
      <c r="N383" s="9" t="s">
        <v>1694</v>
      </c>
      <c r="O383" s="9" t="s">
        <v>80</v>
      </c>
      <c r="P383" s="9" t="s">
        <v>81</v>
      </c>
      <c r="Q383" s="9" t="s">
        <v>1703</v>
      </c>
      <c r="R383" s="9" t="s">
        <v>83</v>
      </c>
      <c r="S383" s="11" t="s">
        <v>84</v>
      </c>
      <c r="T383" s="9" t="s">
        <v>1703</v>
      </c>
      <c r="U383" s="11" t="s">
        <v>85</v>
      </c>
      <c r="V383" s="11" t="s">
        <v>86</v>
      </c>
      <c r="W383" s="9" t="s">
        <v>2338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88</v>
      </c>
    </row>
    <row r="384" customFormat="false" ht="15" hidden="false" customHeight="false" outlineLevel="0" collapsed="false">
      <c r="A384" s="9" t="s">
        <v>2339</v>
      </c>
      <c r="B384" s="9" t="s">
        <v>2340</v>
      </c>
      <c r="C384" s="9" t="s">
        <v>72</v>
      </c>
      <c r="D384" s="9" t="s">
        <v>2341</v>
      </c>
      <c r="E384" s="10" t="n">
        <v>16.3</v>
      </c>
      <c r="F384" s="9"/>
      <c r="G384" s="9"/>
      <c r="H384" s="9" t="s">
        <v>135</v>
      </c>
      <c r="I384" s="9" t="s">
        <v>136</v>
      </c>
      <c r="J384" s="9"/>
      <c r="K384" s="11" t="s">
        <v>76</v>
      </c>
      <c r="L384" s="9" t="s">
        <v>2342</v>
      </c>
      <c r="M384" s="9" t="s">
        <v>2343</v>
      </c>
      <c r="N384" s="9" t="s">
        <v>2344</v>
      </c>
      <c r="O384" s="9" t="s">
        <v>2344</v>
      </c>
      <c r="P384" s="9" t="s">
        <v>81</v>
      </c>
      <c r="Q384" s="9" t="s">
        <v>2345</v>
      </c>
      <c r="R384" s="9" t="s">
        <v>83</v>
      </c>
      <c r="S384" s="11" t="s">
        <v>84</v>
      </c>
      <c r="T384" s="9" t="s">
        <v>2345</v>
      </c>
      <c r="U384" s="11" t="s">
        <v>1130</v>
      </c>
      <c r="V384" s="11" t="s">
        <v>86</v>
      </c>
      <c r="W384" s="9" t="s">
        <v>2346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88</v>
      </c>
    </row>
    <row r="385" customFormat="false" ht="15" hidden="false" customHeight="false" outlineLevel="0" collapsed="false">
      <c r="A385" s="9" t="s">
        <v>2347</v>
      </c>
      <c r="B385" s="9" t="s">
        <v>2348</v>
      </c>
      <c r="C385" s="9" t="s">
        <v>72</v>
      </c>
      <c r="D385" s="9" t="s">
        <v>2349</v>
      </c>
      <c r="E385" s="10" t="n">
        <v>1.1</v>
      </c>
      <c r="F385" s="9"/>
      <c r="G385" s="9"/>
      <c r="H385" s="9" t="s">
        <v>135</v>
      </c>
      <c r="I385" s="9" t="s">
        <v>2350</v>
      </c>
      <c r="J385" s="9"/>
      <c r="K385" s="11" t="s">
        <v>76</v>
      </c>
      <c r="L385" s="9" t="s">
        <v>2342</v>
      </c>
      <c r="M385" s="9" t="s">
        <v>2343</v>
      </c>
      <c r="N385" s="9" t="s">
        <v>2344</v>
      </c>
      <c r="O385" s="9" t="s">
        <v>2344</v>
      </c>
      <c r="P385" s="9" t="s">
        <v>81</v>
      </c>
      <c r="Q385" s="9" t="s">
        <v>2345</v>
      </c>
      <c r="R385" s="9" t="s">
        <v>83</v>
      </c>
      <c r="S385" s="11" t="s">
        <v>84</v>
      </c>
      <c r="T385" s="9" t="s">
        <v>2345</v>
      </c>
      <c r="U385" s="11" t="s">
        <v>1130</v>
      </c>
      <c r="V385" s="11" t="s">
        <v>86</v>
      </c>
      <c r="W385" s="9" t="s">
        <v>2351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88</v>
      </c>
    </row>
    <row r="386" customFormat="false" ht="15" hidden="false" customHeight="false" outlineLevel="0" collapsed="false">
      <c r="A386" s="9" t="s">
        <v>2352</v>
      </c>
      <c r="B386" s="9" t="s">
        <v>2353</v>
      </c>
      <c r="C386" s="9" t="s">
        <v>72</v>
      </c>
      <c r="D386" s="9" t="s">
        <v>2354</v>
      </c>
      <c r="E386" s="10" t="n">
        <v>11.6</v>
      </c>
      <c r="F386" s="9"/>
      <c r="G386" s="9"/>
      <c r="H386" s="9" t="s">
        <v>109</v>
      </c>
      <c r="I386" s="9" t="s">
        <v>119</v>
      </c>
      <c r="J386" s="9"/>
      <c r="K386" s="11" t="s">
        <v>144</v>
      </c>
      <c r="L386" s="9" t="s">
        <v>2355</v>
      </c>
      <c r="M386" s="9" t="s">
        <v>2356</v>
      </c>
      <c r="N386" s="9" t="s">
        <v>2357</v>
      </c>
      <c r="O386" s="9" t="s">
        <v>2344</v>
      </c>
      <c r="P386" s="9" t="s">
        <v>81</v>
      </c>
      <c r="Q386" s="9" t="s">
        <v>2358</v>
      </c>
      <c r="R386" s="9" t="s">
        <v>83</v>
      </c>
      <c r="S386" s="11" t="s">
        <v>84</v>
      </c>
      <c r="T386" s="9" t="s">
        <v>2358</v>
      </c>
      <c r="U386" s="11" t="s">
        <v>85</v>
      </c>
      <c r="V386" s="11" t="s">
        <v>86</v>
      </c>
      <c r="W386" s="9" t="s">
        <v>2359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88</v>
      </c>
    </row>
    <row r="387" customFormat="false" ht="15" hidden="false" customHeight="false" outlineLevel="0" collapsed="false">
      <c r="A387" s="9" t="s">
        <v>2360</v>
      </c>
      <c r="B387" s="9" t="s">
        <v>2361</v>
      </c>
      <c r="C387" s="9" t="s">
        <v>72</v>
      </c>
      <c r="D387" s="9" t="s">
        <v>2362</v>
      </c>
      <c r="E387" s="10" t="n">
        <v>11.5</v>
      </c>
      <c r="F387" s="9"/>
      <c r="G387" s="9"/>
      <c r="H387" s="9" t="s">
        <v>109</v>
      </c>
      <c r="I387" s="9" t="s">
        <v>119</v>
      </c>
      <c r="J387" s="9"/>
      <c r="K387" s="11" t="s">
        <v>144</v>
      </c>
      <c r="L387" s="9" t="s">
        <v>2363</v>
      </c>
      <c r="M387" s="9" t="s">
        <v>2364</v>
      </c>
      <c r="N387" s="9" t="s">
        <v>2357</v>
      </c>
      <c r="O387" s="9" t="s">
        <v>2344</v>
      </c>
      <c r="P387" s="9" t="s">
        <v>81</v>
      </c>
      <c r="Q387" s="9" t="s">
        <v>2358</v>
      </c>
      <c r="R387" s="11" t="s">
        <v>101</v>
      </c>
      <c r="S387" s="11" t="s">
        <v>84</v>
      </c>
      <c r="T387" s="9" t="s">
        <v>2358</v>
      </c>
      <c r="U387" s="11" t="s">
        <v>101</v>
      </c>
      <c r="V387" s="11" t="s">
        <v>86</v>
      </c>
      <c r="W387" s="9" t="s">
        <v>2365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88</v>
      </c>
    </row>
    <row r="388" customFormat="false" ht="15" hidden="false" customHeight="false" outlineLevel="0" collapsed="false">
      <c r="A388" s="9" t="s">
        <v>2366</v>
      </c>
      <c r="B388" s="9" t="s">
        <v>2367</v>
      </c>
      <c r="C388" s="9" t="s">
        <v>72</v>
      </c>
      <c r="D388" s="9" t="s">
        <v>2368</v>
      </c>
      <c r="E388" s="10" t="n">
        <v>16.8</v>
      </c>
      <c r="F388" s="9"/>
      <c r="G388" s="9"/>
      <c r="H388" s="9" t="s">
        <v>109</v>
      </c>
      <c r="I388" s="9" t="s">
        <v>394</v>
      </c>
      <c r="J388" s="9"/>
      <c r="K388" s="11" t="s">
        <v>144</v>
      </c>
      <c r="L388" s="9" t="s">
        <v>2369</v>
      </c>
      <c r="M388" s="9" t="s">
        <v>2356</v>
      </c>
      <c r="N388" s="9" t="s">
        <v>2357</v>
      </c>
      <c r="O388" s="9" t="s">
        <v>2344</v>
      </c>
      <c r="P388" s="9" t="s">
        <v>81</v>
      </c>
      <c r="Q388" s="9" t="s">
        <v>2358</v>
      </c>
      <c r="R388" s="9" t="s">
        <v>83</v>
      </c>
      <c r="S388" s="11" t="s">
        <v>84</v>
      </c>
      <c r="T388" s="9" t="s">
        <v>2358</v>
      </c>
      <c r="U388" s="11" t="s">
        <v>85</v>
      </c>
      <c r="V388" s="11" t="s">
        <v>86</v>
      </c>
      <c r="W388" s="9" t="s">
        <v>2370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88</v>
      </c>
    </row>
    <row r="389" customFormat="false" ht="15" hidden="false" customHeight="false" outlineLevel="0" collapsed="false">
      <c r="A389" s="9" t="s">
        <v>2371</v>
      </c>
      <c r="B389" s="9" t="s">
        <v>2372</v>
      </c>
      <c r="C389" s="9" t="s">
        <v>72</v>
      </c>
      <c r="D389" s="9" t="s">
        <v>2373</v>
      </c>
      <c r="E389" s="10" t="n">
        <v>0.11</v>
      </c>
      <c r="F389" s="9"/>
      <c r="G389" s="9"/>
      <c r="H389" s="11" t="s">
        <v>267</v>
      </c>
      <c r="I389" s="9" t="s">
        <v>394</v>
      </c>
      <c r="J389" s="9"/>
      <c r="K389" s="11" t="s">
        <v>144</v>
      </c>
      <c r="L389" s="9" t="s">
        <v>2374</v>
      </c>
      <c r="M389" s="9" t="s">
        <v>2356</v>
      </c>
      <c r="N389" s="9" t="s">
        <v>2357</v>
      </c>
      <c r="O389" s="9" t="s">
        <v>2344</v>
      </c>
      <c r="P389" s="9" t="s">
        <v>81</v>
      </c>
      <c r="Q389" s="9" t="s">
        <v>2358</v>
      </c>
      <c r="R389" s="9" t="s">
        <v>83</v>
      </c>
      <c r="S389" s="11" t="s">
        <v>84</v>
      </c>
      <c r="T389" s="9" t="s">
        <v>2358</v>
      </c>
      <c r="U389" s="11" t="s">
        <v>85</v>
      </c>
      <c r="V389" s="11" t="s">
        <v>86</v>
      </c>
      <c r="W389" s="9" t="s">
        <v>2375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88</v>
      </c>
    </row>
    <row r="390" customFormat="false" ht="15" hidden="false" customHeight="false" outlineLevel="0" collapsed="false">
      <c r="A390" s="9" t="s">
        <v>2376</v>
      </c>
      <c r="B390" s="9" t="s">
        <v>2377</v>
      </c>
      <c r="C390" s="9" t="s">
        <v>72</v>
      </c>
      <c r="D390" s="9" t="s">
        <v>2378</v>
      </c>
      <c r="E390" s="9"/>
      <c r="F390" s="9"/>
      <c r="G390" s="9"/>
      <c r="H390" s="11" t="s">
        <v>1897</v>
      </c>
      <c r="I390" s="9" t="s">
        <v>394</v>
      </c>
      <c r="J390" s="9"/>
      <c r="K390" s="11" t="s">
        <v>144</v>
      </c>
      <c r="L390" s="9" t="s">
        <v>2379</v>
      </c>
      <c r="M390" s="9" t="s">
        <v>2364</v>
      </c>
      <c r="N390" s="9" t="s">
        <v>2357</v>
      </c>
      <c r="O390" s="9" t="s">
        <v>2344</v>
      </c>
      <c r="P390" s="9" t="s">
        <v>81</v>
      </c>
      <c r="Q390" s="9" t="s">
        <v>2358</v>
      </c>
      <c r="R390" s="9" t="s">
        <v>83</v>
      </c>
      <c r="S390" s="11" t="s">
        <v>84</v>
      </c>
      <c r="T390" s="9" t="s">
        <v>2358</v>
      </c>
      <c r="U390" s="11" t="s">
        <v>85</v>
      </c>
      <c r="V390" s="11" t="s">
        <v>86</v>
      </c>
      <c r="W390" s="9" t="s">
        <v>2380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88</v>
      </c>
    </row>
    <row r="391" customFormat="false" ht="15" hidden="false" customHeight="false" outlineLevel="0" collapsed="false">
      <c r="A391" s="9" t="s">
        <v>2381</v>
      </c>
      <c r="B391" s="9" t="s">
        <v>2382</v>
      </c>
      <c r="C391" s="9" t="s">
        <v>72</v>
      </c>
      <c r="D391" s="9" t="s">
        <v>2383</v>
      </c>
      <c r="E391" s="10" t="n">
        <v>1.7</v>
      </c>
      <c r="F391" s="9"/>
      <c r="G391" s="9"/>
      <c r="H391" s="11" t="s">
        <v>745</v>
      </c>
      <c r="I391" s="9" t="s">
        <v>394</v>
      </c>
      <c r="J391" s="9"/>
      <c r="K391" s="11" t="s">
        <v>144</v>
      </c>
      <c r="L391" s="9" t="s">
        <v>2384</v>
      </c>
      <c r="M391" s="9" t="s">
        <v>2356</v>
      </c>
      <c r="N391" s="9" t="s">
        <v>2357</v>
      </c>
      <c r="O391" s="9" t="s">
        <v>2344</v>
      </c>
      <c r="P391" s="9" t="s">
        <v>81</v>
      </c>
      <c r="Q391" s="9" t="s">
        <v>2358</v>
      </c>
      <c r="R391" s="9" t="s">
        <v>83</v>
      </c>
      <c r="S391" s="11" t="s">
        <v>84</v>
      </c>
      <c r="T391" s="9" t="s">
        <v>2358</v>
      </c>
      <c r="U391" s="11" t="s">
        <v>85</v>
      </c>
      <c r="V391" s="11" t="s">
        <v>86</v>
      </c>
      <c r="W391" s="9" t="s">
        <v>2385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88</v>
      </c>
    </row>
    <row r="392" customFormat="false" ht="15" hidden="false" customHeight="false" outlineLevel="0" collapsed="false">
      <c r="A392" s="9" t="s">
        <v>2386</v>
      </c>
      <c r="B392" s="9" t="s">
        <v>2387</v>
      </c>
      <c r="C392" s="9" t="s">
        <v>72</v>
      </c>
      <c r="D392" s="11" t="s">
        <v>2388</v>
      </c>
      <c r="E392" s="10" t="n">
        <v>74</v>
      </c>
      <c r="F392" s="9"/>
      <c r="G392" s="9"/>
      <c r="H392" s="9" t="s">
        <v>74</v>
      </c>
      <c r="I392" s="9" t="s">
        <v>875</v>
      </c>
      <c r="J392" s="9"/>
      <c r="K392" s="11" t="s">
        <v>144</v>
      </c>
      <c r="L392" s="9" t="s">
        <v>2389</v>
      </c>
      <c r="M392" s="9" t="s">
        <v>2364</v>
      </c>
      <c r="N392" s="9" t="s">
        <v>2357</v>
      </c>
      <c r="O392" s="9" t="s">
        <v>2344</v>
      </c>
      <c r="P392" s="9" t="s">
        <v>297</v>
      </c>
      <c r="Q392" s="9" t="s">
        <v>2390</v>
      </c>
      <c r="R392" s="9" t="s">
        <v>83</v>
      </c>
      <c r="S392" s="11" t="s">
        <v>298</v>
      </c>
      <c r="T392" s="9" t="s">
        <v>2391</v>
      </c>
      <c r="U392" s="11" t="s">
        <v>85</v>
      </c>
      <c r="V392" s="11" t="s">
        <v>86</v>
      </c>
      <c r="W392" s="9" t="s">
        <v>2392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88</v>
      </c>
    </row>
    <row r="393" customFormat="false" ht="15" hidden="false" customHeight="false" outlineLevel="0" collapsed="false">
      <c r="A393" s="9" t="s">
        <v>2393</v>
      </c>
      <c r="B393" s="9" t="s">
        <v>2394</v>
      </c>
      <c r="C393" s="9" t="s">
        <v>72</v>
      </c>
      <c r="D393" s="11" t="s">
        <v>2395</v>
      </c>
      <c r="E393" s="10" t="n">
        <v>110</v>
      </c>
      <c r="F393" s="10" t="n">
        <v>100</v>
      </c>
      <c r="G393" s="10" t="n">
        <v>120</v>
      </c>
      <c r="H393" s="9" t="s">
        <v>74</v>
      </c>
      <c r="I393" s="9" t="s">
        <v>1245</v>
      </c>
      <c r="J393" s="9"/>
      <c r="K393" s="11" t="s">
        <v>144</v>
      </c>
      <c r="L393" s="9" t="s">
        <v>2396</v>
      </c>
      <c r="M393" s="9" t="s">
        <v>2356</v>
      </c>
      <c r="N393" s="9" t="s">
        <v>2357</v>
      </c>
      <c r="O393" s="9" t="s">
        <v>2344</v>
      </c>
      <c r="P393" s="9" t="s">
        <v>297</v>
      </c>
      <c r="Q393" s="11" t="s">
        <v>2397</v>
      </c>
      <c r="R393" s="11" t="s">
        <v>101</v>
      </c>
      <c r="S393" s="11" t="s">
        <v>298</v>
      </c>
      <c r="T393" s="11" t="s">
        <v>2397</v>
      </c>
      <c r="U393" s="11" t="s">
        <v>101</v>
      </c>
      <c r="V393" s="11" t="s">
        <v>86</v>
      </c>
      <c r="W393" s="9" t="s">
        <v>2398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88</v>
      </c>
    </row>
    <row r="394" customFormat="false" ht="15" hidden="false" customHeight="false" outlineLevel="0" collapsed="false">
      <c r="A394" s="9" t="s">
        <v>2399</v>
      </c>
      <c r="B394" s="9" t="s">
        <v>2400</v>
      </c>
      <c r="C394" s="9" t="s">
        <v>72</v>
      </c>
      <c r="D394" s="11" t="s">
        <v>2401</v>
      </c>
      <c r="E394" s="10" t="n">
        <v>100</v>
      </c>
      <c r="F394" s="9"/>
      <c r="G394" s="10" t="n">
        <v>100</v>
      </c>
      <c r="H394" s="9" t="s">
        <v>74</v>
      </c>
      <c r="I394" s="9" t="s">
        <v>1245</v>
      </c>
      <c r="J394" s="9"/>
      <c r="K394" s="11" t="s">
        <v>144</v>
      </c>
      <c r="L394" s="9" t="s">
        <v>2402</v>
      </c>
      <c r="M394" s="9" t="s">
        <v>2364</v>
      </c>
      <c r="N394" s="9" t="s">
        <v>2357</v>
      </c>
      <c r="O394" s="9" t="s">
        <v>2344</v>
      </c>
      <c r="P394" s="9" t="s">
        <v>297</v>
      </c>
      <c r="Q394" s="11" t="s">
        <v>2403</v>
      </c>
      <c r="R394" s="11" t="s">
        <v>101</v>
      </c>
      <c r="S394" s="11" t="s">
        <v>298</v>
      </c>
      <c r="T394" s="11" t="s">
        <v>2403</v>
      </c>
      <c r="U394" s="11" t="s">
        <v>101</v>
      </c>
      <c r="V394" s="11" t="s">
        <v>86</v>
      </c>
      <c r="W394" s="9" t="s">
        <v>2404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88</v>
      </c>
    </row>
    <row r="395" customFormat="false" ht="15" hidden="false" customHeight="false" outlineLevel="0" collapsed="false">
      <c r="A395" s="9" t="s">
        <v>2405</v>
      </c>
      <c r="B395" s="9" t="s">
        <v>2406</v>
      </c>
      <c r="C395" s="9" t="s">
        <v>1880</v>
      </c>
      <c r="D395" s="9" t="s">
        <v>2407</v>
      </c>
      <c r="E395" s="10" t="n">
        <v>80.7</v>
      </c>
      <c r="F395" s="9"/>
      <c r="G395" s="9"/>
      <c r="H395" s="9" t="s">
        <v>135</v>
      </c>
      <c r="I395" s="9" t="s">
        <v>136</v>
      </c>
      <c r="J395" s="9"/>
      <c r="K395" s="11" t="s">
        <v>76</v>
      </c>
      <c r="L395" s="9" t="s">
        <v>2342</v>
      </c>
      <c r="M395" s="9" t="s">
        <v>2343</v>
      </c>
      <c r="N395" s="9" t="s">
        <v>2344</v>
      </c>
      <c r="O395" s="9" t="s">
        <v>2344</v>
      </c>
      <c r="P395" s="9" t="s">
        <v>81</v>
      </c>
      <c r="Q395" s="9" t="s">
        <v>2345</v>
      </c>
      <c r="R395" s="9" t="s">
        <v>83</v>
      </c>
      <c r="S395" s="11" t="s">
        <v>84</v>
      </c>
      <c r="T395" s="9" t="s">
        <v>2345</v>
      </c>
      <c r="U395" s="11" t="s">
        <v>1130</v>
      </c>
      <c r="V395" s="11" t="s">
        <v>86</v>
      </c>
      <c r="W395" s="9" t="s">
        <v>2408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88</v>
      </c>
    </row>
    <row r="396" customFormat="false" ht="15" hidden="false" customHeight="false" outlineLevel="0" collapsed="false">
      <c r="A396" s="9" t="s">
        <v>2409</v>
      </c>
      <c r="B396" s="9" t="s">
        <v>2410</v>
      </c>
      <c r="C396" s="9" t="s">
        <v>1880</v>
      </c>
      <c r="D396" s="9" t="s">
        <v>2411</v>
      </c>
      <c r="E396" s="10" t="n">
        <v>72</v>
      </c>
      <c r="F396" s="9"/>
      <c r="G396" s="9"/>
      <c r="H396" s="9" t="s">
        <v>135</v>
      </c>
      <c r="I396" s="9" t="s">
        <v>136</v>
      </c>
      <c r="J396" s="9"/>
      <c r="K396" s="11" t="s">
        <v>2412</v>
      </c>
      <c r="L396" s="9" t="s">
        <v>2413</v>
      </c>
      <c r="M396" s="9" t="s">
        <v>2414</v>
      </c>
      <c r="N396" s="9" t="s">
        <v>2344</v>
      </c>
      <c r="O396" s="9" t="s">
        <v>2344</v>
      </c>
      <c r="P396" s="9" t="s">
        <v>81</v>
      </c>
      <c r="Q396" s="9" t="s">
        <v>2345</v>
      </c>
      <c r="R396" s="9" t="s">
        <v>83</v>
      </c>
      <c r="S396" s="11" t="s">
        <v>84</v>
      </c>
      <c r="T396" s="9" t="s">
        <v>2345</v>
      </c>
      <c r="U396" s="11" t="s">
        <v>1130</v>
      </c>
      <c r="V396" s="11" t="s">
        <v>86</v>
      </c>
      <c r="W396" s="9" t="s">
        <v>2415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88</v>
      </c>
    </row>
    <row r="397" customFormat="false" ht="15" hidden="false" customHeight="false" outlineLevel="0" collapsed="false">
      <c r="A397" s="9" t="s">
        <v>2416</v>
      </c>
      <c r="B397" s="9" t="s">
        <v>2417</v>
      </c>
      <c r="C397" s="9" t="s">
        <v>1880</v>
      </c>
      <c r="D397" s="9" t="s">
        <v>2418</v>
      </c>
      <c r="E397" s="10" t="n">
        <v>13</v>
      </c>
      <c r="F397" s="9"/>
      <c r="G397" s="9"/>
      <c r="H397" s="9" t="s">
        <v>135</v>
      </c>
      <c r="I397" s="9" t="s">
        <v>2350</v>
      </c>
      <c r="J397" s="9"/>
      <c r="K397" s="11" t="s">
        <v>76</v>
      </c>
      <c r="L397" s="9" t="s">
        <v>2342</v>
      </c>
      <c r="M397" s="9" t="s">
        <v>2343</v>
      </c>
      <c r="N397" s="9" t="s">
        <v>2344</v>
      </c>
      <c r="O397" s="9" t="s">
        <v>2344</v>
      </c>
      <c r="P397" s="9" t="s">
        <v>81</v>
      </c>
      <c r="Q397" s="9" t="s">
        <v>2345</v>
      </c>
      <c r="R397" s="9" t="s">
        <v>83</v>
      </c>
      <c r="S397" s="11" t="s">
        <v>84</v>
      </c>
      <c r="T397" s="9" t="s">
        <v>2345</v>
      </c>
      <c r="U397" s="11" t="s">
        <v>1130</v>
      </c>
      <c r="V397" s="11" t="s">
        <v>86</v>
      </c>
      <c r="W397" s="9" t="s">
        <v>2419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88</v>
      </c>
    </row>
    <row r="398" customFormat="false" ht="15" hidden="false" customHeight="false" outlineLevel="0" collapsed="false">
      <c r="A398" s="9" t="s">
        <v>2420</v>
      </c>
      <c r="B398" s="9" t="s">
        <v>2421</v>
      </c>
      <c r="C398" s="9" t="s">
        <v>1093</v>
      </c>
      <c r="D398" s="9" t="s">
        <v>2422</v>
      </c>
      <c r="E398" s="10" t="n">
        <v>9</v>
      </c>
      <c r="F398" s="9"/>
      <c r="G398" s="9"/>
      <c r="H398" s="9" t="s">
        <v>135</v>
      </c>
      <c r="I398" s="9" t="s">
        <v>136</v>
      </c>
      <c r="J398" s="9"/>
      <c r="K398" s="11" t="s">
        <v>144</v>
      </c>
      <c r="L398" s="9" t="s">
        <v>2342</v>
      </c>
      <c r="M398" s="9" t="s">
        <v>2343</v>
      </c>
      <c r="N398" s="9" t="s">
        <v>2344</v>
      </c>
      <c r="O398" s="9" t="s">
        <v>2344</v>
      </c>
      <c r="P398" s="9" t="s">
        <v>81</v>
      </c>
      <c r="Q398" s="9" t="s">
        <v>2345</v>
      </c>
      <c r="R398" s="9" t="s">
        <v>83</v>
      </c>
      <c r="S398" s="11" t="s">
        <v>84</v>
      </c>
      <c r="T398" s="9" t="s">
        <v>2345</v>
      </c>
      <c r="U398" s="11" t="s">
        <v>1130</v>
      </c>
      <c r="V398" s="11" t="s">
        <v>86</v>
      </c>
      <c r="W398" s="9" t="s">
        <v>2423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88</v>
      </c>
    </row>
    <row r="399" customFormat="false" ht="15" hidden="false" customHeight="false" outlineLevel="0" collapsed="false">
      <c r="A399" s="9" t="s">
        <v>2424</v>
      </c>
      <c r="B399" s="9" t="s">
        <v>2425</v>
      </c>
      <c r="C399" s="9" t="s">
        <v>1093</v>
      </c>
      <c r="D399" s="9" t="s">
        <v>2426</v>
      </c>
      <c r="E399" s="10" t="n">
        <v>2.3</v>
      </c>
      <c r="F399" s="9"/>
      <c r="G399" s="9"/>
      <c r="H399" s="9" t="s">
        <v>135</v>
      </c>
      <c r="I399" s="9" t="s">
        <v>2350</v>
      </c>
      <c r="J399" s="9"/>
      <c r="K399" s="11" t="s">
        <v>144</v>
      </c>
      <c r="L399" s="9" t="s">
        <v>2413</v>
      </c>
      <c r="M399" s="9" t="s">
        <v>2414</v>
      </c>
      <c r="N399" s="9" t="s">
        <v>2344</v>
      </c>
      <c r="O399" s="9" t="s">
        <v>2344</v>
      </c>
      <c r="P399" s="9" t="s">
        <v>81</v>
      </c>
      <c r="Q399" s="9" t="s">
        <v>2345</v>
      </c>
      <c r="R399" s="9" t="s">
        <v>83</v>
      </c>
      <c r="S399" s="11" t="s">
        <v>84</v>
      </c>
      <c r="T399" s="9" t="s">
        <v>2345</v>
      </c>
      <c r="U399" s="11" t="s">
        <v>1130</v>
      </c>
      <c r="V399" s="11" t="s">
        <v>86</v>
      </c>
      <c r="W399" s="9" t="s">
        <v>2427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88</v>
      </c>
    </row>
    <row r="400" customFormat="false" ht="15" hidden="false" customHeight="false" outlineLevel="0" collapsed="false">
      <c r="A400" s="9" t="s">
        <v>2428</v>
      </c>
      <c r="B400" s="9" t="s">
        <v>2429</v>
      </c>
      <c r="C400" s="9" t="s">
        <v>1093</v>
      </c>
      <c r="D400" s="11" t="s">
        <v>2430</v>
      </c>
      <c r="E400" s="10" t="n">
        <v>450</v>
      </c>
      <c r="F400" s="9"/>
      <c r="G400" s="9"/>
      <c r="H400" s="9" t="s">
        <v>480</v>
      </c>
      <c r="I400" s="11" t="s">
        <v>2431</v>
      </c>
      <c r="J400" s="9"/>
      <c r="K400" s="11" t="s">
        <v>76</v>
      </c>
      <c r="L400" s="9" t="s">
        <v>2342</v>
      </c>
      <c r="M400" s="9" t="s">
        <v>2343</v>
      </c>
      <c r="N400" s="9" t="s">
        <v>2344</v>
      </c>
      <c r="O400" s="9" t="s">
        <v>2344</v>
      </c>
      <c r="P400" s="9" t="s">
        <v>81</v>
      </c>
      <c r="Q400" s="9" t="s">
        <v>2345</v>
      </c>
      <c r="R400" s="9" t="s">
        <v>83</v>
      </c>
      <c r="S400" s="11" t="s">
        <v>84</v>
      </c>
      <c r="T400" s="9" t="s">
        <v>2345</v>
      </c>
      <c r="U400" s="11" t="s">
        <v>1130</v>
      </c>
      <c r="V400" s="11" t="s">
        <v>86</v>
      </c>
      <c r="W400" s="9" t="s">
        <v>2432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88</v>
      </c>
    </row>
    <row r="401" customFormat="false" ht="15" hidden="false" customHeight="false" outlineLevel="0" collapsed="false">
      <c r="A401" s="9" t="s">
        <v>2433</v>
      </c>
      <c r="B401" s="9" t="s">
        <v>2434</v>
      </c>
      <c r="C401" s="9" t="s">
        <v>1093</v>
      </c>
      <c r="D401" s="9" t="s">
        <v>2435</v>
      </c>
      <c r="E401" s="10" t="n">
        <v>111</v>
      </c>
      <c r="F401" s="9"/>
      <c r="G401" s="9"/>
      <c r="H401" s="9" t="s">
        <v>480</v>
      </c>
      <c r="I401" s="11" t="s">
        <v>2431</v>
      </c>
      <c r="J401" s="9"/>
      <c r="K401" s="11" t="s">
        <v>76</v>
      </c>
      <c r="L401" s="9" t="s">
        <v>2342</v>
      </c>
      <c r="M401" s="9" t="s">
        <v>2343</v>
      </c>
      <c r="N401" s="9" t="s">
        <v>2344</v>
      </c>
      <c r="O401" s="9" t="s">
        <v>2344</v>
      </c>
      <c r="P401" s="9" t="s">
        <v>81</v>
      </c>
      <c r="Q401" s="9" t="s">
        <v>2345</v>
      </c>
      <c r="R401" s="9" t="s">
        <v>83</v>
      </c>
      <c r="S401" s="11" t="s">
        <v>84</v>
      </c>
      <c r="T401" s="9" t="s">
        <v>2345</v>
      </c>
      <c r="U401" s="11" t="s">
        <v>1130</v>
      </c>
      <c r="V401" s="11" t="s">
        <v>86</v>
      </c>
      <c r="W401" s="9" t="s">
        <v>2436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88</v>
      </c>
    </row>
    <row r="402" customFormat="false" ht="15" hidden="false" customHeight="false" outlineLevel="0" collapsed="false">
      <c r="A402" s="9" t="s">
        <v>2437</v>
      </c>
      <c r="B402" s="9" t="s">
        <v>2438</v>
      </c>
      <c r="C402" s="9" t="s">
        <v>1093</v>
      </c>
      <c r="D402" s="9" t="s">
        <v>2439</v>
      </c>
      <c r="E402" s="10" t="n">
        <v>110</v>
      </c>
      <c r="F402" s="9"/>
      <c r="G402" s="9"/>
      <c r="H402" s="9" t="s">
        <v>480</v>
      </c>
      <c r="I402" s="11" t="s">
        <v>2431</v>
      </c>
      <c r="J402" s="9"/>
      <c r="K402" s="11" t="s">
        <v>76</v>
      </c>
      <c r="L402" s="9" t="s">
        <v>2342</v>
      </c>
      <c r="M402" s="9" t="s">
        <v>2343</v>
      </c>
      <c r="N402" s="9" t="s">
        <v>2344</v>
      </c>
      <c r="O402" s="9" t="s">
        <v>2344</v>
      </c>
      <c r="P402" s="9" t="s">
        <v>81</v>
      </c>
      <c r="Q402" s="9" t="s">
        <v>2345</v>
      </c>
      <c r="R402" s="9" t="s">
        <v>83</v>
      </c>
      <c r="S402" s="11" t="s">
        <v>84</v>
      </c>
      <c r="T402" s="9" t="s">
        <v>2345</v>
      </c>
      <c r="U402" s="11" t="s">
        <v>1130</v>
      </c>
      <c r="V402" s="11" t="s">
        <v>86</v>
      </c>
      <c r="W402" s="9" t="s">
        <v>2440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88</v>
      </c>
    </row>
    <row r="403" customFormat="false" ht="15" hidden="false" customHeight="false" outlineLevel="0" collapsed="false">
      <c r="A403" s="9" t="s">
        <v>2441</v>
      </c>
      <c r="B403" s="9" t="s">
        <v>2442</v>
      </c>
      <c r="C403" s="9" t="s">
        <v>1093</v>
      </c>
      <c r="D403" s="9" t="s">
        <v>2443</v>
      </c>
      <c r="E403" s="10" t="n">
        <v>31</v>
      </c>
      <c r="F403" s="9"/>
      <c r="G403" s="9"/>
      <c r="H403" s="9" t="s">
        <v>480</v>
      </c>
      <c r="I403" s="11" t="s">
        <v>2431</v>
      </c>
      <c r="J403" s="9"/>
      <c r="K403" s="11" t="s">
        <v>76</v>
      </c>
      <c r="L403" s="9" t="s">
        <v>2342</v>
      </c>
      <c r="M403" s="9" t="s">
        <v>2343</v>
      </c>
      <c r="N403" s="9" t="s">
        <v>2344</v>
      </c>
      <c r="O403" s="9" t="s">
        <v>2344</v>
      </c>
      <c r="P403" s="9" t="s">
        <v>81</v>
      </c>
      <c r="Q403" s="9" t="s">
        <v>2345</v>
      </c>
      <c r="R403" s="9" t="s">
        <v>83</v>
      </c>
      <c r="S403" s="11" t="s">
        <v>84</v>
      </c>
      <c r="T403" s="9" t="s">
        <v>2345</v>
      </c>
      <c r="U403" s="11" t="s">
        <v>1130</v>
      </c>
      <c r="V403" s="11" t="s">
        <v>86</v>
      </c>
      <c r="W403" s="9" t="s">
        <v>2444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88</v>
      </c>
    </row>
    <row r="404" customFormat="false" ht="15" hidden="false" customHeight="false" outlineLevel="0" collapsed="false">
      <c r="A404" s="9" t="s">
        <v>2445</v>
      </c>
      <c r="B404" s="9" t="s">
        <v>2446</v>
      </c>
      <c r="C404" s="9" t="s">
        <v>1093</v>
      </c>
      <c r="D404" s="9" t="s">
        <v>2447</v>
      </c>
      <c r="E404" s="10" t="n">
        <v>86</v>
      </c>
      <c r="F404" s="9"/>
      <c r="G404" s="10" t="n">
        <v>86</v>
      </c>
      <c r="H404" s="9" t="s">
        <v>480</v>
      </c>
      <c r="I404" s="11" t="s">
        <v>2448</v>
      </c>
      <c r="J404" s="9"/>
      <c r="K404" s="11" t="s">
        <v>76</v>
      </c>
      <c r="L404" s="9" t="s">
        <v>2449</v>
      </c>
      <c r="M404" s="9" t="s">
        <v>2450</v>
      </c>
      <c r="N404" s="9" t="s">
        <v>2451</v>
      </c>
      <c r="O404" s="9" t="s">
        <v>2344</v>
      </c>
      <c r="P404" s="9" t="s">
        <v>81</v>
      </c>
      <c r="Q404" s="9" t="s">
        <v>2345</v>
      </c>
      <c r="R404" s="9" t="s">
        <v>83</v>
      </c>
      <c r="S404" s="11" t="s">
        <v>84</v>
      </c>
      <c r="T404" s="9" t="s">
        <v>2345</v>
      </c>
      <c r="U404" s="11" t="s">
        <v>1130</v>
      </c>
      <c r="V404" s="11" t="s">
        <v>86</v>
      </c>
      <c r="W404" s="9" t="s">
        <v>2452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88</v>
      </c>
    </row>
    <row r="405" customFormat="false" ht="15" hidden="false" customHeight="false" outlineLevel="0" collapsed="false">
      <c r="A405" s="9" t="s">
        <v>2453</v>
      </c>
      <c r="B405" s="9" t="s">
        <v>2454</v>
      </c>
      <c r="C405" s="9" t="s">
        <v>1093</v>
      </c>
      <c r="D405" s="9" t="s">
        <v>2455</v>
      </c>
      <c r="E405" s="10" t="n">
        <v>160</v>
      </c>
      <c r="F405" s="10" t="n">
        <v>160</v>
      </c>
      <c r="G405" s="9"/>
      <c r="H405" s="9" t="s">
        <v>480</v>
      </c>
      <c r="I405" s="11" t="s">
        <v>2456</v>
      </c>
      <c r="J405" s="9"/>
      <c r="K405" s="11" t="s">
        <v>76</v>
      </c>
      <c r="L405" s="9" t="s">
        <v>2449</v>
      </c>
      <c r="M405" s="9" t="s">
        <v>2450</v>
      </c>
      <c r="N405" s="9" t="s">
        <v>2451</v>
      </c>
      <c r="O405" s="9" t="s">
        <v>2344</v>
      </c>
      <c r="P405" s="9" t="s">
        <v>81</v>
      </c>
      <c r="Q405" s="9" t="s">
        <v>2345</v>
      </c>
      <c r="R405" s="9" t="s">
        <v>83</v>
      </c>
      <c r="S405" s="11" t="s">
        <v>84</v>
      </c>
      <c r="T405" s="9" t="s">
        <v>2345</v>
      </c>
      <c r="U405" s="11" t="s">
        <v>1130</v>
      </c>
      <c r="V405" s="11" t="s">
        <v>86</v>
      </c>
      <c r="W405" s="9" t="s">
        <v>2457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88</v>
      </c>
    </row>
    <row r="406" customFormat="false" ht="15" hidden="false" customHeight="false" outlineLevel="0" collapsed="false">
      <c r="A406" s="9" t="s">
        <v>2458</v>
      </c>
      <c r="B406" s="9" t="s">
        <v>2459</v>
      </c>
      <c r="C406" s="9" t="s">
        <v>1093</v>
      </c>
      <c r="D406" s="11" t="s">
        <v>2460</v>
      </c>
      <c r="E406" s="10" t="n">
        <v>600</v>
      </c>
      <c r="F406" s="10" t="n">
        <v>600</v>
      </c>
      <c r="G406" s="9"/>
      <c r="H406" s="9" t="s">
        <v>480</v>
      </c>
      <c r="I406" s="11" t="s">
        <v>2456</v>
      </c>
      <c r="J406" s="9"/>
      <c r="K406" s="11" t="s">
        <v>76</v>
      </c>
      <c r="L406" s="9" t="s">
        <v>2449</v>
      </c>
      <c r="M406" s="9" t="s">
        <v>2450</v>
      </c>
      <c r="N406" s="9" t="s">
        <v>2451</v>
      </c>
      <c r="O406" s="9" t="s">
        <v>2344</v>
      </c>
      <c r="P406" s="9" t="s">
        <v>81</v>
      </c>
      <c r="Q406" s="9" t="s">
        <v>2345</v>
      </c>
      <c r="R406" s="9" t="s">
        <v>83</v>
      </c>
      <c r="S406" s="11" t="s">
        <v>84</v>
      </c>
      <c r="T406" s="9" t="s">
        <v>2345</v>
      </c>
      <c r="U406" s="11" t="s">
        <v>1130</v>
      </c>
      <c r="V406" s="11" t="s">
        <v>86</v>
      </c>
      <c r="W406" s="9" t="s">
        <v>2461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88</v>
      </c>
    </row>
    <row r="407" customFormat="false" ht="15" hidden="false" customHeight="false" outlineLevel="0" collapsed="false">
      <c r="A407" s="9" t="s">
        <v>2462</v>
      </c>
      <c r="B407" s="9" t="s">
        <v>2463</v>
      </c>
      <c r="C407" s="9" t="s">
        <v>1093</v>
      </c>
      <c r="D407" s="11" t="s">
        <v>2464</v>
      </c>
      <c r="E407" s="10" t="n">
        <v>150</v>
      </c>
      <c r="F407" s="9"/>
      <c r="G407" s="10" t="n">
        <v>150</v>
      </c>
      <c r="H407" s="9" t="s">
        <v>480</v>
      </c>
      <c r="I407" s="11" t="s">
        <v>2465</v>
      </c>
      <c r="J407" s="9"/>
      <c r="K407" s="11" t="s">
        <v>76</v>
      </c>
      <c r="L407" s="9" t="s">
        <v>2449</v>
      </c>
      <c r="M407" s="9" t="s">
        <v>2450</v>
      </c>
      <c r="N407" s="9" t="s">
        <v>2451</v>
      </c>
      <c r="O407" s="9" t="s">
        <v>2344</v>
      </c>
      <c r="P407" s="9" t="s">
        <v>81</v>
      </c>
      <c r="Q407" s="9" t="s">
        <v>2345</v>
      </c>
      <c r="R407" s="9" t="s">
        <v>83</v>
      </c>
      <c r="S407" s="11" t="s">
        <v>84</v>
      </c>
      <c r="T407" s="9" t="s">
        <v>2345</v>
      </c>
      <c r="U407" s="11" t="s">
        <v>1130</v>
      </c>
      <c r="V407" s="11" t="s">
        <v>86</v>
      </c>
      <c r="W407" s="9" t="s">
        <v>2466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88</v>
      </c>
    </row>
    <row r="408" customFormat="false" ht="15" hidden="false" customHeight="false" outlineLevel="0" collapsed="false">
      <c r="A408" s="9" t="s">
        <v>2467</v>
      </c>
      <c r="B408" s="9" t="s">
        <v>2468</v>
      </c>
      <c r="C408" s="9" t="s">
        <v>1093</v>
      </c>
      <c r="D408" s="11" t="s">
        <v>2469</v>
      </c>
      <c r="E408" s="10" t="n">
        <v>750</v>
      </c>
      <c r="F408" s="9"/>
      <c r="G408" s="10" t="n">
        <v>750</v>
      </c>
      <c r="H408" s="9" t="s">
        <v>480</v>
      </c>
      <c r="I408" s="11" t="s">
        <v>2456</v>
      </c>
      <c r="J408" s="9"/>
      <c r="K408" s="11" t="s">
        <v>76</v>
      </c>
      <c r="L408" s="9" t="s">
        <v>2449</v>
      </c>
      <c r="M408" s="9" t="s">
        <v>2450</v>
      </c>
      <c r="N408" s="9" t="s">
        <v>2451</v>
      </c>
      <c r="O408" s="9" t="s">
        <v>2344</v>
      </c>
      <c r="P408" s="9" t="s">
        <v>81</v>
      </c>
      <c r="Q408" s="9" t="s">
        <v>2345</v>
      </c>
      <c r="R408" s="9" t="s">
        <v>83</v>
      </c>
      <c r="S408" s="11" t="s">
        <v>84</v>
      </c>
      <c r="T408" s="9" t="s">
        <v>2345</v>
      </c>
      <c r="U408" s="11" t="s">
        <v>1130</v>
      </c>
      <c r="V408" s="11" t="s">
        <v>86</v>
      </c>
      <c r="W408" s="9" t="s">
        <v>2470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88</v>
      </c>
    </row>
    <row r="409" customFormat="false" ht="15" hidden="false" customHeight="false" outlineLevel="0" collapsed="false">
      <c r="A409" s="9" t="s">
        <v>2471</v>
      </c>
      <c r="B409" s="9" t="s">
        <v>2472</v>
      </c>
      <c r="C409" s="9" t="s">
        <v>72</v>
      </c>
      <c r="D409" s="9" t="s">
        <v>2473</v>
      </c>
      <c r="E409" s="10" t="n">
        <v>0.2</v>
      </c>
      <c r="F409" s="9"/>
      <c r="G409" s="9"/>
      <c r="H409" s="11" t="s">
        <v>267</v>
      </c>
      <c r="I409" s="9" t="s">
        <v>136</v>
      </c>
      <c r="J409" s="9"/>
      <c r="K409" s="11" t="s">
        <v>76</v>
      </c>
      <c r="L409" s="9" t="s">
        <v>2342</v>
      </c>
      <c r="M409" s="9" t="s">
        <v>2343</v>
      </c>
      <c r="N409" s="9" t="s">
        <v>2344</v>
      </c>
      <c r="O409" s="9" t="s">
        <v>2344</v>
      </c>
      <c r="P409" s="9" t="s">
        <v>81</v>
      </c>
      <c r="Q409" s="9" t="s">
        <v>2345</v>
      </c>
      <c r="R409" s="9" t="s">
        <v>83</v>
      </c>
      <c r="S409" s="11" t="s">
        <v>84</v>
      </c>
      <c r="T409" s="9" t="s">
        <v>2345</v>
      </c>
      <c r="U409" s="11" t="s">
        <v>1130</v>
      </c>
      <c r="V409" s="11" t="s">
        <v>86</v>
      </c>
      <c r="W409" s="9" t="s">
        <v>2474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88</v>
      </c>
    </row>
    <row r="410" customFormat="false" ht="15" hidden="false" customHeight="false" outlineLevel="0" collapsed="false">
      <c r="A410" s="9" t="s">
        <v>2475</v>
      </c>
      <c r="B410" s="9" t="s">
        <v>2476</v>
      </c>
      <c r="C410" s="9" t="s">
        <v>72</v>
      </c>
      <c r="D410" s="9" t="s">
        <v>2477</v>
      </c>
      <c r="E410" s="10" t="n">
        <v>3.26</v>
      </c>
      <c r="F410" s="9"/>
      <c r="G410" s="9"/>
      <c r="H410" s="9" t="s">
        <v>135</v>
      </c>
      <c r="I410" s="9" t="s">
        <v>136</v>
      </c>
      <c r="J410" s="9"/>
      <c r="K410" s="11" t="s">
        <v>76</v>
      </c>
      <c r="L410" s="9" t="s">
        <v>2342</v>
      </c>
      <c r="M410" s="9" t="s">
        <v>2343</v>
      </c>
      <c r="N410" s="9" t="s">
        <v>2344</v>
      </c>
      <c r="O410" s="9" t="s">
        <v>2344</v>
      </c>
      <c r="P410" s="9" t="s">
        <v>81</v>
      </c>
      <c r="Q410" s="9" t="s">
        <v>2345</v>
      </c>
      <c r="R410" s="9" t="s">
        <v>83</v>
      </c>
      <c r="S410" s="11" t="s">
        <v>84</v>
      </c>
      <c r="T410" s="9" t="s">
        <v>2345</v>
      </c>
      <c r="U410" s="11" t="s">
        <v>1130</v>
      </c>
      <c r="V410" s="11" t="s">
        <v>86</v>
      </c>
      <c r="W410" s="9" t="s">
        <v>2478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88</v>
      </c>
    </row>
    <row r="411" customFormat="false" ht="15" hidden="false" customHeight="false" outlineLevel="0" collapsed="false">
      <c r="A411" s="9" t="s">
        <v>2479</v>
      </c>
      <c r="B411" s="9" t="s">
        <v>2480</v>
      </c>
      <c r="C411" s="9" t="s">
        <v>1093</v>
      </c>
      <c r="D411" s="11" t="s">
        <v>2481</v>
      </c>
      <c r="E411" s="9"/>
      <c r="F411" s="9"/>
      <c r="G411" s="9"/>
      <c r="H411" s="11" t="s">
        <v>1897</v>
      </c>
      <c r="I411" s="9" t="s">
        <v>136</v>
      </c>
      <c r="J411" s="9"/>
      <c r="K411" s="11" t="s">
        <v>279</v>
      </c>
      <c r="L411" s="9" t="s">
        <v>2342</v>
      </c>
      <c r="M411" s="9" t="s">
        <v>2343</v>
      </c>
      <c r="N411" s="9" t="s">
        <v>2344</v>
      </c>
      <c r="O411" s="9" t="s">
        <v>2344</v>
      </c>
      <c r="P411" s="9" t="s">
        <v>81</v>
      </c>
      <c r="Q411" s="9" t="s">
        <v>2345</v>
      </c>
      <c r="R411" s="9" t="s">
        <v>83</v>
      </c>
      <c r="S411" s="11" t="s">
        <v>84</v>
      </c>
      <c r="T411" s="9" t="s">
        <v>2345</v>
      </c>
      <c r="U411" s="11" t="s">
        <v>1130</v>
      </c>
      <c r="V411" s="11" t="s">
        <v>86</v>
      </c>
      <c r="W411" s="9" t="s">
        <v>2482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88</v>
      </c>
    </row>
    <row r="412" customFormat="false" ht="15" hidden="false" customHeight="false" outlineLevel="0" collapsed="false">
      <c r="A412" s="9" t="s">
        <v>2483</v>
      </c>
      <c r="B412" s="9" t="s">
        <v>2484</v>
      </c>
      <c r="C412" s="9" t="s">
        <v>1093</v>
      </c>
      <c r="D412" s="9" t="s">
        <v>2485</v>
      </c>
      <c r="E412" s="9" t="n">
        <f aca="false">SRC_ANT_384/SRC_ANT_387</f>
        <v>9.88235294117647</v>
      </c>
      <c r="F412" s="9"/>
      <c r="G412" s="9"/>
      <c r="H412" s="9" t="s">
        <v>109</v>
      </c>
      <c r="I412" s="9" t="s">
        <v>394</v>
      </c>
      <c r="J412" s="9"/>
      <c r="K412" s="11" t="s">
        <v>144</v>
      </c>
      <c r="L412" s="11" t="s">
        <v>2486</v>
      </c>
      <c r="M412" s="9" t="s">
        <v>2356</v>
      </c>
      <c r="N412" s="9" t="s">
        <v>2357</v>
      </c>
      <c r="O412" s="9" t="s">
        <v>2344</v>
      </c>
      <c r="P412" s="9" t="s">
        <v>100</v>
      </c>
      <c r="Q412" s="9"/>
      <c r="R412" s="11" t="s">
        <v>101</v>
      </c>
      <c r="S412" s="11" t="s">
        <v>102</v>
      </c>
      <c r="T412" s="11" t="s">
        <v>103</v>
      </c>
      <c r="U412" s="11" t="s">
        <v>102</v>
      </c>
      <c r="V412" s="9" t="s">
        <v>104</v>
      </c>
      <c r="W412" s="9" t="s">
        <v>2487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88</v>
      </c>
    </row>
    <row r="413" customFormat="false" ht="15" hidden="false" customHeight="false" outlineLevel="0" collapsed="false">
      <c r="A413" s="9" t="s">
        <v>2488</v>
      </c>
      <c r="B413" s="9" t="s">
        <v>2489</v>
      </c>
      <c r="C413" s="9" t="s">
        <v>1093</v>
      </c>
      <c r="D413" s="9" t="s">
        <v>2490</v>
      </c>
      <c r="E413" s="9" t="n">
        <f aca="false">SRC_ANT_394+SRC_ANT_408</f>
        <v>18.8823529411765</v>
      </c>
      <c r="F413" s="9"/>
      <c r="G413" s="9"/>
      <c r="H413" s="9" t="s">
        <v>2491</v>
      </c>
      <c r="I413" s="9" t="s">
        <v>2492</v>
      </c>
      <c r="J413" s="9"/>
      <c r="K413" s="11" t="s">
        <v>144</v>
      </c>
      <c r="L413" s="9" t="s">
        <v>2449</v>
      </c>
      <c r="M413" s="9" t="s">
        <v>2450</v>
      </c>
      <c r="N413" s="9" t="s">
        <v>2451</v>
      </c>
      <c r="O413" s="9" t="s">
        <v>2344</v>
      </c>
      <c r="P413" s="9" t="s">
        <v>100</v>
      </c>
      <c r="Q413" s="9"/>
      <c r="R413" s="11" t="s">
        <v>101</v>
      </c>
      <c r="S413" s="11" t="s">
        <v>102</v>
      </c>
      <c r="T413" s="11" t="s">
        <v>103</v>
      </c>
      <c r="U413" s="11" t="s">
        <v>102</v>
      </c>
      <c r="V413" s="9" t="s">
        <v>104</v>
      </c>
      <c r="W413" s="9" t="s">
        <v>2493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1" t="s">
        <v>2494</v>
      </c>
    </row>
    <row r="2" customFormat="false" ht="15" hidden="false" customHeight="false" outlineLevel="0" collapsed="false">
      <c r="A2" s="2" t="s">
        <v>2495</v>
      </c>
    </row>
    <row r="3" customFormat="false" ht="15" hidden="false" customHeight="false" outlineLevel="0" collapsed="false">
      <c r="A3" s="5" t="s">
        <v>2496</v>
      </c>
      <c r="B3" s="9" t="s">
        <v>2497</v>
      </c>
      <c r="C3" s="11" t="s">
        <v>2498</v>
      </c>
    </row>
    <row r="4" customFormat="false" ht="15" hidden="false" customHeight="false" outlineLevel="0" collapsed="false">
      <c r="A4" s="5" t="s">
        <v>2499</v>
      </c>
      <c r="B4" s="9" t="s">
        <v>2500</v>
      </c>
    </row>
    <row r="5" customFormat="false" ht="15" hidden="false" customHeight="false" outlineLevel="0" collapsed="false">
      <c r="A5" s="5" t="s">
        <v>2501</v>
      </c>
      <c r="B5" s="9" t="s">
        <v>2502</v>
      </c>
    </row>
    <row r="6" customFormat="false" ht="15" hidden="false" customHeight="false" outlineLevel="0" collapsed="false">
      <c r="A6" s="3" t="s">
        <v>2503</v>
      </c>
      <c r="B6" s="9" t="s">
        <v>2504</v>
      </c>
    </row>
    <row r="7" customFormat="false" ht="15" hidden="false" customHeight="false" outlineLevel="0" collapsed="false">
      <c r="I7" s="3" t="s">
        <v>2505</v>
      </c>
      <c r="J7" s="9" t="s">
        <v>2506</v>
      </c>
      <c r="K7" s="9" t="s">
        <v>2506</v>
      </c>
      <c r="L7" s="9" t="s">
        <v>2506</v>
      </c>
      <c r="M7" s="9" t="s">
        <v>2507</v>
      </c>
      <c r="N7" s="9" t="s">
        <v>2507</v>
      </c>
      <c r="O7" s="9" t="s">
        <v>2507</v>
      </c>
      <c r="P7" s="9" t="s">
        <v>2508</v>
      </c>
      <c r="Q7" s="9" t="s">
        <v>2508</v>
      </c>
      <c r="R7" s="9" t="s">
        <v>2508</v>
      </c>
      <c r="S7" s="9" t="s">
        <v>2509</v>
      </c>
      <c r="T7" s="9" t="s">
        <v>2509</v>
      </c>
      <c r="U7" s="9" t="s">
        <v>2509</v>
      </c>
      <c r="V7" s="9" t="s">
        <v>2510</v>
      </c>
      <c r="W7" s="9" t="s">
        <v>2510</v>
      </c>
      <c r="X7" s="9" t="s">
        <v>2510</v>
      </c>
    </row>
    <row r="8" customFormat="false" ht="15" hidden="false" customHeight="false" outlineLevel="0" collapsed="false">
      <c r="I8" s="3" t="s">
        <v>2511</v>
      </c>
      <c r="J8" s="11" t="s">
        <v>2512</v>
      </c>
      <c r="K8" s="11" t="s">
        <v>2513</v>
      </c>
      <c r="L8" s="11" t="s">
        <v>2514</v>
      </c>
      <c r="M8" s="11" t="s">
        <v>2512</v>
      </c>
      <c r="N8" s="11" t="s">
        <v>2513</v>
      </c>
      <c r="O8" s="11" t="s">
        <v>2514</v>
      </c>
      <c r="P8" s="11" t="s">
        <v>2512</v>
      </c>
      <c r="Q8" s="11" t="s">
        <v>2513</v>
      </c>
      <c r="R8" s="11" t="s">
        <v>2514</v>
      </c>
      <c r="S8" s="11" t="s">
        <v>2512</v>
      </c>
      <c r="T8" s="11" t="s">
        <v>2513</v>
      </c>
      <c r="U8" s="11" t="s">
        <v>2514</v>
      </c>
      <c r="V8" s="11" t="s">
        <v>2512</v>
      </c>
      <c r="W8" s="11" t="s">
        <v>2513</v>
      </c>
      <c r="X8" s="11" t="s">
        <v>2514</v>
      </c>
    </row>
    <row r="9" customFormat="false" ht="25.35" hidden="false" customHeight="false" outlineLevel="0" collapsed="false">
      <c r="A9" s="7" t="s">
        <v>2515</v>
      </c>
      <c r="B9" s="8" t="s">
        <v>2516</v>
      </c>
      <c r="C9" s="8" t="s">
        <v>2517</v>
      </c>
      <c r="D9" s="8" t="s">
        <v>50</v>
      </c>
      <c r="E9" s="8" t="s">
        <v>2518</v>
      </c>
      <c r="F9" s="8" t="s">
        <v>2519</v>
      </c>
      <c r="G9" s="7" t="s">
        <v>2499</v>
      </c>
      <c r="H9" s="8" t="s">
        <v>2520</v>
      </c>
      <c r="I9" s="8" t="s">
        <v>2503</v>
      </c>
      <c r="J9" s="8" t="s">
        <v>2521</v>
      </c>
      <c r="K9" s="8" t="s">
        <v>2522</v>
      </c>
      <c r="L9" s="8" t="s">
        <v>2523</v>
      </c>
      <c r="M9" s="8" t="s">
        <v>2524</v>
      </c>
      <c r="N9" s="8" t="s">
        <v>2525</v>
      </c>
      <c r="O9" s="8" t="s">
        <v>2526</v>
      </c>
      <c r="P9" s="8" t="s">
        <v>2527</v>
      </c>
      <c r="Q9" s="8" t="s">
        <v>2528</v>
      </c>
      <c r="R9" s="8" t="s">
        <v>2529</v>
      </c>
      <c r="S9" s="8" t="s">
        <v>2530</v>
      </c>
      <c r="T9" s="8" t="s">
        <v>2531</v>
      </c>
      <c r="U9" s="8" t="s">
        <v>2532</v>
      </c>
      <c r="V9" s="8" t="s">
        <v>2533</v>
      </c>
      <c r="W9" s="8" t="s">
        <v>2534</v>
      </c>
      <c r="X9" s="8" t="s">
        <v>2535</v>
      </c>
    </row>
    <row r="10" customFormat="false" ht="15" hidden="false" customHeight="false" outlineLevel="0" collapsed="false">
      <c r="A10" s="9" t="s">
        <v>2536</v>
      </c>
      <c r="B10" s="9" t="s">
        <v>2537</v>
      </c>
      <c r="C10" s="11" t="s">
        <v>2538</v>
      </c>
      <c r="D10" s="9" t="s">
        <v>2539</v>
      </c>
      <c r="E10" s="9" t="n">
        <v>15</v>
      </c>
      <c r="F10" s="9" t="s">
        <v>2540</v>
      </c>
      <c r="G10" s="9" t="s">
        <v>2500</v>
      </c>
      <c r="H10" s="9" t="s">
        <v>2541</v>
      </c>
      <c r="I10" s="9" t="s">
        <v>2504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2542</v>
      </c>
      <c r="B11" s="9" t="s">
        <v>2543</v>
      </c>
      <c r="C11" s="11" t="s">
        <v>2538</v>
      </c>
      <c r="D11" s="9" t="s">
        <v>2539</v>
      </c>
      <c r="E11" s="9" t="n">
        <v>15</v>
      </c>
      <c r="F11" s="9" t="s">
        <v>2540</v>
      </c>
      <c r="G11" s="9" t="s">
        <v>2500</v>
      </c>
      <c r="H11" s="9" t="s">
        <v>2541</v>
      </c>
      <c r="I11" s="9" t="s">
        <v>2504</v>
      </c>
      <c r="J11" s="10" t="n">
        <v>112228240510.472</v>
      </c>
      <c r="K11" s="10" t="n">
        <v>112228240510.472</v>
      </c>
      <c r="L11" s="10" t="n">
        <v>112228240510.472</v>
      </c>
      <c r="M11" s="10" t="n">
        <v>557838911578.971</v>
      </c>
      <c r="N11" s="10" t="n">
        <v>557838911578.971</v>
      </c>
      <c r="O11" s="10" t="n">
        <v>557838911578.971</v>
      </c>
      <c r="P11" s="10" t="n">
        <v>723176042011.176</v>
      </c>
      <c r="Q11" s="10" t="n">
        <v>723176042011.176</v>
      </c>
      <c r="R11" s="10" t="n">
        <v>723176042011.176</v>
      </c>
      <c r="S11" s="10" t="n">
        <v>1043267705667.06</v>
      </c>
      <c r="T11" s="10" t="n">
        <v>1043267705667.06</v>
      </c>
      <c r="U11" s="10" t="n">
        <v>1043267705667.06</v>
      </c>
      <c r="V11" s="10" t="n">
        <v>1404587982526.55</v>
      </c>
      <c r="W11" s="10" t="n">
        <v>1404587982526.55</v>
      </c>
      <c r="X11" s="10" t="n">
        <v>1404587982526.55</v>
      </c>
    </row>
    <row r="12" customFormat="false" ht="15" hidden="false" customHeight="false" outlineLevel="0" collapsed="false">
      <c r="A12" s="9" t="s">
        <v>2544</v>
      </c>
      <c r="B12" s="9" t="s">
        <v>2545</v>
      </c>
      <c r="C12" s="11" t="s">
        <v>2538</v>
      </c>
      <c r="D12" s="9" t="s">
        <v>2539</v>
      </c>
      <c r="E12" s="9" t="n">
        <v>15</v>
      </c>
      <c r="F12" s="9" t="s">
        <v>2540</v>
      </c>
      <c r="G12" s="9" t="s">
        <v>2500</v>
      </c>
      <c r="H12" s="9" t="s">
        <v>2541</v>
      </c>
      <c r="I12" s="9" t="s">
        <v>2504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2546</v>
      </c>
      <c r="B13" s="9" t="s">
        <v>2547</v>
      </c>
      <c r="C13" s="11" t="s">
        <v>2548</v>
      </c>
      <c r="D13" s="9" t="s">
        <v>1956</v>
      </c>
      <c r="E13" s="9" t="n">
        <v>1</v>
      </c>
      <c r="F13" s="9" t="s">
        <v>2540</v>
      </c>
      <c r="G13" s="9" t="s">
        <v>2500</v>
      </c>
      <c r="H13" s="9" t="s">
        <v>2541</v>
      </c>
      <c r="I13" s="9" t="s">
        <v>2504</v>
      </c>
      <c r="J13" s="10" t="n">
        <v>0.6</v>
      </c>
    </row>
    <row r="14" customFormat="false" ht="15" hidden="false" customHeight="false" outlineLevel="0" collapsed="false">
      <c r="A14" s="9" t="s">
        <v>2549</v>
      </c>
      <c r="B14" s="9" t="s">
        <v>2550</v>
      </c>
      <c r="C14" s="11" t="s">
        <v>2551</v>
      </c>
      <c r="D14" s="9" t="s">
        <v>74</v>
      </c>
      <c r="E14" s="9" t="n">
        <v>15</v>
      </c>
      <c r="F14" s="9" t="s">
        <v>2540</v>
      </c>
      <c r="G14" s="9" t="s">
        <v>2500</v>
      </c>
      <c r="H14" s="9" t="s">
        <v>2541</v>
      </c>
      <c r="I14" s="9" t="s">
        <v>2504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2552</v>
      </c>
      <c r="B15" s="9" t="s">
        <v>2553</v>
      </c>
      <c r="C15" s="11" t="s">
        <v>2554</v>
      </c>
      <c r="D15" s="9" t="s">
        <v>2555</v>
      </c>
      <c r="E15" s="9" t="n">
        <v>15</v>
      </c>
      <c r="F15" s="9" t="s">
        <v>2540</v>
      </c>
      <c r="G15" s="9" t="s">
        <v>2500</v>
      </c>
      <c r="H15" s="9" t="s">
        <v>2541</v>
      </c>
      <c r="I15" s="9" t="s">
        <v>2504</v>
      </c>
      <c r="J15" s="10" t="n">
        <v>4.44041141753621</v>
      </c>
      <c r="K15" s="10" t="n">
        <v>6.34436399268955</v>
      </c>
      <c r="L15" s="10" t="n">
        <v>10.8954463339561</v>
      </c>
      <c r="M15" s="10" t="n">
        <v>0.5303163115694</v>
      </c>
      <c r="N15" s="10" t="n">
        <v>0.708008999990632</v>
      </c>
      <c r="O15" s="10" t="n">
        <v>1.14819484653149</v>
      </c>
      <c r="P15" s="10" t="n">
        <v>0.598522481651746</v>
      </c>
      <c r="Q15" s="10" t="n">
        <v>0.772961335570172</v>
      </c>
      <c r="R15" s="10" t="n">
        <v>1.31584752513189</v>
      </c>
      <c r="S15" s="10" t="n">
        <v>0.328979014060463</v>
      </c>
      <c r="T15" s="10" t="n">
        <v>0.422759162078806</v>
      </c>
      <c r="U15" s="10" t="n">
        <v>0.682843108514873</v>
      </c>
      <c r="V15" s="10" t="n">
        <v>0.224274240897612</v>
      </c>
      <c r="W15" s="10" t="n">
        <v>0.340750041982449</v>
      </c>
      <c r="X15" s="10" t="n">
        <v>0.621869043102671</v>
      </c>
    </row>
    <row r="16" customFormat="false" ht="15" hidden="false" customHeight="false" outlineLevel="0" collapsed="false">
      <c r="A16" s="9" t="s">
        <v>2556</v>
      </c>
      <c r="B16" s="9" t="s">
        <v>2557</v>
      </c>
      <c r="C16" s="11" t="s">
        <v>2554</v>
      </c>
      <c r="D16" s="9" t="s">
        <v>2555</v>
      </c>
      <c r="E16" s="9" t="n">
        <v>15</v>
      </c>
      <c r="F16" s="9" t="s">
        <v>2540</v>
      </c>
      <c r="G16" s="9" t="s">
        <v>2500</v>
      </c>
      <c r="H16" s="9" t="s">
        <v>2541</v>
      </c>
      <c r="I16" s="9" t="s">
        <v>2504</v>
      </c>
      <c r="J16" s="10" t="n">
        <v>0.147064628142164</v>
      </c>
      <c r="K16" s="10" t="n">
        <v>0.210121291884421</v>
      </c>
      <c r="L16" s="10" t="n">
        <v>0.360847771420528</v>
      </c>
      <c r="M16" s="10" t="n">
        <v>0.022499114886034</v>
      </c>
      <c r="N16" s="10" t="n">
        <v>0.0300374200650076</v>
      </c>
      <c r="O16" s="10" t="n">
        <v>0.0487115437792242</v>
      </c>
      <c r="P16" s="10" t="n">
        <v>0.0228779020648233</v>
      </c>
      <c r="Q16" s="10" t="n">
        <v>0.0295449762037583</v>
      </c>
      <c r="R16" s="10" t="n">
        <v>0.0502941521671846</v>
      </c>
      <c r="S16" s="10" t="n">
        <v>0.0167884625578468</v>
      </c>
      <c r="T16" s="10" t="n">
        <v>0.0215744123341219</v>
      </c>
      <c r="U16" s="10" t="n">
        <v>0.0348474635241773</v>
      </c>
      <c r="V16" s="10" t="n">
        <v>0.0128091124335383</v>
      </c>
      <c r="W16" s="10" t="n">
        <v>0.0194624631931499</v>
      </c>
      <c r="X16" s="10" t="n">
        <v>0.0355205911667204</v>
      </c>
    </row>
    <row r="17" customFormat="false" ht="15" hidden="false" customHeight="false" outlineLevel="0" collapsed="false">
      <c r="A17" s="9" t="s">
        <v>2558</v>
      </c>
      <c r="B17" s="9" t="s">
        <v>2559</v>
      </c>
      <c r="C17" s="11" t="s">
        <v>2554</v>
      </c>
      <c r="D17" s="9" t="s">
        <v>2555</v>
      </c>
      <c r="E17" s="9" t="n">
        <v>15</v>
      </c>
      <c r="F17" s="9" t="s">
        <v>2540</v>
      </c>
      <c r="G17" s="9" t="s">
        <v>2500</v>
      </c>
      <c r="H17" s="9" t="s">
        <v>2541</v>
      </c>
      <c r="I17" s="9" t="s">
        <v>2504</v>
      </c>
      <c r="J17" s="10" t="n">
        <v>0.450574665095153</v>
      </c>
      <c r="K17" s="10" t="n">
        <v>0.643774480313015</v>
      </c>
      <c r="L17" s="10" t="n">
        <v>1.10558654372701</v>
      </c>
      <c r="M17" s="10" t="n">
        <v>0.0751157533505579</v>
      </c>
      <c r="N17" s="10" t="n">
        <v>0.100290180645192</v>
      </c>
      <c r="O17" s="10" t="n">
        <v>0.162653053807429</v>
      </c>
      <c r="P17" s="10" t="n">
        <v>0.0755575928591388</v>
      </c>
      <c r="Q17" s="10" t="n">
        <v>0.0975825234136689</v>
      </c>
      <c r="R17" s="10" t="n">
        <v>0.166128207792573</v>
      </c>
      <c r="S17" s="10" t="n">
        <v>0.0537829036443724</v>
      </c>
      <c r="T17" s="10" t="n">
        <v>0.0691205126041982</v>
      </c>
      <c r="U17" s="10" t="n">
        <v>0.11165686972729</v>
      </c>
      <c r="V17" s="10" t="n">
        <v>0.0409015415330202</v>
      </c>
      <c r="W17" s="10" t="n">
        <v>0.0621567461847294</v>
      </c>
      <c r="X17" s="10" t="n">
        <v>0.11345703212088</v>
      </c>
    </row>
    <row r="18" customFormat="false" ht="15" hidden="false" customHeight="false" outlineLevel="0" collapsed="false">
      <c r="A18" s="9" t="s">
        <v>2560</v>
      </c>
      <c r="B18" s="9" t="s">
        <v>2561</v>
      </c>
      <c r="C18" s="11" t="s">
        <v>2562</v>
      </c>
      <c r="D18" s="9" t="s">
        <v>2555</v>
      </c>
      <c r="E18" s="9" t="n">
        <v>1</v>
      </c>
      <c r="F18" s="9" t="s">
        <v>2540</v>
      </c>
      <c r="G18" s="9" t="s">
        <v>2500</v>
      </c>
      <c r="H18" s="9" t="s">
        <v>2541</v>
      </c>
      <c r="I18" s="9" t="s">
        <v>2504</v>
      </c>
      <c r="J18" s="10" t="n">
        <v>0.8</v>
      </c>
    </row>
    <row r="19" customFormat="false" ht="15" hidden="false" customHeight="false" outlineLevel="0" collapsed="false">
      <c r="A19" s="9" t="s">
        <v>2563</v>
      </c>
      <c r="B19" s="9" t="s">
        <v>2564</v>
      </c>
      <c r="C19" s="11" t="s">
        <v>2562</v>
      </c>
      <c r="D19" s="9" t="s">
        <v>2555</v>
      </c>
      <c r="E19" s="9" t="n">
        <v>1</v>
      </c>
      <c r="F19" s="9" t="s">
        <v>2540</v>
      </c>
      <c r="G19" s="9" t="s">
        <v>2500</v>
      </c>
      <c r="H19" s="9" t="s">
        <v>2541</v>
      </c>
      <c r="I19" s="9" t="s">
        <v>2504</v>
      </c>
      <c r="J19" s="10" t="n">
        <v>0.008</v>
      </c>
    </row>
    <row r="20" customFormat="false" ht="15" hidden="false" customHeight="false" outlineLevel="0" collapsed="false">
      <c r="A20" s="9" t="s">
        <v>2565</v>
      </c>
      <c r="B20" s="9" t="s">
        <v>2566</v>
      </c>
      <c r="C20" s="11" t="s">
        <v>2562</v>
      </c>
      <c r="D20" s="9" t="s">
        <v>2555</v>
      </c>
      <c r="E20" s="9" t="n">
        <v>1</v>
      </c>
      <c r="F20" s="9" t="s">
        <v>2540</v>
      </c>
      <c r="G20" s="9" t="s">
        <v>2500</v>
      </c>
      <c r="H20" s="9" t="s">
        <v>2541</v>
      </c>
      <c r="I20" s="9" t="s">
        <v>2504</v>
      </c>
      <c r="J20" s="10" t="n">
        <v>0.16</v>
      </c>
    </row>
    <row r="21" customFormat="false" ht="15" hidden="false" customHeight="false" outlineLevel="0" collapsed="false">
      <c r="A21" s="9" t="s">
        <v>2567</v>
      </c>
      <c r="B21" s="9" t="s">
        <v>2568</v>
      </c>
      <c r="C21" s="11" t="s">
        <v>2569</v>
      </c>
      <c r="D21" s="9" t="s">
        <v>2555</v>
      </c>
      <c r="E21" s="9" t="n">
        <v>1</v>
      </c>
      <c r="F21" s="9" t="s">
        <v>2540</v>
      </c>
      <c r="G21" s="9" t="s">
        <v>2500</v>
      </c>
      <c r="H21" s="9" t="s">
        <v>2541</v>
      </c>
      <c r="I21" s="9" t="s">
        <v>2504</v>
      </c>
      <c r="J21" s="10" t="n">
        <v>8</v>
      </c>
    </row>
    <row r="22" customFormat="false" ht="15" hidden="false" customHeight="false" outlineLevel="0" collapsed="false">
      <c r="A22" s="9" t="s">
        <v>2570</v>
      </c>
      <c r="B22" s="9" t="s">
        <v>2571</v>
      </c>
      <c r="C22" s="11" t="s">
        <v>2569</v>
      </c>
      <c r="D22" s="9" t="s">
        <v>2555</v>
      </c>
      <c r="E22" s="9" t="n">
        <v>1</v>
      </c>
      <c r="F22" s="9" t="s">
        <v>2540</v>
      </c>
      <c r="G22" s="9" t="s">
        <v>2500</v>
      </c>
      <c r="H22" s="9" t="s">
        <v>2541</v>
      </c>
      <c r="I22" s="9" t="s">
        <v>2504</v>
      </c>
      <c r="J22" s="10" t="n">
        <v>0.08</v>
      </c>
    </row>
    <row r="23" customFormat="false" ht="15" hidden="false" customHeight="false" outlineLevel="0" collapsed="false">
      <c r="A23" s="9" t="s">
        <v>2572</v>
      </c>
      <c r="B23" s="9" t="s">
        <v>2573</v>
      </c>
      <c r="C23" s="11" t="s">
        <v>2569</v>
      </c>
      <c r="D23" s="9" t="s">
        <v>2555</v>
      </c>
      <c r="E23" s="9" t="n">
        <v>1</v>
      </c>
      <c r="F23" s="9" t="s">
        <v>2540</v>
      </c>
      <c r="G23" s="9" t="s">
        <v>2500</v>
      </c>
      <c r="H23" s="9" t="s">
        <v>2541</v>
      </c>
      <c r="I23" s="9" t="s">
        <v>2504</v>
      </c>
      <c r="J23" s="10" t="n">
        <v>1.6</v>
      </c>
    </row>
    <row r="24" customFormat="false" ht="15" hidden="false" customHeight="false" outlineLevel="0" collapsed="false">
      <c r="A24" s="9" t="s">
        <v>2574</v>
      </c>
      <c r="B24" s="9" t="s">
        <v>2575</v>
      </c>
      <c r="C24" s="11" t="s">
        <v>2576</v>
      </c>
      <c r="D24" s="9" t="s">
        <v>2555</v>
      </c>
      <c r="E24" s="9" t="n">
        <v>1</v>
      </c>
      <c r="F24" s="9" t="s">
        <v>2540</v>
      </c>
      <c r="G24" s="9" t="s">
        <v>2500</v>
      </c>
      <c r="H24" s="9" t="s">
        <v>2541</v>
      </c>
      <c r="I24" s="9" t="s">
        <v>2504</v>
      </c>
      <c r="J24" s="10" t="n">
        <v>40</v>
      </c>
    </row>
    <row r="25" customFormat="false" ht="15" hidden="false" customHeight="false" outlineLevel="0" collapsed="false">
      <c r="A25" s="9" t="s">
        <v>2577</v>
      </c>
      <c r="B25" s="9" t="s">
        <v>2578</v>
      </c>
      <c r="C25" s="11" t="s">
        <v>2576</v>
      </c>
      <c r="D25" s="9" t="s">
        <v>2555</v>
      </c>
      <c r="E25" s="9" t="n">
        <v>1</v>
      </c>
      <c r="F25" s="9" t="s">
        <v>2540</v>
      </c>
      <c r="G25" s="9" t="s">
        <v>2500</v>
      </c>
      <c r="H25" s="9" t="s">
        <v>2541</v>
      </c>
      <c r="I25" s="9" t="s">
        <v>2504</v>
      </c>
      <c r="J25" s="10" t="n">
        <v>0.4</v>
      </c>
    </row>
    <row r="26" customFormat="false" ht="15" hidden="false" customHeight="false" outlineLevel="0" collapsed="false">
      <c r="A26" s="9" t="s">
        <v>2579</v>
      </c>
      <c r="B26" s="9" t="s">
        <v>2580</v>
      </c>
      <c r="C26" s="11" t="s">
        <v>2576</v>
      </c>
      <c r="D26" s="9" t="s">
        <v>2555</v>
      </c>
      <c r="E26" s="9" t="n">
        <v>1</v>
      </c>
      <c r="F26" s="9" t="s">
        <v>2540</v>
      </c>
      <c r="G26" s="9" t="s">
        <v>2500</v>
      </c>
      <c r="H26" s="9" t="s">
        <v>2541</v>
      </c>
      <c r="I26" s="9" t="s">
        <v>2504</v>
      </c>
      <c r="J26" s="10" t="n">
        <v>8</v>
      </c>
    </row>
    <row r="27" customFormat="false" ht="15" hidden="false" customHeight="false" outlineLevel="0" collapsed="false">
      <c r="A27" s="9" t="s">
        <v>2581</v>
      </c>
      <c r="B27" s="9" t="s">
        <v>2582</v>
      </c>
      <c r="C27" s="11" t="s">
        <v>2583</v>
      </c>
      <c r="D27" s="9" t="s">
        <v>2555</v>
      </c>
      <c r="E27" s="9" t="n">
        <v>1</v>
      </c>
      <c r="F27" s="9" t="s">
        <v>2540</v>
      </c>
      <c r="G27" s="9" t="s">
        <v>2500</v>
      </c>
      <c r="H27" s="9" t="s">
        <v>2541</v>
      </c>
      <c r="I27" s="9" t="s">
        <v>2504</v>
      </c>
      <c r="J27" s="10" t="n">
        <v>8.03555555555555</v>
      </c>
    </row>
    <row r="28" customFormat="false" ht="15" hidden="false" customHeight="false" outlineLevel="0" collapsed="false">
      <c r="A28" s="9" t="s">
        <v>2584</v>
      </c>
      <c r="B28" s="9" t="s">
        <v>2585</v>
      </c>
      <c r="C28" s="11" t="s">
        <v>2583</v>
      </c>
      <c r="D28" s="9" t="s">
        <v>2555</v>
      </c>
      <c r="E28" s="9" t="n">
        <v>1</v>
      </c>
      <c r="F28" s="9" t="s">
        <v>2540</v>
      </c>
      <c r="G28" s="9" t="s">
        <v>2500</v>
      </c>
      <c r="H28" s="9" t="s">
        <v>2541</v>
      </c>
      <c r="I28" s="9" t="s">
        <v>2504</v>
      </c>
      <c r="J28" s="10" t="n">
        <v>0.0803555555555556</v>
      </c>
    </row>
    <row r="29" customFormat="false" ht="15" hidden="false" customHeight="false" outlineLevel="0" collapsed="false">
      <c r="A29" s="9" t="s">
        <v>2586</v>
      </c>
      <c r="B29" s="9" t="s">
        <v>2587</v>
      </c>
      <c r="C29" s="11" t="s">
        <v>2583</v>
      </c>
      <c r="D29" s="9" t="s">
        <v>2555</v>
      </c>
      <c r="E29" s="9" t="n">
        <v>1</v>
      </c>
      <c r="F29" s="9" t="s">
        <v>2540</v>
      </c>
      <c r="G29" s="9" t="s">
        <v>2500</v>
      </c>
      <c r="H29" s="9" t="s">
        <v>2541</v>
      </c>
      <c r="I29" s="9" t="s">
        <v>2504</v>
      </c>
      <c r="J29" s="10" t="n">
        <v>1.60711111111111</v>
      </c>
    </row>
    <row r="30" customFormat="false" ht="15" hidden="false" customHeight="false" outlineLevel="0" collapsed="false">
      <c r="A30" s="9" t="s">
        <v>2588</v>
      </c>
      <c r="B30" s="9" t="s">
        <v>2589</v>
      </c>
      <c r="C30" s="11" t="s">
        <v>2590</v>
      </c>
      <c r="D30" s="9" t="s">
        <v>2555</v>
      </c>
      <c r="E30" s="9" t="n">
        <v>1</v>
      </c>
      <c r="F30" s="9" t="s">
        <v>2540</v>
      </c>
      <c r="G30" s="9" t="s">
        <v>2500</v>
      </c>
      <c r="H30" s="9" t="s">
        <v>2541</v>
      </c>
      <c r="I30" s="9" t="s">
        <v>2504</v>
      </c>
      <c r="J30" s="10" t="n">
        <v>40</v>
      </c>
    </row>
    <row r="31" customFormat="false" ht="15" hidden="false" customHeight="false" outlineLevel="0" collapsed="false">
      <c r="A31" s="9" t="s">
        <v>2591</v>
      </c>
      <c r="B31" s="9" t="s">
        <v>2592</v>
      </c>
      <c r="C31" s="11" t="s">
        <v>2590</v>
      </c>
      <c r="D31" s="9" t="s">
        <v>2555</v>
      </c>
      <c r="E31" s="9" t="n">
        <v>1</v>
      </c>
      <c r="F31" s="9" t="s">
        <v>2540</v>
      </c>
      <c r="G31" s="9" t="s">
        <v>2500</v>
      </c>
      <c r="H31" s="9" t="s">
        <v>2541</v>
      </c>
      <c r="I31" s="9" t="s">
        <v>2504</v>
      </c>
      <c r="J31" s="10" t="n">
        <v>0.4</v>
      </c>
    </row>
    <row r="32" customFormat="false" ht="15" hidden="false" customHeight="false" outlineLevel="0" collapsed="false">
      <c r="A32" s="9" t="s">
        <v>2593</v>
      </c>
      <c r="B32" s="9" t="s">
        <v>2594</v>
      </c>
      <c r="C32" s="11" t="s">
        <v>2590</v>
      </c>
      <c r="D32" s="9" t="s">
        <v>2555</v>
      </c>
      <c r="E32" s="9" t="n">
        <v>1</v>
      </c>
      <c r="F32" s="9" t="s">
        <v>2540</v>
      </c>
      <c r="G32" s="9" t="s">
        <v>2500</v>
      </c>
      <c r="H32" s="9" t="s">
        <v>2541</v>
      </c>
      <c r="I32" s="9" t="s">
        <v>2504</v>
      </c>
      <c r="J32" s="10" t="n">
        <v>8</v>
      </c>
    </row>
    <row r="33" customFormat="false" ht="15" hidden="false" customHeight="false" outlineLevel="0" collapsed="false">
      <c r="A33" s="9" t="s">
        <v>2595</v>
      </c>
      <c r="B33" s="9" t="s">
        <v>2596</v>
      </c>
      <c r="C33" s="11" t="s">
        <v>2597</v>
      </c>
      <c r="D33" s="9" t="s">
        <v>2555</v>
      </c>
      <c r="E33" s="9" t="n">
        <v>1</v>
      </c>
      <c r="F33" s="9" t="s">
        <v>2540</v>
      </c>
      <c r="G33" s="9" t="s">
        <v>2500</v>
      </c>
      <c r="H33" s="9" t="s">
        <v>2541</v>
      </c>
      <c r="I33" s="9" t="s">
        <v>2504</v>
      </c>
      <c r="J33" s="10" t="n">
        <v>7.74222222222222</v>
      </c>
    </row>
    <row r="34" customFormat="false" ht="15" hidden="false" customHeight="false" outlineLevel="0" collapsed="false">
      <c r="A34" s="9" t="s">
        <v>2598</v>
      </c>
      <c r="B34" s="9" t="s">
        <v>2599</v>
      </c>
      <c r="C34" s="11" t="s">
        <v>2597</v>
      </c>
      <c r="D34" s="9" t="s">
        <v>2555</v>
      </c>
      <c r="E34" s="9" t="n">
        <v>1</v>
      </c>
      <c r="F34" s="9" t="s">
        <v>2540</v>
      </c>
      <c r="G34" s="9" t="s">
        <v>2500</v>
      </c>
      <c r="H34" s="9" t="s">
        <v>2541</v>
      </c>
      <c r="I34" s="9" t="s">
        <v>2504</v>
      </c>
      <c r="J34" s="10" t="n">
        <v>0.0803555555555556</v>
      </c>
    </row>
    <row r="35" customFormat="false" ht="15" hidden="false" customHeight="false" outlineLevel="0" collapsed="false">
      <c r="A35" s="9" t="s">
        <v>2600</v>
      </c>
      <c r="B35" s="9" t="s">
        <v>2601</v>
      </c>
      <c r="C35" s="11" t="s">
        <v>2597</v>
      </c>
      <c r="D35" s="9" t="s">
        <v>2555</v>
      </c>
      <c r="E35" s="9" t="n">
        <v>1</v>
      </c>
      <c r="F35" s="9" t="s">
        <v>2540</v>
      </c>
      <c r="G35" s="9" t="s">
        <v>2500</v>
      </c>
      <c r="H35" s="9" t="s">
        <v>2541</v>
      </c>
      <c r="I35" s="9" t="s">
        <v>2504</v>
      </c>
      <c r="J35" s="10" t="n">
        <v>1.60711111111111</v>
      </c>
    </row>
    <row r="36" customFormat="false" ht="15" hidden="false" customHeight="false" outlineLevel="0" collapsed="false">
      <c r="A36" s="9" t="s">
        <v>2602</v>
      </c>
      <c r="B36" s="9" t="s">
        <v>2603</v>
      </c>
      <c r="C36" s="11" t="s">
        <v>2604</v>
      </c>
      <c r="D36" s="9" t="s">
        <v>1956</v>
      </c>
      <c r="E36" s="9" t="n">
        <v>15</v>
      </c>
      <c r="F36" s="9" t="s">
        <v>2540</v>
      </c>
      <c r="G36" s="9" t="s">
        <v>2500</v>
      </c>
      <c r="H36" s="9" t="s">
        <v>2541</v>
      </c>
      <c r="I36" s="9" t="s">
        <v>2504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2605</v>
      </c>
      <c r="B37" s="9" t="s">
        <v>2606</v>
      </c>
      <c r="C37" s="11" t="s">
        <v>2604</v>
      </c>
      <c r="D37" s="9" t="s">
        <v>1956</v>
      </c>
      <c r="E37" s="9" t="n">
        <v>15</v>
      </c>
      <c r="F37" s="9" t="s">
        <v>2540</v>
      </c>
      <c r="G37" s="9" t="s">
        <v>2500</v>
      </c>
      <c r="H37" s="9" t="s">
        <v>2541</v>
      </c>
      <c r="I37" s="9" t="s">
        <v>2504</v>
      </c>
      <c r="J37" s="10" t="n">
        <v>0.00927434400031541</v>
      </c>
      <c r="K37" s="10" t="n">
        <v>0.00927434400031541</v>
      </c>
      <c r="L37" s="10" t="n">
        <v>0.00927434400031541</v>
      </c>
      <c r="M37" s="10" t="n">
        <v>0.00276456085751356</v>
      </c>
      <c r="N37" s="10" t="n">
        <v>0.00276456085751356</v>
      </c>
      <c r="O37" s="10" t="n">
        <v>0.00276456085751356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2607</v>
      </c>
      <c r="B38" s="9" t="s">
        <v>2608</v>
      </c>
      <c r="C38" s="11" t="s">
        <v>2604</v>
      </c>
      <c r="D38" s="9" t="s">
        <v>1956</v>
      </c>
      <c r="E38" s="9" t="n">
        <v>15</v>
      </c>
      <c r="F38" s="9" t="s">
        <v>2540</v>
      </c>
      <c r="G38" s="9" t="s">
        <v>2500</v>
      </c>
      <c r="H38" s="9" t="s">
        <v>2541</v>
      </c>
      <c r="I38" s="9" t="s">
        <v>2504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2609</v>
      </c>
      <c r="B39" s="9" t="s">
        <v>2610</v>
      </c>
      <c r="C39" s="11" t="s">
        <v>2611</v>
      </c>
      <c r="D39" s="9" t="s">
        <v>2612</v>
      </c>
      <c r="E39" s="9" t="n">
        <v>1</v>
      </c>
      <c r="F39" s="9" t="s">
        <v>2540</v>
      </c>
      <c r="G39" s="9" t="s">
        <v>2500</v>
      </c>
      <c r="H39" s="9" t="s">
        <v>2541</v>
      </c>
      <c r="I39" s="9" t="s">
        <v>2504</v>
      </c>
      <c r="J39" s="10" t="n">
        <v>8</v>
      </c>
    </row>
    <row r="40" customFormat="false" ht="15" hidden="false" customHeight="false" outlineLevel="0" collapsed="false">
      <c r="A40" s="9" t="s">
        <v>2613</v>
      </c>
      <c r="B40" s="9" t="s">
        <v>2614</v>
      </c>
      <c r="C40" s="11" t="s">
        <v>2615</v>
      </c>
      <c r="D40" s="11" t="s">
        <v>2616</v>
      </c>
      <c r="E40" s="9" t="n">
        <v>1</v>
      </c>
      <c r="F40" s="9" t="s">
        <v>2540</v>
      </c>
      <c r="G40" s="9" t="s">
        <v>2500</v>
      </c>
      <c r="H40" s="9" t="s">
        <v>2541</v>
      </c>
      <c r="I40" s="9" t="s">
        <v>2504</v>
      </c>
      <c r="J40" s="10" t="n">
        <v>4</v>
      </c>
    </row>
    <row r="41" customFormat="false" ht="15" hidden="false" customHeight="false" outlineLevel="0" collapsed="false">
      <c r="A41" s="9" t="s">
        <v>2617</v>
      </c>
      <c r="B41" s="9" t="s">
        <v>2618</v>
      </c>
      <c r="C41" s="9" t="s">
        <v>2619</v>
      </c>
      <c r="D41" s="9" t="s">
        <v>480</v>
      </c>
      <c r="E41" s="9" t="n">
        <v>1</v>
      </c>
      <c r="F41" s="9" t="s">
        <v>2540</v>
      </c>
      <c r="G41" s="9" t="s">
        <v>2500</v>
      </c>
      <c r="H41" s="9" t="s">
        <v>2541</v>
      </c>
      <c r="I41" s="9" t="s">
        <v>2504</v>
      </c>
      <c r="J41" s="10" t="n">
        <v>8.4</v>
      </c>
    </row>
    <row r="42" customFormat="false" ht="15" hidden="false" customHeight="false" outlineLevel="0" collapsed="false">
      <c r="A42" s="9" t="s">
        <v>2620</v>
      </c>
      <c r="B42" s="9" t="s">
        <v>2621</v>
      </c>
      <c r="C42" s="9" t="s">
        <v>2622</v>
      </c>
      <c r="D42" s="9" t="s">
        <v>480</v>
      </c>
      <c r="E42" s="9" t="n">
        <v>1</v>
      </c>
      <c r="F42" s="9" t="s">
        <v>2540</v>
      </c>
      <c r="G42" s="9" t="s">
        <v>2500</v>
      </c>
      <c r="H42" s="9" t="s">
        <v>2541</v>
      </c>
      <c r="I42" s="9" t="s">
        <v>2504</v>
      </c>
      <c r="J42" s="10" t="n">
        <v>3.9</v>
      </c>
    </row>
    <row r="43" customFormat="false" ht="15" hidden="false" customHeight="false" outlineLevel="0" collapsed="false">
      <c r="A43" s="9" t="s">
        <v>2623</v>
      </c>
      <c r="B43" s="9" t="s">
        <v>2624</v>
      </c>
      <c r="C43" s="9" t="s">
        <v>2625</v>
      </c>
      <c r="D43" s="9" t="s">
        <v>480</v>
      </c>
      <c r="E43" s="9" t="n">
        <v>1</v>
      </c>
      <c r="F43" s="9" t="s">
        <v>2540</v>
      </c>
      <c r="G43" s="9" t="s">
        <v>2500</v>
      </c>
      <c r="H43" s="9" t="s">
        <v>2541</v>
      </c>
      <c r="I43" s="9" t="s">
        <v>2504</v>
      </c>
      <c r="J43" s="10" t="n">
        <v>12</v>
      </c>
    </row>
    <row r="44" customFormat="false" ht="15" hidden="false" customHeight="false" outlineLevel="0" collapsed="false">
      <c r="A44" s="9" t="s">
        <v>2626</v>
      </c>
      <c r="B44" s="9" t="s">
        <v>2627</v>
      </c>
      <c r="C44" s="9" t="s">
        <v>2628</v>
      </c>
      <c r="D44" s="9" t="s">
        <v>480</v>
      </c>
      <c r="E44" s="9" t="n">
        <v>1</v>
      </c>
      <c r="F44" s="9" t="s">
        <v>2540</v>
      </c>
      <c r="G44" s="9" t="s">
        <v>2500</v>
      </c>
      <c r="H44" s="9" t="s">
        <v>2541</v>
      </c>
      <c r="I44" s="9" t="s">
        <v>2504</v>
      </c>
      <c r="J44" s="10" t="n">
        <v>13.07</v>
      </c>
    </row>
    <row r="45" customFormat="false" ht="15" hidden="false" customHeight="false" outlineLevel="0" collapsed="false">
      <c r="A45" s="9" t="s">
        <v>2629</v>
      </c>
      <c r="B45" s="9" t="s">
        <v>2630</v>
      </c>
      <c r="C45" s="9" t="s">
        <v>2631</v>
      </c>
      <c r="D45" s="9" t="s">
        <v>1104</v>
      </c>
      <c r="E45" s="9" t="n">
        <v>1</v>
      </c>
      <c r="F45" s="9" t="s">
        <v>2540</v>
      </c>
      <c r="G45" s="9" t="s">
        <v>2500</v>
      </c>
      <c r="H45" s="9" t="s">
        <v>2541</v>
      </c>
      <c r="I45" s="9" t="s">
        <v>2504</v>
      </c>
      <c r="J45" s="10" t="n">
        <v>0.6</v>
      </c>
    </row>
    <row r="46" customFormat="false" ht="15" hidden="false" customHeight="false" outlineLevel="0" collapsed="false">
      <c r="A46" s="9" t="s">
        <v>2632</v>
      </c>
      <c r="B46" s="9" t="s">
        <v>2633</v>
      </c>
      <c r="C46" s="9" t="s">
        <v>2634</v>
      </c>
      <c r="D46" s="9" t="s">
        <v>1104</v>
      </c>
      <c r="E46" s="9" t="n">
        <v>1</v>
      </c>
      <c r="F46" s="9" t="s">
        <v>2540</v>
      </c>
      <c r="G46" s="9" t="s">
        <v>2500</v>
      </c>
      <c r="H46" s="9" t="s">
        <v>2541</v>
      </c>
      <c r="I46" s="9" t="s">
        <v>2504</v>
      </c>
      <c r="J46" s="10" t="n">
        <v>1.9</v>
      </c>
    </row>
    <row r="47" customFormat="false" ht="15" hidden="false" customHeight="false" outlineLevel="0" collapsed="false">
      <c r="A47" s="9" t="s">
        <v>2635</v>
      </c>
      <c r="B47" s="9" t="s">
        <v>2636</v>
      </c>
      <c r="C47" s="9" t="s">
        <v>2637</v>
      </c>
      <c r="D47" s="9" t="s">
        <v>2638</v>
      </c>
      <c r="E47" s="9" t="n">
        <v>1</v>
      </c>
      <c r="F47" s="9" t="s">
        <v>2540</v>
      </c>
      <c r="G47" s="9" t="s">
        <v>2500</v>
      </c>
      <c r="H47" s="9" t="s">
        <v>2541</v>
      </c>
      <c r="I47" s="9" t="s">
        <v>2504</v>
      </c>
      <c r="J47" s="10" t="n">
        <v>6</v>
      </c>
    </row>
    <row r="48" customFormat="false" ht="15" hidden="false" customHeight="false" outlineLevel="0" collapsed="false">
      <c r="A48" s="9" t="s">
        <v>2639</v>
      </c>
      <c r="B48" s="9" t="s">
        <v>2640</v>
      </c>
      <c r="C48" s="9" t="s">
        <v>2641</v>
      </c>
      <c r="D48" s="9" t="s">
        <v>2638</v>
      </c>
      <c r="E48" s="9" t="n">
        <v>1</v>
      </c>
      <c r="F48" s="9" t="s">
        <v>2540</v>
      </c>
      <c r="G48" s="9" t="s">
        <v>2500</v>
      </c>
      <c r="H48" s="9" t="s">
        <v>2541</v>
      </c>
      <c r="I48" s="9" t="s">
        <v>2504</v>
      </c>
      <c r="J48" s="10" t="n">
        <v>15</v>
      </c>
    </row>
    <row r="49" customFormat="false" ht="15" hidden="false" customHeight="false" outlineLevel="0" collapsed="false">
      <c r="A49" s="9" t="s">
        <v>2642</v>
      </c>
      <c r="B49" s="9" t="s">
        <v>2643</v>
      </c>
      <c r="C49" s="9" t="s">
        <v>2644</v>
      </c>
      <c r="D49" s="9" t="s">
        <v>2645</v>
      </c>
      <c r="E49" s="9" t="n">
        <v>1</v>
      </c>
      <c r="F49" s="9" t="s">
        <v>2540</v>
      </c>
      <c r="G49" s="9" t="s">
        <v>2500</v>
      </c>
      <c r="H49" s="9" t="s">
        <v>2541</v>
      </c>
      <c r="I49" s="9" t="s">
        <v>2504</v>
      </c>
      <c r="J49" s="10" t="n">
        <v>2.5</v>
      </c>
    </row>
    <row r="50" customFormat="false" ht="15" hidden="false" customHeight="false" outlineLevel="0" collapsed="false">
      <c r="A50" s="9" t="s">
        <v>2646</v>
      </c>
      <c r="B50" s="9" t="s">
        <v>2647</v>
      </c>
      <c r="C50" s="11" t="s">
        <v>2648</v>
      </c>
      <c r="D50" s="9" t="s">
        <v>2649</v>
      </c>
      <c r="E50" s="9" t="n">
        <v>1</v>
      </c>
      <c r="F50" s="9" t="s">
        <v>2540</v>
      </c>
      <c r="G50" s="9" t="s">
        <v>2500</v>
      </c>
      <c r="H50" s="9" t="s">
        <v>2541</v>
      </c>
      <c r="I50" s="9" t="s">
        <v>2504</v>
      </c>
      <c r="J50" s="10"/>
    </row>
    <row r="51" customFormat="false" ht="15" hidden="false" customHeight="false" outlineLevel="0" collapsed="false">
      <c r="A51" s="9" t="s">
        <v>2650</v>
      </c>
      <c r="B51" s="9" t="s">
        <v>2651</v>
      </c>
      <c r="C51" s="11" t="s">
        <v>2648</v>
      </c>
      <c r="D51" s="9" t="s">
        <v>2649</v>
      </c>
      <c r="E51" s="9" t="n">
        <v>1</v>
      </c>
      <c r="F51" s="9" t="s">
        <v>2540</v>
      </c>
      <c r="G51" s="9" t="s">
        <v>2500</v>
      </c>
      <c r="H51" s="9" t="s">
        <v>2541</v>
      </c>
      <c r="I51" s="9" t="s">
        <v>2504</v>
      </c>
      <c r="J51" s="10" t="n">
        <v>10</v>
      </c>
    </row>
    <row r="52" customFormat="false" ht="15" hidden="false" customHeight="false" outlineLevel="0" collapsed="false">
      <c r="A52" s="9" t="s">
        <v>2652</v>
      </c>
      <c r="B52" s="9" t="s">
        <v>2653</v>
      </c>
      <c r="C52" s="11" t="s">
        <v>2648</v>
      </c>
      <c r="D52" s="9" t="s">
        <v>2649</v>
      </c>
      <c r="E52" s="9" t="n">
        <v>1</v>
      </c>
      <c r="F52" s="9" t="s">
        <v>2540</v>
      </c>
      <c r="G52" s="9" t="s">
        <v>2500</v>
      </c>
      <c r="H52" s="9" t="s">
        <v>2541</v>
      </c>
      <c r="I52" s="9" t="s">
        <v>2504</v>
      </c>
      <c r="J52" s="10" t="n">
        <v>100</v>
      </c>
    </row>
    <row r="53" customFormat="false" ht="15" hidden="false" customHeight="false" outlineLevel="0" collapsed="false">
      <c r="A53" s="9" t="s">
        <v>2654</v>
      </c>
      <c r="B53" s="9" t="s">
        <v>2655</v>
      </c>
      <c r="C53" s="11" t="s">
        <v>2656</v>
      </c>
      <c r="D53" s="9" t="s">
        <v>1956</v>
      </c>
      <c r="E53" s="9" t="n">
        <v>1</v>
      </c>
      <c r="F53" s="9" t="s">
        <v>2540</v>
      </c>
      <c r="G53" s="9" t="s">
        <v>2500</v>
      </c>
      <c r="H53" s="9" t="s">
        <v>2541</v>
      </c>
      <c r="I53" s="9" t="s">
        <v>2504</v>
      </c>
      <c r="J53" s="10" t="n">
        <v>0.184347357556488</v>
      </c>
    </row>
    <row r="54" customFormat="false" ht="15" hidden="false" customHeight="false" outlineLevel="0" collapsed="false">
      <c r="A54" s="9" t="s">
        <v>2657</v>
      </c>
      <c r="B54" s="9" t="s">
        <v>2658</v>
      </c>
      <c r="C54" s="11" t="s">
        <v>2659</v>
      </c>
      <c r="D54" s="9" t="s">
        <v>1956</v>
      </c>
      <c r="E54" s="9" t="n">
        <v>1</v>
      </c>
      <c r="F54" s="9" t="s">
        <v>2540</v>
      </c>
      <c r="G54" s="9" t="s">
        <v>2500</v>
      </c>
      <c r="H54" s="9" t="s">
        <v>2541</v>
      </c>
      <c r="I54" s="9" t="s">
        <v>2504</v>
      </c>
      <c r="J54" s="10" t="n">
        <v>0.563043227262404</v>
      </c>
    </row>
    <row r="55" customFormat="false" ht="15" hidden="false" customHeight="false" outlineLevel="0" collapsed="false">
      <c r="A55" s="9" t="s">
        <v>2660</v>
      </c>
      <c r="B55" s="9" t="s">
        <v>2661</v>
      </c>
      <c r="C55" s="11" t="s">
        <v>2662</v>
      </c>
      <c r="D55" s="9" t="s">
        <v>1956</v>
      </c>
      <c r="E55" s="9" t="n">
        <v>1</v>
      </c>
      <c r="F55" s="9" t="s">
        <v>2540</v>
      </c>
      <c r="G55" s="9" t="s">
        <v>2500</v>
      </c>
      <c r="H55" s="9" t="s">
        <v>2541</v>
      </c>
      <c r="I55" s="9" t="s">
        <v>2504</v>
      </c>
      <c r="J55" s="10" t="n">
        <v>0.185008599902928</v>
      </c>
    </row>
    <row r="56" customFormat="false" ht="15" hidden="false" customHeight="false" outlineLevel="0" collapsed="false">
      <c r="A56" s="9" t="s">
        <v>2663</v>
      </c>
      <c r="B56" s="9" t="s">
        <v>2664</v>
      </c>
      <c r="C56" s="11" t="s">
        <v>2665</v>
      </c>
      <c r="D56" s="9" t="s">
        <v>1104</v>
      </c>
      <c r="E56" s="9" t="n">
        <v>1</v>
      </c>
      <c r="F56" s="9" t="s">
        <v>2540</v>
      </c>
      <c r="G56" s="9" t="s">
        <v>2500</v>
      </c>
      <c r="H56" s="9" t="s">
        <v>2541</v>
      </c>
      <c r="I56" s="9" t="s">
        <v>2504</v>
      </c>
      <c r="J56" s="10" t="n">
        <v>0.89809617101894</v>
      </c>
    </row>
    <row r="57" customFormat="false" ht="15" hidden="false" customHeight="false" outlineLevel="0" collapsed="false">
      <c r="A57" s="9" t="s">
        <v>2666</v>
      </c>
      <c r="B57" s="9" t="s">
        <v>2667</v>
      </c>
      <c r="C57" s="11" t="s">
        <v>2668</v>
      </c>
      <c r="D57" s="9" t="s">
        <v>2669</v>
      </c>
      <c r="E57" s="9" t="n">
        <v>1</v>
      </c>
      <c r="F57" s="9" t="s">
        <v>2540</v>
      </c>
      <c r="G57" s="9" t="s">
        <v>2500</v>
      </c>
      <c r="H57" s="9" t="s">
        <v>2541</v>
      </c>
      <c r="I57" s="9" t="s">
        <v>2504</v>
      </c>
      <c r="J57" s="10" t="n">
        <v>0.202980591668232</v>
      </c>
    </row>
    <row r="58" customFormat="false" ht="15" hidden="false" customHeight="false" outlineLevel="0" collapsed="false">
      <c r="A58" s="9" t="s">
        <v>2670</v>
      </c>
      <c r="B58" s="9" t="s">
        <v>2671</v>
      </c>
      <c r="C58" s="11" t="s">
        <v>2672</v>
      </c>
      <c r="D58" s="9" t="s">
        <v>2539</v>
      </c>
      <c r="E58" s="9" t="n">
        <v>1</v>
      </c>
      <c r="F58" s="9" t="s">
        <v>2540</v>
      </c>
      <c r="G58" s="9" t="s">
        <v>2500</v>
      </c>
      <c r="H58" s="9" t="s">
        <v>2541</v>
      </c>
      <c r="I58" s="9" t="s">
        <v>2504</v>
      </c>
      <c r="J58" s="10" t="n">
        <v>6015200000</v>
      </c>
    </row>
    <row r="59" customFormat="false" ht="15" hidden="false" customHeight="false" outlineLevel="0" collapsed="false">
      <c r="A59" s="9" t="s">
        <v>2673</v>
      </c>
      <c r="B59" s="9" t="s">
        <v>2674</v>
      </c>
      <c r="C59" s="11" t="s">
        <v>2675</v>
      </c>
      <c r="D59" s="11" t="s">
        <v>2676</v>
      </c>
      <c r="E59" s="9" t="n">
        <v>1</v>
      </c>
      <c r="F59" s="9" t="s">
        <v>2540</v>
      </c>
      <c r="G59" s="9" t="s">
        <v>2500</v>
      </c>
      <c r="H59" s="9" t="s">
        <v>2541</v>
      </c>
      <c r="I59" s="9" t="s">
        <v>2504</v>
      </c>
      <c r="J59" s="10" t="n">
        <v>11.3588952994222</v>
      </c>
    </row>
    <row r="60" customFormat="false" ht="15" hidden="false" customHeight="false" outlineLevel="0" collapsed="false">
      <c r="A60" s="9" t="s">
        <v>2677</v>
      </c>
      <c r="B60" s="9" t="s">
        <v>2678</v>
      </c>
      <c r="C60" s="11" t="s">
        <v>2679</v>
      </c>
      <c r="D60" s="9" t="s">
        <v>2680</v>
      </c>
      <c r="E60" s="9" t="n">
        <v>15</v>
      </c>
      <c r="F60" s="9" t="s">
        <v>2540</v>
      </c>
      <c r="G60" s="9" t="s">
        <v>2500</v>
      </c>
      <c r="H60" s="9" t="s">
        <v>2541</v>
      </c>
      <c r="I60" s="9" t="s">
        <v>2504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2681</v>
      </c>
      <c r="B61" s="9" t="s">
        <v>2682</v>
      </c>
      <c r="C61" s="11" t="s">
        <v>2683</v>
      </c>
      <c r="D61" s="9" t="s">
        <v>2680</v>
      </c>
      <c r="E61" s="9" t="n">
        <v>15</v>
      </c>
      <c r="F61" s="9" t="s">
        <v>2540</v>
      </c>
      <c r="G61" s="9" t="s">
        <v>2500</v>
      </c>
      <c r="H61" s="9" t="s">
        <v>2541</v>
      </c>
      <c r="I61" s="9" t="s">
        <v>2504</v>
      </c>
      <c r="J61" s="10" t="n">
        <v>7.87284530827463</v>
      </c>
      <c r="K61" s="10" t="n">
        <v>11.2487211695643</v>
      </c>
      <c r="L61" s="10" t="n">
        <v>19.3181916065503</v>
      </c>
      <c r="M61" s="10" t="n">
        <v>2.28484605928668</v>
      </c>
      <c r="N61" s="10" t="n">
        <v>3.05075012091539</v>
      </c>
      <c r="O61" s="10" t="n">
        <v>4.94807144984878</v>
      </c>
      <c r="P61" s="10" t="n">
        <v>3.50743929439388</v>
      </c>
      <c r="Q61" s="10" t="n">
        <v>4.53006082719016</v>
      </c>
      <c r="R61" s="10" t="n">
        <v>7.71264942389781</v>
      </c>
      <c r="S61" s="10" t="n">
        <v>2.62098107419554</v>
      </c>
      <c r="T61" s="10" t="n">
        <v>3.36863635569634</v>
      </c>
      <c r="U61" s="10" t="n">
        <v>5.44213634791714</v>
      </c>
      <c r="V61" s="10" t="n">
        <v>1.80639626932665</v>
      </c>
      <c r="W61" s="10" t="n">
        <v>2.74547464356203</v>
      </c>
      <c r="X61" s="10" t="n">
        <v>5.01197783203435</v>
      </c>
    </row>
    <row r="62" customFormat="false" ht="15" hidden="false" customHeight="false" outlineLevel="0" collapsed="false">
      <c r="A62" s="9" t="s">
        <v>2684</v>
      </c>
      <c r="B62" s="9" t="s">
        <v>2685</v>
      </c>
      <c r="C62" s="11" t="s">
        <v>2686</v>
      </c>
      <c r="D62" s="9" t="s">
        <v>2680</v>
      </c>
      <c r="E62" s="9" t="n">
        <v>15</v>
      </c>
      <c r="F62" s="9" t="s">
        <v>2540</v>
      </c>
      <c r="G62" s="9" t="s">
        <v>2500</v>
      </c>
      <c r="H62" s="9" t="s">
        <v>2541</v>
      </c>
      <c r="I62" s="9" t="s">
        <v>2504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2687</v>
      </c>
      <c r="B63" s="9" t="s">
        <v>2688</v>
      </c>
      <c r="C63" s="11" t="s">
        <v>2689</v>
      </c>
      <c r="D63" s="9" t="s">
        <v>74</v>
      </c>
      <c r="E63" s="9" t="n">
        <v>15</v>
      </c>
      <c r="F63" s="9" t="s">
        <v>2540</v>
      </c>
      <c r="G63" s="9" t="s">
        <v>2500</v>
      </c>
      <c r="H63" s="9" t="s">
        <v>2541</v>
      </c>
      <c r="I63" s="9" t="s">
        <v>2504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2690</v>
      </c>
      <c r="B64" s="9" t="s">
        <v>2691</v>
      </c>
      <c r="C64" s="11" t="s">
        <v>2689</v>
      </c>
      <c r="D64" s="9" t="s">
        <v>74</v>
      </c>
      <c r="E64" s="9" t="n">
        <v>15</v>
      </c>
      <c r="F64" s="9" t="s">
        <v>2540</v>
      </c>
      <c r="G64" s="9" t="s">
        <v>2500</v>
      </c>
      <c r="H64" s="9" t="s">
        <v>2541</v>
      </c>
      <c r="I64" s="9" t="s">
        <v>2504</v>
      </c>
      <c r="J64" s="10" t="n">
        <v>5.41089756914487</v>
      </c>
      <c r="K64" s="10" t="n">
        <v>5.41089756914487</v>
      </c>
      <c r="L64" s="10" t="n">
        <v>5.41089756914487</v>
      </c>
      <c r="M64" s="10" t="n">
        <v>26.8952733902608</v>
      </c>
      <c r="N64" s="10" t="n">
        <v>26.8952733902608</v>
      </c>
      <c r="O64" s="10" t="n">
        <v>26.8952733902608</v>
      </c>
      <c r="P64" s="10" t="n">
        <v>34.8667275721655</v>
      </c>
      <c r="Q64" s="10" t="n">
        <v>34.8667275721655</v>
      </c>
      <c r="R64" s="10" t="n">
        <v>34.8667275721655</v>
      </c>
      <c r="S64" s="10" t="n">
        <v>50.299413649228</v>
      </c>
      <c r="T64" s="10" t="n">
        <v>50.299413649228</v>
      </c>
      <c r="U64" s="10" t="n">
        <v>50.299413649228</v>
      </c>
      <c r="V64" s="10" t="n">
        <v>67.7198685975468</v>
      </c>
      <c r="W64" s="10" t="n">
        <v>67.7198685975468</v>
      </c>
      <c r="X64" s="10" t="n">
        <v>67.7198685975468</v>
      </c>
    </row>
    <row r="65" customFormat="false" ht="15" hidden="false" customHeight="false" outlineLevel="0" collapsed="false">
      <c r="A65" s="9" t="s">
        <v>2692</v>
      </c>
      <c r="B65" s="9" t="s">
        <v>2693</v>
      </c>
      <c r="C65" s="11" t="s">
        <v>2689</v>
      </c>
      <c r="D65" s="9" t="s">
        <v>74</v>
      </c>
      <c r="E65" s="9" t="n">
        <v>15</v>
      </c>
      <c r="F65" s="9" t="s">
        <v>2540</v>
      </c>
      <c r="G65" s="9" t="s">
        <v>2500</v>
      </c>
      <c r="H65" s="9" t="s">
        <v>2541</v>
      </c>
      <c r="I65" s="9" t="s">
        <v>2504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2694</v>
      </c>
      <c r="B66" s="9" t="s">
        <v>2695</v>
      </c>
      <c r="C66" s="11" t="s">
        <v>2696</v>
      </c>
      <c r="D66" s="9" t="s">
        <v>2555</v>
      </c>
      <c r="E66" s="9" t="n">
        <v>15</v>
      </c>
      <c r="F66" s="9" t="s">
        <v>2540</v>
      </c>
      <c r="G66" s="9" t="s">
        <v>2500</v>
      </c>
      <c r="H66" s="9" t="s">
        <v>2541</v>
      </c>
      <c r="I66" s="9" t="s">
        <v>2504</v>
      </c>
      <c r="J66" s="10" t="n">
        <v>8.37597131767689</v>
      </c>
      <c r="K66" s="10" t="n">
        <v>11.9672141592289</v>
      </c>
      <c r="L66" s="10" t="n">
        <v>20.5514835851995</v>
      </c>
      <c r="M66" s="10" t="n">
        <v>1.67604698239201</v>
      </c>
      <c r="N66" s="10" t="n">
        <v>2.23757982051207</v>
      </c>
      <c r="O66" s="10" t="n">
        <v>3.62862640720346</v>
      </c>
      <c r="P66" s="10" t="n">
        <v>1.76284570954953</v>
      </c>
      <c r="Q66" s="10" t="n">
        <v>2.27655571119161</v>
      </c>
      <c r="R66" s="10" t="n">
        <v>3.87531687630239</v>
      </c>
      <c r="S66" s="10" t="n">
        <v>1.18776185214537</v>
      </c>
      <c r="T66" s="10" t="n">
        <v>1.52633508268063</v>
      </c>
      <c r="U66" s="10" t="n">
        <v>2.46531272150879</v>
      </c>
      <c r="V66" s="10" t="n">
        <v>0.909184613506693</v>
      </c>
      <c r="W66" s="10" t="n">
        <v>1.38139206389233</v>
      </c>
      <c r="X66" s="10" t="n">
        <v>2.52108361816848</v>
      </c>
    </row>
    <row r="67" customFormat="false" ht="15" hidden="false" customHeight="false" outlineLevel="0" collapsed="false">
      <c r="A67" s="9" t="s">
        <v>2697</v>
      </c>
      <c r="B67" s="9" t="s">
        <v>2698</v>
      </c>
      <c r="C67" s="11" t="s">
        <v>2699</v>
      </c>
      <c r="D67" s="9" t="s">
        <v>2555</v>
      </c>
      <c r="E67" s="9" t="n">
        <v>15</v>
      </c>
      <c r="F67" s="9" t="s">
        <v>2540</v>
      </c>
      <c r="G67" s="9" t="s">
        <v>2500</v>
      </c>
      <c r="H67" s="9" t="s">
        <v>2541</v>
      </c>
      <c r="I67" s="9" t="s">
        <v>2504</v>
      </c>
      <c r="J67" s="10" t="n">
        <v>0.212513608042025</v>
      </c>
      <c r="K67" s="10" t="n">
        <v>0.303630174195324</v>
      </c>
      <c r="L67" s="10" t="n">
        <v>0.52142918905982</v>
      </c>
      <c r="M67" s="10" t="n">
        <v>0.0379021572432986</v>
      </c>
      <c r="N67" s="10" t="n">
        <v>0.0506007555302371</v>
      </c>
      <c r="O67" s="10" t="n">
        <v>0.0820581176000116</v>
      </c>
      <c r="P67" s="10" t="n">
        <v>0.0394990702371519</v>
      </c>
      <c r="Q67" s="10" t="n">
        <v>0.0510093723279292</v>
      </c>
      <c r="R67" s="10" t="n">
        <v>0.0868315753658399</v>
      </c>
      <c r="S67" s="10" t="n">
        <v>0.0300930289619664</v>
      </c>
      <c r="T67" s="10" t="n">
        <v>0.038671399449487</v>
      </c>
      <c r="U67" s="10" t="n">
        <v>0.0624621109969744</v>
      </c>
      <c r="V67" s="10" t="n">
        <v>0.0229208408319282</v>
      </c>
      <c r="W67" s="10" t="n">
        <v>0.034826063901107</v>
      </c>
      <c r="X67" s="10" t="n">
        <v>0.0635597955960129</v>
      </c>
    </row>
    <row r="68" customFormat="false" ht="15" hidden="false" customHeight="false" outlineLevel="0" collapsed="false">
      <c r="A68" s="9" t="s">
        <v>2700</v>
      </c>
      <c r="B68" s="9" t="s">
        <v>2701</v>
      </c>
      <c r="C68" s="11" t="s">
        <v>2702</v>
      </c>
      <c r="D68" s="9" t="s">
        <v>2555</v>
      </c>
      <c r="E68" s="9" t="n">
        <v>15</v>
      </c>
      <c r="F68" s="9" t="s">
        <v>2540</v>
      </c>
      <c r="G68" s="9" t="s">
        <v>2500</v>
      </c>
      <c r="H68" s="9" t="s">
        <v>2541</v>
      </c>
      <c r="I68" s="9" t="s">
        <v>2504</v>
      </c>
      <c r="J68" s="10" t="n">
        <v>0.612147517744397</v>
      </c>
      <c r="K68" s="10" t="n">
        <v>0.874618366438229</v>
      </c>
      <c r="L68" s="10" t="n">
        <v>1.50201132788924</v>
      </c>
      <c r="M68" s="10" t="n">
        <v>0.119083174299561</v>
      </c>
      <c r="N68" s="10" t="n">
        <v>0.158987469501826</v>
      </c>
      <c r="O68" s="10" t="n">
        <v>0.257839628925434</v>
      </c>
      <c r="P68" s="10" t="n">
        <v>0.120947669135898</v>
      </c>
      <c r="Q68" s="10" t="n">
        <v>0.156198775124104</v>
      </c>
      <c r="R68" s="10" t="n">
        <v>0.265906779836878</v>
      </c>
      <c r="S68" s="10" t="n">
        <v>0.0882322144931937</v>
      </c>
      <c r="T68" s="10" t="n">
        <v>0.113389480552912</v>
      </c>
      <c r="U68" s="10" t="n">
        <v>0.183159055208242</v>
      </c>
      <c r="V68" s="10" t="n">
        <v>0.0679801329179448</v>
      </c>
      <c r="W68" s="10" t="n">
        <v>0.103299531016465</v>
      </c>
      <c r="X68" s="10" t="n">
        <v>0.18854430994176</v>
      </c>
    </row>
    <row r="69" customFormat="false" ht="15" hidden="false" customHeight="false" outlineLevel="0" collapsed="false">
      <c r="A69" s="9" t="s">
        <v>2703</v>
      </c>
      <c r="B69" s="9" t="s">
        <v>2704</v>
      </c>
      <c r="C69" s="11" t="s">
        <v>2705</v>
      </c>
      <c r="D69" s="9" t="s">
        <v>74</v>
      </c>
      <c r="E69" s="9" t="n">
        <v>1</v>
      </c>
      <c r="F69" s="9" t="s">
        <v>2540</v>
      </c>
      <c r="G69" s="9" t="s">
        <v>2500</v>
      </c>
      <c r="H69" s="9" t="s">
        <v>2541</v>
      </c>
      <c r="I69" s="9" t="s">
        <v>2504</v>
      </c>
      <c r="J69" s="10" t="n">
        <v>1.90685722450505</v>
      </c>
    </row>
    <row r="70" customFormat="false" ht="15" hidden="false" customHeight="false" outlineLevel="0" collapsed="false">
      <c r="A70" s="9" t="s">
        <v>2706</v>
      </c>
      <c r="B70" s="9" t="s">
        <v>2707</v>
      </c>
      <c r="C70" s="11" t="s">
        <v>2708</v>
      </c>
      <c r="D70" s="9" t="s">
        <v>74</v>
      </c>
      <c r="E70" s="9" t="n">
        <v>1</v>
      </c>
      <c r="F70" s="9" t="s">
        <v>2540</v>
      </c>
      <c r="G70" s="9" t="s">
        <v>2500</v>
      </c>
      <c r="H70" s="9" t="s">
        <v>2541</v>
      </c>
      <c r="I70" s="9" t="s">
        <v>2504</v>
      </c>
      <c r="J70" s="10" t="n">
        <v>0.953428612252527</v>
      </c>
    </row>
    <row r="71" customFormat="false" ht="15" hidden="false" customHeight="false" outlineLevel="0" collapsed="false">
      <c r="A71" s="9" t="s">
        <v>2709</v>
      </c>
      <c r="B71" s="9" t="s">
        <v>2710</v>
      </c>
      <c r="C71" s="11" t="s">
        <v>2711</v>
      </c>
      <c r="D71" s="9" t="s">
        <v>74</v>
      </c>
      <c r="E71" s="9" t="n">
        <v>1</v>
      </c>
      <c r="F71" s="9" t="s">
        <v>2540</v>
      </c>
      <c r="G71" s="9" t="s">
        <v>2500</v>
      </c>
      <c r="H71" s="9" t="s">
        <v>2541</v>
      </c>
      <c r="I71" s="9" t="s">
        <v>2504</v>
      </c>
      <c r="J71" s="10" t="n">
        <v>13.3480005715354</v>
      </c>
    </row>
    <row r="72" customFormat="false" ht="15" hidden="false" customHeight="false" outlineLevel="0" collapsed="false">
      <c r="A72" s="9" t="s">
        <v>2712</v>
      </c>
      <c r="B72" s="9" t="s">
        <v>2713</v>
      </c>
      <c r="C72" s="11" t="s">
        <v>2714</v>
      </c>
      <c r="D72" s="9" t="s">
        <v>480</v>
      </c>
      <c r="E72" s="9" t="n">
        <v>15</v>
      </c>
      <c r="F72" s="9" t="s">
        <v>2540</v>
      </c>
      <c r="G72" s="9" t="s">
        <v>2500</v>
      </c>
      <c r="H72" s="9" t="s">
        <v>2541</v>
      </c>
      <c r="I72" s="9" t="s">
        <v>2504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2715</v>
      </c>
      <c r="B73" s="9" t="s">
        <v>2716</v>
      </c>
      <c r="C73" s="11" t="s">
        <v>2717</v>
      </c>
      <c r="D73" s="9"/>
      <c r="E73" s="9" t="n">
        <v>5</v>
      </c>
      <c r="F73" s="9" t="s">
        <v>2540</v>
      </c>
      <c r="G73" s="9" t="s">
        <v>2500</v>
      </c>
      <c r="H73" s="9" t="s">
        <v>2541</v>
      </c>
      <c r="I73" s="9" t="s">
        <v>2504</v>
      </c>
      <c r="J73" s="14" t="s">
        <v>2718</v>
      </c>
      <c r="K73" s="14" t="s">
        <v>2719</v>
      </c>
      <c r="L73" s="14" t="s">
        <v>2720</v>
      </c>
      <c r="M73" s="14" t="s">
        <v>2721</v>
      </c>
      <c r="N73" s="10" t="s">
        <v>2722</v>
      </c>
    </row>
    <row r="74" customFormat="false" ht="15" hidden="false" customHeight="false" outlineLevel="0" collapsed="false">
      <c r="A74" s="9" t="s">
        <v>2723</v>
      </c>
      <c r="B74" s="9" t="s">
        <v>2724</v>
      </c>
      <c r="C74" s="11" t="s">
        <v>2725</v>
      </c>
      <c r="D74" s="9" t="s">
        <v>2726</v>
      </c>
      <c r="E74" s="9" t="n">
        <v>5</v>
      </c>
      <c r="F74" s="9" t="s">
        <v>2540</v>
      </c>
      <c r="G74" s="9" t="s">
        <v>2500</v>
      </c>
      <c r="H74" s="9" t="s">
        <v>2541</v>
      </c>
      <c r="I74" s="9" t="s">
        <v>2504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2727</v>
      </c>
      <c r="B75" s="9" t="s">
        <v>2728</v>
      </c>
      <c r="C75" s="11" t="s">
        <v>2729</v>
      </c>
      <c r="D75" s="9" t="s">
        <v>2730</v>
      </c>
      <c r="E75" s="9" t="n">
        <v>5</v>
      </c>
      <c r="F75" s="9" t="s">
        <v>2540</v>
      </c>
      <c r="G75" s="9" t="s">
        <v>2500</v>
      </c>
      <c r="H75" s="9" t="s">
        <v>2541</v>
      </c>
      <c r="I75" s="9" t="s">
        <v>2504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2731</v>
      </c>
      <c r="B76" s="9" t="s">
        <v>2732</v>
      </c>
      <c r="C76" s="11" t="s">
        <v>2733</v>
      </c>
      <c r="D76" s="9" t="s">
        <v>2730</v>
      </c>
      <c r="E76" s="9" t="n">
        <v>5</v>
      </c>
      <c r="F76" s="9" t="s">
        <v>2540</v>
      </c>
      <c r="G76" s="9" t="s">
        <v>2500</v>
      </c>
      <c r="H76" s="9" t="s">
        <v>2541</v>
      </c>
      <c r="I76" s="9" t="s">
        <v>2504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2734</v>
      </c>
      <c r="B77" s="9" t="s">
        <v>2735</v>
      </c>
      <c r="C77" s="11" t="s">
        <v>2736</v>
      </c>
      <c r="D77" s="9" t="s">
        <v>2730</v>
      </c>
      <c r="E77" s="9" t="n">
        <v>5</v>
      </c>
      <c r="F77" s="9" t="s">
        <v>2540</v>
      </c>
      <c r="G77" s="9" t="s">
        <v>2500</v>
      </c>
      <c r="H77" s="9" t="s">
        <v>2541</v>
      </c>
      <c r="I77" s="9" t="s">
        <v>2504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2737</v>
      </c>
      <c r="B78" s="9" t="s">
        <v>2738</v>
      </c>
      <c r="C78" s="9" t="s">
        <v>2739</v>
      </c>
      <c r="D78" s="9" t="s">
        <v>2740</v>
      </c>
      <c r="E78" s="9" t="n">
        <v>1</v>
      </c>
      <c r="F78" s="9" t="s">
        <v>2540</v>
      </c>
      <c r="G78" s="9" t="s">
        <v>2500</v>
      </c>
      <c r="H78" s="9" t="s">
        <v>2541</v>
      </c>
      <c r="I78" s="9" t="s">
        <v>2504</v>
      </c>
      <c r="J78" s="10" t="n">
        <v>48.7876810461932</v>
      </c>
    </row>
    <row r="79" customFormat="false" ht="15" hidden="false" customHeight="false" outlineLevel="0" collapsed="false">
      <c r="A79" s="9" t="s">
        <v>2741</v>
      </c>
      <c r="B79" s="9" t="s">
        <v>2742</v>
      </c>
      <c r="C79" s="9" t="s">
        <v>2743</v>
      </c>
      <c r="D79" s="9" t="s">
        <v>2740</v>
      </c>
      <c r="E79" s="9" t="n">
        <v>1</v>
      </c>
      <c r="F79" s="9" t="s">
        <v>2540</v>
      </c>
      <c r="G79" s="9" t="s">
        <v>2500</v>
      </c>
      <c r="H79" s="9" t="s">
        <v>2541</v>
      </c>
      <c r="I79" s="9" t="s">
        <v>2504</v>
      </c>
      <c r="J79" s="10" t="n">
        <v>35.6983032045316</v>
      </c>
    </row>
    <row r="80" customFormat="false" ht="15" hidden="false" customHeight="false" outlineLevel="0" collapsed="false">
      <c r="A80" s="9" t="s">
        <v>2744</v>
      </c>
      <c r="B80" s="9" t="s">
        <v>2745</v>
      </c>
      <c r="C80" s="9" t="s">
        <v>2746</v>
      </c>
      <c r="D80" s="9" t="s">
        <v>2740</v>
      </c>
      <c r="E80" s="9" t="n">
        <v>1</v>
      </c>
      <c r="F80" s="9" t="s">
        <v>2540</v>
      </c>
      <c r="G80" s="9" t="s">
        <v>2500</v>
      </c>
      <c r="H80" s="9" t="s">
        <v>2541</v>
      </c>
      <c r="I80" s="9" t="s">
        <v>2504</v>
      </c>
      <c r="J80" s="10" t="n">
        <v>77.3463236098185</v>
      </c>
    </row>
    <row r="81" customFormat="false" ht="15" hidden="false" customHeight="false" outlineLevel="0" collapsed="false">
      <c r="A81" s="9" t="s">
        <v>2747</v>
      </c>
      <c r="B81" s="9" t="s">
        <v>2748</v>
      </c>
      <c r="C81" s="9" t="s">
        <v>2749</v>
      </c>
      <c r="D81" s="9" t="s">
        <v>2740</v>
      </c>
      <c r="E81" s="9" t="n">
        <v>1</v>
      </c>
      <c r="F81" s="9" t="s">
        <v>2540</v>
      </c>
      <c r="G81" s="9" t="s">
        <v>2500</v>
      </c>
      <c r="H81" s="9" t="s">
        <v>2541</v>
      </c>
      <c r="I81" s="9" t="s">
        <v>2504</v>
      </c>
      <c r="J81" s="10" t="n">
        <v>52.002078532064</v>
      </c>
    </row>
    <row r="82" customFormat="false" ht="15" hidden="false" customHeight="false" outlineLevel="0" collapsed="false">
      <c r="A82" s="9" t="s">
        <v>2750</v>
      </c>
      <c r="B82" s="9" t="s">
        <v>2751</v>
      </c>
      <c r="C82" s="9" t="s">
        <v>2752</v>
      </c>
      <c r="D82" s="9" t="s">
        <v>2740</v>
      </c>
      <c r="E82" s="9" t="n">
        <v>1</v>
      </c>
      <c r="F82" s="9" t="s">
        <v>2540</v>
      </c>
      <c r="G82" s="9" t="s">
        <v>2500</v>
      </c>
      <c r="H82" s="9" t="s">
        <v>2541</v>
      </c>
      <c r="I82" s="9" t="s">
        <v>2504</v>
      </c>
      <c r="J82" s="10" t="n">
        <v>38.0503013649249</v>
      </c>
    </row>
    <row r="83" customFormat="false" ht="15" hidden="false" customHeight="false" outlineLevel="0" collapsed="false">
      <c r="A83" s="9" t="s">
        <v>2753</v>
      </c>
      <c r="B83" s="9" t="s">
        <v>2754</v>
      </c>
      <c r="C83" s="9" t="s">
        <v>2755</v>
      </c>
      <c r="D83" s="9" t="s">
        <v>2740</v>
      </c>
      <c r="E83" s="9" t="n">
        <v>1</v>
      </c>
      <c r="F83" s="9" t="s">
        <v>2540</v>
      </c>
      <c r="G83" s="9" t="s">
        <v>2500</v>
      </c>
      <c r="H83" s="9" t="s">
        <v>2541</v>
      </c>
      <c r="I83" s="9" t="s">
        <v>2504</v>
      </c>
      <c r="J83" s="10" t="n">
        <v>82.442319624004</v>
      </c>
    </row>
    <row r="84" customFormat="false" ht="15" hidden="false" customHeight="false" outlineLevel="0" collapsed="false">
      <c r="A84" s="9" t="s">
        <v>2756</v>
      </c>
      <c r="B84" s="9" t="s">
        <v>2757</v>
      </c>
      <c r="C84" s="9" t="s">
        <v>2758</v>
      </c>
      <c r="D84" s="9" t="s">
        <v>2740</v>
      </c>
      <c r="E84" s="9" t="n">
        <v>1</v>
      </c>
      <c r="F84" s="9" t="s">
        <v>2540</v>
      </c>
      <c r="G84" s="9" t="s">
        <v>2500</v>
      </c>
      <c r="H84" s="9" t="s">
        <v>2541</v>
      </c>
      <c r="I84" s="9" t="s">
        <v>2504</v>
      </c>
      <c r="J84" s="10" t="n">
        <v>34.0950038651521</v>
      </c>
    </row>
    <row r="85" customFormat="false" ht="15" hidden="false" customHeight="false" outlineLevel="0" collapsed="false">
      <c r="A85" s="9" t="s">
        <v>2759</v>
      </c>
      <c r="B85" s="9" t="s">
        <v>2760</v>
      </c>
      <c r="C85" s="9" t="s">
        <v>2761</v>
      </c>
      <c r="D85" s="9" t="s">
        <v>2740</v>
      </c>
      <c r="E85" s="9" t="n">
        <v>1</v>
      </c>
      <c r="F85" s="9" t="s">
        <v>2540</v>
      </c>
      <c r="G85" s="9" t="s">
        <v>2500</v>
      </c>
      <c r="H85" s="9" t="s">
        <v>2541</v>
      </c>
      <c r="I85" s="9" t="s">
        <v>2504</v>
      </c>
      <c r="J85" s="10" t="n">
        <v>15.7102644985753</v>
      </c>
    </row>
    <row r="86" customFormat="false" ht="15" hidden="false" customHeight="false" outlineLevel="0" collapsed="false">
      <c r="A86" s="9" t="s">
        <v>2762</v>
      </c>
      <c r="B86" s="9" t="s">
        <v>2763</v>
      </c>
      <c r="C86" s="9" t="s">
        <v>2764</v>
      </c>
      <c r="D86" s="9" t="s">
        <v>2740</v>
      </c>
      <c r="E86" s="9" t="n">
        <v>1</v>
      </c>
      <c r="F86" s="9" t="s">
        <v>2540</v>
      </c>
      <c r="G86" s="9" t="s">
        <v>2500</v>
      </c>
      <c r="H86" s="9" t="s">
        <v>2541</v>
      </c>
      <c r="I86" s="9" t="s">
        <v>2504</v>
      </c>
      <c r="J86" s="10" t="n">
        <v>84.6280478621006</v>
      </c>
    </row>
    <row r="87" customFormat="false" ht="15" hidden="false" customHeight="false" outlineLevel="0" collapsed="false">
      <c r="A87" s="9" t="s">
        <v>2765</v>
      </c>
      <c r="B87" s="9" t="s">
        <v>2766</v>
      </c>
      <c r="C87" s="9" t="s">
        <v>2767</v>
      </c>
      <c r="D87" s="9" t="s">
        <v>2539</v>
      </c>
      <c r="E87" s="9" t="n">
        <v>1</v>
      </c>
      <c r="F87" s="9" t="s">
        <v>2540</v>
      </c>
      <c r="G87" s="9" t="s">
        <v>2500</v>
      </c>
      <c r="H87" s="9" t="s">
        <v>2541</v>
      </c>
      <c r="I87" s="9" t="s">
        <v>2504</v>
      </c>
      <c r="J87" s="10" t="n">
        <v>18525220456.2625</v>
      </c>
    </row>
    <row r="88" customFormat="false" ht="15" hidden="false" customHeight="false" outlineLevel="0" collapsed="false">
      <c r="A88" s="9" t="s">
        <v>2768</v>
      </c>
      <c r="B88" s="9" t="s">
        <v>2769</v>
      </c>
      <c r="C88" s="9" t="s">
        <v>2770</v>
      </c>
      <c r="D88" s="9" t="s">
        <v>2539</v>
      </c>
      <c r="E88" s="9" t="n">
        <v>1</v>
      </c>
      <c r="F88" s="9" t="s">
        <v>2540</v>
      </c>
      <c r="G88" s="9" t="s">
        <v>2500</v>
      </c>
      <c r="H88" s="9" t="s">
        <v>2541</v>
      </c>
      <c r="I88" s="9" t="s">
        <v>2504</v>
      </c>
      <c r="J88" s="10" t="n">
        <v>13555039358.2408</v>
      </c>
    </row>
    <row r="89" customFormat="false" ht="15" hidden="false" customHeight="false" outlineLevel="0" collapsed="false">
      <c r="A89" s="9" t="s">
        <v>2771</v>
      </c>
      <c r="B89" s="9" t="s">
        <v>2772</v>
      </c>
      <c r="C89" s="9" t="s">
        <v>2773</v>
      </c>
      <c r="D89" s="9" t="s">
        <v>2539</v>
      </c>
      <c r="E89" s="9" t="n">
        <v>1</v>
      </c>
      <c r="F89" s="9" t="s">
        <v>2540</v>
      </c>
      <c r="G89" s="9" t="s">
        <v>2500</v>
      </c>
      <c r="H89" s="9" t="s">
        <v>2541</v>
      </c>
      <c r="I89" s="9" t="s">
        <v>2504</v>
      </c>
      <c r="J89" s="10" t="n">
        <v>29369251942.8552</v>
      </c>
    </row>
    <row r="90" customFormat="false" ht="15" hidden="false" customHeight="false" outlineLevel="0" collapsed="false">
      <c r="A90" s="9" t="s">
        <v>2774</v>
      </c>
      <c r="B90" s="9" t="s">
        <v>2775</v>
      </c>
      <c r="C90" s="9" t="s">
        <v>2776</v>
      </c>
      <c r="D90" s="9" t="s">
        <v>2612</v>
      </c>
      <c r="E90" s="9" t="n">
        <v>1</v>
      </c>
      <c r="F90" s="9" t="s">
        <v>2540</v>
      </c>
      <c r="G90" s="9" t="s">
        <v>2500</v>
      </c>
      <c r="H90" s="9" t="s">
        <v>2541</v>
      </c>
      <c r="I90" s="9" t="s">
        <v>2504</v>
      </c>
      <c r="J90" s="10" t="n">
        <v>6.25811015798616</v>
      </c>
    </row>
    <row r="91" customFormat="false" ht="15" hidden="false" customHeight="false" outlineLevel="0" collapsed="false">
      <c r="A91" s="9" t="s">
        <v>2777</v>
      </c>
      <c r="B91" s="9" t="s">
        <v>2778</v>
      </c>
      <c r="C91" s="11" t="s">
        <v>2779</v>
      </c>
      <c r="D91" s="9" t="s">
        <v>2612</v>
      </c>
      <c r="E91" s="9" t="n">
        <v>1</v>
      </c>
      <c r="F91" s="9" t="s">
        <v>2540</v>
      </c>
      <c r="G91" s="9" t="s">
        <v>2500</v>
      </c>
      <c r="H91" s="9" t="s">
        <v>2541</v>
      </c>
      <c r="I91" s="9" t="s">
        <v>2504</v>
      </c>
      <c r="J91" s="10" t="n">
        <v>1.34320115513779</v>
      </c>
    </row>
    <row r="92" customFormat="false" ht="15" hidden="false" customHeight="false" outlineLevel="0" collapsed="false">
      <c r="A92" s="9" t="s">
        <v>2780</v>
      </c>
      <c r="B92" s="9" t="s">
        <v>2781</v>
      </c>
      <c r="C92" s="9" t="s">
        <v>2782</v>
      </c>
      <c r="D92" s="11" t="s">
        <v>745</v>
      </c>
      <c r="E92" s="9" t="n">
        <v>1</v>
      </c>
      <c r="F92" s="11" t="s">
        <v>2783</v>
      </c>
      <c r="G92" s="9" t="s">
        <v>2500</v>
      </c>
      <c r="H92" s="9" t="s">
        <v>2541</v>
      </c>
      <c r="I92" s="9" t="s">
        <v>2504</v>
      </c>
      <c r="J92" s="10" t="n">
        <v>0.8</v>
      </c>
    </row>
    <row r="93" customFormat="false" ht="15" hidden="false" customHeight="false" outlineLevel="0" collapsed="false">
      <c r="A93" s="9" t="s">
        <v>2784</v>
      </c>
      <c r="B93" s="9" t="s">
        <v>2785</v>
      </c>
      <c r="C93" s="9" t="s">
        <v>2786</v>
      </c>
      <c r="D93" s="11" t="s">
        <v>745</v>
      </c>
      <c r="E93" s="9" t="n">
        <v>1</v>
      </c>
      <c r="F93" s="11" t="s">
        <v>2783</v>
      </c>
      <c r="G93" s="9" t="s">
        <v>2500</v>
      </c>
      <c r="H93" s="9" t="s">
        <v>2541</v>
      </c>
      <c r="I93" s="9" t="s">
        <v>2504</v>
      </c>
      <c r="J93" s="10" t="n">
        <v>0.6</v>
      </c>
    </row>
    <row r="94" customFormat="false" ht="15" hidden="false" customHeight="false" outlineLevel="0" collapsed="false">
      <c r="A94" s="9" t="s">
        <v>2787</v>
      </c>
      <c r="B94" s="9" t="s">
        <v>2788</v>
      </c>
      <c r="C94" s="9" t="s">
        <v>2789</v>
      </c>
      <c r="D94" s="11" t="s">
        <v>745</v>
      </c>
      <c r="E94" s="9" t="n">
        <v>1</v>
      </c>
      <c r="F94" s="11" t="s">
        <v>2783</v>
      </c>
      <c r="G94" s="9" t="s">
        <v>2500</v>
      </c>
      <c r="H94" s="9" t="s">
        <v>2541</v>
      </c>
      <c r="I94" s="9" t="s">
        <v>2504</v>
      </c>
      <c r="J94" s="10" t="n">
        <v>1.1</v>
      </c>
    </row>
    <row r="95" customFormat="false" ht="15" hidden="false" customHeight="false" outlineLevel="0" collapsed="false">
      <c r="A95" s="9" t="s">
        <v>2790</v>
      </c>
      <c r="B95" s="9" t="s">
        <v>2791</v>
      </c>
      <c r="C95" s="9" t="s">
        <v>2792</v>
      </c>
      <c r="D95" s="11" t="s">
        <v>745</v>
      </c>
      <c r="E95" s="9" t="n">
        <v>1</v>
      </c>
      <c r="F95" s="11" t="s">
        <v>2783</v>
      </c>
      <c r="G95" s="9" t="s">
        <v>2500</v>
      </c>
      <c r="H95" s="9" t="s">
        <v>2541</v>
      </c>
      <c r="I95" s="9" t="s">
        <v>2504</v>
      </c>
      <c r="J95" s="10" t="n">
        <v>0.8</v>
      </c>
    </row>
    <row r="96" customFormat="false" ht="15" hidden="false" customHeight="false" outlineLevel="0" collapsed="false">
      <c r="A96" s="9" t="s">
        <v>2793</v>
      </c>
      <c r="B96" s="9" t="s">
        <v>2794</v>
      </c>
      <c r="C96" s="9" t="s">
        <v>2795</v>
      </c>
      <c r="D96" s="11" t="s">
        <v>745</v>
      </c>
      <c r="E96" s="9" t="n">
        <v>1</v>
      </c>
      <c r="F96" s="11" t="s">
        <v>2783</v>
      </c>
      <c r="G96" s="9" t="s">
        <v>2500</v>
      </c>
      <c r="H96" s="9" t="s">
        <v>2541</v>
      </c>
      <c r="I96" s="9" t="s">
        <v>2504</v>
      </c>
      <c r="J96" s="10" t="n">
        <v>0.7</v>
      </c>
    </row>
    <row r="97" customFormat="false" ht="15" hidden="false" customHeight="false" outlineLevel="0" collapsed="false">
      <c r="A97" s="9" t="s">
        <v>2796</v>
      </c>
      <c r="B97" s="9" t="s">
        <v>2797</v>
      </c>
      <c r="C97" s="9" t="s">
        <v>2798</v>
      </c>
      <c r="D97" s="11" t="s">
        <v>745</v>
      </c>
      <c r="E97" s="9" t="n">
        <v>1</v>
      </c>
      <c r="F97" s="11" t="s">
        <v>2783</v>
      </c>
      <c r="G97" s="9" t="s">
        <v>2500</v>
      </c>
      <c r="H97" s="9" t="s">
        <v>2541</v>
      </c>
      <c r="I97" s="9" t="s">
        <v>2504</v>
      </c>
      <c r="J97" s="10" t="n">
        <v>1</v>
      </c>
    </row>
    <row r="98" customFormat="false" ht="15" hidden="false" customHeight="false" outlineLevel="0" collapsed="false">
      <c r="A98" s="9" t="s">
        <v>2799</v>
      </c>
      <c r="B98" s="9" t="s">
        <v>2800</v>
      </c>
      <c r="C98" s="9" t="s">
        <v>2801</v>
      </c>
      <c r="D98" s="11" t="s">
        <v>745</v>
      </c>
      <c r="E98" s="9" t="n">
        <v>1</v>
      </c>
      <c r="F98" s="11" t="s">
        <v>2783</v>
      </c>
      <c r="G98" s="9" t="s">
        <v>2500</v>
      </c>
      <c r="H98" s="9" t="s">
        <v>2541</v>
      </c>
      <c r="I98" s="9" t="s">
        <v>2504</v>
      </c>
      <c r="J98" s="10" t="n">
        <v>0.5</v>
      </c>
    </row>
    <row r="99" customFormat="false" ht="15" hidden="false" customHeight="false" outlineLevel="0" collapsed="false">
      <c r="A99" s="9" t="s">
        <v>2802</v>
      </c>
      <c r="B99" s="9" t="s">
        <v>2803</v>
      </c>
      <c r="C99" s="9" t="s">
        <v>2804</v>
      </c>
      <c r="D99" s="11" t="s">
        <v>745</v>
      </c>
      <c r="E99" s="9" t="n">
        <v>1</v>
      </c>
      <c r="F99" s="11" t="s">
        <v>2783</v>
      </c>
      <c r="G99" s="9" t="s">
        <v>2500</v>
      </c>
      <c r="H99" s="9" t="s">
        <v>2541</v>
      </c>
      <c r="I99" s="9" t="s">
        <v>2504</v>
      </c>
      <c r="J99" s="10" t="n">
        <v>0.3</v>
      </c>
    </row>
    <row r="100" customFormat="false" ht="15" hidden="false" customHeight="false" outlineLevel="0" collapsed="false">
      <c r="A100" s="9" t="s">
        <v>2805</v>
      </c>
      <c r="B100" s="9" t="s">
        <v>2806</v>
      </c>
      <c r="C100" s="9" t="s">
        <v>2807</v>
      </c>
      <c r="D100" s="11" t="s">
        <v>745</v>
      </c>
      <c r="E100" s="9" t="n">
        <v>1</v>
      </c>
      <c r="F100" s="11" t="s">
        <v>2783</v>
      </c>
      <c r="G100" s="9" t="s">
        <v>2500</v>
      </c>
      <c r="H100" s="9" t="s">
        <v>2541</v>
      </c>
      <c r="I100" s="9" t="s">
        <v>2504</v>
      </c>
      <c r="J100" s="10" t="n">
        <v>0.8</v>
      </c>
    </row>
    <row r="101" customFormat="false" ht="15" hidden="false" customHeight="false" outlineLevel="0" collapsed="false">
      <c r="A101" s="9" t="s">
        <v>2808</v>
      </c>
      <c r="B101" s="9" t="s">
        <v>2809</v>
      </c>
      <c r="C101" s="9" t="s">
        <v>2810</v>
      </c>
      <c r="D101" s="11" t="s">
        <v>745</v>
      </c>
      <c r="E101" s="9" t="n">
        <v>1</v>
      </c>
      <c r="F101" s="11" t="s">
        <v>2783</v>
      </c>
      <c r="G101" s="9" t="s">
        <v>2500</v>
      </c>
      <c r="H101" s="9" t="s">
        <v>2541</v>
      </c>
      <c r="I101" s="9" t="s">
        <v>2504</v>
      </c>
      <c r="J101" s="10" t="n">
        <v>0.7</v>
      </c>
    </row>
    <row r="102" customFormat="false" ht="15" hidden="false" customHeight="false" outlineLevel="0" collapsed="false">
      <c r="A102" s="9" t="s">
        <v>2811</v>
      </c>
      <c r="B102" s="9" t="s">
        <v>2812</v>
      </c>
      <c r="C102" s="9" t="s">
        <v>2813</v>
      </c>
      <c r="D102" s="11" t="s">
        <v>745</v>
      </c>
      <c r="E102" s="9" t="n">
        <v>1</v>
      </c>
      <c r="F102" s="11" t="s">
        <v>2783</v>
      </c>
      <c r="G102" s="9" t="s">
        <v>2500</v>
      </c>
      <c r="H102" s="9" t="s">
        <v>2541</v>
      </c>
      <c r="I102" s="9" t="s">
        <v>2504</v>
      </c>
      <c r="J102" s="10" t="n">
        <v>0.6</v>
      </c>
    </row>
    <row r="103" customFormat="false" ht="15" hidden="false" customHeight="false" outlineLevel="0" collapsed="false">
      <c r="A103" s="9" t="s">
        <v>2814</v>
      </c>
      <c r="B103" s="9" t="s">
        <v>2815</v>
      </c>
      <c r="C103" s="9" t="s">
        <v>2816</v>
      </c>
      <c r="D103" s="11" t="s">
        <v>745</v>
      </c>
      <c r="E103" s="9" t="n">
        <v>1</v>
      </c>
      <c r="F103" s="11" t="s">
        <v>2783</v>
      </c>
      <c r="G103" s="9" t="s">
        <v>2500</v>
      </c>
      <c r="H103" s="9" t="s">
        <v>2541</v>
      </c>
      <c r="I103" s="9" t="s">
        <v>2504</v>
      </c>
      <c r="J103" s="10" t="n">
        <v>0.9</v>
      </c>
    </row>
    <row r="104" customFormat="false" ht="15" hidden="false" customHeight="false" outlineLevel="0" collapsed="false">
      <c r="A104" s="9" t="s">
        <v>2817</v>
      </c>
      <c r="B104" s="9" t="s">
        <v>2818</v>
      </c>
      <c r="C104" s="9" t="s">
        <v>2819</v>
      </c>
      <c r="D104" s="11" t="s">
        <v>745</v>
      </c>
      <c r="E104" s="9" t="n">
        <v>1</v>
      </c>
      <c r="F104" s="11" t="s">
        <v>2783</v>
      </c>
      <c r="G104" s="9" t="s">
        <v>2500</v>
      </c>
      <c r="H104" s="9" t="s">
        <v>2541</v>
      </c>
      <c r="I104" s="9" t="s">
        <v>2504</v>
      </c>
      <c r="J104" s="10" t="n">
        <v>0.7</v>
      </c>
    </row>
    <row r="105" customFormat="false" ht="15" hidden="false" customHeight="false" outlineLevel="0" collapsed="false">
      <c r="A105" s="9" t="s">
        <v>2820</v>
      </c>
      <c r="B105" s="9" t="s">
        <v>2821</v>
      </c>
      <c r="C105" s="9" t="s">
        <v>2822</v>
      </c>
      <c r="D105" s="11" t="s">
        <v>745</v>
      </c>
      <c r="E105" s="9" t="n">
        <v>1</v>
      </c>
      <c r="F105" s="11" t="s">
        <v>2783</v>
      </c>
      <c r="G105" s="9" t="s">
        <v>2500</v>
      </c>
      <c r="H105" s="9" t="s">
        <v>2541</v>
      </c>
      <c r="I105" s="9" t="s">
        <v>2504</v>
      </c>
      <c r="J105" s="10" t="n">
        <v>0.5</v>
      </c>
    </row>
    <row r="106" customFormat="false" ht="15" hidden="false" customHeight="false" outlineLevel="0" collapsed="false">
      <c r="A106" s="9" t="s">
        <v>2823</v>
      </c>
      <c r="B106" s="9" t="s">
        <v>2824</v>
      </c>
      <c r="C106" s="9" t="s">
        <v>2825</v>
      </c>
      <c r="D106" s="11" t="s">
        <v>745</v>
      </c>
      <c r="E106" s="9" t="n">
        <v>1</v>
      </c>
      <c r="F106" s="11" t="s">
        <v>2783</v>
      </c>
      <c r="G106" s="9" t="s">
        <v>2500</v>
      </c>
      <c r="H106" s="9" t="s">
        <v>2541</v>
      </c>
      <c r="I106" s="9" t="s">
        <v>2504</v>
      </c>
      <c r="J106" s="10" t="n">
        <v>1</v>
      </c>
    </row>
    <row r="107" customFormat="false" ht="15" hidden="false" customHeight="false" outlineLevel="0" collapsed="false">
      <c r="A107" s="9" t="s">
        <v>2826</v>
      </c>
      <c r="B107" s="9" t="s">
        <v>2827</v>
      </c>
      <c r="C107" s="9" t="s">
        <v>2828</v>
      </c>
      <c r="D107" s="11" t="s">
        <v>745</v>
      </c>
      <c r="E107" s="9" t="n">
        <v>1</v>
      </c>
      <c r="F107" s="11" t="s">
        <v>2783</v>
      </c>
      <c r="G107" s="9" t="s">
        <v>2500</v>
      </c>
      <c r="H107" s="9" t="s">
        <v>2541</v>
      </c>
      <c r="I107" s="9" t="s">
        <v>2504</v>
      </c>
      <c r="J107" s="10" t="n">
        <v>0.9</v>
      </c>
    </row>
    <row r="108" customFormat="false" ht="15" hidden="false" customHeight="false" outlineLevel="0" collapsed="false">
      <c r="A108" s="9" t="s">
        <v>2829</v>
      </c>
      <c r="B108" s="9" t="s">
        <v>2830</v>
      </c>
      <c r="C108" s="9" t="s">
        <v>2831</v>
      </c>
      <c r="D108" s="11" t="s">
        <v>745</v>
      </c>
      <c r="E108" s="9" t="n">
        <v>1</v>
      </c>
      <c r="F108" s="11" t="s">
        <v>2783</v>
      </c>
      <c r="G108" s="9" t="s">
        <v>2500</v>
      </c>
      <c r="H108" s="9" t="s">
        <v>2541</v>
      </c>
      <c r="I108" s="9" t="s">
        <v>2504</v>
      </c>
      <c r="J108" s="10" t="n">
        <v>0.8</v>
      </c>
    </row>
    <row r="109" customFormat="false" ht="15" hidden="false" customHeight="false" outlineLevel="0" collapsed="false">
      <c r="A109" s="9" t="s">
        <v>2832</v>
      </c>
      <c r="B109" s="9" t="s">
        <v>2833</v>
      </c>
      <c r="C109" s="9" t="s">
        <v>2834</v>
      </c>
      <c r="D109" s="11" t="s">
        <v>745</v>
      </c>
      <c r="E109" s="9" t="n">
        <v>1</v>
      </c>
      <c r="F109" s="11" t="s">
        <v>2783</v>
      </c>
      <c r="G109" s="9" t="s">
        <v>2500</v>
      </c>
      <c r="H109" s="9" t="s">
        <v>2541</v>
      </c>
      <c r="I109" s="9" t="s">
        <v>2504</v>
      </c>
      <c r="J109" s="10" t="n">
        <v>1</v>
      </c>
    </row>
    <row r="110" customFormat="false" ht="15" hidden="false" customHeight="false" outlineLevel="0" collapsed="false">
      <c r="A110" s="9" t="s">
        <v>2835</v>
      </c>
      <c r="B110" s="9" t="s">
        <v>2836</v>
      </c>
      <c r="C110" s="9" t="s">
        <v>2837</v>
      </c>
      <c r="D110" s="9" t="s">
        <v>2838</v>
      </c>
      <c r="E110" s="9" t="n">
        <v>1</v>
      </c>
      <c r="F110" s="11" t="s">
        <v>2783</v>
      </c>
      <c r="G110" s="9" t="s">
        <v>2500</v>
      </c>
      <c r="H110" s="9" t="s">
        <v>2541</v>
      </c>
      <c r="I110" s="9" t="s">
        <v>2504</v>
      </c>
      <c r="J110" s="10" t="n">
        <v>1.2</v>
      </c>
    </row>
    <row r="111" customFormat="false" ht="15" hidden="false" customHeight="false" outlineLevel="0" collapsed="false">
      <c r="A111" s="9" t="s">
        <v>2839</v>
      </c>
      <c r="B111" s="9" t="s">
        <v>2840</v>
      </c>
      <c r="C111" s="9" t="s">
        <v>2841</v>
      </c>
      <c r="D111" s="9" t="s">
        <v>2838</v>
      </c>
      <c r="E111" s="9" t="n">
        <v>1</v>
      </c>
      <c r="F111" s="11" t="s">
        <v>2783</v>
      </c>
      <c r="G111" s="9" t="s">
        <v>2500</v>
      </c>
      <c r="H111" s="9" t="s">
        <v>2541</v>
      </c>
      <c r="I111" s="9" t="s">
        <v>2504</v>
      </c>
      <c r="J111" s="10" t="n">
        <v>1.1</v>
      </c>
    </row>
    <row r="112" customFormat="false" ht="15" hidden="false" customHeight="false" outlineLevel="0" collapsed="false">
      <c r="A112" s="9" t="s">
        <v>2842</v>
      </c>
      <c r="B112" s="9" t="s">
        <v>2843</v>
      </c>
      <c r="C112" s="9" t="s">
        <v>2844</v>
      </c>
      <c r="D112" s="9" t="s">
        <v>2838</v>
      </c>
      <c r="E112" s="9" t="n">
        <v>1</v>
      </c>
      <c r="F112" s="11" t="s">
        <v>2783</v>
      </c>
      <c r="G112" s="9" t="s">
        <v>2500</v>
      </c>
      <c r="H112" s="9" t="s">
        <v>2541</v>
      </c>
      <c r="I112" s="9" t="s">
        <v>2504</v>
      </c>
      <c r="J112" s="1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17.15" hidden="false" customHeight="false" outlineLevel="0" collapsed="false">
      <c r="A1" s="1" t="s">
        <v>2845</v>
      </c>
    </row>
    <row r="2" customFormat="false" ht="15" hidden="false" customHeight="false" outlineLevel="0" collapsed="false">
      <c r="A2" s="2" t="s">
        <v>2846</v>
      </c>
    </row>
    <row r="3" customFormat="false" ht="15" hidden="false" customHeight="false" outlineLevel="0" collapsed="false">
      <c r="A3" s="12" t="s">
        <v>2847</v>
      </c>
    </row>
    <row r="4" customFormat="false" ht="15" hidden="false" customHeight="false" outlineLevel="0" collapsed="false">
      <c r="A4" s="5" t="s">
        <v>2848</v>
      </c>
      <c r="B4" s="9" t="s">
        <v>2849</v>
      </c>
    </row>
    <row r="5" customFormat="false" ht="15" hidden="false" customHeight="false" outlineLevel="0" collapsed="false">
      <c r="A5" s="3" t="s">
        <v>2850</v>
      </c>
      <c r="B5" s="9" t="s">
        <v>2851</v>
      </c>
    </row>
    <row r="6" customFormat="false" ht="15" hidden="false" customHeight="false" outlineLevel="0" collapsed="false">
      <c r="A6" s="5" t="s">
        <v>2852</v>
      </c>
      <c r="B6" s="11" t="s">
        <v>2853</v>
      </c>
    </row>
    <row r="7" customFormat="false" ht="15" hidden="false" customHeight="false" outlineLevel="0" collapsed="false">
      <c r="A7" s="3" t="s">
        <v>2503</v>
      </c>
      <c r="B7" s="9" t="s">
        <v>2504</v>
      </c>
    </row>
    <row r="9" customFormat="false" ht="25.35" hidden="false" customHeight="false" outlineLevel="0" collapsed="false">
      <c r="A9" s="7" t="s">
        <v>2854</v>
      </c>
      <c r="B9" s="8" t="s">
        <v>2516</v>
      </c>
      <c r="C9" s="8" t="s">
        <v>2517</v>
      </c>
      <c r="D9" s="7" t="s">
        <v>75</v>
      </c>
      <c r="E9" s="7" t="s">
        <v>304</v>
      </c>
      <c r="F9" s="7" t="s">
        <v>2855</v>
      </c>
      <c r="G9" s="7" t="s">
        <v>1658</v>
      </c>
      <c r="H9" s="7" t="s">
        <v>2856</v>
      </c>
      <c r="I9" s="7" t="s">
        <v>2857</v>
      </c>
      <c r="J9" s="8" t="s">
        <v>50</v>
      </c>
      <c r="K9" s="7" t="s">
        <v>2858</v>
      </c>
    </row>
    <row r="10" customFormat="false" ht="15" hidden="false" customHeight="false" outlineLevel="0" collapsed="false">
      <c r="A10" s="9" t="s">
        <v>2859</v>
      </c>
      <c r="B10" s="9" t="s">
        <v>2860</v>
      </c>
      <c r="C10" s="11" t="s">
        <v>2861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480</v>
      </c>
      <c r="K10" s="12" t="s">
        <v>2862</v>
      </c>
    </row>
    <row r="11" customFormat="false" ht="15" hidden="false" customHeight="false" outlineLevel="0" collapsed="false">
      <c r="A11" s="9" t="s">
        <v>2863</v>
      </c>
      <c r="B11" s="9" t="s">
        <v>2864</v>
      </c>
      <c r="C11" s="11" t="s">
        <v>2865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480</v>
      </c>
      <c r="K11" s="12" t="s">
        <v>2866</v>
      </c>
    </row>
    <row r="12" customFormat="false" ht="15" hidden="false" customHeight="false" outlineLevel="0" collapsed="false">
      <c r="A12" s="9" t="s">
        <v>2867</v>
      </c>
      <c r="B12" s="9" t="s">
        <v>2868</v>
      </c>
      <c r="C12" s="11" t="s">
        <v>2869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480</v>
      </c>
      <c r="K12" s="12" t="s">
        <v>2870</v>
      </c>
    </row>
    <row r="13" customFormat="false" ht="15" hidden="false" customHeight="false" outlineLevel="0" collapsed="false">
      <c r="A13" s="9" t="s">
        <v>2871</v>
      </c>
      <c r="B13" s="9" t="s">
        <v>2872</v>
      </c>
      <c r="C13" s="11" t="s">
        <v>2873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480</v>
      </c>
      <c r="K13" s="12" t="s">
        <v>2874</v>
      </c>
    </row>
    <row r="14" customFormat="false" ht="15" hidden="false" customHeight="false" outlineLevel="0" collapsed="false">
      <c r="A14" s="9" t="s">
        <v>2875</v>
      </c>
      <c r="B14" s="9" t="s">
        <v>2876</v>
      </c>
      <c r="C14" s="9" t="s">
        <v>2877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480</v>
      </c>
      <c r="K14" s="12" t="s">
        <v>2878</v>
      </c>
    </row>
    <row r="15" customFormat="false" ht="15" hidden="false" customHeight="false" outlineLevel="0" collapsed="false">
      <c r="A15" s="9" t="s">
        <v>2879</v>
      </c>
      <c r="B15" s="9" t="s">
        <v>2880</v>
      </c>
      <c r="C15" s="9" t="s">
        <v>2881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2882</v>
      </c>
      <c r="K15" s="12" t="s">
        <v>2883</v>
      </c>
    </row>
    <row r="16" customFormat="false" ht="15" hidden="false" customHeight="false" outlineLevel="0" collapsed="false">
      <c r="A16" s="9" t="s">
        <v>2884</v>
      </c>
      <c r="B16" s="9" t="s">
        <v>2885</v>
      </c>
      <c r="C16" s="11" t="s">
        <v>2886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1104</v>
      </c>
      <c r="K16" s="12" t="s">
        <v>2887</v>
      </c>
    </row>
    <row r="17" customFormat="false" ht="15" hidden="false" customHeight="false" outlineLevel="0" collapsed="false">
      <c r="A17" s="9" t="s">
        <v>2888</v>
      </c>
      <c r="B17" s="9" t="s">
        <v>2889</v>
      </c>
      <c r="C17" s="11" t="s">
        <v>2890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1104</v>
      </c>
      <c r="K17" s="12" t="s">
        <v>2891</v>
      </c>
    </row>
    <row r="18" customFormat="false" ht="15" hidden="false" customHeight="false" outlineLevel="0" collapsed="false">
      <c r="A18" s="9" t="s">
        <v>2892</v>
      </c>
      <c r="B18" s="9" t="s">
        <v>2893</v>
      </c>
      <c r="C18" s="11" t="s">
        <v>2894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480</v>
      </c>
      <c r="K18" s="12" t="s">
        <v>2895</v>
      </c>
    </row>
    <row r="19" customFormat="false" ht="15" hidden="false" customHeight="false" outlineLevel="0" collapsed="false">
      <c r="A19" s="9" t="s">
        <v>2896</v>
      </c>
      <c r="B19" s="9" t="s">
        <v>2897</v>
      </c>
      <c r="C19" s="11" t="s">
        <v>2898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480</v>
      </c>
      <c r="K19" s="12" t="s">
        <v>2899</v>
      </c>
    </row>
    <row r="20" customFormat="false" ht="15" hidden="false" customHeight="false" outlineLevel="0" collapsed="false">
      <c r="A20" s="9" t="s">
        <v>2900</v>
      </c>
      <c r="B20" s="9" t="s">
        <v>2901</v>
      </c>
      <c r="C20" s="11" t="s">
        <v>2902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2740</v>
      </c>
      <c r="K20" s="12" t="s">
        <v>2903</v>
      </c>
    </row>
    <row r="21" customFormat="false" ht="15" hidden="false" customHeight="false" outlineLevel="0" collapsed="false">
      <c r="A21" s="9" t="s">
        <v>2904</v>
      </c>
      <c r="B21" s="9" t="s">
        <v>2905</v>
      </c>
      <c r="C21" s="11" t="s">
        <v>2906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2740</v>
      </c>
      <c r="K21" s="12" t="s">
        <v>2907</v>
      </c>
    </row>
    <row r="22" customFormat="false" ht="15" hidden="false" customHeight="false" outlineLevel="0" collapsed="false">
      <c r="A22" s="9" t="s">
        <v>2908</v>
      </c>
      <c r="B22" s="9" t="s">
        <v>2909</v>
      </c>
      <c r="C22" s="11" t="s">
        <v>2910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2740</v>
      </c>
      <c r="K22" s="12" t="s">
        <v>2911</v>
      </c>
    </row>
    <row r="23" customFormat="false" ht="15" hidden="false" customHeight="false" outlineLevel="0" collapsed="false">
      <c r="A23" s="9" t="s">
        <v>2912</v>
      </c>
      <c r="B23" s="9" t="s">
        <v>2913</v>
      </c>
      <c r="C23" s="11" t="s">
        <v>2914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745</v>
      </c>
      <c r="K23" s="12" t="s">
        <v>2915</v>
      </c>
    </row>
    <row r="24" customFormat="false" ht="15" hidden="false" customHeight="false" outlineLevel="0" collapsed="false">
      <c r="A24" s="9" t="s">
        <v>2916</v>
      </c>
      <c r="B24" s="9" t="s">
        <v>2917</v>
      </c>
      <c r="C24" s="11" t="s">
        <v>2918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480</v>
      </c>
      <c r="K24" s="12" t="s">
        <v>2919</v>
      </c>
    </row>
    <row r="25" customFormat="false" ht="15" hidden="false" customHeight="false" outlineLevel="0" collapsed="false">
      <c r="A25" s="9" t="s">
        <v>2920</v>
      </c>
      <c r="B25" s="9" t="s">
        <v>2921</v>
      </c>
      <c r="C25" s="11" t="s">
        <v>2922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480</v>
      </c>
      <c r="K25" s="12" t="s">
        <v>2923</v>
      </c>
    </row>
    <row r="26" customFormat="false" ht="15" hidden="false" customHeight="false" outlineLevel="0" collapsed="false">
      <c r="A26" s="9" t="s">
        <v>2924</v>
      </c>
      <c r="B26" s="9" t="s">
        <v>2925</v>
      </c>
      <c r="C26" s="11" t="s">
        <v>2926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480</v>
      </c>
      <c r="K26" s="12" t="s">
        <v>2927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1" t="s">
        <v>2928</v>
      </c>
    </row>
    <row r="2" customFormat="false" ht="15" hidden="false" customHeight="false" outlineLevel="0" collapsed="false">
      <c r="A2" s="2" t="s">
        <v>2929</v>
      </c>
    </row>
    <row r="3" customFormat="false" ht="15" hidden="false" customHeight="false" outlineLevel="0" collapsed="false">
      <c r="A3" s="2" t="s">
        <v>2930</v>
      </c>
    </row>
    <row r="4" customFormat="false" ht="61.9" hidden="false" customHeight="false" outlineLevel="0" collapsed="false">
      <c r="A4" s="7" t="s">
        <v>2931</v>
      </c>
      <c r="B4" s="8" t="s">
        <v>2932</v>
      </c>
      <c r="C4" s="8" t="s">
        <v>2616</v>
      </c>
      <c r="D4" s="8" t="s">
        <v>50</v>
      </c>
      <c r="E4" s="8" t="s">
        <v>47</v>
      </c>
      <c r="F4" s="8" t="s">
        <v>48</v>
      </c>
      <c r="G4" s="8" t="s">
        <v>49</v>
      </c>
      <c r="H4" s="8" t="s">
        <v>36</v>
      </c>
      <c r="I4" s="8" t="s">
        <v>2933</v>
      </c>
      <c r="J4" s="8" t="s">
        <v>2934</v>
      </c>
      <c r="K4" s="8" t="s">
        <v>2935</v>
      </c>
      <c r="L4" s="8" t="s">
        <v>67</v>
      </c>
      <c r="M4" s="7" t="s">
        <v>2936</v>
      </c>
      <c r="N4" s="7" t="s">
        <v>44</v>
      </c>
    </row>
    <row r="5" customFormat="false" ht="15" hidden="false" customHeight="false" outlineLevel="0" collapsed="false">
      <c r="A5" s="9" t="s">
        <v>2937</v>
      </c>
      <c r="B5" s="11" t="s">
        <v>2938</v>
      </c>
      <c r="C5" s="11" t="s">
        <v>2939</v>
      </c>
      <c r="D5" s="11" t="s">
        <v>2187</v>
      </c>
      <c r="E5" s="10" t="n">
        <v>2025</v>
      </c>
      <c r="F5" s="10" t="n">
        <v>2025</v>
      </c>
      <c r="G5" s="10" t="n">
        <v>2025</v>
      </c>
      <c r="H5" s="9" t="s">
        <v>2940</v>
      </c>
      <c r="I5" s="11" t="s">
        <v>2941</v>
      </c>
      <c r="J5" s="11" t="s">
        <v>2942</v>
      </c>
      <c r="K5" s="9" t="s">
        <v>2943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2944</v>
      </c>
    </row>
    <row r="6" customFormat="false" ht="15" hidden="false" customHeight="false" outlineLevel="0" collapsed="false">
      <c r="A6" s="9" t="s">
        <v>2945</v>
      </c>
      <c r="B6" s="11" t="s">
        <v>2938</v>
      </c>
      <c r="C6" s="11" t="s">
        <v>2946</v>
      </c>
      <c r="D6" s="11" t="s">
        <v>2187</v>
      </c>
      <c r="E6" s="10" t="n">
        <v>2026</v>
      </c>
      <c r="F6" s="10" t="n">
        <v>2026</v>
      </c>
      <c r="G6" s="10" t="n">
        <v>2026</v>
      </c>
      <c r="H6" s="9" t="s">
        <v>2940</v>
      </c>
      <c r="I6" s="9" t="s">
        <v>2947</v>
      </c>
      <c r="J6" s="11" t="s">
        <v>2942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2948</v>
      </c>
    </row>
    <row r="7" customFormat="false" ht="15" hidden="false" customHeight="false" outlineLevel="0" collapsed="false">
      <c r="A7" s="9" t="s">
        <v>2949</v>
      </c>
      <c r="B7" s="11" t="s">
        <v>2938</v>
      </c>
      <c r="C7" s="11" t="s">
        <v>2950</v>
      </c>
      <c r="D7" s="11" t="s">
        <v>2187</v>
      </c>
      <c r="E7" s="10" t="n">
        <v>2027</v>
      </c>
      <c r="F7" s="10" t="n">
        <v>2027</v>
      </c>
      <c r="G7" s="10" t="n">
        <v>2027</v>
      </c>
      <c r="H7" s="9" t="s">
        <v>2940</v>
      </c>
      <c r="I7" s="11" t="s">
        <v>2951</v>
      </c>
      <c r="J7" s="11" t="s">
        <v>2942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2952</v>
      </c>
    </row>
    <row r="8" customFormat="false" ht="15" hidden="false" customHeight="false" outlineLevel="0" collapsed="false">
      <c r="A8" s="9" t="s">
        <v>2953</v>
      </c>
      <c r="B8" s="11" t="s">
        <v>2938</v>
      </c>
      <c r="C8" s="11" t="s">
        <v>2954</v>
      </c>
      <c r="D8" s="11" t="s">
        <v>2187</v>
      </c>
      <c r="E8" s="10" t="n">
        <v>2028</v>
      </c>
      <c r="F8" s="10" t="n">
        <v>2028</v>
      </c>
      <c r="G8" s="10" t="n">
        <v>2028</v>
      </c>
      <c r="H8" s="9" t="s">
        <v>2940</v>
      </c>
      <c r="I8" s="11" t="s">
        <v>2951</v>
      </c>
      <c r="J8" s="11" t="s">
        <v>2942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2955</v>
      </c>
    </row>
    <row r="9" customFormat="false" ht="15" hidden="false" customHeight="false" outlineLevel="0" collapsed="false">
      <c r="A9" s="9" t="s">
        <v>2956</v>
      </c>
      <c r="B9" s="11" t="s">
        <v>2938</v>
      </c>
      <c r="C9" s="11" t="s">
        <v>2957</v>
      </c>
      <c r="D9" s="11" t="s">
        <v>2187</v>
      </c>
      <c r="E9" s="10" t="n">
        <v>2029</v>
      </c>
      <c r="F9" s="10" t="n">
        <v>2029</v>
      </c>
      <c r="G9" s="10" t="n">
        <v>2029</v>
      </c>
      <c r="H9" s="9" t="s">
        <v>2940</v>
      </c>
      <c r="I9" s="11" t="s">
        <v>2951</v>
      </c>
      <c r="J9" s="11" t="s">
        <v>2942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2958</v>
      </c>
    </row>
    <row r="10" customFormat="false" ht="15" hidden="false" customHeight="false" outlineLevel="0" collapsed="false">
      <c r="A10" s="9" t="s">
        <v>2959</v>
      </c>
      <c r="B10" s="11" t="s">
        <v>2938</v>
      </c>
      <c r="C10" s="11" t="s">
        <v>2960</v>
      </c>
      <c r="D10" s="11" t="s">
        <v>2187</v>
      </c>
      <c r="E10" s="10" t="n">
        <v>2030</v>
      </c>
      <c r="F10" s="10" t="n">
        <v>2030</v>
      </c>
      <c r="G10" s="10" t="n">
        <v>2030</v>
      </c>
      <c r="H10" s="9" t="s">
        <v>2940</v>
      </c>
      <c r="I10" s="11" t="s">
        <v>2951</v>
      </c>
      <c r="J10" s="11" t="s">
        <v>2942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2961</v>
      </c>
    </row>
    <row r="11" customFormat="false" ht="15" hidden="false" customHeight="false" outlineLevel="0" collapsed="false">
      <c r="A11" s="9" t="s">
        <v>2962</v>
      </c>
      <c r="B11" s="11" t="s">
        <v>2963</v>
      </c>
      <c r="C11" s="9" t="s">
        <v>2964</v>
      </c>
      <c r="D11" s="11" t="s">
        <v>2965</v>
      </c>
      <c r="E11" s="10" t="n">
        <v>365</v>
      </c>
      <c r="F11" s="10" t="n">
        <v>365</v>
      </c>
      <c r="G11" s="10" t="n">
        <v>365</v>
      </c>
      <c r="H11" s="9" t="s">
        <v>2940</v>
      </c>
      <c r="I11" s="11" t="s">
        <v>2966</v>
      </c>
      <c r="J11" s="11" t="s">
        <v>2967</v>
      </c>
      <c r="K11" s="11" t="s">
        <v>2968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2969</v>
      </c>
    </row>
    <row r="12" customFormat="false" ht="15" hidden="false" customHeight="false" outlineLevel="0" collapsed="false">
      <c r="A12" s="9" t="s">
        <v>2970</v>
      </c>
      <c r="B12" s="11" t="s">
        <v>2971</v>
      </c>
      <c r="C12" s="9" t="s">
        <v>2964</v>
      </c>
      <c r="D12" s="11" t="s">
        <v>2972</v>
      </c>
      <c r="E12" s="10" t="n">
        <v>12</v>
      </c>
      <c r="F12" s="10" t="n">
        <v>12</v>
      </c>
      <c r="G12" s="10" t="n">
        <v>12</v>
      </c>
      <c r="H12" s="9" t="s">
        <v>2940</v>
      </c>
      <c r="I12" s="11" t="s">
        <v>2966</v>
      </c>
      <c r="J12" s="11" t="s">
        <v>2967</v>
      </c>
      <c r="K12" s="11" t="s">
        <v>2973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2974</v>
      </c>
    </row>
    <row r="13" customFormat="false" ht="15" hidden="false" customHeight="false" outlineLevel="0" collapsed="false">
      <c r="A13" s="9" t="s">
        <v>2975</v>
      </c>
      <c r="B13" s="11" t="s">
        <v>2976</v>
      </c>
      <c r="C13" s="9" t="s">
        <v>2964</v>
      </c>
      <c r="D13" s="11" t="s">
        <v>2972</v>
      </c>
      <c r="E13" s="10" t="n">
        <v>6</v>
      </c>
      <c r="F13" s="10" t="n">
        <v>6</v>
      </c>
      <c r="G13" s="10" t="n">
        <v>6</v>
      </c>
      <c r="H13" s="9" t="s">
        <v>2940</v>
      </c>
      <c r="I13" s="11" t="s">
        <v>2977</v>
      </c>
      <c r="J13" s="11" t="s">
        <v>2967</v>
      </c>
      <c r="K13" s="9" t="s">
        <v>2978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2979</v>
      </c>
    </row>
    <row r="14" customFormat="false" ht="15" hidden="false" customHeight="false" outlineLevel="0" collapsed="false">
      <c r="A14" s="9" t="s">
        <v>2980</v>
      </c>
      <c r="B14" s="11" t="s">
        <v>2981</v>
      </c>
      <c r="C14" s="9" t="s">
        <v>2964</v>
      </c>
      <c r="D14" s="11" t="s">
        <v>2972</v>
      </c>
      <c r="E14" s="10" t="n">
        <v>1</v>
      </c>
      <c r="F14" s="10" t="n">
        <v>1</v>
      </c>
      <c r="G14" s="10" t="n">
        <v>1</v>
      </c>
      <c r="H14" s="9" t="s">
        <v>2940</v>
      </c>
      <c r="I14" s="11" t="s">
        <v>2951</v>
      </c>
      <c r="J14" s="11" t="s">
        <v>2967</v>
      </c>
      <c r="K14" s="9" t="s">
        <v>2982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2983</v>
      </c>
    </row>
    <row r="15" customFormat="false" ht="15" hidden="false" customHeight="false" outlineLevel="0" collapsed="false">
      <c r="A15" s="9" t="s">
        <v>2984</v>
      </c>
      <c r="B15" s="11" t="s">
        <v>2985</v>
      </c>
      <c r="C15" s="9" t="s">
        <v>2964</v>
      </c>
      <c r="D15" s="11" t="s">
        <v>2986</v>
      </c>
      <c r="E15" s="10" t="n">
        <v>1</v>
      </c>
      <c r="F15" s="10" t="n">
        <v>1</v>
      </c>
      <c r="G15" s="10" t="n">
        <v>1</v>
      </c>
      <c r="H15" s="9" t="s">
        <v>2940</v>
      </c>
      <c r="I15" s="11" t="s">
        <v>2951</v>
      </c>
      <c r="J15" s="11" t="s">
        <v>2967</v>
      </c>
      <c r="K15" s="11" t="s">
        <v>2987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2988</v>
      </c>
    </row>
    <row r="16" customFormat="false" ht="15" hidden="false" customHeight="false" outlineLevel="0" collapsed="false">
      <c r="A16" s="9" t="s">
        <v>2989</v>
      </c>
      <c r="B16" s="11" t="s">
        <v>2990</v>
      </c>
      <c r="C16" s="9" t="s">
        <v>2964</v>
      </c>
      <c r="D16" s="9" t="s">
        <v>2991</v>
      </c>
      <c r="E16" s="10" t="n">
        <v>1000</v>
      </c>
      <c r="F16" s="10" t="n">
        <v>1000</v>
      </c>
      <c r="G16" s="10" t="n">
        <v>1000</v>
      </c>
      <c r="H16" s="9" t="s">
        <v>2940</v>
      </c>
      <c r="I16" s="11" t="s">
        <v>2966</v>
      </c>
      <c r="J16" s="11" t="s">
        <v>2967</v>
      </c>
      <c r="K16" s="11" t="s">
        <v>2992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2993</v>
      </c>
    </row>
    <row r="17" customFormat="false" ht="15" hidden="false" customHeight="false" outlineLevel="0" collapsed="false">
      <c r="A17" s="9" t="s">
        <v>2994</v>
      </c>
      <c r="B17" s="11" t="s">
        <v>2995</v>
      </c>
      <c r="C17" s="9" t="s">
        <v>2964</v>
      </c>
      <c r="D17" s="9" t="s">
        <v>2996</v>
      </c>
      <c r="E17" s="10" t="n">
        <v>1000</v>
      </c>
      <c r="F17" s="10" t="n">
        <v>1000</v>
      </c>
      <c r="G17" s="10" t="n">
        <v>1000</v>
      </c>
      <c r="H17" s="9" t="s">
        <v>2940</v>
      </c>
      <c r="I17" s="11" t="s">
        <v>2966</v>
      </c>
      <c r="J17" s="11" t="s">
        <v>2967</v>
      </c>
      <c r="K17" s="11" t="s">
        <v>2997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2998</v>
      </c>
    </row>
    <row r="18" customFormat="false" ht="15" hidden="false" customHeight="false" outlineLevel="0" collapsed="false">
      <c r="A18" s="9" t="s">
        <v>2999</v>
      </c>
      <c r="B18" s="9" t="s">
        <v>3000</v>
      </c>
      <c r="C18" s="9" t="s">
        <v>2964</v>
      </c>
      <c r="D18" s="11" t="s">
        <v>2972</v>
      </c>
      <c r="E18" s="10" t="n">
        <v>36</v>
      </c>
      <c r="F18" s="10" t="n">
        <v>36</v>
      </c>
      <c r="G18" s="10" t="n">
        <v>36</v>
      </c>
      <c r="H18" s="9" t="s">
        <v>2940</v>
      </c>
      <c r="I18" s="9" t="s">
        <v>3001</v>
      </c>
      <c r="J18" s="11" t="s">
        <v>3002</v>
      </c>
      <c r="K18" s="9" t="s">
        <v>3003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3004</v>
      </c>
    </row>
    <row r="19" customFormat="false" ht="15" hidden="false" customHeight="false" outlineLevel="0" collapsed="false">
      <c r="A19" s="9" t="s">
        <v>3005</v>
      </c>
      <c r="B19" s="11" t="s">
        <v>3006</v>
      </c>
      <c r="C19" s="9" t="s">
        <v>2964</v>
      </c>
      <c r="D19" s="11" t="s">
        <v>2187</v>
      </c>
      <c r="E19" s="10" t="n">
        <v>2027</v>
      </c>
      <c r="F19" s="10" t="n">
        <v>2027</v>
      </c>
      <c r="G19" s="10" t="n">
        <v>2027</v>
      </c>
      <c r="H19" s="9" t="s">
        <v>2940</v>
      </c>
      <c r="I19" s="9" t="s">
        <v>3007</v>
      </c>
      <c r="J19" s="11" t="s">
        <v>2942</v>
      </c>
      <c r="K19" s="9" t="s">
        <v>3008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3009</v>
      </c>
    </row>
    <row r="20" customFormat="false" ht="15" hidden="false" customHeight="false" outlineLevel="0" collapsed="false">
      <c r="A20" s="9" t="s">
        <v>3010</v>
      </c>
      <c r="B20" s="11" t="s">
        <v>3011</v>
      </c>
      <c r="C20" s="9" t="s">
        <v>2964</v>
      </c>
      <c r="D20" s="9" t="s">
        <v>74</v>
      </c>
      <c r="E20" s="10" t="n">
        <v>0</v>
      </c>
      <c r="F20" s="10" t="n">
        <v>0</v>
      </c>
      <c r="G20" s="10" t="n">
        <v>0</v>
      </c>
      <c r="H20" s="9" t="s">
        <v>2940</v>
      </c>
      <c r="I20" s="11" t="s">
        <v>3012</v>
      </c>
      <c r="J20" s="11" t="s">
        <v>3013</v>
      </c>
      <c r="K20" s="9" t="s">
        <v>3014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3015</v>
      </c>
    </row>
    <row r="21" customFormat="false" ht="15" hidden="false" customHeight="false" outlineLevel="0" collapsed="false">
      <c r="A21" s="9" t="s">
        <v>3016</v>
      </c>
      <c r="B21" s="9" t="s">
        <v>3017</v>
      </c>
      <c r="C21" s="9" t="s">
        <v>2964</v>
      </c>
      <c r="D21" s="11" t="s">
        <v>267</v>
      </c>
      <c r="E21" s="10" t="n">
        <v>0.25</v>
      </c>
      <c r="F21" s="10" t="n">
        <v>0.25</v>
      </c>
      <c r="G21" s="10" t="n">
        <v>0.25</v>
      </c>
      <c r="H21" s="9" t="s">
        <v>2940</v>
      </c>
      <c r="I21" s="11" t="s">
        <v>3018</v>
      </c>
      <c r="J21" s="11" t="s">
        <v>3019</v>
      </c>
      <c r="K21" s="9" t="s">
        <v>32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3020</v>
      </c>
    </row>
    <row r="22" customFormat="false" ht="15" hidden="false" customHeight="false" outlineLevel="0" collapsed="false">
      <c r="A22" s="9" t="s">
        <v>3021</v>
      </c>
      <c r="B22" s="9" t="s">
        <v>3022</v>
      </c>
      <c r="C22" s="9" t="s">
        <v>2964</v>
      </c>
      <c r="D22" s="11" t="s">
        <v>3023</v>
      </c>
      <c r="E22" s="10" t="n">
        <v>1</v>
      </c>
      <c r="F22" s="10" t="n">
        <v>0</v>
      </c>
      <c r="G22" s="10" t="n">
        <v>1</v>
      </c>
      <c r="H22" s="9" t="s">
        <v>2940</v>
      </c>
      <c r="I22" s="11" t="s">
        <v>3024</v>
      </c>
      <c r="J22" s="11" t="s">
        <v>3023</v>
      </c>
      <c r="K22" s="11" t="s">
        <v>3025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3026</v>
      </c>
    </row>
    <row r="23" customFormat="false" ht="15" hidden="false" customHeight="false" outlineLevel="0" collapsed="false">
      <c r="A23" s="9" t="s">
        <v>3027</v>
      </c>
      <c r="B23" s="9" t="s">
        <v>3028</v>
      </c>
      <c r="C23" s="9" t="s">
        <v>304</v>
      </c>
      <c r="D23" s="11" t="s">
        <v>267</v>
      </c>
      <c r="E23" s="10" t="n">
        <v>0</v>
      </c>
      <c r="F23" s="10" t="n">
        <v>0</v>
      </c>
      <c r="G23" s="10" t="n">
        <v>0.45</v>
      </c>
      <c r="H23" s="9" t="s">
        <v>2940</v>
      </c>
      <c r="I23" s="11" t="s">
        <v>3029</v>
      </c>
      <c r="J23" s="11" t="s">
        <v>3030</v>
      </c>
      <c r="K23" s="9" t="s">
        <v>3031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3032</v>
      </c>
    </row>
    <row r="24" customFormat="false" ht="15" hidden="false" customHeight="false" outlineLevel="0" collapsed="false">
      <c r="A24" s="9" t="s">
        <v>3033</v>
      </c>
      <c r="B24" s="9" t="s">
        <v>3034</v>
      </c>
      <c r="C24" s="9" t="s">
        <v>2964</v>
      </c>
      <c r="D24" s="11" t="s">
        <v>3023</v>
      </c>
      <c r="E24" s="10" t="n">
        <v>1</v>
      </c>
      <c r="F24" s="10" t="n">
        <v>0</v>
      </c>
      <c r="G24" s="10" t="n">
        <v>1</v>
      </c>
      <c r="H24" s="9" t="s">
        <v>2940</v>
      </c>
      <c r="I24" s="11" t="s">
        <v>3035</v>
      </c>
      <c r="J24" s="11" t="s">
        <v>3023</v>
      </c>
      <c r="K24" s="11" t="s">
        <v>3036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3037</v>
      </c>
    </row>
    <row r="25" customFormat="false" ht="15" hidden="false" customHeight="false" outlineLevel="0" collapsed="false">
      <c r="A25" s="9" t="s">
        <v>3038</v>
      </c>
      <c r="B25" s="9" t="s">
        <v>3039</v>
      </c>
      <c r="C25" s="9" t="s">
        <v>2964</v>
      </c>
      <c r="D25" s="11" t="s">
        <v>267</v>
      </c>
      <c r="E25" s="10" t="n">
        <v>0.25</v>
      </c>
      <c r="F25" s="10" t="n">
        <v>0.25</v>
      </c>
      <c r="G25" s="10" t="n">
        <v>0.25</v>
      </c>
      <c r="H25" s="9" t="s">
        <v>2940</v>
      </c>
      <c r="I25" s="11" t="s">
        <v>3040</v>
      </c>
      <c r="J25" s="11" t="s">
        <v>3041</v>
      </c>
      <c r="K25" s="9" t="s">
        <v>32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3042</v>
      </c>
    </row>
    <row r="26" customFormat="false" ht="15" hidden="false" customHeight="false" outlineLevel="0" collapsed="false">
      <c r="A26" s="9" t="s">
        <v>3043</v>
      </c>
      <c r="B26" s="9" t="s">
        <v>3044</v>
      </c>
      <c r="C26" s="9" t="s">
        <v>2964</v>
      </c>
      <c r="D26" s="11" t="s">
        <v>267</v>
      </c>
      <c r="E26" s="10" t="n">
        <v>0.3</v>
      </c>
      <c r="F26" s="10" t="n">
        <v>0.1</v>
      </c>
      <c r="G26" s="10" t="n">
        <v>0.5</v>
      </c>
      <c r="H26" s="9" t="s">
        <v>3045</v>
      </c>
      <c r="I26" s="11" t="s">
        <v>3046</v>
      </c>
      <c r="J26" s="11" t="s">
        <v>3047</v>
      </c>
      <c r="K26" s="9" t="s">
        <v>3048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3049</v>
      </c>
    </row>
    <row r="27" customFormat="false" ht="15" hidden="false" customHeight="false" outlineLevel="0" collapsed="false">
      <c r="A27" s="9" t="s">
        <v>3050</v>
      </c>
      <c r="B27" s="9" t="s">
        <v>3051</v>
      </c>
      <c r="C27" s="9" t="s">
        <v>2964</v>
      </c>
      <c r="D27" s="11" t="s">
        <v>267</v>
      </c>
      <c r="E27" s="10" t="n">
        <v>0.3</v>
      </c>
      <c r="F27" s="10" t="n">
        <v>0.1</v>
      </c>
      <c r="G27" s="10" t="n">
        <v>0.5</v>
      </c>
      <c r="H27" s="9" t="s">
        <v>3045</v>
      </c>
      <c r="I27" s="11" t="s">
        <v>3052</v>
      </c>
      <c r="J27" s="11" t="s">
        <v>2987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3053</v>
      </c>
    </row>
    <row r="28" customFormat="false" ht="15" hidden="false" customHeight="false" outlineLevel="0" collapsed="false">
      <c r="A28" s="9" t="s">
        <v>3054</v>
      </c>
      <c r="B28" s="11" t="s">
        <v>3055</v>
      </c>
      <c r="C28" s="9" t="s">
        <v>75</v>
      </c>
      <c r="D28" s="11" t="s">
        <v>267</v>
      </c>
      <c r="E28" s="10" t="n">
        <v>0.85</v>
      </c>
      <c r="F28" s="10" t="n">
        <v>0.75</v>
      </c>
      <c r="G28" s="10" t="n">
        <v>0.95</v>
      </c>
      <c r="H28" s="9" t="s">
        <v>3045</v>
      </c>
      <c r="I28" s="11" t="s">
        <v>3056</v>
      </c>
      <c r="J28" s="9" t="s">
        <v>3057</v>
      </c>
      <c r="K28" s="9" t="s">
        <v>3058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3059</v>
      </c>
    </row>
    <row r="29" customFormat="false" ht="15" hidden="false" customHeight="false" outlineLevel="0" collapsed="false">
      <c r="A29" s="9" t="s">
        <v>3060</v>
      </c>
      <c r="B29" s="11" t="s">
        <v>3061</v>
      </c>
      <c r="C29" s="9" t="s">
        <v>75</v>
      </c>
      <c r="D29" s="11" t="s">
        <v>267</v>
      </c>
      <c r="E29" s="10" t="n">
        <v>0.1</v>
      </c>
      <c r="F29" s="10" t="n">
        <v>0.03</v>
      </c>
      <c r="G29" s="10" t="n">
        <v>0.15</v>
      </c>
      <c r="H29" s="9" t="s">
        <v>3045</v>
      </c>
      <c r="I29" s="11" t="s">
        <v>3062</v>
      </c>
      <c r="J29" s="11" t="s">
        <v>3063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3064</v>
      </c>
    </row>
    <row r="30" customFormat="false" ht="15" hidden="false" customHeight="false" outlineLevel="0" collapsed="false">
      <c r="A30" s="9" t="s">
        <v>3065</v>
      </c>
      <c r="B30" s="11" t="s">
        <v>3055</v>
      </c>
      <c r="C30" s="9" t="s">
        <v>3066</v>
      </c>
      <c r="D30" s="11" t="s">
        <v>267</v>
      </c>
      <c r="E30" s="10" t="n">
        <v>0.7</v>
      </c>
      <c r="F30" s="10" t="n">
        <v>0.55</v>
      </c>
      <c r="G30" s="10" t="n">
        <v>0.85</v>
      </c>
      <c r="H30" s="9" t="s">
        <v>3045</v>
      </c>
      <c r="I30" s="9" t="s">
        <v>3067</v>
      </c>
      <c r="J30" s="9" t="s">
        <v>3068</v>
      </c>
      <c r="K30" s="9" t="s">
        <v>3069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3070</v>
      </c>
    </row>
    <row r="31" customFormat="false" ht="15" hidden="false" customHeight="false" outlineLevel="0" collapsed="false">
      <c r="A31" s="9" t="s">
        <v>3071</v>
      </c>
      <c r="B31" s="11" t="s">
        <v>3061</v>
      </c>
      <c r="C31" s="9" t="s">
        <v>3066</v>
      </c>
      <c r="D31" s="11" t="s">
        <v>267</v>
      </c>
      <c r="E31" s="10" t="n">
        <v>0.18</v>
      </c>
      <c r="F31" s="10" t="n">
        <v>0.1</v>
      </c>
      <c r="G31" s="10" t="n">
        <v>0.25</v>
      </c>
      <c r="H31" s="9" t="s">
        <v>3045</v>
      </c>
      <c r="I31" s="11" t="s">
        <v>2987</v>
      </c>
      <c r="J31" s="11" t="s">
        <v>2987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3072</v>
      </c>
    </row>
    <row r="32" customFormat="false" ht="15" hidden="false" customHeight="false" outlineLevel="0" collapsed="false">
      <c r="A32" s="9" t="s">
        <v>3073</v>
      </c>
      <c r="B32" s="11" t="s">
        <v>3074</v>
      </c>
      <c r="C32" s="9" t="s">
        <v>75</v>
      </c>
      <c r="D32" s="11" t="s">
        <v>267</v>
      </c>
      <c r="E32" s="10" t="n">
        <v>0.5</v>
      </c>
      <c r="F32" s="10" t="n">
        <v>0.3</v>
      </c>
      <c r="G32" s="10" t="n">
        <v>0.7</v>
      </c>
      <c r="H32" s="9" t="s">
        <v>3045</v>
      </c>
      <c r="I32" s="11" t="s">
        <v>3075</v>
      </c>
      <c r="J32" s="9" t="s">
        <v>3076</v>
      </c>
      <c r="K32" s="9" t="s">
        <v>3077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3078</v>
      </c>
    </row>
    <row r="33" customFormat="false" ht="15" hidden="false" customHeight="false" outlineLevel="0" collapsed="false">
      <c r="A33" s="9" t="s">
        <v>3079</v>
      </c>
      <c r="B33" s="11" t="s">
        <v>3080</v>
      </c>
      <c r="C33" s="9" t="s">
        <v>75</v>
      </c>
      <c r="D33" s="11" t="s">
        <v>267</v>
      </c>
      <c r="E33" s="10" t="n">
        <v>0.15</v>
      </c>
      <c r="F33" s="10" t="n">
        <v>0.05</v>
      </c>
      <c r="G33" s="10" t="n">
        <v>0.3</v>
      </c>
      <c r="H33" s="9" t="s">
        <v>3045</v>
      </c>
      <c r="I33" s="9" t="s">
        <v>3081</v>
      </c>
      <c r="J33" s="11" t="s">
        <v>2987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3082</v>
      </c>
    </row>
    <row r="34" customFormat="false" ht="15" hidden="false" customHeight="false" outlineLevel="0" collapsed="false">
      <c r="A34" s="9" t="s">
        <v>3083</v>
      </c>
      <c r="B34" s="11" t="s">
        <v>3074</v>
      </c>
      <c r="C34" s="9" t="s">
        <v>3066</v>
      </c>
      <c r="D34" s="11" t="s">
        <v>267</v>
      </c>
      <c r="E34" s="10" t="n">
        <v>0.35</v>
      </c>
      <c r="F34" s="10" t="n">
        <v>0.2</v>
      </c>
      <c r="G34" s="10" t="n">
        <v>0.5</v>
      </c>
      <c r="H34" s="9" t="s">
        <v>3045</v>
      </c>
      <c r="I34" s="9" t="s">
        <v>3084</v>
      </c>
      <c r="J34" s="9" t="s">
        <v>3085</v>
      </c>
      <c r="K34" s="9" t="s">
        <v>3069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3086</v>
      </c>
    </row>
    <row r="35" customFormat="false" ht="15" hidden="false" customHeight="false" outlineLevel="0" collapsed="false">
      <c r="A35" s="9" t="s">
        <v>3087</v>
      </c>
      <c r="B35" s="11" t="s">
        <v>3080</v>
      </c>
      <c r="C35" s="9" t="s">
        <v>3066</v>
      </c>
      <c r="D35" s="11" t="s">
        <v>267</v>
      </c>
      <c r="E35" s="10" t="n">
        <v>0.2</v>
      </c>
      <c r="F35" s="10" t="n">
        <v>0.1</v>
      </c>
      <c r="G35" s="10" t="n">
        <v>0.35</v>
      </c>
      <c r="H35" s="9" t="s">
        <v>3045</v>
      </c>
      <c r="I35" s="11" t="s">
        <v>2987</v>
      </c>
      <c r="J35" s="11" t="s">
        <v>2987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3088</v>
      </c>
    </row>
    <row r="36" customFormat="false" ht="15" hidden="false" customHeight="false" outlineLevel="0" collapsed="false">
      <c r="A36" s="9" t="s">
        <v>3089</v>
      </c>
      <c r="B36" s="11" t="s">
        <v>3090</v>
      </c>
      <c r="C36" s="9" t="s">
        <v>75</v>
      </c>
      <c r="D36" s="11" t="s">
        <v>267</v>
      </c>
      <c r="E36" s="10" t="n">
        <v>0.05</v>
      </c>
      <c r="F36" s="10" t="n">
        <v>0.03</v>
      </c>
      <c r="G36" s="10" t="n">
        <v>0.08</v>
      </c>
      <c r="H36" s="9" t="s">
        <v>297</v>
      </c>
      <c r="I36" s="9" t="s">
        <v>3091</v>
      </c>
      <c r="J36" s="11" t="s">
        <v>3092</v>
      </c>
      <c r="K36" s="11" t="s">
        <v>3093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3094</v>
      </c>
    </row>
    <row r="37" customFormat="false" ht="15" hidden="false" customHeight="false" outlineLevel="0" collapsed="false">
      <c r="A37" s="9" t="s">
        <v>3095</v>
      </c>
      <c r="B37" s="11" t="s">
        <v>3096</v>
      </c>
      <c r="C37" s="9" t="s">
        <v>304</v>
      </c>
      <c r="D37" s="11" t="s">
        <v>3097</v>
      </c>
      <c r="E37" s="10" t="n">
        <v>3</v>
      </c>
      <c r="F37" s="10" t="n">
        <v>1.5</v>
      </c>
      <c r="G37" s="10" t="n">
        <v>5</v>
      </c>
      <c r="H37" s="9" t="s">
        <v>3045</v>
      </c>
      <c r="I37" s="11" t="s">
        <v>3098</v>
      </c>
      <c r="J37" s="11" t="s">
        <v>3099</v>
      </c>
      <c r="K37" s="9" t="s">
        <v>3100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3101</v>
      </c>
    </row>
    <row r="38" customFormat="false" ht="15" hidden="false" customHeight="false" outlineLevel="0" collapsed="false">
      <c r="A38" s="9" t="s">
        <v>3102</v>
      </c>
      <c r="B38" s="11" t="s">
        <v>3096</v>
      </c>
      <c r="C38" s="9" t="s">
        <v>2855</v>
      </c>
      <c r="D38" s="11" t="s">
        <v>3097</v>
      </c>
      <c r="E38" s="10" t="n">
        <v>0.6</v>
      </c>
      <c r="F38" s="10" t="n">
        <v>0.3</v>
      </c>
      <c r="G38" s="10" t="n">
        <v>1</v>
      </c>
      <c r="H38" s="9" t="s">
        <v>3045</v>
      </c>
      <c r="I38" s="11" t="s">
        <v>3103</v>
      </c>
      <c r="J38" s="9" t="s">
        <v>3104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3105</v>
      </c>
    </row>
    <row r="39" customFormat="false" ht="15" hidden="false" customHeight="false" outlineLevel="0" collapsed="false">
      <c r="A39" s="9" t="s">
        <v>3106</v>
      </c>
      <c r="B39" s="11" t="s">
        <v>3096</v>
      </c>
      <c r="C39" s="9" t="s">
        <v>1658</v>
      </c>
      <c r="D39" s="11" t="s">
        <v>3097</v>
      </c>
      <c r="E39" s="10" t="n">
        <v>0.4</v>
      </c>
      <c r="F39" s="10" t="n">
        <v>0.2</v>
      </c>
      <c r="G39" s="10" t="n">
        <v>0.7</v>
      </c>
      <c r="H39" s="9" t="s">
        <v>3045</v>
      </c>
      <c r="I39" s="11" t="s">
        <v>2987</v>
      </c>
      <c r="J39" s="11" t="s">
        <v>2987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3107</v>
      </c>
    </row>
    <row r="40" customFormat="false" ht="15" hidden="false" customHeight="false" outlineLevel="0" collapsed="false">
      <c r="A40" s="9" t="s">
        <v>3108</v>
      </c>
      <c r="B40" s="11" t="s">
        <v>3096</v>
      </c>
      <c r="C40" s="9" t="s">
        <v>2856</v>
      </c>
      <c r="D40" s="11" t="s">
        <v>3097</v>
      </c>
      <c r="E40" s="10" t="n">
        <v>0.3</v>
      </c>
      <c r="F40" s="10" t="n">
        <v>0.1</v>
      </c>
      <c r="G40" s="10" t="n">
        <v>0.5</v>
      </c>
      <c r="H40" s="9" t="s">
        <v>3045</v>
      </c>
      <c r="I40" s="11" t="s">
        <v>2987</v>
      </c>
      <c r="J40" s="11" t="s">
        <v>2987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3109</v>
      </c>
    </row>
    <row r="41" customFormat="false" ht="15" hidden="false" customHeight="false" outlineLevel="0" collapsed="false">
      <c r="A41" s="9" t="s">
        <v>3110</v>
      </c>
      <c r="B41" s="11" t="s">
        <v>3096</v>
      </c>
      <c r="C41" s="9" t="s">
        <v>2857</v>
      </c>
      <c r="D41" s="11" t="s">
        <v>3097</v>
      </c>
      <c r="E41" s="10" t="n">
        <v>0.2</v>
      </c>
      <c r="F41" s="10" t="n">
        <v>0.05</v>
      </c>
      <c r="G41" s="10" t="n">
        <v>0.4</v>
      </c>
      <c r="H41" s="9" t="s">
        <v>3045</v>
      </c>
      <c r="I41" s="11" t="s">
        <v>2987</v>
      </c>
      <c r="J41" s="11" t="s">
        <v>2987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3111</v>
      </c>
    </row>
    <row r="42" customFormat="false" ht="15" hidden="false" customHeight="false" outlineLevel="0" collapsed="false">
      <c r="A42" s="9" t="s">
        <v>3112</v>
      </c>
      <c r="B42" s="11" t="s">
        <v>3113</v>
      </c>
      <c r="C42" s="9" t="s">
        <v>304</v>
      </c>
      <c r="D42" s="11" t="s">
        <v>3097</v>
      </c>
      <c r="E42" s="10" t="n">
        <v>1</v>
      </c>
      <c r="F42" s="10" t="n">
        <v>0.5</v>
      </c>
      <c r="G42" s="10" t="n">
        <v>2</v>
      </c>
      <c r="H42" s="9" t="s">
        <v>3045</v>
      </c>
      <c r="I42" s="11" t="s">
        <v>3114</v>
      </c>
      <c r="J42" s="11" t="s">
        <v>3115</v>
      </c>
      <c r="K42" s="11" t="s">
        <v>3116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3117</v>
      </c>
    </row>
    <row r="43" customFormat="false" ht="15" hidden="false" customHeight="false" outlineLevel="0" collapsed="false">
      <c r="A43" s="9" t="s">
        <v>3118</v>
      </c>
      <c r="B43" s="11" t="s">
        <v>3113</v>
      </c>
      <c r="C43" s="9" t="s">
        <v>2855</v>
      </c>
      <c r="D43" s="11" t="s">
        <v>3097</v>
      </c>
      <c r="E43" s="10" t="n">
        <v>0.5</v>
      </c>
      <c r="F43" s="10" t="n">
        <v>0.2</v>
      </c>
      <c r="G43" s="10" t="n">
        <v>0.8</v>
      </c>
      <c r="H43" s="9" t="s">
        <v>3045</v>
      </c>
      <c r="I43" s="11" t="s">
        <v>3119</v>
      </c>
      <c r="J43" s="9" t="s">
        <v>3120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3121</v>
      </c>
    </row>
    <row r="44" customFormat="false" ht="15" hidden="false" customHeight="false" outlineLevel="0" collapsed="false">
      <c r="A44" s="9" t="s">
        <v>3122</v>
      </c>
      <c r="B44" s="11" t="s">
        <v>3113</v>
      </c>
      <c r="C44" s="9" t="s">
        <v>1658</v>
      </c>
      <c r="D44" s="11" t="s">
        <v>3097</v>
      </c>
      <c r="E44" s="10" t="n">
        <v>0.3</v>
      </c>
      <c r="F44" s="10" t="n">
        <v>0.1</v>
      </c>
      <c r="G44" s="10" t="n">
        <v>0.5</v>
      </c>
      <c r="H44" s="9" t="s">
        <v>3045</v>
      </c>
      <c r="I44" s="11" t="s">
        <v>2987</v>
      </c>
      <c r="J44" s="9" t="s">
        <v>3076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3123</v>
      </c>
    </row>
    <row r="45" customFormat="false" ht="15" hidden="false" customHeight="false" outlineLevel="0" collapsed="false">
      <c r="A45" s="9" t="s">
        <v>3124</v>
      </c>
      <c r="B45" s="11" t="s">
        <v>3113</v>
      </c>
      <c r="C45" s="9" t="s">
        <v>2856</v>
      </c>
      <c r="D45" s="11" t="s">
        <v>3097</v>
      </c>
      <c r="E45" s="10" t="n">
        <v>0.2</v>
      </c>
      <c r="F45" s="10" t="n">
        <v>0.05</v>
      </c>
      <c r="G45" s="10" t="n">
        <v>0.4</v>
      </c>
      <c r="H45" s="9" t="s">
        <v>3045</v>
      </c>
      <c r="I45" s="11" t="s">
        <v>2987</v>
      </c>
      <c r="J45" s="11" t="s">
        <v>2987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3125</v>
      </c>
    </row>
    <row r="46" customFormat="false" ht="15" hidden="false" customHeight="false" outlineLevel="0" collapsed="false">
      <c r="A46" s="9" t="s">
        <v>3126</v>
      </c>
      <c r="B46" s="11" t="s">
        <v>3113</v>
      </c>
      <c r="C46" s="9" t="s">
        <v>2857</v>
      </c>
      <c r="D46" s="11" t="s">
        <v>3097</v>
      </c>
      <c r="E46" s="10" t="n">
        <v>0.15</v>
      </c>
      <c r="F46" s="10" t="n">
        <v>0.05</v>
      </c>
      <c r="G46" s="10" t="n">
        <v>0.3</v>
      </c>
      <c r="H46" s="9" t="s">
        <v>3045</v>
      </c>
      <c r="I46" s="11" t="s">
        <v>2987</v>
      </c>
      <c r="J46" s="11" t="s">
        <v>2987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3127</v>
      </c>
    </row>
    <row r="47" customFormat="false" ht="15" hidden="false" customHeight="false" outlineLevel="0" collapsed="false">
      <c r="A47" s="9" t="s">
        <v>3128</v>
      </c>
      <c r="B47" s="11" t="s">
        <v>3129</v>
      </c>
      <c r="C47" s="9" t="s">
        <v>304</v>
      </c>
      <c r="D47" s="11" t="s">
        <v>3097</v>
      </c>
      <c r="E47" s="10" t="n">
        <v>3</v>
      </c>
      <c r="F47" s="10" t="n">
        <v>1</v>
      </c>
      <c r="G47" s="10" t="n">
        <v>5</v>
      </c>
      <c r="H47" s="9" t="s">
        <v>3045</v>
      </c>
      <c r="I47" s="9" t="s">
        <v>3130</v>
      </c>
      <c r="J47" s="11" t="s">
        <v>3131</v>
      </c>
      <c r="K47" s="9" t="s">
        <v>3132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3133</v>
      </c>
    </row>
    <row r="48" customFormat="false" ht="15" hidden="false" customHeight="false" outlineLevel="0" collapsed="false">
      <c r="A48" s="9" t="s">
        <v>3134</v>
      </c>
      <c r="B48" s="11" t="s">
        <v>3129</v>
      </c>
      <c r="C48" s="9" t="s">
        <v>2855</v>
      </c>
      <c r="D48" s="11" t="s">
        <v>3097</v>
      </c>
      <c r="E48" s="10" t="n">
        <v>1</v>
      </c>
      <c r="F48" s="10" t="n">
        <v>0.5</v>
      </c>
      <c r="G48" s="10" t="n">
        <v>1.5</v>
      </c>
      <c r="H48" s="9" t="s">
        <v>3045</v>
      </c>
      <c r="I48" s="11" t="s">
        <v>3103</v>
      </c>
      <c r="J48" s="9" t="s">
        <v>3135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3136</v>
      </c>
    </row>
    <row r="49" customFormat="false" ht="15" hidden="false" customHeight="false" outlineLevel="0" collapsed="false">
      <c r="A49" s="9" t="s">
        <v>3137</v>
      </c>
      <c r="B49" s="11" t="s">
        <v>3129</v>
      </c>
      <c r="C49" s="9" t="s">
        <v>1658</v>
      </c>
      <c r="D49" s="11" t="s">
        <v>3097</v>
      </c>
      <c r="E49" s="10" t="n">
        <v>0.5</v>
      </c>
      <c r="F49" s="10" t="n">
        <v>0.25</v>
      </c>
      <c r="G49" s="10" t="n">
        <v>0.8</v>
      </c>
      <c r="H49" s="9" t="s">
        <v>3045</v>
      </c>
      <c r="I49" s="11" t="s">
        <v>2987</v>
      </c>
      <c r="J49" s="11" t="s">
        <v>2987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3138</v>
      </c>
    </row>
    <row r="50" customFormat="false" ht="15" hidden="false" customHeight="false" outlineLevel="0" collapsed="false">
      <c r="A50" s="9" t="s">
        <v>3139</v>
      </c>
      <c r="B50" s="11" t="s">
        <v>3129</v>
      </c>
      <c r="C50" s="9" t="s">
        <v>2856</v>
      </c>
      <c r="D50" s="11" t="s">
        <v>3097</v>
      </c>
      <c r="E50" s="10" t="n">
        <v>0.35</v>
      </c>
      <c r="F50" s="10" t="n">
        <v>0.15</v>
      </c>
      <c r="G50" s="10" t="n">
        <v>0.5</v>
      </c>
      <c r="H50" s="9" t="s">
        <v>3045</v>
      </c>
      <c r="I50" s="11" t="s">
        <v>2987</v>
      </c>
      <c r="J50" s="11" t="s">
        <v>2987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3140</v>
      </c>
    </row>
    <row r="51" customFormat="false" ht="15" hidden="false" customHeight="false" outlineLevel="0" collapsed="false">
      <c r="A51" s="9" t="s">
        <v>3141</v>
      </c>
      <c r="B51" s="11" t="s">
        <v>3129</v>
      </c>
      <c r="C51" s="9" t="s">
        <v>2857</v>
      </c>
      <c r="D51" s="11" t="s">
        <v>3097</v>
      </c>
      <c r="E51" s="10" t="n">
        <v>0.25</v>
      </c>
      <c r="F51" s="10" t="n">
        <v>0.1</v>
      </c>
      <c r="G51" s="10" t="n">
        <v>0.4</v>
      </c>
      <c r="H51" s="9" t="s">
        <v>3045</v>
      </c>
      <c r="I51" s="11" t="s">
        <v>2987</v>
      </c>
      <c r="J51" s="11" t="s">
        <v>2987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3142</v>
      </c>
    </row>
    <row r="52" customFormat="false" ht="15" hidden="false" customHeight="false" outlineLevel="0" collapsed="false">
      <c r="A52" s="9" t="s">
        <v>3143</v>
      </c>
      <c r="B52" s="11" t="s">
        <v>3144</v>
      </c>
      <c r="C52" s="9" t="s">
        <v>75</v>
      </c>
      <c r="D52" s="11" t="s">
        <v>3145</v>
      </c>
      <c r="E52" s="10" t="n">
        <v>2</v>
      </c>
      <c r="F52" s="10" t="n">
        <v>1</v>
      </c>
      <c r="G52" s="10" t="n">
        <v>4</v>
      </c>
      <c r="H52" s="9" t="s">
        <v>297</v>
      </c>
      <c r="I52" s="9" t="s">
        <v>3146</v>
      </c>
      <c r="J52" s="9" t="s">
        <v>3147</v>
      </c>
      <c r="K52" s="9" t="s">
        <v>3148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3149</v>
      </c>
    </row>
    <row r="53" customFormat="false" ht="15" hidden="false" customHeight="false" outlineLevel="0" collapsed="false">
      <c r="A53" s="9" t="s">
        <v>3150</v>
      </c>
      <c r="B53" s="11" t="s">
        <v>3151</v>
      </c>
      <c r="C53" s="9" t="s">
        <v>75</v>
      </c>
      <c r="D53" s="11" t="s">
        <v>3145</v>
      </c>
      <c r="E53" s="10" t="n">
        <v>8</v>
      </c>
      <c r="F53" s="10" t="n">
        <v>4</v>
      </c>
      <c r="G53" s="10" t="n">
        <v>15</v>
      </c>
      <c r="H53" s="9" t="s">
        <v>297</v>
      </c>
      <c r="I53" s="9" t="s">
        <v>3152</v>
      </c>
      <c r="J53" s="9" t="s">
        <v>3147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3153</v>
      </c>
    </row>
    <row r="54" customFormat="false" ht="15" hidden="false" customHeight="false" outlineLevel="0" collapsed="false">
      <c r="A54" s="9" t="s">
        <v>3154</v>
      </c>
      <c r="B54" s="11" t="s">
        <v>3155</v>
      </c>
      <c r="C54" s="9" t="s">
        <v>75</v>
      </c>
      <c r="D54" s="11" t="s">
        <v>3145</v>
      </c>
      <c r="E54" s="10" t="n">
        <v>20</v>
      </c>
      <c r="F54" s="10" t="n">
        <v>10</v>
      </c>
      <c r="G54" s="10" t="n">
        <v>40</v>
      </c>
      <c r="H54" s="9" t="s">
        <v>297</v>
      </c>
      <c r="I54" s="9" t="s">
        <v>3156</v>
      </c>
      <c r="J54" s="9" t="s">
        <v>3147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3157</v>
      </c>
    </row>
    <row r="55" customFormat="false" ht="15" hidden="false" customHeight="false" outlineLevel="0" collapsed="false">
      <c r="A55" s="9" t="s">
        <v>3158</v>
      </c>
      <c r="B55" s="11" t="s">
        <v>3159</v>
      </c>
      <c r="C55" s="9" t="s">
        <v>75</v>
      </c>
      <c r="D55" s="11" t="s">
        <v>3145</v>
      </c>
      <c r="E55" s="10" t="n">
        <v>40</v>
      </c>
      <c r="F55" s="10" t="n">
        <v>20</v>
      </c>
      <c r="G55" s="10" t="n">
        <v>80</v>
      </c>
      <c r="H55" s="9" t="s">
        <v>297</v>
      </c>
      <c r="I55" s="11" t="s">
        <v>3160</v>
      </c>
      <c r="J55" s="9" t="s">
        <v>3147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3161</v>
      </c>
    </row>
    <row r="56" customFormat="false" ht="15" hidden="false" customHeight="false" outlineLevel="0" collapsed="false">
      <c r="A56" s="9" t="s">
        <v>3162</v>
      </c>
      <c r="B56" s="11" t="s">
        <v>3163</v>
      </c>
      <c r="C56" s="9" t="s">
        <v>75</v>
      </c>
      <c r="D56" s="11" t="s">
        <v>3145</v>
      </c>
      <c r="E56" s="10" t="n">
        <v>6</v>
      </c>
      <c r="F56" s="10" t="n">
        <v>3</v>
      </c>
      <c r="G56" s="10" t="n">
        <v>12</v>
      </c>
      <c r="H56" s="9" t="s">
        <v>297</v>
      </c>
      <c r="I56" s="9" t="s">
        <v>3164</v>
      </c>
      <c r="J56" s="9" t="s">
        <v>3147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3165</v>
      </c>
    </row>
    <row r="57" customFormat="false" ht="15" hidden="false" customHeight="false" outlineLevel="0" collapsed="false">
      <c r="A57" s="9" t="s">
        <v>3166</v>
      </c>
      <c r="B57" s="11" t="s">
        <v>3167</v>
      </c>
      <c r="C57" s="9" t="s">
        <v>75</v>
      </c>
      <c r="D57" s="11" t="s">
        <v>3145</v>
      </c>
      <c r="E57" s="10" t="n">
        <v>15</v>
      </c>
      <c r="F57" s="10" t="n">
        <v>8</v>
      </c>
      <c r="G57" s="10" t="n">
        <v>30</v>
      </c>
      <c r="H57" s="9" t="s">
        <v>3045</v>
      </c>
      <c r="I57" s="9" t="s">
        <v>3168</v>
      </c>
      <c r="J57" s="9" t="s">
        <v>3147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3169</v>
      </c>
    </row>
    <row r="58" customFormat="false" ht="15" hidden="false" customHeight="false" outlineLevel="0" collapsed="false">
      <c r="A58" s="9" t="s">
        <v>3170</v>
      </c>
      <c r="B58" s="11" t="s">
        <v>3171</v>
      </c>
      <c r="C58" s="9" t="s">
        <v>75</v>
      </c>
      <c r="D58" s="11" t="s">
        <v>3145</v>
      </c>
      <c r="E58" s="10" t="n">
        <v>8</v>
      </c>
      <c r="F58" s="10" t="n">
        <v>4</v>
      </c>
      <c r="G58" s="10" t="n">
        <v>15</v>
      </c>
      <c r="H58" s="9" t="s">
        <v>297</v>
      </c>
      <c r="I58" s="9" t="s">
        <v>3172</v>
      </c>
      <c r="J58" s="9" t="s">
        <v>3147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3173</v>
      </c>
    </row>
    <row r="59" customFormat="false" ht="15" hidden="false" customHeight="false" outlineLevel="0" collapsed="false">
      <c r="A59" s="9" t="s">
        <v>3174</v>
      </c>
      <c r="B59" s="11" t="s">
        <v>3175</v>
      </c>
      <c r="C59" s="9" t="s">
        <v>3066</v>
      </c>
      <c r="D59" s="11" t="s">
        <v>3097</v>
      </c>
      <c r="E59" s="10" t="n">
        <v>0.1</v>
      </c>
      <c r="F59" s="10" t="n">
        <v>0.05</v>
      </c>
      <c r="G59" s="10" t="n">
        <v>0.2</v>
      </c>
      <c r="H59" s="9" t="s">
        <v>297</v>
      </c>
      <c r="I59" s="9" t="s">
        <v>3176</v>
      </c>
      <c r="J59" s="11" t="s">
        <v>3177</v>
      </c>
      <c r="K59" s="11" t="s">
        <v>3178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3179</v>
      </c>
    </row>
    <row r="60" customFormat="false" ht="15" hidden="false" customHeight="false" outlineLevel="0" collapsed="false">
      <c r="A60" s="9" t="s">
        <v>3180</v>
      </c>
      <c r="B60" s="11" t="s">
        <v>3181</v>
      </c>
      <c r="C60" s="9" t="s">
        <v>3182</v>
      </c>
      <c r="D60" s="11" t="s">
        <v>267</v>
      </c>
      <c r="E60" s="10" t="n">
        <v>0.95</v>
      </c>
      <c r="F60" s="10" t="n">
        <v>0.85</v>
      </c>
      <c r="G60" s="10" t="n">
        <v>1</v>
      </c>
      <c r="H60" s="9" t="s">
        <v>3045</v>
      </c>
      <c r="I60" s="11" t="s">
        <v>3183</v>
      </c>
      <c r="J60" s="9" t="s">
        <v>3184</v>
      </c>
      <c r="K60" s="11" t="s">
        <v>3185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3186</v>
      </c>
    </row>
    <row r="61" customFormat="false" ht="15" hidden="false" customHeight="false" outlineLevel="0" collapsed="false">
      <c r="A61" s="9" t="s">
        <v>3187</v>
      </c>
      <c r="B61" s="11" t="s">
        <v>3188</v>
      </c>
      <c r="C61" s="9" t="s">
        <v>3182</v>
      </c>
      <c r="D61" s="11" t="s">
        <v>267</v>
      </c>
      <c r="E61" s="10" t="n">
        <v>0</v>
      </c>
      <c r="F61" s="10" t="n">
        <v>0</v>
      </c>
      <c r="G61" s="10" t="n">
        <v>0.05</v>
      </c>
      <c r="H61" s="9" t="s">
        <v>3045</v>
      </c>
      <c r="I61" s="11" t="s">
        <v>3183</v>
      </c>
      <c r="J61" s="11" t="s">
        <v>3189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3190</v>
      </c>
    </row>
    <row r="62" customFormat="false" ht="15" hidden="false" customHeight="false" outlineLevel="0" collapsed="false">
      <c r="A62" s="9" t="s">
        <v>3191</v>
      </c>
      <c r="B62" s="11" t="s">
        <v>3181</v>
      </c>
      <c r="C62" s="9" t="s">
        <v>3192</v>
      </c>
      <c r="D62" s="11" t="s">
        <v>267</v>
      </c>
      <c r="E62" s="10" t="n">
        <v>0.65</v>
      </c>
      <c r="F62" s="10" t="n">
        <v>0.5</v>
      </c>
      <c r="G62" s="10" t="n">
        <v>0.8</v>
      </c>
      <c r="H62" s="9" t="s">
        <v>3045</v>
      </c>
      <c r="I62" s="9" t="s">
        <v>3193</v>
      </c>
      <c r="J62" s="9" t="s">
        <v>3085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3194</v>
      </c>
    </row>
    <row r="63" customFormat="false" ht="15" hidden="false" customHeight="false" outlineLevel="0" collapsed="false">
      <c r="A63" s="9" t="s">
        <v>3195</v>
      </c>
      <c r="B63" s="11" t="s">
        <v>3188</v>
      </c>
      <c r="C63" s="9" t="s">
        <v>3192</v>
      </c>
      <c r="D63" s="11" t="s">
        <v>267</v>
      </c>
      <c r="E63" s="10" t="n">
        <v>0.25</v>
      </c>
      <c r="F63" s="10" t="n">
        <v>0.1</v>
      </c>
      <c r="G63" s="10" t="n">
        <v>0.4</v>
      </c>
      <c r="H63" s="9" t="s">
        <v>3045</v>
      </c>
      <c r="I63" s="11" t="s">
        <v>2987</v>
      </c>
      <c r="J63" s="9" t="s">
        <v>3085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3196</v>
      </c>
    </row>
    <row r="64" customFormat="false" ht="15" hidden="false" customHeight="false" outlineLevel="0" collapsed="false">
      <c r="A64" s="9" t="s">
        <v>3197</v>
      </c>
      <c r="B64" s="11" t="s">
        <v>3181</v>
      </c>
      <c r="C64" s="9" t="s">
        <v>3198</v>
      </c>
      <c r="D64" s="11" t="s">
        <v>267</v>
      </c>
      <c r="E64" s="10" t="n">
        <v>0.3</v>
      </c>
      <c r="F64" s="10" t="n">
        <v>0.15</v>
      </c>
      <c r="G64" s="10" t="n">
        <v>0.5</v>
      </c>
      <c r="H64" s="9" t="s">
        <v>3045</v>
      </c>
      <c r="I64" s="9" t="s">
        <v>3199</v>
      </c>
      <c r="J64" s="9" t="s">
        <v>3200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3201</v>
      </c>
    </row>
    <row r="65" customFormat="false" ht="15" hidden="false" customHeight="false" outlineLevel="0" collapsed="false">
      <c r="A65" s="9" t="s">
        <v>3202</v>
      </c>
      <c r="B65" s="11" t="s">
        <v>3188</v>
      </c>
      <c r="C65" s="9" t="s">
        <v>3198</v>
      </c>
      <c r="D65" s="11" t="s">
        <v>267</v>
      </c>
      <c r="E65" s="10" t="n">
        <v>0.6</v>
      </c>
      <c r="F65" s="10" t="n">
        <v>0.4</v>
      </c>
      <c r="G65" s="10" t="n">
        <v>0.75</v>
      </c>
      <c r="H65" s="9" t="s">
        <v>3045</v>
      </c>
      <c r="I65" s="11" t="s">
        <v>2987</v>
      </c>
      <c r="J65" s="11" t="s">
        <v>2987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3203</v>
      </c>
    </row>
    <row r="66" customFormat="false" ht="15" hidden="false" customHeight="false" outlineLevel="0" collapsed="false">
      <c r="A66" s="9" t="s">
        <v>3204</v>
      </c>
      <c r="B66" s="11" t="s">
        <v>3181</v>
      </c>
      <c r="C66" s="9" t="s">
        <v>3205</v>
      </c>
      <c r="D66" s="11" t="s">
        <v>267</v>
      </c>
      <c r="E66" s="10" t="n">
        <v>0.2</v>
      </c>
      <c r="F66" s="10" t="n">
        <v>0.1</v>
      </c>
      <c r="G66" s="10" t="n">
        <v>0.35</v>
      </c>
      <c r="H66" s="9" t="s">
        <v>3045</v>
      </c>
      <c r="I66" s="11" t="s">
        <v>2987</v>
      </c>
      <c r="J66" s="11" t="s">
        <v>2987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3206</v>
      </c>
    </row>
    <row r="67" customFormat="false" ht="15" hidden="false" customHeight="false" outlineLevel="0" collapsed="false">
      <c r="A67" s="9" t="s">
        <v>3207</v>
      </c>
      <c r="B67" s="11" t="s">
        <v>3188</v>
      </c>
      <c r="C67" s="9" t="s">
        <v>3205</v>
      </c>
      <c r="D67" s="11" t="s">
        <v>267</v>
      </c>
      <c r="E67" s="10" t="n">
        <v>0.7</v>
      </c>
      <c r="F67" s="10" t="n">
        <v>0.5</v>
      </c>
      <c r="G67" s="10" t="n">
        <v>0.85</v>
      </c>
      <c r="H67" s="9" t="s">
        <v>3045</v>
      </c>
      <c r="I67" s="11" t="s">
        <v>2987</v>
      </c>
      <c r="J67" s="11" t="s">
        <v>2987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3208</v>
      </c>
    </row>
    <row r="68" customFormat="false" ht="15" hidden="false" customHeight="false" outlineLevel="0" collapsed="false">
      <c r="A68" s="9" t="s">
        <v>3209</v>
      </c>
      <c r="B68" s="11" t="s">
        <v>3181</v>
      </c>
      <c r="C68" s="9" t="s">
        <v>3210</v>
      </c>
      <c r="D68" s="11" t="s">
        <v>267</v>
      </c>
      <c r="E68" s="10" t="n">
        <v>0.75</v>
      </c>
      <c r="F68" s="10" t="n">
        <v>0.6</v>
      </c>
      <c r="G68" s="10" t="n">
        <v>0.9</v>
      </c>
      <c r="H68" s="9" t="s">
        <v>3045</v>
      </c>
      <c r="I68" s="11" t="s">
        <v>3211</v>
      </c>
      <c r="J68" s="9" t="s">
        <v>3085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3212</v>
      </c>
    </row>
    <row r="69" customFormat="false" ht="15" hidden="false" customHeight="false" outlineLevel="0" collapsed="false">
      <c r="A69" s="9" t="s">
        <v>3213</v>
      </c>
      <c r="B69" s="11" t="s">
        <v>3188</v>
      </c>
      <c r="C69" s="9" t="s">
        <v>3210</v>
      </c>
      <c r="D69" s="11" t="s">
        <v>267</v>
      </c>
      <c r="E69" s="10" t="n">
        <v>0.15</v>
      </c>
      <c r="F69" s="10" t="n">
        <v>0.05</v>
      </c>
      <c r="G69" s="10" t="n">
        <v>0.3</v>
      </c>
      <c r="H69" s="9" t="s">
        <v>3045</v>
      </c>
      <c r="I69" s="11" t="s">
        <v>2987</v>
      </c>
      <c r="J69" s="11" t="s">
        <v>2987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3214</v>
      </c>
    </row>
    <row r="70" customFormat="false" ht="15" hidden="false" customHeight="false" outlineLevel="0" collapsed="false">
      <c r="A70" s="9" t="s">
        <v>3215</v>
      </c>
      <c r="B70" s="11" t="s">
        <v>3181</v>
      </c>
      <c r="C70" s="9" t="s">
        <v>3216</v>
      </c>
      <c r="D70" s="11" t="s">
        <v>267</v>
      </c>
      <c r="E70" s="10" t="n">
        <v>0.3</v>
      </c>
      <c r="F70" s="10" t="n">
        <v>0.15</v>
      </c>
      <c r="G70" s="10" t="n">
        <v>0.5</v>
      </c>
      <c r="H70" s="9" t="s">
        <v>3045</v>
      </c>
      <c r="I70" s="9" t="s">
        <v>3217</v>
      </c>
      <c r="J70" s="11" t="s">
        <v>2987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3218</v>
      </c>
    </row>
    <row r="71" customFormat="false" ht="15" hidden="false" customHeight="false" outlineLevel="0" collapsed="false">
      <c r="A71" s="9" t="s">
        <v>3219</v>
      </c>
      <c r="B71" s="11" t="s">
        <v>3188</v>
      </c>
      <c r="C71" s="9" t="s">
        <v>3216</v>
      </c>
      <c r="D71" s="11" t="s">
        <v>267</v>
      </c>
      <c r="E71" s="10" t="n">
        <v>0.6</v>
      </c>
      <c r="F71" s="10" t="n">
        <v>0.4</v>
      </c>
      <c r="G71" s="10" t="n">
        <v>0.75</v>
      </c>
      <c r="H71" s="9" t="s">
        <v>3045</v>
      </c>
      <c r="I71" s="11" t="s">
        <v>2987</v>
      </c>
      <c r="J71" s="11" t="s">
        <v>2987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3220</v>
      </c>
    </row>
    <row r="72" customFormat="false" ht="15" hidden="false" customHeight="false" outlineLevel="0" collapsed="false">
      <c r="A72" s="9" t="s">
        <v>3221</v>
      </c>
      <c r="B72" s="11" t="s">
        <v>3181</v>
      </c>
      <c r="C72" s="9" t="s">
        <v>3222</v>
      </c>
      <c r="D72" s="11" t="s">
        <v>267</v>
      </c>
      <c r="E72" s="10" t="n">
        <v>0.55</v>
      </c>
      <c r="F72" s="10" t="n">
        <v>0.4</v>
      </c>
      <c r="G72" s="10" t="n">
        <v>0.7</v>
      </c>
      <c r="H72" s="9" t="s">
        <v>3045</v>
      </c>
      <c r="I72" s="11" t="s">
        <v>3223</v>
      </c>
      <c r="J72" s="9" t="s">
        <v>3085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3224</v>
      </c>
    </row>
    <row r="73" customFormat="false" ht="15" hidden="false" customHeight="false" outlineLevel="0" collapsed="false">
      <c r="A73" s="9" t="s">
        <v>3225</v>
      </c>
      <c r="B73" s="11" t="s">
        <v>3188</v>
      </c>
      <c r="C73" s="9" t="s">
        <v>3222</v>
      </c>
      <c r="D73" s="11" t="s">
        <v>267</v>
      </c>
      <c r="E73" s="10" t="n">
        <v>0.3</v>
      </c>
      <c r="F73" s="10" t="n">
        <v>0.15</v>
      </c>
      <c r="G73" s="10" t="n">
        <v>0.45</v>
      </c>
      <c r="H73" s="9" t="s">
        <v>3045</v>
      </c>
      <c r="I73" s="11" t="s">
        <v>2987</v>
      </c>
      <c r="J73" s="11" t="s">
        <v>2987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3226</v>
      </c>
    </row>
    <row r="74" customFormat="false" ht="15" hidden="false" customHeight="false" outlineLevel="0" collapsed="false">
      <c r="A74" s="9" t="s">
        <v>3227</v>
      </c>
      <c r="B74" s="11" t="s">
        <v>3228</v>
      </c>
      <c r="C74" s="11" t="s">
        <v>3229</v>
      </c>
      <c r="D74" s="11" t="s">
        <v>3230</v>
      </c>
      <c r="E74" s="14" t="s">
        <v>2718</v>
      </c>
      <c r="F74" s="14" t="s">
        <v>2718</v>
      </c>
      <c r="G74" s="14" t="s">
        <v>2718</v>
      </c>
      <c r="H74" s="9" t="s">
        <v>2940</v>
      </c>
      <c r="I74" s="11" t="s">
        <v>3231</v>
      </c>
      <c r="J74" s="11" t="s">
        <v>3232</v>
      </c>
      <c r="K74" s="9" t="s">
        <v>3233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3234</v>
      </c>
    </row>
    <row r="75" customFormat="false" ht="15" hidden="false" customHeight="false" outlineLevel="0" collapsed="false">
      <c r="A75" s="9" t="s">
        <v>3235</v>
      </c>
      <c r="B75" s="11" t="s">
        <v>3236</v>
      </c>
      <c r="C75" s="11" t="s">
        <v>3237</v>
      </c>
      <c r="D75" s="11" t="s">
        <v>3230</v>
      </c>
      <c r="E75" s="10" t="s">
        <v>2722</v>
      </c>
      <c r="F75" s="10" t="s">
        <v>2722</v>
      </c>
      <c r="G75" s="10" t="s">
        <v>2722</v>
      </c>
      <c r="H75" s="9" t="s">
        <v>2940</v>
      </c>
      <c r="I75" s="9" t="s">
        <v>3238</v>
      </c>
      <c r="J75" s="11" t="s">
        <v>2987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3239</v>
      </c>
    </row>
    <row r="76" customFormat="false" ht="15" hidden="false" customHeight="false" outlineLevel="0" collapsed="false">
      <c r="A76" s="9" t="s">
        <v>3240</v>
      </c>
      <c r="B76" s="11" t="s">
        <v>3241</v>
      </c>
      <c r="C76" s="11" t="s">
        <v>3242</v>
      </c>
      <c r="D76" s="11" t="s">
        <v>3230</v>
      </c>
      <c r="E76" s="14" t="s">
        <v>2720</v>
      </c>
      <c r="F76" s="14" t="s">
        <v>2720</v>
      </c>
      <c r="G76" s="14" t="s">
        <v>2720</v>
      </c>
      <c r="H76" s="9" t="s">
        <v>2940</v>
      </c>
      <c r="I76" s="9" t="s">
        <v>3243</v>
      </c>
      <c r="J76" s="11" t="s">
        <v>2987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3244</v>
      </c>
    </row>
    <row r="77" customFormat="false" ht="15" hidden="false" customHeight="false" outlineLevel="0" collapsed="false">
      <c r="A77" s="9" t="s">
        <v>3245</v>
      </c>
      <c r="B77" s="11" t="s">
        <v>3246</v>
      </c>
      <c r="C77" s="9" t="s">
        <v>75</v>
      </c>
      <c r="D77" s="11" t="s">
        <v>745</v>
      </c>
      <c r="E77" s="10" t="n">
        <v>1</v>
      </c>
      <c r="F77" s="10" t="n">
        <v>0.5</v>
      </c>
      <c r="G77" s="10" t="n">
        <v>2</v>
      </c>
      <c r="H77" s="9" t="s">
        <v>3045</v>
      </c>
      <c r="I77" s="9" t="s">
        <v>3247</v>
      </c>
      <c r="J77" s="9" t="s">
        <v>3147</v>
      </c>
      <c r="K77" s="9" t="s">
        <v>3248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3249</v>
      </c>
    </row>
    <row r="78" customFormat="false" ht="15" hidden="false" customHeight="false" outlineLevel="0" collapsed="false">
      <c r="A78" s="9" t="s">
        <v>3250</v>
      </c>
      <c r="B78" s="11" t="s">
        <v>3251</v>
      </c>
      <c r="C78" s="9" t="s">
        <v>75</v>
      </c>
      <c r="D78" s="11" t="s">
        <v>745</v>
      </c>
      <c r="E78" s="10" t="n">
        <v>0.15</v>
      </c>
      <c r="F78" s="10" t="n">
        <v>0.05</v>
      </c>
      <c r="G78" s="10" t="n">
        <v>0.4</v>
      </c>
      <c r="H78" s="9" t="s">
        <v>3045</v>
      </c>
      <c r="I78" s="11" t="s">
        <v>3252</v>
      </c>
      <c r="J78" s="9" t="s">
        <v>3253</v>
      </c>
      <c r="K78" s="9" t="s">
        <v>3254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3255</v>
      </c>
    </row>
    <row r="79" customFormat="false" ht="15" hidden="false" customHeight="false" outlineLevel="0" collapsed="false">
      <c r="A79" s="9" t="s">
        <v>3256</v>
      </c>
      <c r="B79" s="11" t="s">
        <v>3257</v>
      </c>
      <c r="C79" s="9" t="s">
        <v>75</v>
      </c>
      <c r="D79" s="11" t="s">
        <v>745</v>
      </c>
      <c r="E79" s="10" t="n">
        <v>1</v>
      </c>
      <c r="F79" s="10" t="n">
        <v>0.5</v>
      </c>
      <c r="G79" s="10" t="n">
        <v>4</v>
      </c>
      <c r="H79" s="9" t="s">
        <v>3045</v>
      </c>
      <c r="I79" s="11" t="s">
        <v>3258</v>
      </c>
      <c r="J79" s="11" t="s">
        <v>3259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3260</v>
      </c>
    </row>
    <row r="80" customFormat="false" ht="15" hidden="false" customHeight="false" outlineLevel="0" collapsed="false">
      <c r="A80" s="9" t="s">
        <v>3261</v>
      </c>
      <c r="B80" s="11" t="s">
        <v>3262</v>
      </c>
      <c r="C80" s="9" t="s">
        <v>2964</v>
      </c>
      <c r="D80" s="9" t="s">
        <v>3263</v>
      </c>
      <c r="E80" s="10" t="n">
        <v>1000</v>
      </c>
      <c r="F80" s="10" t="n">
        <v>1000</v>
      </c>
      <c r="G80" s="10" t="n">
        <v>1000</v>
      </c>
      <c r="H80" s="9" t="s">
        <v>2940</v>
      </c>
      <c r="I80" s="11" t="s">
        <v>2966</v>
      </c>
      <c r="J80" s="11" t="s">
        <v>2967</v>
      </c>
      <c r="K80" s="9" t="s">
        <v>3264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3265</v>
      </c>
    </row>
    <row r="81" customFormat="false" ht="15" hidden="false" customHeight="false" outlineLevel="0" collapsed="false">
      <c r="A81" s="9" t="s">
        <v>3266</v>
      </c>
      <c r="B81" s="11" t="s">
        <v>3267</v>
      </c>
      <c r="C81" s="9" t="s">
        <v>3066</v>
      </c>
      <c r="D81" s="11" t="s">
        <v>3097</v>
      </c>
      <c r="E81" s="10" t="n">
        <v>0.15</v>
      </c>
      <c r="F81" s="10" t="n">
        <v>0.05</v>
      </c>
      <c r="G81" s="10" t="n">
        <v>0.3</v>
      </c>
      <c r="H81" s="9" t="s">
        <v>297</v>
      </c>
      <c r="I81" s="9" t="s">
        <v>3268</v>
      </c>
      <c r="J81" s="9" t="s">
        <v>3269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3270</v>
      </c>
    </row>
    <row r="82" customFormat="false" ht="15" hidden="false" customHeight="false" outlineLevel="0" collapsed="false">
      <c r="A82" s="9" t="s">
        <v>3271</v>
      </c>
      <c r="B82" s="11" t="s">
        <v>3272</v>
      </c>
      <c r="C82" s="11" t="s">
        <v>3229</v>
      </c>
      <c r="D82" s="11" t="s">
        <v>267</v>
      </c>
      <c r="E82" s="10" t="n">
        <v>0.3</v>
      </c>
      <c r="F82" s="10" t="n">
        <v>0.15</v>
      </c>
      <c r="G82" s="10" t="n">
        <v>0.5</v>
      </c>
      <c r="H82" s="9" t="s">
        <v>3045</v>
      </c>
      <c r="I82" s="11" t="s">
        <v>3273</v>
      </c>
      <c r="J82" s="9" t="s">
        <v>3200</v>
      </c>
      <c r="K82" s="9" t="s">
        <v>3274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3275</v>
      </c>
    </row>
    <row r="83" customFormat="false" ht="15" hidden="false" customHeight="false" outlineLevel="0" collapsed="false">
      <c r="A83" s="9" t="s">
        <v>3276</v>
      </c>
      <c r="B83" s="11" t="s">
        <v>3277</v>
      </c>
      <c r="C83" s="11" t="s">
        <v>3229</v>
      </c>
      <c r="D83" s="11" t="s">
        <v>267</v>
      </c>
      <c r="E83" s="10" t="n">
        <v>0.65</v>
      </c>
      <c r="F83" s="10" t="n">
        <v>0.45</v>
      </c>
      <c r="G83" s="10" t="n">
        <v>0.8</v>
      </c>
      <c r="H83" s="9" t="s">
        <v>3045</v>
      </c>
      <c r="I83" s="11" t="s">
        <v>2987</v>
      </c>
      <c r="J83" s="11" t="s">
        <v>2987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3278</v>
      </c>
    </row>
    <row r="84" customFormat="false" ht="15" hidden="false" customHeight="false" outlineLevel="0" collapsed="false">
      <c r="A84" s="9" t="s">
        <v>3279</v>
      </c>
      <c r="B84" s="11" t="s">
        <v>3272</v>
      </c>
      <c r="C84" s="11" t="s">
        <v>3237</v>
      </c>
      <c r="D84" s="11" t="s">
        <v>267</v>
      </c>
      <c r="E84" s="10" t="n">
        <v>0.05</v>
      </c>
      <c r="F84" s="10" t="n">
        <v>0</v>
      </c>
      <c r="G84" s="10" t="n">
        <v>0.15</v>
      </c>
      <c r="H84" s="9" t="s">
        <v>3045</v>
      </c>
      <c r="I84" s="11" t="s">
        <v>3280</v>
      </c>
      <c r="J84" s="11" t="s">
        <v>2987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3281</v>
      </c>
    </row>
    <row r="85" customFormat="false" ht="15" hidden="false" customHeight="false" outlineLevel="0" collapsed="false">
      <c r="A85" s="9" t="s">
        <v>3282</v>
      </c>
      <c r="B85" s="11" t="s">
        <v>3277</v>
      </c>
      <c r="C85" s="11" t="s">
        <v>3237</v>
      </c>
      <c r="D85" s="11" t="s">
        <v>267</v>
      </c>
      <c r="E85" s="10" t="n">
        <v>0.6</v>
      </c>
      <c r="F85" s="10" t="n">
        <v>0.4</v>
      </c>
      <c r="G85" s="10" t="n">
        <v>0.8</v>
      </c>
      <c r="H85" s="9" t="s">
        <v>3045</v>
      </c>
      <c r="I85" s="11" t="s">
        <v>2987</v>
      </c>
      <c r="J85" s="11" t="s">
        <v>2987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3283</v>
      </c>
    </row>
    <row r="86" customFormat="false" ht="15" hidden="false" customHeight="false" outlineLevel="0" collapsed="false">
      <c r="A86" s="9" t="s">
        <v>3284</v>
      </c>
      <c r="B86" s="11" t="s">
        <v>3272</v>
      </c>
      <c r="C86" s="11" t="s">
        <v>3242</v>
      </c>
      <c r="D86" s="11" t="s">
        <v>267</v>
      </c>
      <c r="E86" s="10" t="n">
        <v>0.25</v>
      </c>
      <c r="F86" s="10" t="n">
        <v>0.1</v>
      </c>
      <c r="G86" s="10" t="n">
        <v>0.4</v>
      </c>
      <c r="H86" s="9" t="s">
        <v>3045</v>
      </c>
      <c r="I86" s="11" t="s">
        <v>3285</v>
      </c>
      <c r="J86" s="11" t="s">
        <v>2987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3286</v>
      </c>
    </row>
    <row r="87" customFormat="false" ht="15" hidden="false" customHeight="false" outlineLevel="0" collapsed="false">
      <c r="A87" s="9" t="s">
        <v>3287</v>
      </c>
      <c r="B87" s="11" t="s">
        <v>3277</v>
      </c>
      <c r="C87" s="11" t="s">
        <v>3242</v>
      </c>
      <c r="D87" s="11" t="s">
        <v>267</v>
      </c>
      <c r="E87" s="10" t="n">
        <v>0.6</v>
      </c>
      <c r="F87" s="10" t="n">
        <v>0.4</v>
      </c>
      <c r="G87" s="10" t="n">
        <v>0.75</v>
      </c>
      <c r="H87" s="9" t="s">
        <v>3045</v>
      </c>
      <c r="I87" s="11" t="s">
        <v>2987</v>
      </c>
      <c r="J87" s="11" t="s">
        <v>2987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3288</v>
      </c>
    </row>
    <row r="88" customFormat="false" ht="15" hidden="false" customHeight="false" outlineLevel="0" collapsed="false">
      <c r="A88" s="9" t="s">
        <v>3289</v>
      </c>
      <c r="B88" s="9" t="s">
        <v>3290</v>
      </c>
      <c r="C88" s="9" t="s">
        <v>75</v>
      </c>
      <c r="D88" s="11" t="s">
        <v>267</v>
      </c>
      <c r="E88" s="10" t="n">
        <v>0.2</v>
      </c>
      <c r="F88" s="10" t="n">
        <v>0.1</v>
      </c>
      <c r="G88" s="10" t="n">
        <v>0.35</v>
      </c>
      <c r="H88" s="9" t="s">
        <v>3045</v>
      </c>
      <c r="I88" s="11" t="s">
        <v>3291</v>
      </c>
      <c r="J88" s="9" t="s">
        <v>3292</v>
      </c>
      <c r="K88" s="9" t="s">
        <v>3274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3293</v>
      </c>
    </row>
    <row r="89" customFormat="false" ht="15" hidden="false" customHeight="false" outlineLevel="0" collapsed="false">
      <c r="A89" s="9" t="s">
        <v>3294</v>
      </c>
      <c r="B89" s="9" t="s">
        <v>3295</v>
      </c>
      <c r="C89" s="9" t="s">
        <v>75</v>
      </c>
      <c r="D89" s="11" t="s">
        <v>267</v>
      </c>
      <c r="E89" s="10" t="n">
        <v>0.65</v>
      </c>
      <c r="F89" s="10" t="n">
        <v>0.5</v>
      </c>
      <c r="G89" s="10" t="n">
        <v>0.8</v>
      </c>
      <c r="H89" s="9" t="s">
        <v>3045</v>
      </c>
      <c r="I89" s="9" t="s">
        <v>3296</v>
      </c>
      <c r="J89" s="9" t="s">
        <v>3085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3297</v>
      </c>
    </row>
    <row r="90" customFormat="false" ht="15" hidden="false" customHeight="false" outlineLevel="0" collapsed="false">
      <c r="A90" s="9" t="s">
        <v>3298</v>
      </c>
      <c r="B90" s="9" t="s">
        <v>3290</v>
      </c>
      <c r="C90" s="9" t="s">
        <v>3066</v>
      </c>
      <c r="D90" s="11" t="s">
        <v>267</v>
      </c>
      <c r="E90" s="10" t="n">
        <v>0.15</v>
      </c>
      <c r="F90" s="10" t="n">
        <v>0.05</v>
      </c>
      <c r="G90" s="10" t="n">
        <v>0.3</v>
      </c>
      <c r="H90" s="9" t="s">
        <v>3045</v>
      </c>
      <c r="I90" s="11" t="s">
        <v>2987</v>
      </c>
      <c r="J90" s="11" t="s">
        <v>2987</v>
      </c>
      <c r="K90" s="9" t="s">
        <v>3069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3299</v>
      </c>
    </row>
    <row r="91" customFormat="false" ht="15" hidden="false" customHeight="false" outlineLevel="0" collapsed="false">
      <c r="A91" s="9" t="s">
        <v>3300</v>
      </c>
      <c r="B91" s="9" t="s">
        <v>3295</v>
      </c>
      <c r="C91" s="9" t="s">
        <v>3066</v>
      </c>
      <c r="D91" s="11" t="s">
        <v>267</v>
      </c>
      <c r="E91" s="10" t="n">
        <v>0.5</v>
      </c>
      <c r="F91" s="10" t="n">
        <v>0.35</v>
      </c>
      <c r="G91" s="10" t="n">
        <v>0.65</v>
      </c>
      <c r="H91" s="9" t="s">
        <v>3045</v>
      </c>
      <c r="I91" s="9" t="s">
        <v>3301</v>
      </c>
      <c r="J91" s="9" t="s">
        <v>3085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3302</v>
      </c>
    </row>
    <row r="92" customFormat="false" ht="15" hidden="false" customHeight="false" outlineLevel="0" collapsed="false">
      <c r="A92" s="9" t="s">
        <v>3303</v>
      </c>
      <c r="B92" s="9" t="s">
        <v>3304</v>
      </c>
      <c r="C92" s="9" t="s">
        <v>2964</v>
      </c>
      <c r="D92" s="11" t="s">
        <v>267</v>
      </c>
      <c r="E92" s="10" t="n">
        <v>0.2</v>
      </c>
      <c r="F92" s="10" t="n">
        <v>0.1</v>
      </c>
      <c r="G92" s="10" t="n">
        <v>0.35</v>
      </c>
      <c r="H92" s="9" t="s">
        <v>297</v>
      </c>
      <c r="I92" s="9" t="s">
        <v>3305</v>
      </c>
      <c r="J92" s="11" t="s">
        <v>3177</v>
      </c>
      <c r="K92" s="11" t="s">
        <v>3306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3307</v>
      </c>
    </row>
    <row r="93" customFormat="false" ht="15" hidden="false" customHeight="false" outlineLevel="0" collapsed="false">
      <c r="A93" s="9" t="s">
        <v>3308</v>
      </c>
      <c r="B93" s="9" t="s">
        <v>3309</v>
      </c>
      <c r="C93" s="9" t="s">
        <v>2964</v>
      </c>
      <c r="D93" s="11" t="s">
        <v>267</v>
      </c>
      <c r="E93" s="10" t="n">
        <v>0.6</v>
      </c>
      <c r="F93" s="10" t="n">
        <v>0.3</v>
      </c>
      <c r="G93" s="10" t="n">
        <v>0.85</v>
      </c>
      <c r="H93" s="9" t="s">
        <v>297</v>
      </c>
      <c r="I93" s="9" t="s">
        <v>3310</v>
      </c>
      <c r="J93" s="9" t="s">
        <v>3311</v>
      </c>
      <c r="K93" s="11" t="s">
        <v>3312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3313</v>
      </c>
    </row>
    <row r="94" customFormat="false" ht="15" hidden="false" customHeight="false" outlineLevel="0" collapsed="false">
      <c r="A94" s="9" t="s">
        <v>3314</v>
      </c>
      <c r="B94" s="9" t="s">
        <v>3315</v>
      </c>
      <c r="C94" s="9" t="s">
        <v>2964</v>
      </c>
      <c r="D94" s="11" t="s">
        <v>267</v>
      </c>
      <c r="E94" s="10" t="n">
        <v>0.05</v>
      </c>
      <c r="F94" s="10" t="n">
        <v>0</v>
      </c>
      <c r="G94" s="10" t="n">
        <v>0.15</v>
      </c>
      <c r="H94" s="9" t="s">
        <v>3045</v>
      </c>
      <c r="I94" s="11" t="s">
        <v>3316</v>
      </c>
      <c r="J94" s="9" t="s">
        <v>3317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3318</v>
      </c>
    </row>
    <row r="95" customFormat="false" ht="15" hidden="false" customHeight="false" outlineLevel="0" collapsed="false">
      <c r="A95" s="9" t="s">
        <v>3319</v>
      </c>
      <c r="B95" s="9" t="s">
        <v>3320</v>
      </c>
      <c r="C95" s="9" t="s">
        <v>2964</v>
      </c>
      <c r="D95" s="11" t="s">
        <v>267</v>
      </c>
      <c r="E95" s="10" t="n">
        <v>0.05</v>
      </c>
      <c r="F95" s="10" t="n">
        <v>0</v>
      </c>
      <c r="G95" s="10" t="n">
        <v>0.2</v>
      </c>
      <c r="H95" s="9" t="s">
        <v>3045</v>
      </c>
      <c r="I95" s="9" t="s">
        <v>3321</v>
      </c>
      <c r="J95" s="9" t="s">
        <v>3322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3323</v>
      </c>
    </row>
    <row r="96" customFormat="false" ht="15" hidden="false" customHeight="false" outlineLevel="0" collapsed="false">
      <c r="A96" s="9" t="s">
        <v>3324</v>
      </c>
      <c r="B96" s="9" t="s">
        <v>3325</v>
      </c>
      <c r="C96" s="9" t="s">
        <v>2964</v>
      </c>
      <c r="D96" s="11" t="s">
        <v>267</v>
      </c>
      <c r="E96" s="10" t="n">
        <v>0.1</v>
      </c>
      <c r="F96" s="10" t="n">
        <v>0</v>
      </c>
      <c r="G96" s="10" t="n">
        <v>0.25</v>
      </c>
      <c r="H96" s="9" t="s">
        <v>3045</v>
      </c>
      <c r="I96" s="9" t="s">
        <v>3326</v>
      </c>
      <c r="J96" s="9" t="s">
        <v>3327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3328</v>
      </c>
    </row>
    <row r="97" customFormat="false" ht="15" hidden="false" customHeight="false" outlineLevel="0" collapsed="false">
      <c r="A97" s="9" t="s">
        <v>3329</v>
      </c>
      <c r="B97" s="9" t="s">
        <v>3330</v>
      </c>
      <c r="C97" s="9" t="s">
        <v>75</v>
      </c>
      <c r="D97" s="9" t="s">
        <v>3331</v>
      </c>
      <c r="E97" s="10" t="n">
        <v>50</v>
      </c>
      <c r="F97" s="10" t="n">
        <v>10</v>
      </c>
      <c r="G97" s="10" t="n">
        <v>200</v>
      </c>
      <c r="H97" s="9" t="s">
        <v>3045</v>
      </c>
      <c r="I97" s="11" t="s">
        <v>3332</v>
      </c>
      <c r="J97" s="11" t="s">
        <v>3333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3334</v>
      </c>
    </row>
    <row r="98" customFormat="false" ht="15" hidden="false" customHeight="false" outlineLevel="0" collapsed="false">
      <c r="A98" s="9" t="s">
        <v>3335</v>
      </c>
      <c r="B98" s="9" t="s">
        <v>3336</v>
      </c>
      <c r="C98" s="9" t="s">
        <v>304</v>
      </c>
      <c r="D98" s="11" t="s">
        <v>3097</v>
      </c>
      <c r="E98" s="10" t="n">
        <v>0.2</v>
      </c>
      <c r="F98" s="10" t="n">
        <v>0.1</v>
      </c>
      <c r="G98" s="10" t="n">
        <v>0.3</v>
      </c>
      <c r="H98" s="9" t="s">
        <v>297</v>
      </c>
      <c r="I98" s="9" t="s">
        <v>3337</v>
      </c>
      <c r="J98" s="11" t="s">
        <v>3177</v>
      </c>
      <c r="K98" s="9" t="s">
        <v>3338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3339</v>
      </c>
    </row>
    <row r="99" customFormat="false" ht="15" hidden="false" customHeight="false" outlineLevel="0" collapsed="false">
      <c r="A99" s="9" t="s">
        <v>3340</v>
      </c>
      <c r="B99" s="9" t="s">
        <v>3336</v>
      </c>
      <c r="C99" s="9" t="s">
        <v>2855</v>
      </c>
      <c r="D99" s="11" t="s">
        <v>3097</v>
      </c>
      <c r="E99" s="10" t="n">
        <v>0.15</v>
      </c>
      <c r="F99" s="10" t="n">
        <v>0.075</v>
      </c>
      <c r="G99" s="10" t="n">
        <v>0.225</v>
      </c>
      <c r="H99" s="9" t="s">
        <v>297</v>
      </c>
      <c r="I99" s="9" t="s">
        <v>3341</v>
      </c>
      <c r="J99" s="9" t="s">
        <v>3342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3343</v>
      </c>
    </row>
    <row r="100" customFormat="false" ht="15" hidden="false" customHeight="false" outlineLevel="0" collapsed="false">
      <c r="A100" s="9" t="s">
        <v>3344</v>
      </c>
      <c r="B100" s="9" t="s">
        <v>3336</v>
      </c>
      <c r="C100" s="9" t="s">
        <v>1658</v>
      </c>
      <c r="D100" s="11" t="s">
        <v>3097</v>
      </c>
      <c r="E100" s="10" t="n">
        <v>0.12</v>
      </c>
      <c r="F100" s="10" t="n">
        <v>0.06</v>
      </c>
      <c r="G100" s="10" t="n">
        <v>0.18</v>
      </c>
      <c r="H100" s="9" t="s">
        <v>297</v>
      </c>
      <c r="I100" s="9" t="s">
        <v>3345</v>
      </c>
      <c r="J100" s="9" t="s">
        <v>3342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3346</v>
      </c>
    </row>
    <row r="101" customFormat="false" ht="15" hidden="false" customHeight="false" outlineLevel="0" collapsed="false">
      <c r="A101" s="9" t="s">
        <v>3347</v>
      </c>
      <c r="B101" s="9" t="s">
        <v>3336</v>
      </c>
      <c r="C101" s="9" t="s">
        <v>2856</v>
      </c>
      <c r="D101" s="11" t="s">
        <v>3097</v>
      </c>
      <c r="E101" s="10" t="n">
        <v>0.1</v>
      </c>
      <c r="F101" s="10" t="n">
        <v>0.05</v>
      </c>
      <c r="G101" s="10" t="n">
        <v>0.15</v>
      </c>
      <c r="H101" s="9" t="s">
        <v>297</v>
      </c>
      <c r="I101" s="9" t="s">
        <v>3348</v>
      </c>
      <c r="J101" s="9" t="s">
        <v>3342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3349</v>
      </c>
    </row>
    <row r="102" customFormat="false" ht="15" hidden="false" customHeight="false" outlineLevel="0" collapsed="false">
      <c r="A102" s="9" t="s">
        <v>3350</v>
      </c>
      <c r="B102" s="9" t="s">
        <v>3336</v>
      </c>
      <c r="C102" s="9" t="s">
        <v>2857</v>
      </c>
      <c r="D102" s="11" t="s">
        <v>3097</v>
      </c>
      <c r="E102" s="10" t="n">
        <v>0.08</v>
      </c>
      <c r="F102" s="10" t="n">
        <v>0.04</v>
      </c>
      <c r="G102" s="10" t="n">
        <v>0.12</v>
      </c>
      <c r="H102" s="9" t="s">
        <v>297</v>
      </c>
      <c r="I102" s="9" t="s">
        <v>3351</v>
      </c>
      <c r="J102" s="9" t="s">
        <v>3342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3352</v>
      </c>
    </row>
    <row r="103" customFormat="false" ht="15" hidden="false" customHeight="false" outlineLevel="0" collapsed="false">
      <c r="A103" s="9" t="s">
        <v>3353</v>
      </c>
      <c r="B103" s="9" t="s">
        <v>3354</v>
      </c>
      <c r="C103" s="9" t="s">
        <v>2855</v>
      </c>
      <c r="D103" s="11" t="s">
        <v>3097</v>
      </c>
      <c r="E103" s="10" t="n">
        <v>0.45</v>
      </c>
      <c r="F103" s="10" t="n">
        <v>0.225</v>
      </c>
      <c r="G103" s="10" t="n">
        <v>0.9</v>
      </c>
      <c r="H103" s="9" t="s">
        <v>297</v>
      </c>
      <c r="I103" s="9" t="s">
        <v>3355</v>
      </c>
      <c r="J103" s="9" t="s">
        <v>3147</v>
      </c>
      <c r="K103" s="9" t="s">
        <v>3356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3357</v>
      </c>
    </row>
    <row r="104" customFormat="false" ht="15" hidden="false" customHeight="false" outlineLevel="0" collapsed="false">
      <c r="A104" s="9" t="s">
        <v>3358</v>
      </c>
      <c r="B104" s="9" t="s">
        <v>3354</v>
      </c>
      <c r="C104" s="9" t="s">
        <v>1658</v>
      </c>
      <c r="D104" s="11" t="s">
        <v>3097</v>
      </c>
      <c r="E104" s="10" t="n">
        <v>0.35</v>
      </c>
      <c r="F104" s="10" t="n">
        <v>0.175</v>
      </c>
      <c r="G104" s="10" t="n">
        <v>0.7</v>
      </c>
      <c r="H104" s="9" t="s">
        <v>297</v>
      </c>
      <c r="I104" s="9" t="s">
        <v>3359</v>
      </c>
      <c r="J104" s="9" t="s">
        <v>3147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3360</v>
      </c>
    </row>
    <row r="105" customFormat="false" ht="15" hidden="false" customHeight="false" outlineLevel="0" collapsed="false">
      <c r="A105" s="9" t="s">
        <v>3361</v>
      </c>
      <c r="B105" s="9" t="s">
        <v>3354</v>
      </c>
      <c r="C105" s="9" t="s">
        <v>2856</v>
      </c>
      <c r="D105" s="11" t="s">
        <v>3097</v>
      </c>
      <c r="E105" s="10" t="n">
        <v>0.25</v>
      </c>
      <c r="F105" s="10" t="n">
        <v>0.125</v>
      </c>
      <c r="G105" s="10" t="n">
        <v>0.5</v>
      </c>
      <c r="H105" s="9" t="s">
        <v>297</v>
      </c>
      <c r="I105" s="9" t="s">
        <v>3362</v>
      </c>
      <c r="J105" s="9" t="s">
        <v>3147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3363</v>
      </c>
    </row>
    <row r="106" customFormat="false" ht="15" hidden="false" customHeight="false" outlineLevel="0" collapsed="false">
      <c r="A106" s="9" t="s">
        <v>3364</v>
      </c>
      <c r="B106" s="9" t="s">
        <v>3354</v>
      </c>
      <c r="C106" s="9" t="s">
        <v>2857</v>
      </c>
      <c r="D106" s="11" t="s">
        <v>3097</v>
      </c>
      <c r="E106" s="10" t="n">
        <v>0.2</v>
      </c>
      <c r="F106" s="10" t="n">
        <v>0.1</v>
      </c>
      <c r="G106" s="10" t="n">
        <v>0.4</v>
      </c>
      <c r="H106" s="9" t="s">
        <v>297</v>
      </c>
      <c r="I106" s="9" t="s">
        <v>3365</v>
      </c>
      <c r="J106" s="9" t="s">
        <v>3147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3366</v>
      </c>
    </row>
    <row r="107" customFormat="false" ht="15" hidden="false" customHeight="false" outlineLevel="0" collapsed="false">
      <c r="A107" s="9" t="s">
        <v>3367</v>
      </c>
      <c r="B107" s="11" t="s">
        <v>3368</v>
      </c>
      <c r="C107" s="9" t="s">
        <v>2964</v>
      </c>
      <c r="D107" s="11" t="s">
        <v>3369</v>
      </c>
      <c r="E107" s="10" t="n">
        <v>-0.7</v>
      </c>
      <c r="F107" s="10" t="n">
        <v>-1.05</v>
      </c>
      <c r="G107" s="10" t="n">
        <v>-0.35</v>
      </c>
      <c r="H107" s="9" t="s">
        <v>297</v>
      </c>
      <c r="I107" s="9" t="s">
        <v>3370</v>
      </c>
      <c r="J107" s="11" t="s">
        <v>3177</v>
      </c>
      <c r="K107" s="11" t="s">
        <v>3371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3372</v>
      </c>
    </row>
    <row r="108" customFormat="false" ht="15" hidden="false" customHeight="false" outlineLevel="0" collapsed="false">
      <c r="A108" s="9" t="s">
        <v>3373</v>
      </c>
      <c r="B108" s="11" t="s">
        <v>3374</v>
      </c>
      <c r="C108" s="9" t="s">
        <v>2964</v>
      </c>
      <c r="D108" s="11" t="s">
        <v>3369</v>
      </c>
      <c r="E108" s="10" t="n">
        <v>-0.3</v>
      </c>
      <c r="F108" s="10" t="n">
        <v>-0.45</v>
      </c>
      <c r="G108" s="10" t="n">
        <v>-0.15</v>
      </c>
      <c r="H108" s="9" t="s">
        <v>297</v>
      </c>
      <c r="I108" s="9" t="s">
        <v>3375</v>
      </c>
      <c r="J108" s="11" t="s">
        <v>3177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3376</v>
      </c>
    </row>
    <row r="109" customFormat="false" ht="15" hidden="false" customHeight="false" outlineLevel="0" collapsed="false">
      <c r="A109" s="9" t="s">
        <v>3377</v>
      </c>
      <c r="B109" s="9" t="s">
        <v>3378</v>
      </c>
      <c r="C109" s="9" t="s">
        <v>1119</v>
      </c>
      <c r="D109" s="11" t="s">
        <v>3097</v>
      </c>
      <c r="E109" s="10" t="n">
        <v>-0.15</v>
      </c>
      <c r="F109" s="10" t="n">
        <v>-0.35</v>
      </c>
      <c r="G109" s="10" t="n">
        <v>0</v>
      </c>
      <c r="H109" s="9" t="s">
        <v>3045</v>
      </c>
      <c r="I109" s="11" t="s">
        <v>3379</v>
      </c>
      <c r="J109" s="11" t="s">
        <v>3380</v>
      </c>
      <c r="K109" s="9" t="s">
        <v>3381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3382</v>
      </c>
    </row>
    <row r="110" customFormat="false" ht="15" hidden="false" customHeight="false" outlineLevel="0" collapsed="false">
      <c r="A110" s="9" t="s">
        <v>3383</v>
      </c>
      <c r="B110" s="11" t="s">
        <v>3384</v>
      </c>
      <c r="C110" s="9" t="s">
        <v>3066</v>
      </c>
      <c r="D110" s="11" t="s">
        <v>3385</v>
      </c>
      <c r="E110" s="10" t="n">
        <v>0</v>
      </c>
      <c r="F110" s="10" t="n">
        <v>-0.15</v>
      </c>
      <c r="G110" s="10" t="n">
        <v>0.15</v>
      </c>
      <c r="H110" s="9" t="s">
        <v>3045</v>
      </c>
      <c r="I110" s="9" t="s">
        <v>3386</v>
      </c>
      <c r="J110" s="9" t="s">
        <v>3387</v>
      </c>
      <c r="K110" s="11" t="s">
        <v>3388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3389</v>
      </c>
    </row>
    <row r="111" customFormat="false" ht="15" hidden="false" customHeight="false" outlineLevel="0" collapsed="false">
      <c r="A111" s="9" t="s">
        <v>3390</v>
      </c>
      <c r="B111" s="11" t="s">
        <v>3391</v>
      </c>
      <c r="C111" s="9" t="s">
        <v>3066</v>
      </c>
      <c r="D111" s="11" t="s">
        <v>267</v>
      </c>
      <c r="E111" s="10" t="n">
        <v>0.16</v>
      </c>
      <c r="F111" s="10" t="n">
        <v>0.16</v>
      </c>
      <c r="G111" s="10" t="n">
        <v>0.3</v>
      </c>
      <c r="H111" s="9" t="s">
        <v>297</v>
      </c>
      <c r="I111" s="11" t="s">
        <v>3392</v>
      </c>
      <c r="J111" s="11" t="s">
        <v>3393</v>
      </c>
      <c r="K111" s="9" t="s">
        <v>3394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3395</v>
      </c>
    </row>
    <row r="112" customFormat="false" ht="15" hidden="false" customHeight="false" outlineLevel="0" collapsed="false">
      <c r="A112" s="9" t="s">
        <v>3396</v>
      </c>
      <c r="B112" s="11" t="s">
        <v>3397</v>
      </c>
      <c r="C112" s="9" t="s">
        <v>3066</v>
      </c>
      <c r="D112" s="11" t="s">
        <v>3097</v>
      </c>
      <c r="E112" s="10" t="n">
        <v>0</v>
      </c>
      <c r="F112" s="10" t="n">
        <v>0</v>
      </c>
      <c r="G112" s="10" t="n">
        <v>0.5</v>
      </c>
      <c r="H112" s="9" t="s">
        <v>3045</v>
      </c>
      <c r="I112" s="9" t="s">
        <v>3398</v>
      </c>
      <c r="J112" s="9" t="s">
        <v>3399</v>
      </c>
      <c r="K112" s="11" t="s">
        <v>3400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3401</v>
      </c>
    </row>
    <row r="113" customFormat="false" ht="15" hidden="false" customHeight="false" outlineLevel="0" collapsed="false">
      <c r="A113" s="9" t="s">
        <v>3402</v>
      </c>
      <c r="B113" s="11" t="s">
        <v>3403</v>
      </c>
      <c r="C113" s="9" t="s">
        <v>2964</v>
      </c>
      <c r="D113" s="9" t="s">
        <v>3404</v>
      </c>
      <c r="E113" s="10" t="n">
        <v>1000000</v>
      </c>
      <c r="F113" s="10" t="n">
        <v>1000000</v>
      </c>
      <c r="G113" s="10" t="n">
        <v>1000000</v>
      </c>
      <c r="H113" s="9" t="s">
        <v>2940</v>
      </c>
      <c r="I113" s="11" t="s">
        <v>2966</v>
      </c>
      <c r="J113" s="11" t="s">
        <v>2967</v>
      </c>
      <c r="K113" s="9" t="s">
        <v>3405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3406</v>
      </c>
    </row>
    <row r="114" customFormat="false" ht="15" hidden="false" customHeight="false" outlineLevel="0" collapsed="false">
      <c r="A114" s="9" t="s">
        <v>3407</v>
      </c>
      <c r="B114" s="11" t="s">
        <v>3408</v>
      </c>
      <c r="C114" s="9" t="s">
        <v>2964</v>
      </c>
      <c r="D114" s="9" t="s">
        <v>3409</v>
      </c>
      <c r="E114" s="10" t="n">
        <v>1000</v>
      </c>
      <c r="F114" s="10" t="n">
        <v>1000</v>
      </c>
      <c r="G114" s="10" t="n">
        <v>1000</v>
      </c>
      <c r="H114" s="9" t="s">
        <v>2940</v>
      </c>
      <c r="I114" s="11" t="s">
        <v>2966</v>
      </c>
      <c r="J114" s="11" t="s">
        <v>2967</v>
      </c>
      <c r="K114" s="9" t="s">
        <v>3410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3411</v>
      </c>
    </row>
    <row r="115" customFormat="false" ht="15" hidden="false" customHeight="false" outlineLevel="0" collapsed="false">
      <c r="A115" s="9" t="s">
        <v>3412</v>
      </c>
      <c r="B115" s="11" t="s">
        <v>3413</v>
      </c>
      <c r="C115" s="9" t="s">
        <v>2964</v>
      </c>
      <c r="D115" s="9" t="s">
        <v>3414</v>
      </c>
      <c r="E115" s="10" t="n">
        <v>1000000000</v>
      </c>
      <c r="F115" s="10" t="n">
        <v>1000000000</v>
      </c>
      <c r="G115" s="10" t="n">
        <v>1000000000</v>
      </c>
      <c r="H115" s="9" t="s">
        <v>2940</v>
      </c>
      <c r="I115" s="11" t="s">
        <v>2966</v>
      </c>
      <c r="J115" s="11" t="s">
        <v>2967</v>
      </c>
      <c r="K115" s="9" t="s">
        <v>3415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3416</v>
      </c>
    </row>
    <row r="116" customFormat="false" ht="15" hidden="false" customHeight="false" outlineLevel="0" collapsed="false">
      <c r="A116" s="9" t="s">
        <v>3417</v>
      </c>
      <c r="B116" s="11" t="s">
        <v>3418</v>
      </c>
      <c r="C116" s="9" t="s">
        <v>2964</v>
      </c>
      <c r="D116" s="9" t="s">
        <v>2964</v>
      </c>
      <c r="E116" s="10" t="n">
        <v>2</v>
      </c>
      <c r="F116" s="10" t="n">
        <v>2</v>
      </c>
      <c r="G116" s="10" t="n">
        <v>2</v>
      </c>
      <c r="H116" s="9" t="s">
        <v>2940</v>
      </c>
      <c r="I116" s="11" t="s">
        <v>3419</v>
      </c>
      <c r="J116" s="11" t="s">
        <v>2966</v>
      </c>
      <c r="K116" s="9" t="s">
        <v>3420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3421</v>
      </c>
    </row>
    <row r="117" customFormat="false" ht="15" hidden="false" customHeight="false" outlineLevel="0" collapsed="false">
      <c r="A117" s="9" t="s">
        <v>3422</v>
      </c>
      <c r="B117" s="11" t="s">
        <v>3423</v>
      </c>
      <c r="C117" s="9" t="s">
        <v>2964</v>
      </c>
      <c r="D117" s="11" t="s">
        <v>2187</v>
      </c>
      <c r="E117" s="10" t="n">
        <v>2026</v>
      </c>
      <c r="F117" s="10" t="n">
        <v>2026</v>
      </c>
      <c r="G117" s="10" t="n">
        <v>2026</v>
      </c>
      <c r="H117" s="9" t="s">
        <v>2940</v>
      </c>
      <c r="I117" s="9" t="s">
        <v>3424</v>
      </c>
      <c r="J117" s="11" t="s">
        <v>2942</v>
      </c>
      <c r="K117" s="9" t="s">
        <v>3425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3426</v>
      </c>
    </row>
    <row r="118" customFormat="false" ht="15" hidden="false" customHeight="false" outlineLevel="0" collapsed="false">
      <c r="A118" s="9" t="s">
        <v>3427</v>
      </c>
      <c r="B118" s="11" t="s">
        <v>3428</v>
      </c>
      <c r="C118" s="9" t="s">
        <v>2964</v>
      </c>
      <c r="D118" s="9" t="s">
        <v>2740</v>
      </c>
      <c r="E118" s="10" t="n">
        <v>12</v>
      </c>
      <c r="F118" s="10" t="n">
        <v>8</v>
      </c>
      <c r="G118" s="10" t="n">
        <v>20</v>
      </c>
      <c r="H118" s="9" t="s">
        <v>297</v>
      </c>
      <c r="I118" s="11" t="s">
        <v>3429</v>
      </c>
      <c r="J118" s="11" t="s">
        <v>3177</v>
      </c>
      <c r="K118" s="11" t="s">
        <v>3430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3431</v>
      </c>
    </row>
    <row r="119" customFormat="false" ht="15" hidden="false" customHeight="false" outlineLevel="0" collapsed="false">
      <c r="A119" s="9" t="s">
        <v>3432</v>
      </c>
      <c r="B119" s="11" t="s">
        <v>3433</v>
      </c>
      <c r="C119" s="9" t="s">
        <v>2964</v>
      </c>
      <c r="D119" s="11" t="s">
        <v>267</v>
      </c>
      <c r="E119" s="10" t="n">
        <v>0.1</v>
      </c>
      <c r="F119" s="10" t="n">
        <v>0.05</v>
      </c>
      <c r="G119" s="10" t="n">
        <v>0.2</v>
      </c>
      <c r="H119" s="9" t="s">
        <v>297</v>
      </c>
      <c r="I119" s="11" t="s">
        <v>3434</v>
      </c>
      <c r="J119" s="11" t="s">
        <v>3435</v>
      </c>
      <c r="K119" s="9" t="s">
        <v>3436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3437</v>
      </c>
    </row>
    <row r="120" customFormat="false" ht="15" hidden="false" customHeight="false" outlineLevel="0" collapsed="false">
      <c r="A120" s="9" t="s">
        <v>3438</v>
      </c>
      <c r="B120" s="11" t="s">
        <v>3439</v>
      </c>
      <c r="C120" s="9" t="s">
        <v>2964</v>
      </c>
      <c r="D120" s="11" t="s">
        <v>267</v>
      </c>
      <c r="E120" s="10" t="n">
        <v>0.3</v>
      </c>
      <c r="F120" s="10" t="n">
        <v>0.2</v>
      </c>
      <c r="G120" s="10" t="n">
        <v>0.4</v>
      </c>
      <c r="H120" s="9" t="s">
        <v>297</v>
      </c>
      <c r="I120" s="11" t="s">
        <v>3440</v>
      </c>
      <c r="J120" s="11" t="s">
        <v>3441</v>
      </c>
      <c r="K120" s="11" t="s">
        <v>3442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3443</v>
      </c>
    </row>
    <row r="121" customFormat="false" ht="15" hidden="false" customHeight="false" outlineLevel="0" collapsed="false">
      <c r="A121" s="9" t="s">
        <v>3444</v>
      </c>
      <c r="B121" s="9" t="s">
        <v>3445</v>
      </c>
      <c r="C121" s="9" t="s">
        <v>2964</v>
      </c>
      <c r="D121" s="11" t="s">
        <v>3023</v>
      </c>
      <c r="E121" s="10" t="n">
        <v>0</v>
      </c>
      <c r="F121" s="10" t="n">
        <v>0</v>
      </c>
      <c r="G121" s="10" t="n">
        <v>1</v>
      </c>
      <c r="H121" s="9" t="s">
        <v>2940</v>
      </c>
      <c r="I121" s="11" t="s">
        <v>3446</v>
      </c>
      <c r="J121" s="11" t="s">
        <v>3023</v>
      </c>
      <c r="K121" s="9" t="s">
        <v>3447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3448</v>
      </c>
    </row>
    <row r="122" customFormat="false" ht="15" hidden="false" customHeight="false" outlineLevel="0" collapsed="false">
      <c r="A122" s="9" t="s">
        <v>3449</v>
      </c>
      <c r="B122" s="9" t="s">
        <v>3450</v>
      </c>
      <c r="C122" s="9" t="s">
        <v>2964</v>
      </c>
      <c r="D122" s="11" t="s">
        <v>745</v>
      </c>
      <c r="E122" s="10" t="n">
        <v>1</v>
      </c>
      <c r="F122" s="10" t="n">
        <v>1</v>
      </c>
      <c r="G122" s="10" t="n">
        <v>1</v>
      </c>
      <c r="H122" s="9" t="s">
        <v>2940</v>
      </c>
      <c r="I122" s="11" t="s">
        <v>3451</v>
      </c>
      <c r="J122" s="11" t="s">
        <v>2942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3452</v>
      </c>
    </row>
    <row r="123" customFormat="false" ht="15" hidden="false" customHeight="false" outlineLevel="0" collapsed="false">
      <c r="A123" s="9" t="s">
        <v>3453</v>
      </c>
      <c r="B123" s="9" t="s">
        <v>3454</v>
      </c>
      <c r="C123" s="9" t="s">
        <v>2964</v>
      </c>
      <c r="D123" s="11" t="s">
        <v>2187</v>
      </c>
      <c r="E123" s="10" t="n">
        <v>2030</v>
      </c>
      <c r="F123" s="10" t="n">
        <v>2030</v>
      </c>
      <c r="G123" s="10" t="n">
        <v>2030</v>
      </c>
      <c r="H123" s="9" t="s">
        <v>2940</v>
      </c>
      <c r="I123" s="11" t="s">
        <v>3455</v>
      </c>
      <c r="J123" s="11" t="s">
        <v>2942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3456</v>
      </c>
    </row>
    <row r="124" customFormat="false" ht="15" hidden="false" customHeight="false" outlineLevel="0" collapsed="false">
      <c r="A124" s="9" t="s">
        <v>3457</v>
      </c>
      <c r="B124" s="9" t="s">
        <v>3458</v>
      </c>
      <c r="C124" s="9" t="s">
        <v>2964</v>
      </c>
      <c r="D124" s="11" t="s">
        <v>745</v>
      </c>
      <c r="E124" s="10" t="n">
        <v>0.5</v>
      </c>
      <c r="F124" s="10" t="n">
        <v>0.5</v>
      </c>
      <c r="G124" s="10" t="n">
        <v>0.5</v>
      </c>
      <c r="H124" s="9" t="s">
        <v>2940</v>
      </c>
      <c r="I124" s="11" t="s">
        <v>3459</v>
      </c>
      <c r="J124" s="11" t="s">
        <v>3041</v>
      </c>
      <c r="K124" s="9" t="s">
        <v>32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3460</v>
      </c>
    </row>
    <row r="125" customFormat="false" ht="15" hidden="false" customHeight="false" outlineLevel="0" collapsed="false">
      <c r="A125" s="9" t="s">
        <v>3461</v>
      </c>
      <c r="B125" s="9" t="s">
        <v>3462</v>
      </c>
      <c r="C125" s="9" t="s">
        <v>2964</v>
      </c>
      <c r="D125" s="11" t="s">
        <v>745</v>
      </c>
      <c r="E125" s="10" t="n">
        <v>2</v>
      </c>
      <c r="F125" s="10" t="n">
        <v>2</v>
      </c>
      <c r="G125" s="10" t="n">
        <v>2</v>
      </c>
      <c r="H125" s="9" t="s">
        <v>2940</v>
      </c>
      <c r="I125" s="11" t="s">
        <v>2987</v>
      </c>
      <c r="J125" s="11" t="s">
        <v>3041</v>
      </c>
      <c r="K125" s="9" t="s">
        <v>32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3463</v>
      </c>
    </row>
    <row r="126" customFormat="false" ht="15" hidden="false" customHeight="false" outlineLevel="0" collapsed="false">
      <c r="A126" s="9" t="s">
        <v>3464</v>
      </c>
      <c r="B126" s="11" t="s">
        <v>3465</v>
      </c>
      <c r="C126" s="9" t="s">
        <v>2964</v>
      </c>
      <c r="D126" s="11" t="s">
        <v>2187</v>
      </c>
      <c r="E126" s="10" t="n">
        <v>2</v>
      </c>
      <c r="F126" s="10" t="n">
        <v>1</v>
      </c>
      <c r="G126" s="10" t="n">
        <v>3</v>
      </c>
      <c r="H126" s="9" t="s">
        <v>3045</v>
      </c>
      <c r="I126" s="11" t="s">
        <v>3466</v>
      </c>
      <c r="J126" s="11" t="s">
        <v>3380</v>
      </c>
      <c r="K126" s="11" t="s">
        <v>3467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3468</v>
      </c>
    </row>
    <row r="127" customFormat="false" ht="15" hidden="false" customHeight="false" outlineLevel="0" collapsed="false">
      <c r="A127" s="9" t="s">
        <v>3469</v>
      </c>
      <c r="B127" s="11" t="s">
        <v>3470</v>
      </c>
      <c r="C127" s="9" t="s">
        <v>2964</v>
      </c>
      <c r="D127" s="11" t="s">
        <v>267</v>
      </c>
      <c r="E127" s="10" t="n">
        <v>0.8</v>
      </c>
      <c r="F127" s="10" t="n">
        <v>0.5</v>
      </c>
      <c r="G127" s="10" t="n">
        <v>1</v>
      </c>
      <c r="H127" s="9" t="s">
        <v>3045</v>
      </c>
      <c r="I127" s="11" t="s">
        <v>3471</v>
      </c>
      <c r="J127" s="11" t="s">
        <v>3380</v>
      </c>
      <c r="K127" s="9" t="s">
        <v>3472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3473</v>
      </c>
    </row>
    <row r="128" customFormat="false" ht="15" hidden="false" customHeight="false" outlineLevel="0" collapsed="false">
      <c r="A128" s="9" t="s">
        <v>3474</v>
      </c>
      <c r="B128" s="11" t="s">
        <v>3475</v>
      </c>
      <c r="C128" s="9" t="s">
        <v>2964</v>
      </c>
      <c r="D128" s="11" t="s">
        <v>267</v>
      </c>
      <c r="E128" s="10" t="n">
        <v>0</v>
      </c>
      <c r="F128" s="10" t="n">
        <v>0</v>
      </c>
      <c r="G128" s="10" t="n">
        <v>1</v>
      </c>
      <c r="H128" s="9" t="s">
        <v>3045</v>
      </c>
      <c r="I128" s="9" t="s">
        <v>3476</v>
      </c>
      <c r="J128" s="9" t="s">
        <v>3477</v>
      </c>
      <c r="K128" s="9" t="s">
        <v>3478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3479</v>
      </c>
    </row>
    <row r="129" customFormat="false" ht="15" hidden="false" customHeight="false" outlineLevel="0" collapsed="false">
      <c r="A129" s="9" t="s">
        <v>3480</v>
      </c>
      <c r="B129" s="11" t="s">
        <v>3481</v>
      </c>
      <c r="C129" s="9" t="s">
        <v>3482</v>
      </c>
      <c r="D129" s="11" t="s">
        <v>267</v>
      </c>
      <c r="E129" s="10" t="n">
        <v>0.4</v>
      </c>
      <c r="F129" s="10" t="n">
        <v>0.2</v>
      </c>
      <c r="G129" s="10" t="n">
        <v>0.6</v>
      </c>
      <c r="H129" s="9" t="s">
        <v>3045</v>
      </c>
      <c r="I129" s="11" t="s">
        <v>3483</v>
      </c>
      <c r="J129" s="9" t="s">
        <v>3484</v>
      </c>
      <c r="K129" s="9" t="s">
        <v>3485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3486</v>
      </c>
    </row>
    <row r="130" customFormat="false" ht="15" hidden="false" customHeight="false" outlineLevel="0" collapsed="false">
      <c r="A130" s="9" t="s">
        <v>3487</v>
      </c>
      <c r="B130" s="11" t="s">
        <v>3488</v>
      </c>
      <c r="C130" s="9" t="s">
        <v>3482</v>
      </c>
      <c r="D130" s="11" t="s">
        <v>267</v>
      </c>
      <c r="E130" s="10" t="n">
        <v>0.1</v>
      </c>
      <c r="F130" s="10" t="n">
        <v>0</v>
      </c>
      <c r="G130" s="10" t="n">
        <v>0.3</v>
      </c>
      <c r="H130" s="9" t="s">
        <v>3045</v>
      </c>
      <c r="I130" s="11" t="s">
        <v>3489</v>
      </c>
      <c r="J130" s="11" t="s">
        <v>2987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3490</v>
      </c>
    </row>
    <row r="131" customFormat="false" ht="15" hidden="false" customHeight="false" outlineLevel="0" collapsed="false">
      <c r="A131" s="9" t="s">
        <v>3491</v>
      </c>
      <c r="B131" s="11" t="s">
        <v>3492</v>
      </c>
      <c r="C131" s="9" t="s">
        <v>304</v>
      </c>
      <c r="D131" s="11" t="s">
        <v>267</v>
      </c>
      <c r="E131" s="10" t="n">
        <v>0.33</v>
      </c>
      <c r="F131" s="10" t="n">
        <v>0</v>
      </c>
      <c r="G131" s="10" t="n">
        <v>1</v>
      </c>
      <c r="H131" s="9" t="s">
        <v>3045</v>
      </c>
      <c r="I131" s="11" t="s">
        <v>3493</v>
      </c>
      <c r="J131" s="9" t="s">
        <v>3494</v>
      </c>
      <c r="K131" s="9" t="s">
        <v>3495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3496</v>
      </c>
    </row>
    <row r="132" customFormat="false" ht="15" hidden="false" customHeight="false" outlineLevel="0" collapsed="false">
      <c r="A132" s="9" t="s">
        <v>3497</v>
      </c>
      <c r="B132" s="9" t="s">
        <v>3498</v>
      </c>
      <c r="C132" s="9" t="s">
        <v>2964</v>
      </c>
      <c r="D132" s="11" t="s">
        <v>3023</v>
      </c>
      <c r="E132" s="10" t="n">
        <v>0</v>
      </c>
      <c r="F132" s="10" t="n">
        <v>0</v>
      </c>
      <c r="G132" s="10" t="n">
        <v>1</v>
      </c>
      <c r="H132" s="9" t="s">
        <v>2940</v>
      </c>
      <c r="I132" s="9" t="s">
        <v>3499</v>
      </c>
      <c r="J132" s="11" t="s">
        <v>3500</v>
      </c>
      <c r="K132" s="11" t="s">
        <v>3501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3502</v>
      </c>
    </row>
    <row r="133" customFormat="false" ht="15" hidden="false" customHeight="false" outlineLevel="0" collapsed="false">
      <c r="A133" s="9" t="s">
        <v>3503</v>
      </c>
      <c r="B133" s="11" t="s">
        <v>3504</v>
      </c>
      <c r="C133" s="9" t="s">
        <v>2964</v>
      </c>
      <c r="D133" s="11" t="s">
        <v>2187</v>
      </c>
      <c r="E133" s="10" t="n">
        <v>2026</v>
      </c>
      <c r="F133" s="10" t="n">
        <v>2026</v>
      </c>
      <c r="G133" s="10" t="n">
        <v>2026</v>
      </c>
      <c r="H133" s="9" t="s">
        <v>2940</v>
      </c>
      <c r="I133" s="9" t="s">
        <v>3505</v>
      </c>
      <c r="J133" s="11" t="s">
        <v>3506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3507</v>
      </c>
    </row>
    <row r="134" customFormat="false" ht="15" hidden="false" customHeight="false" outlineLevel="0" collapsed="false">
      <c r="A134" s="9" t="s">
        <v>3508</v>
      </c>
      <c r="B134" s="11" t="s">
        <v>3509</v>
      </c>
      <c r="C134" s="9" t="s">
        <v>2964</v>
      </c>
      <c r="D134" s="11" t="s">
        <v>2187</v>
      </c>
      <c r="E134" s="10" t="n">
        <v>2033</v>
      </c>
      <c r="F134" s="10" t="n">
        <v>2033</v>
      </c>
      <c r="G134" s="10" t="n">
        <v>2033</v>
      </c>
      <c r="H134" s="9" t="s">
        <v>2940</v>
      </c>
      <c r="I134" s="11" t="s">
        <v>2987</v>
      </c>
      <c r="J134" s="11" t="s">
        <v>3506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3510</v>
      </c>
    </row>
    <row r="135" customFormat="false" ht="15" hidden="false" customHeight="false" outlineLevel="0" collapsed="false">
      <c r="A135" s="9" t="s">
        <v>3511</v>
      </c>
      <c r="B135" s="11" t="s">
        <v>3512</v>
      </c>
      <c r="C135" s="9" t="s">
        <v>2964</v>
      </c>
      <c r="D135" s="11" t="s">
        <v>2187</v>
      </c>
      <c r="E135" s="10" t="n">
        <v>2027</v>
      </c>
      <c r="F135" s="10" t="n">
        <v>2027</v>
      </c>
      <c r="G135" s="10" t="n">
        <v>2027</v>
      </c>
      <c r="H135" s="9" t="s">
        <v>2940</v>
      </c>
      <c r="I135" s="9" t="s">
        <v>3513</v>
      </c>
      <c r="J135" s="11" t="s">
        <v>3506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3514</v>
      </c>
    </row>
    <row r="136" customFormat="false" ht="15" hidden="false" customHeight="false" outlineLevel="0" collapsed="false">
      <c r="A136" s="9" t="s">
        <v>3515</v>
      </c>
      <c r="B136" s="11" t="s">
        <v>3516</v>
      </c>
      <c r="C136" s="9" t="s">
        <v>2964</v>
      </c>
      <c r="D136" s="11" t="s">
        <v>2187</v>
      </c>
      <c r="E136" s="10" t="n">
        <v>2031</v>
      </c>
      <c r="F136" s="10" t="n">
        <v>2031</v>
      </c>
      <c r="G136" s="10" t="n">
        <v>2031</v>
      </c>
      <c r="H136" s="9" t="s">
        <v>2940</v>
      </c>
      <c r="I136" s="9" t="s">
        <v>3517</v>
      </c>
      <c r="J136" s="11" t="s">
        <v>3506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3518</v>
      </c>
    </row>
    <row r="137" customFormat="false" ht="15" hidden="false" customHeight="false" outlineLevel="0" collapsed="false">
      <c r="A137" s="9" t="s">
        <v>3519</v>
      </c>
      <c r="B137" s="11" t="s">
        <v>3520</v>
      </c>
      <c r="C137" s="9" t="s">
        <v>2964</v>
      </c>
      <c r="D137" s="11" t="s">
        <v>2187</v>
      </c>
      <c r="E137" s="10" t="n">
        <v>2026</v>
      </c>
      <c r="F137" s="10" t="n">
        <v>2026</v>
      </c>
      <c r="G137" s="10" t="n">
        <v>2026</v>
      </c>
      <c r="H137" s="9" t="s">
        <v>2940</v>
      </c>
      <c r="I137" s="9" t="s">
        <v>3521</v>
      </c>
      <c r="J137" s="11" t="s">
        <v>3506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3522</v>
      </c>
    </row>
    <row r="138" customFormat="false" ht="15" hidden="false" customHeight="false" outlineLevel="0" collapsed="false">
      <c r="A138" s="9" t="s">
        <v>3523</v>
      </c>
      <c r="B138" s="11" t="s">
        <v>3524</v>
      </c>
      <c r="C138" s="9" t="s">
        <v>2964</v>
      </c>
      <c r="D138" s="11" t="s">
        <v>2187</v>
      </c>
      <c r="E138" s="10" t="n">
        <v>2035</v>
      </c>
      <c r="F138" s="10" t="n">
        <v>2035</v>
      </c>
      <c r="G138" s="10" t="n">
        <v>2035</v>
      </c>
      <c r="H138" s="9" t="s">
        <v>2940</v>
      </c>
      <c r="I138" s="11" t="s">
        <v>3525</v>
      </c>
      <c r="J138" s="11" t="s">
        <v>3506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3526</v>
      </c>
    </row>
    <row r="139" customFormat="false" ht="15" hidden="false" customHeight="false" outlineLevel="0" collapsed="false">
      <c r="A139" s="9" t="s">
        <v>3527</v>
      </c>
      <c r="B139" s="11" t="s">
        <v>3528</v>
      </c>
      <c r="C139" s="9" t="s">
        <v>2964</v>
      </c>
      <c r="D139" s="11" t="s">
        <v>2187</v>
      </c>
      <c r="E139" s="10" t="n">
        <v>2027</v>
      </c>
      <c r="F139" s="10" t="n">
        <v>2026</v>
      </c>
      <c r="G139" s="10" t="n">
        <v>2027</v>
      </c>
      <c r="H139" s="9" t="s">
        <v>3045</v>
      </c>
      <c r="I139" s="9" t="s">
        <v>3529</v>
      </c>
      <c r="J139" s="9" t="s">
        <v>3530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3531</v>
      </c>
    </row>
    <row r="140" customFormat="false" ht="15" hidden="false" customHeight="false" outlineLevel="0" collapsed="false">
      <c r="A140" s="9" t="s">
        <v>3532</v>
      </c>
      <c r="B140" s="11" t="s">
        <v>3533</v>
      </c>
      <c r="C140" s="9" t="s">
        <v>2964</v>
      </c>
      <c r="D140" s="11" t="s">
        <v>2187</v>
      </c>
      <c r="E140" s="10" t="n">
        <v>2033</v>
      </c>
      <c r="F140" s="10" t="n">
        <v>2033</v>
      </c>
      <c r="G140" s="10" t="n">
        <v>2033</v>
      </c>
      <c r="H140" s="9" t="s">
        <v>2940</v>
      </c>
      <c r="I140" s="11" t="s">
        <v>2987</v>
      </c>
      <c r="J140" s="11" t="s">
        <v>3506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3534</v>
      </c>
    </row>
    <row r="141" customFormat="false" ht="15" hidden="false" customHeight="false" outlineLevel="0" collapsed="false">
      <c r="A141" s="9" t="s">
        <v>3535</v>
      </c>
      <c r="B141" s="11" t="s">
        <v>3536</v>
      </c>
      <c r="C141" s="9" t="s">
        <v>2964</v>
      </c>
      <c r="D141" s="11" t="s">
        <v>2187</v>
      </c>
      <c r="E141" s="10" t="n">
        <v>2027</v>
      </c>
      <c r="F141" s="10" t="n">
        <v>2027</v>
      </c>
      <c r="G141" s="10" t="n">
        <v>2027</v>
      </c>
      <c r="H141" s="9" t="s">
        <v>2940</v>
      </c>
      <c r="I141" s="9" t="s">
        <v>3537</v>
      </c>
      <c r="J141" s="11" t="s">
        <v>3506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3538</v>
      </c>
    </row>
    <row r="142" customFormat="false" ht="15" hidden="false" customHeight="false" outlineLevel="0" collapsed="false">
      <c r="A142" s="9" t="s">
        <v>3539</v>
      </c>
      <c r="B142" s="11" t="s">
        <v>3540</v>
      </c>
      <c r="C142" s="9" t="s">
        <v>2964</v>
      </c>
      <c r="D142" s="11" t="s">
        <v>2187</v>
      </c>
      <c r="E142" s="10" t="n">
        <v>5</v>
      </c>
      <c r="F142" s="10" t="n">
        <v>3</v>
      </c>
      <c r="G142" s="10" t="n">
        <v>7</v>
      </c>
      <c r="H142" s="9" t="s">
        <v>3045</v>
      </c>
      <c r="I142" s="11" t="s">
        <v>3541</v>
      </c>
      <c r="J142" s="11" t="s">
        <v>3542</v>
      </c>
      <c r="K142" s="11" t="s">
        <v>3543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3544</v>
      </c>
    </row>
    <row r="143" customFormat="false" ht="15" hidden="false" customHeight="false" outlineLevel="0" collapsed="false">
      <c r="A143" s="9" t="s">
        <v>3545</v>
      </c>
      <c r="B143" s="11" t="s">
        <v>3546</v>
      </c>
      <c r="C143" s="9" t="s">
        <v>2964</v>
      </c>
      <c r="D143" s="11" t="s">
        <v>2187</v>
      </c>
      <c r="E143" s="10" t="n">
        <v>2026</v>
      </c>
      <c r="F143" s="10" t="n">
        <v>2026</v>
      </c>
      <c r="G143" s="10" t="n">
        <v>2026</v>
      </c>
      <c r="H143" s="9" t="s">
        <v>2940</v>
      </c>
      <c r="I143" s="9" t="s">
        <v>3547</v>
      </c>
      <c r="J143" s="11" t="s">
        <v>3506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3548</v>
      </c>
    </row>
    <row r="144" customFormat="false" ht="15" hidden="false" customHeight="false" outlineLevel="0" collapsed="false">
      <c r="A144" s="9" t="s">
        <v>3549</v>
      </c>
      <c r="B144" s="11" t="s">
        <v>3550</v>
      </c>
      <c r="C144" s="9" t="s">
        <v>2964</v>
      </c>
      <c r="D144" s="11" t="s">
        <v>2187</v>
      </c>
      <c r="E144" s="10" t="n">
        <v>2029</v>
      </c>
      <c r="F144" s="10" t="n">
        <v>2029</v>
      </c>
      <c r="G144" s="10" t="n">
        <v>2029</v>
      </c>
      <c r="H144" s="9" t="s">
        <v>2940</v>
      </c>
      <c r="I144" s="11" t="s">
        <v>2987</v>
      </c>
      <c r="J144" s="11" t="s">
        <v>3506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3551</v>
      </c>
    </row>
    <row r="145" customFormat="false" ht="15" hidden="false" customHeight="false" outlineLevel="0" collapsed="false">
      <c r="A145" s="9" t="s">
        <v>3552</v>
      </c>
      <c r="B145" s="9" t="s">
        <v>3553</v>
      </c>
      <c r="C145" s="9" t="s">
        <v>2964</v>
      </c>
      <c r="D145" s="11" t="s">
        <v>2972</v>
      </c>
      <c r="E145" s="10" t="n">
        <v>8</v>
      </c>
      <c r="F145" s="10" t="n">
        <v>8</v>
      </c>
      <c r="G145" s="10" t="n">
        <v>8</v>
      </c>
      <c r="H145" s="9" t="s">
        <v>2940</v>
      </c>
      <c r="I145" s="11" t="s">
        <v>3554</v>
      </c>
      <c r="J145" s="11" t="s">
        <v>3506</v>
      </c>
      <c r="K145" s="11" t="s">
        <v>3555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3556</v>
      </c>
    </row>
    <row r="146" customFormat="false" ht="15" hidden="false" customHeight="false" outlineLevel="0" collapsed="false">
      <c r="A146" s="9" t="s">
        <v>3557</v>
      </c>
      <c r="B146" s="9" t="s">
        <v>3558</v>
      </c>
      <c r="C146" s="9" t="s">
        <v>2964</v>
      </c>
      <c r="D146" s="11" t="s">
        <v>2972</v>
      </c>
      <c r="E146" s="10" t="n">
        <v>4</v>
      </c>
      <c r="F146" s="10" t="n">
        <v>4</v>
      </c>
      <c r="G146" s="10" t="n">
        <v>4</v>
      </c>
      <c r="H146" s="9" t="s">
        <v>2940</v>
      </c>
      <c r="I146" s="11" t="s">
        <v>3559</v>
      </c>
      <c r="J146" s="11" t="s">
        <v>3506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3560</v>
      </c>
    </row>
    <row r="147" customFormat="false" ht="15" hidden="false" customHeight="false" outlineLevel="0" collapsed="false">
      <c r="A147" s="9" t="s">
        <v>3561</v>
      </c>
      <c r="B147" s="11" t="s">
        <v>3562</v>
      </c>
      <c r="C147" s="9" t="s">
        <v>2964</v>
      </c>
      <c r="D147" s="11" t="s">
        <v>2187</v>
      </c>
      <c r="E147" s="10" t="n">
        <v>2028</v>
      </c>
      <c r="F147" s="10" t="n">
        <v>2028</v>
      </c>
      <c r="G147" s="10" t="n">
        <v>2028</v>
      </c>
      <c r="H147" s="9" t="s">
        <v>2940</v>
      </c>
      <c r="I147" s="9" t="s">
        <v>3563</v>
      </c>
      <c r="J147" s="11" t="s">
        <v>3506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3564</v>
      </c>
    </row>
    <row r="148" customFormat="false" ht="15" hidden="false" customHeight="false" outlineLevel="0" collapsed="false">
      <c r="A148" s="9" t="s">
        <v>3565</v>
      </c>
      <c r="B148" s="11" t="s">
        <v>3566</v>
      </c>
      <c r="C148" s="9" t="s">
        <v>2964</v>
      </c>
      <c r="D148" s="11" t="s">
        <v>2187</v>
      </c>
      <c r="E148" s="10" t="n">
        <v>2033</v>
      </c>
      <c r="F148" s="10" t="n">
        <v>2033</v>
      </c>
      <c r="G148" s="10" t="n">
        <v>2033</v>
      </c>
      <c r="H148" s="9" t="s">
        <v>2940</v>
      </c>
      <c r="I148" s="11" t="s">
        <v>3567</v>
      </c>
      <c r="J148" s="11" t="s">
        <v>3506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3568</v>
      </c>
    </row>
    <row r="149" customFormat="false" ht="15" hidden="false" customHeight="false" outlineLevel="0" collapsed="false">
      <c r="A149" s="9" t="s">
        <v>3569</v>
      </c>
      <c r="B149" s="11" t="s">
        <v>3570</v>
      </c>
      <c r="C149" s="9" t="s">
        <v>2964</v>
      </c>
      <c r="D149" s="11" t="s">
        <v>2187</v>
      </c>
      <c r="E149" s="10" t="n">
        <v>2027</v>
      </c>
      <c r="F149" s="10" t="n">
        <v>2027</v>
      </c>
      <c r="G149" s="10" t="n">
        <v>2028</v>
      </c>
      <c r="H149" s="9" t="s">
        <v>3045</v>
      </c>
      <c r="I149" s="9" t="s">
        <v>3571</v>
      </c>
      <c r="J149" s="9" t="s">
        <v>3572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3573</v>
      </c>
    </row>
    <row r="150" customFormat="false" ht="15" hidden="false" customHeight="false" outlineLevel="0" collapsed="false">
      <c r="A150" s="9" t="s">
        <v>3574</v>
      </c>
      <c r="B150" s="11" t="s">
        <v>3575</v>
      </c>
      <c r="C150" s="9" t="s">
        <v>2964</v>
      </c>
      <c r="D150" s="11" t="s">
        <v>2187</v>
      </c>
      <c r="E150" s="10" t="n">
        <v>6</v>
      </c>
      <c r="F150" s="10" t="n">
        <v>4</v>
      </c>
      <c r="G150" s="10" t="n">
        <v>8</v>
      </c>
      <c r="H150" s="9" t="s">
        <v>3045</v>
      </c>
      <c r="I150" s="11" t="s">
        <v>3576</v>
      </c>
      <c r="J150" s="11" t="s">
        <v>3542</v>
      </c>
      <c r="K150" s="11" t="s">
        <v>3543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3577</v>
      </c>
    </row>
    <row r="151" customFormat="false" ht="15" hidden="false" customHeight="false" outlineLevel="0" collapsed="false">
      <c r="A151" s="9" t="s">
        <v>3578</v>
      </c>
      <c r="B151" s="11" t="s">
        <v>3579</v>
      </c>
      <c r="C151" s="9" t="s">
        <v>2964</v>
      </c>
      <c r="D151" s="11" t="s">
        <v>2187</v>
      </c>
      <c r="E151" s="10" t="n">
        <v>2034</v>
      </c>
      <c r="F151" s="10" t="n">
        <v>2034</v>
      </c>
      <c r="G151" s="10" t="n">
        <v>2034</v>
      </c>
      <c r="H151" s="9" t="s">
        <v>2940</v>
      </c>
      <c r="I151" s="9" t="s">
        <v>3580</v>
      </c>
      <c r="J151" s="11" t="s">
        <v>3581</v>
      </c>
      <c r="K151" s="11" t="s">
        <v>3582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3583</v>
      </c>
    </row>
    <row r="152" customFormat="false" ht="15" hidden="false" customHeight="false" outlineLevel="0" collapsed="false">
      <c r="A152" s="9" t="s">
        <v>3584</v>
      </c>
      <c r="B152" s="11" t="s">
        <v>3585</v>
      </c>
      <c r="C152" s="9" t="s">
        <v>2964</v>
      </c>
      <c r="D152" s="11" t="s">
        <v>2187</v>
      </c>
      <c r="E152" s="10" t="n">
        <v>2027</v>
      </c>
      <c r="F152" s="10" t="n">
        <v>2027</v>
      </c>
      <c r="G152" s="10" t="n">
        <v>2027</v>
      </c>
      <c r="H152" s="9" t="s">
        <v>2940</v>
      </c>
      <c r="I152" s="9" t="s">
        <v>3586</v>
      </c>
      <c r="J152" s="11" t="s">
        <v>3506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3587</v>
      </c>
    </row>
    <row r="153" customFormat="false" ht="15" hidden="false" customHeight="false" outlineLevel="0" collapsed="false">
      <c r="A153" s="9" t="s">
        <v>3588</v>
      </c>
      <c r="B153" s="11" t="s">
        <v>3589</v>
      </c>
      <c r="C153" s="9" t="s">
        <v>2964</v>
      </c>
      <c r="D153" s="11" t="s">
        <v>2187</v>
      </c>
      <c r="E153" s="10" t="n">
        <v>2032</v>
      </c>
      <c r="F153" s="10" t="n">
        <v>2032</v>
      </c>
      <c r="G153" s="10" t="n">
        <v>2032</v>
      </c>
      <c r="H153" s="9" t="s">
        <v>2940</v>
      </c>
      <c r="I153" s="11" t="s">
        <v>3567</v>
      </c>
      <c r="J153" s="11" t="s">
        <v>3506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3590</v>
      </c>
    </row>
    <row r="154" customFormat="false" ht="15" hidden="false" customHeight="false" outlineLevel="0" collapsed="false">
      <c r="A154" s="9" t="s">
        <v>3591</v>
      </c>
      <c r="B154" s="11" t="s">
        <v>3592</v>
      </c>
      <c r="C154" s="9" t="s">
        <v>2964</v>
      </c>
      <c r="D154" s="11" t="s">
        <v>2187</v>
      </c>
      <c r="E154" s="10" t="n">
        <v>2026</v>
      </c>
      <c r="F154" s="10" t="n">
        <v>2026</v>
      </c>
      <c r="G154" s="10" t="n">
        <v>2026</v>
      </c>
      <c r="H154" s="9" t="s">
        <v>2940</v>
      </c>
      <c r="I154" s="9" t="s">
        <v>3593</v>
      </c>
      <c r="J154" s="11" t="s">
        <v>3506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3594</v>
      </c>
    </row>
    <row r="155" customFormat="false" ht="15" hidden="false" customHeight="false" outlineLevel="0" collapsed="false">
      <c r="A155" s="9" t="s">
        <v>3595</v>
      </c>
      <c r="B155" s="11" t="s">
        <v>3596</v>
      </c>
      <c r="C155" s="9" t="s">
        <v>2964</v>
      </c>
      <c r="D155" s="11" t="s">
        <v>2187</v>
      </c>
      <c r="E155" s="10" t="n">
        <v>2032</v>
      </c>
      <c r="F155" s="10" t="n">
        <v>2032</v>
      </c>
      <c r="G155" s="10" t="n">
        <v>2032</v>
      </c>
      <c r="H155" s="9" t="s">
        <v>2940</v>
      </c>
      <c r="I155" s="11" t="s">
        <v>3597</v>
      </c>
      <c r="J155" s="11" t="s">
        <v>3506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3598</v>
      </c>
    </row>
    <row r="156" customFormat="false" ht="15" hidden="false" customHeight="false" outlineLevel="0" collapsed="false">
      <c r="A156" s="9" t="s">
        <v>3599</v>
      </c>
      <c r="B156" s="11" t="s">
        <v>3600</v>
      </c>
      <c r="C156" s="9" t="s">
        <v>2964</v>
      </c>
      <c r="D156" s="11" t="s">
        <v>2187</v>
      </c>
      <c r="E156" s="10" t="n">
        <v>2026</v>
      </c>
      <c r="F156" s="10" t="n">
        <v>2026</v>
      </c>
      <c r="G156" s="10" t="n">
        <v>2026</v>
      </c>
      <c r="H156" s="9" t="s">
        <v>2940</v>
      </c>
      <c r="I156" s="9" t="s">
        <v>3601</v>
      </c>
      <c r="J156" s="11" t="s">
        <v>3506</v>
      </c>
      <c r="K156" s="11" t="s">
        <v>3602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3603</v>
      </c>
    </row>
    <row r="157" customFormat="false" ht="15" hidden="false" customHeight="false" outlineLevel="0" collapsed="false">
      <c r="A157" s="9" t="s">
        <v>3604</v>
      </c>
      <c r="B157" s="11" t="s">
        <v>3605</v>
      </c>
      <c r="C157" s="9" t="s">
        <v>2964</v>
      </c>
      <c r="D157" s="11" t="s">
        <v>2187</v>
      </c>
      <c r="E157" s="10" t="n">
        <v>3</v>
      </c>
      <c r="F157" s="10" t="n">
        <v>2</v>
      </c>
      <c r="G157" s="10" t="n">
        <v>5</v>
      </c>
      <c r="H157" s="9" t="s">
        <v>3045</v>
      </c>
      <c r="I157" s="11" t="s">
        <v>3606</v>
      </c>
      <c r="J157" s="9" t="s">
        <v>3607</v>
      </c>
      <c r="K157" s="11" t="s">
        <v>3608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3609</v>
      </c>
    </row>
    <row r="158" customFormat="false" ht="15" hidden="false" customHeight="false" outlineLevel="0" collapsed="false">
      <c r="A158" s="9" t="s">
        <v>3610</v>
      </c>
      <c r="B158" s="11" t="s">
        <v>3611</v>
      </c>
      <c r="C158" s="9" t="s">
        <v>2964</v>
      </c>
      <c r="D158" s="11" t="s">
        <v>2187</v>
      </c>
      <c r="E158" s="10" t="n">
        <v>1</v>
      </c>
      <c r="F158" s="10" t="n">
        <v>1</v>
      </c>
      <c r="G158" s="10" t="n">
        <v>2</v>
      </c>
      <c r="H158" s="9" t="s">
        <v>297</v>
      </c>
      <c r="I158" s="11" t="s">
        <v>3612</v>
      </c>
      <c r="J158" s="11" t="s">
        <v>3177</v>
      </c>
      <c r="K158" s="11" t="s">
        <v>3613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3614</v>
      </c>
    </row>
    <row r="159" customFormat="false" ht="15" hidden="false" customHeight="false" outlineLevel="0" collapsed="false">
      <c r="A159" s="9" t="s">
        <v>3615</v>
      </c>
      <c r="B159" s="11" t="s">
        <v>3616</v>
      </c>
      <c r="C159" s="9" t="s">
        <v>2964</v>
      </c>
      <c r="D159" s="11" t="s">
        <v>267</v>
      </c>
      <c r="E159" s="10" t="n">
        <v>0.25</v>
      </c>
      <c r="F159" s="10" t="n">
        <v>0.25</v>
      </c>
      <c r="G159" s="10" t="n">
        <v>0.25</v>
      </c>
      <c r="H159" s="9" t="s">
        <v>2940</v>
      </c>
      <c r="I159" s="9" t="s">
        <v>3617</v>
      </c>
      <c r="J159" s="11" t="s">
        <v>3041</v>
      </c>
      <c r="K159" s="9" t="s">
        <v>32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3618</v>
      </c>
    </row>
    <row r="160" customFormat="false" ht="15" hidden="false" customHeight="false" outlineLevel="0" collapsed="false">
      <c r="A160" s="9" t="s">
        <v>3619</v>
      </c>
      <c r="B160" s="11" t="s">
        <v>3620</v>
      </c>
      <c r="C160" s="9" t="s">
        <v>2964</v>
      </c>
      <c r="D160" s="11" t="s">
        <v>267</v>
      </c>
      <c r="E160" s="10" t="n">
        <v>0.25</v>
      </c>
      <c r="F160" s="10" t="n">
        <v>0.25</v>
      </c>
      <c r="G160" s="10" t="n">
        <v>0.25</v>
      </c>
      <c r="H160" s="9" t="s">
        <v>2940</v>
      </c>
      <c r="I160" s="9" t="s">
        <v>3621</v>
      </c>
      <c r="J160" s="11" t="s">
        <v>3041</v>
      </c>
      <c r="K160" s="9" t="s">
        <v>32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3622</v>
      </c>
    </row>
    <row r="161" customFormat="false" ht="15" hidden="false" customHeight="false" outlineLevel="0" collapsed="false">
      <c r="A161" s="9" t="s">
        <v>3623</v>
      </c>
      <c r="B161" s="11" t="s">
        <v>3624</v>
      </c>
      <c r="C161" s="9" t="s">
        <v>304</v>
      </c>
      <c r="D161" s="11" t="s">
        <v>267</v>
      </c>
      <c r="E161" s="10" t="n">
        <v>0.8</v>
      </c>
      <c r="F161" s="10" t="n">
        <v>0.5</v>
      </c>
      <c r="G161" s="10" t="n">
        <v>1.2</v>
      </c>
      <c r="H161" s="9" t="s">
        <v>3045</v>
      </c>
      <c r="I161" s="9" t="s">
        <v>3625</v>
      </c>
      <c r="J161" s="11" t="s">
        <v>3626</v>
      </c>
      <c r="K161" s="9" t="s">
        <v>3627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3628</v>
      </c>
    </row>
    <row r="162" customFormat="false" ht="15" hidden="false" customHeight="false" outlineLevel="0" collapsed="false">
      <c r="A162" s="9" t="s">
        <v>3629</v>
      </c>
      <c r="B162" s="11" t="s">
        <v>3624</v>
      </c>
      <c r="C162" s="9" t="s">
        <v>2855</v>
      </c>
      <c r="D162" s="11" t="s">
        <v>267</v>
      </c>
      <c r="E162" s="10" t="n">
        <v>0.3</v>
      </c>
      <c r="F162" s="10" t="n">
        <v>0.1</v>
      </c>
      <c r="G162" s="10" t="n">
        <v>0.5</v>
      </c>
      <c r="H162" s="9" t="s">
        <v>297</v>
      </c>
      <c r="I162" s="11" t="s">
        <v>3630</v>
      </c>
      <c r="J162" s="11" t="s">
        <v>3177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3631</v>
      </c>
    </row>
    <row r="163" customFormat="false" ht="15" hidden="false" customHeight="false" outlineLevel="0" collapsed="false">
      <c r="A163" s="9" t="s">
        <v>3632</v>
      </c>
      <c r="B163" s="11" t="s">
        <v>3624</v>
      </c>
      <c r="C163" s="9" t="s">
        <v>1658</v>
      </c>
      <c r="D163" s="11" t="s">
        <v>267</v>
      </c>
      <c r="E163" s="10" t="n">
        <v>0.2</v>
      </c>
      <c r="F163" s="10" t="n">
        <v>0.05</v>
      </c>
      <c r="G163" s="10" t="n">
        <v>0.35</v>
      </c>
      <c r="H163" s="9" t="s">
        <v>297</v>
      </c>
      <c r="I163" s="11" t="s">
        <v>3633</v>
      </c>
      <c r="J163" s="11" t="s">
        <v>3177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3634</v>
      </c>
    </row>
    <row r="164" customFormat="false" ht="15" hidden="false" customHeight="false" outlineLevel="0" collapsed="false">
      <c r="A164" s="9" t="s">
        <v>3635</v>
      </c>
      <c r="B164" s="11" t="s">
        <v>3624</v>
      </c>
      <c r="C164" s="9" t="s">
        <v>2856</v>
      </c>
      <c r="D164" s="11" t="s">
        <v>267</v>
      </c>
      <c r="E164" s="10" t="n">
        <v>0.15</v>
      </c>
      <c r="F164" s="10" t="n">
        <v>0</v>
      </c>
      <c r="G164" s="10" t="n">
        <v>0.3</v>
      </c>
      <c r="H164" s="9" t="s">
        <v>297</v>
      </c>
      <c r="I164" s="11" t="s">
        <v>3636</v>
      </c>
      <c r="J164" s="11" t="s">
        <v>3177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3637</v>
      </c>
    </row>
    <row r="165" customFormat="false" ht="15" hidden="false" customHeight="false" outlineLevel="0" collapsed="false">
      <c r="A165" s="9" t="s">
        <v>3638</v>
      </c>
      <c r="B165" s="11" t="s">
        <v>3624</v>
      </c>
      <c r="C165" s="9" t="s">
        <v>2857</v>
      </c>
      <c r="D165" s="11" t="s">
        <v>267</v>
      </c>
      <c r="E165" s="10" t="n">
        <v>0.1</v>
      </c>
      <c r="F165" s="10" t="n">
        <v>0</v>
      </c>
      <c r="G165" s="10" t="n">
        <v>0.25</v>
      </c>
      <c r="H165" s="9" t="s">
        <v>297</v>
      </c>
      <c r="I165" s="11" t="s">
        <v>3639</v>
      </c>
      <c r="J165" s="11" t="s">
        <v>3177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3640</v>
      </c>
    </row>
    <row r="166" customFormat="false" ht="15" hidden="false" customHeight="false" outlineLevel="0" collapsed="false">
      <c r="A166" s="9" t="s">
        <v>3641</v>
      </c>
      <c r="B166" s="11" t="s">
        <v>3642</v>
      </c>
      <c r="C166" s="9" t="s">
        <v>3066</v>
      </c>
      <c r="D166" s="11" t="s">
        <v>267</v>
      </c>
      <c r="E166" s="10" t="n">
        <v>0.03</v>
      </c>
      <c r="F166" s="10" t="n">
        <v>0</v>
      </c>
      <c r="G166" s="10" t="n">
        <v>0.08</v>
      </c>
      <c r="H166" s="9" t="s">
        <v>297</v>
      </c>
      <c r="I166" s="11" t="s">
        <v>3643</v>
      </c>
      <c r="J166" s="11" t="s">
        <v>3177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3644</v>
      </c>
    </row>
    <row r="167" customFormat="false" ht="15" hidden="false" customHeight="false" outlineLevel="0" collapsed="false">
      <c r="A167" s="9" t="s">
        <v>3645</v>
      </c>
      <c r="B167" s="11" t="s">
        <v>3646</v>
      </c>
      <c r="C167" s="9" t="s">
        <v>75</v>
      </c>
      <c r="D167" s="9" t="s">
        <v>3647</v>
      </c>
      <c r="E167" s="10" t="n">
        <v>0.8</v>
      </c>
      <c r="F167" s="10" t="n">
        <v>0.4</v>
      </c>
      <c r="G167" s="10" t="n">
        <v>1.1</v>
      </c>
      <c r="H167" s="9" t="s">
        <v>3045</v>
      </c>
      <c r="I167" s="9" t="s">
        <v>3648</v>
      </c>
      <c r="J167" s="9" t="s">
        <v>3649</v>
      </c>
      <c r="K167" s="11" t="s">
        <v>3650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3651</v>
      </c>
    </row>
    <row r="168" customFormat="false" ht="15" hidden="false" customHeight="false" outlineLevel="0" collapsed="false">
      <c r="A168" s="9" t="s">
        <v>3652</v>
      </c>
      <c r="B168" s="11" t="s">
        <v>3653</v>
      </c>
      <c r="C168" s="9" t="s">
        <v>3066</v>
      </c>
      <c r="D168" s="11" t="s">
        <v>267</v>
      </c>
      <c r="E168" s="10" t="n">
        <v>0</v>
      </c>
      <c r="F168" s="10" t="n">
        <v>-0.2</v>
      </c>
      <c r="G168" s="10" t="n">
        <v>0.2</v>
      </c>
      <c r="H168" s="9" t="s">
        <v>297</v>
      </c>
      <c r="I168" s="11" t="s">
        <v>3654</v>
      </c>
      <c r="J168" s="11" t="s">
        <v>3177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3655</v>
      </c>
    </row>
    <row r="169" customFormat="false" ht="15" hidden="false" customHeight="false" outlineLevel="0" collapsed="false">
      <c r="A169" s="9" t="s">
        <v>3656</v>
      </c>
      <c r="B169" s="11" t="s">
        <v>3657</v>
      </c>
      <c r="C169" s="9" t="s">
        <v>2964</v>
      </c>
      <c r="D169" s="11" t="s">
        <v>3658</v>
      </c>
      <c r="E169" s="10" t="n">
        <v>4</v>
      </c>
      <c r="F169" s="10" t="n">
        <v>4</v>
      </c>
      <c r="G169" s="10" t="n">
        <v>4</v>
      </c>
      <c r="H169" s="9" t="s">
        <v>2940</v>
      </c>
      <c r="I169" s="11" t="s">
        <v>2966</v>
      </c>
      <c r="J169" s="11" t="s">
        <v>2967</v>
      </c>
      <c r="K169" s="11" t="s">
        <v>3659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3660</v>
      </c>
    </row>
    <row r="170" customFormat="false" ht="15" hidden="false" customHeight="false" outlineLevel="0" collapsed="false">
      <c r="A170" s="9" t="s">
        <v>3661</v>
      </c>
      <c r="B170" s="11" t="s">
        <v>3662</v>
      </c>
      <c r="C170" s="9" t="s">
        <v>2964</v>
      </c>
      <c r="D170" s="11" t="s">
        <v>2972</v>
      </c>
      <c r="E170" s="10" t="n">
        <v>6</v>
      </c>
      <c r="F170" s="10" t="n">
        <v>3</v>
      </c>
      <c r="G170" s="10" t="n">
        <v>12</v>
      </c>
      <c r="H170" s="9" t="s">
        <v>3045</v>
      </c>
      <c r="I170" s="11" t="s">
        <v>3663</v>
      </c>
      <c r="J170" s="11" t="s">
        <v>3664</v>
      </c>
      <c r="K170" s="9" t="s">
        <v>3665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3666</v>
      </c>
    </row>
    <row r="171" customFormat="false" ht="15" hidden="false" customHeight="false" outlineLevel="0" collapsed="false">
      <c r="A171" s="9" t="s">
        <v>3667</v>
      </c>
      <c r="B171" s="9" t="s">
        <v>3668</v>
      </c>
      <c r="C171" s="9" t="s">
        <v>2964</v>
      </c>
      <c r="D171" s="11" t="s">
        <v>3023</v>
      </c>
      <c r="E171" s="10" t="n">
        <v>1</v>
      </c>
      <c r="F171" s="10" t="n">
        <v>0</v>
      </c>
      <c r="G171" s="10" t="n">
        <v>1</v>
      </c>
      <c r="H171" s="9" t="s">
        <v>2940</v>
      </c>
      <c r="I171" s="9" t="s">
        <v>3669</v>
      </c>
      <c r="J171" s="11" t="s">
        <v>3023</v>
      </c>
      <c r="K171" s="9" t="s">
        <v>3670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3671</v>
      </c>
    </row>
    <row r="172" customFormat="false" ht="15" hidden="false" customHeight="false" outlineLevel="0" collapsed="false">
      <c r="A172" s="9" t="s">
        <v>3672</v>
      </c>
      <c r="B172" s="9" t="s">
        <v>3673</v>
      </c>
      <c r="C172" s="9" t="s">
        <v>2964</v>
      </c>
      <c r="D172" s="11" t="s">
        <v>3023</v>
      </c>
      <c r="E172" s="10" t="n">
        <v>0</v>
      </c>
      <c r="F172" s="10" t="n">
        <v>0</v>
      </c>
      <c r="G172" s="10" t="n">
        <v>1</v>
      </c>
      <c r="H172" s="9" t="s">
        <v>2940</v>
      </c>
      <c r="I172" s="9" t="s">
        <v>3674</v>
      </c>
      <c r="J172" s="11" t="s">
        <v>3023</v>
      </c>
      <c r="K172" s="11" t="s">
        <v>3675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3676</v>
      </c>
    </row>
    <row r="173" customFormat="false" ht="15" hidden="false" customHeight="false" outlineLevel="0" collapsed="false">
      <c r="A173" s="9" t="s">
        <v>3677</v>
      </c>
      <c r="B173" s="9" t="s">
        <v>3678</v>
      </c>
      <c r="C173" s="9" t="s">
        <v>2964</v>
      </c>
      <c r="D173" s="11" t="s">
        <v>3023</v>
      </c>
      <c r="E173" s="10" t="n">
        <v>0</v>
      </c>
      <c r="F173" s="10" t="n">
        <v>0</v>
      </c>
      <c r="G173" s="10" t="n">
        <v>1</v>
      </c>
      <c r="H173" s="9" t="s">
        <v>2940</v>
      </c>
      <c r="I173" s="9" t="s">
        <v>3679</v>
      </c>
      <c r="J173" s="11" t="s">
        <v>3023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3680</v>
      </c>
    </row>
    <row r="174" customFormat="false" ht="15" hidden="false" customHeight="false" outlineLevel="0" collapsed="false">
      <c r="A174" s="9" t="s">
        <v>3681</v>
      </c>
      <c r="B174" s="11" t="s">
        <v>3682</v>
      </c>
      <c r="C174" s="9" t="s">
        <v>2964</v>
      </c>
      <c r="D174" s="11" t="s">
        <v>3023</v>
      </c>
      <c r="E174" s="10" t="n">
        <v>0</v>
      </c>
      <c r="F174" s="10" t="n">
        <v>0</v>
      </c>
      <c r="G174" s="10" t="n">
        <v>1</v>
      </c>
      <c r="H174" s="9" t="s">
        <v>2940</v>
      </c>
      <c r="I174" s="11" t="s">
        <v>3683</v>
      </c>
      <c r="J174" s="11" t="s">
        <v>3023</v>
      </c>
      <c r="K174" s="9" t="s">
        <v>3684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3685</v>
      </c>
    </row>
    <row r="175" customFormat="false" ht="15" hidden="false" customHeight="false" outlineLevel="0" collapsed="false">
      <c r="A175" s="9" t="s">
        <v>3686</v>
      </c>
      <c r="B175" s="9" t="s">
        <v>3687</v>
      </c>
      <c r="C175" s="9" t="s">
        <v>2964</v>
      </c>
      <c r="D175" s="11" t="s">
        <v>2187</v>
      </c>
      <c r="E175" s="10" t="n">
        <v>2026</v>
      </c>
      <c r="F175" s="10" t="n">
        <v>2026</v>
      </c>
      <c r="G175" s="10" t="n">
        <v>2027</v>
      </c>
      <c r="H175" s="9" t="s">
        <v>3045</v>
      </c>
      <c r="I175" s="9" t="s">
        <v>3688</v>
      </c>
      <c r="J175" s="11" t="s">
        <v>3689</v>
      </c>
      <c r="K175" s="9" t="s">
        <v>3690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3691</v>
      </c>
    </row>
    <row r="176" customFormat="false" ht="15" hidden="false" customHeight="false" outlineLevel="0" collapsed="false">
      <c r="A176" s="9" t="s">
        <v>3692</v>
      </c>
      <c r="B176" s="9" t="s">
        <v>3693</v>
      </c>
      <c r="C176" s="9" t="s">
        <v>2964</v>
      </c>
      <c r="D176" s="11" t="s">
        <v>2187</v>
      </c>
      <c r="E176" s="10" t="n">
        <v>2027</v>
      </c>
      <c r="F176" s="10" t="n">
        <v>2026</v>
      </c>
      <c r="G176" s="10" t="n">
        <v>2028</v>
      </c>
      <c r="H176" s="9" t="s">
        <v>3045</v>
      </c>
      <c r="I176" s="9" t="s">
        <v>3694</v>
      </c>
      <c r="J176" s="11" t="s">
        <v>3695</v>
      </c>
      <c r="K176" s="9" t="s">
        <v>3690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3696</v>
      </c>
    </row>
    <row r="177" customFormat="false" ht="15" hidden="false" customHeight="false" outlineLevel="0" collapsed="false">
      <c r="A177" s="9" t="s">
        <v>3697</v>
      </c>
      <c r="B177" s="9" t="s">
        <v>3698</v>
      </c>
      <c r="C177" s="9" t="s">
        <v>2964</v>
      </c>
      <c r="D177" s="11" t="s">
        <v>2187</v>
      </c>
      <c r="E177" s="10" t="n">
        <v>2027</v>
      </c>
      <c r="F177" s="10" t="n">
        <v>2027</v>
      </c>
      <c r="G177" s="10" t="n">
        <v>2028</v>
      </c>
      <c r="H177" s="9" t="s">
        <v>3045</v>
      </c>
      <c r="I177" s="9" t="s">
        <v>3699</v>
      </c>
      <c r="J177" s="11" t="s">
        <v>1384</v>
      </c>
      <c r="K177" s="9" t="s">
        <v>3690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3700</v>
      </c>
    </row>
    <row r="178" customFormat="false" ht="15" hidden="false" customHeight="false" outlineLevel="0" collapsed="false">
      <c r="A178" s="9" t="s">
        <v>3701</v>
      </c>
      <c r="B178" s="9" t="s">
        <v>3702</v>
      </c>
      <c r="C178" s="9" t="s">
        <v>2964</v>
      </c>
      <c r="D178" s="11" t="s">
        <v>2187</v>
      </c>
      <c r="E178" s="10" t="n">
        <v>2026</v>
      </c>
      <c r="F178" s="10" t="n">
        <v>2026</v>
      </c>
      <c r="G178" s="10" t="n">
        <v>2027</v>
      </c>
      <c r="H178" s="9" t="s">
        <v>3045</v>
      </c>
      <c r="I178" s="9" t="s">
        <v>3703</v>
      </c>
      <c r="J178" s="11" t="s">
        <v>3704</v>
      </c>
      <c r="K178" s="9" t="s">
        <v>3705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3706</v>
      </c>
    </row>
    <row r="179" customFormat="false" ht="15" hidden="false" customHeight="false" outlineLevel="0" collapsed="false">
      <c r="A179" s="9" t="s">
        <v>3707</v>
      </c>
      <c r="B179" s="9" t="s">
        <v>3708</v>
      </c>
      <c r="C179" s="9" t="s">
        <v>2964</v>
      </c>
      <c r="D179" s="11" t="s">
        <v>2187</v>
      </c>
      <c r="E179" s="10" t="n">
        <v>2027</v>
      </c>
      <c r="F179" s="10" t="n">
        <v>2026</v>
      </c>
      <c r="G179" s="10" t="n">
        <v>2028</v>
      </c>
      <c r="H179" s="9" t="s">
        <v>3045</v>
      </c>
      <c r="I179" s="9" t="s">
        <v>3709</v>
      </c>
      <c r="J179" s="11" t="s">
        <v>1384</v>
      </c>
      <c r="K179" s="9" t="s">
        <v>3690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3710</v>
      </c>
    </row>
    <row r="180" customFormat="false" ht="15" hidden="false" customHeight="false" outlineLevel="0" collapsed="false">
      <c r="A180" s="9" t="s">
        <v>3711</v>
      </c>
      <c r="B180" s="11" t="s">
        <v>3712</v>
      </c>
      <c r="C180" s="9" t="s">
        <v>2964</v>
      </c>
      <c r="D180" s="11" t="s">
        <v>2187</v>
      </c>
      <c r="E180" s="10" t="n">
        <v>2028</v>
      </c>
      <c r="F180" s="10" t="n">
        <v>2027</v>
      </c>
      <c r="G180" s="10" t="n">
        <v>2029</v>
      </c>
      <c r="H180" s="9" t="s">
        <v>3045</v>
      </c>
      <c r="I180" s="9" t="s">
        <v>3713</v>
      </c>
      <c r="J180" s="11" t="s">
        <v>3714</v>
      </c>
      <c r="K180" s="9" t="s">
        <v>3715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3716</v>
      </c>
    </row>
    <row r="181" customFormat="false" ht="15" hidden="false" customHeight="false" outlineLevel="0" collapsed="false">
      <c r="A181" s="9" t="s">
        <v>3717</v>
      </c>
      <c r="B181" s="11" t="s">
        <v>3718</v>
      </c>
      <c r="C181" s="9" t="s">
        <v>2964</v>
      </c>
      <c r="D181" s="11" t="s">
        <v>2187</v>
      </c>
      <c r="E181" s="10" t="n">
        <v>20</v>
      </c>
      <c r="F181" s="10" t="n">
        <v>20</v>
      </c>
      <c r="G181" s="10" t="n">
        <v>20</v>
      </c>
      <c r="H181" s="9" t="s">
        <v>2940</v>
      </c>
      <c r="I181" s="9" t="s">
        <v>3719</v>
      </c>
      <c r="J181" s="11" t="s">
        <v>3581</v>
      </c>
      <c r="K181" s="11" t="s">
        <v>3720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3721</v>
      </c>
    </row>
    <row r="182" customFormat="false" ht="15" hidden="false" customHeight="false" outlineLevel="0" collapsed="false">
      <c r="A182" s="9" t="s">
        <v>3722</v>
      </c>
      <c r="B182" s="11" t="s">
        <v>3723</v>
      </c>
      <c r="C182" s="9" t="s">
        <v>2964</v>
      </c>
      <c r="D182" s="11" t="s">
        <v>2187</v>
      </c>
      <c r="E182" s="10" t="n">
        <v>20</v>
      </c>
      <c r="F182" s="10" t="n">
        <v>20</v>
      </c>
      <c r="G182" s="10" t="n">
        <v>20</v>
      </c>
      <c r="H182" s="9" t="s">
        <v>2940</v>
      </c>
      <c r="I182" s="9" t="s">
        <v>3724</v>
      </c>
      <c r="J182" s="11" t="s">
        <v>3581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3725</v>
      </c>
    </row>
    <row r="183" customFormat="false" ht="15" hidden="false" customHeight="false" outlineLevel="0" collapsed="false">
      <c r="A183" s="9" t="s">
        <v>3726</v>
      </c>
      <c r="B183" s="11" t="s">
        <v>3727</v>
      </c>
      <c r="C183" s="9" t="s">
        <v>2964</v>
      </c>
      <c r="D183" s="11" t="s">
        <v>2187</v>
      </c>
      <c r="E183" s="10" t="n">
        <v>15</v>
      </c>
      <c r="F183" s="10" t="n">
        <v>15</v>
      </c>
      <c r="G183" s="10" t="n">
        <v>15</v>
      </c>
      <c r="H183" s="9" t="s">
        <v>2940</v>
      </c>
      <c r="I183" s="9" t="s">
        <v>3728</v>
      </c>
      <c r="J183" s="11" t="s">
        <v>3581</v>
      </c>
      <c r="K183" s="11" t="s">
        <v>3729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3730</v>
      </c>
    </row>
    <row r="184" customFormat="false" ht="15" hidden="false" customHeight="false" outlineLevel="0" collapsed="false">
      <c r="A184" s="9" t="s">
        <v>3731</v>
      </c>
      <c r="B184" s="11" t="s">
        <v>3732</v>
      </c>
      <c r="C184" s="9" t="s">
        <v>2964</v>
      </c>
      <c r="D184" s="11" t="s">
        <v>267</v>
      </c>
      <c r="E184" s="10" t="n">
        <v>0.25</v>
      </c>
      <c r="F184" s="10" t="n">
        <v>0.25</v>
      </c>
      <c r="G184" s="10" t="n">
        <v>0.25</v>
      </c>
      <c r="H184" s="9" t="s">
        <v>2940</v>
      </c>
      <c r="I184" s="9" t="s">
        <v>3733</v>
      </c>
      <c r="J184" s="11" t="s">
        <v>3041</v>
      </c>
      <c r="K184" s="9" t="s">
        <v>32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3734</v>
      </c>
    </row>
    <row r="185" customFormat="false" ht="15" hidden="false" customHeight="false" outlineLevel="0" collapsed="false">
      <c r="A185" s="9" t="s">
        <v>3735</v>
      </c>
      <c r="B185" s="9" t="s">
        <v>3736</v>
      </c>
      <c r="C185" s="9" t="s">
        <v>2964</v>
      </c>
      <c r="D185" s="11" t="s">
        <v>2187</v>
      </c>
      <c r="E185" s="10" t="n">
        <v>2028</v>
      </c>
      <c r="F185" s="10" t="n">
        <v>2027</v>
      </c>
      <c r="G185" s="10" t="n">
        <v>2029</v>
      </c>
      <c r="H185" s="9" t="s">
        <v>3045</v>
      </c>
      <c r="I185" s="11" t="s">
        <v>3737</v>
      </c>
      <c r="J185" s="9" t="s">
        <v>3738</v>
      </c>
      <c r="K185" s="9" t="s">
        <v>3739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3740</v>
      </c>
    </row>
    <row r="186" customFormat="false" ht="15" hidden="false" customHeight="false" outlineLevel="0" collapsed="false">
      <c r="A186" s="9" t="s">
        <v>3741</v>
      </c>
      <c r="B186" s="9" t="s">
        <v>3742</v>
      </c>
      <c r="C186" s="9" t="s">
        <v>2964</v>
      </c>
      <c r="D186" s="11" t="s">
        <v>2187</v>
      </c>
      <c r="E186" s="10" t="n">
        <v>7</v>
      </c>
      <c r="F186" s="10" t="n">
        <v>5</v>
      </c>
      <c r="G186" s="10" t="n">
        <v>10</v>
      </c>
      <c r="H186" s="9" t="s">
        <v>3045</v>
      </c>
      <c r="I186" s="11" t="s">
        <v>3743</v>
      </c>
      <c r="J186" s="11" t="s">
        <v>3744</v>
      </c>
      <c r="K186" s="9" t="s">
        <v>3745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3746</v>
      </c>
    </row>
    <row r="187" customFormat="false" ht="15" hidden="false" customHeight="false" outlineLevel="0" collapsed="false">
      <c r="A187" s="9" t="s">
        <v>3747</v>
      </c>
      <c r="B187" s="9" t="s">
        <v>3748</v>
      </c>
      <c r="C187" s="9" t="s">
        <v>2964</v>
      </c>
      <c r="D187" s="11" t="s">
        <v>3023</v>
      </c>
      <c r="E187" s="10" t="n">
        <v>1</v>
      </c>
      <c r="F187" s="10" t="n">
        <v>0</v>
      </c>
      <c r="G187" s="10" t="n">
        <v>1</v>
      </c>
      <c r="H187" s="9" t="s">
        <v>2940</v>
      </c>
      <c r="I187" s="9" t="s">
        <v>3749</v>
      </c>
      <c r="J187" s="11" t="s">
        <v>3023</v>
      </c>
      <c r="K187" s="11" t="s">
        <v>3750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3751</v>
      </c>
    </row>
    <row r="188" customFormat="false" ht="15" hidden="false" customHeight="false" outlineLevel="0" collapsed="false">
      <c r="A188" s="9" t="s">
        <v>3752</v>
      </c>
      <c r="B188" s="11" t="s">
        <v>3753</v>
      </c>
      <c r="C188" s="9" t="s">
        <v>2964</v>
      </c>
      <c r="D188" s="11" t="s">
        <v>3023</v>
      </c>
      <c r="E188" s="10" t="n">
        <v>0</v>
      </c>
      <c r="F188" s="10" t="n">
        <v>0</v>
      </c>
      <c r="G188" s="10" t="n">
        <v>1</v>
      </c>
      <c r="H188" s="9" t="s">
        <v>2940</v>
      </c>
      <c r="I188" s="11" t="s">
        <v>3754</v>
      </c>
      <c r="J188" s="11" t="s">
        <v>3023</v>
      </c>
      <c r="K188" s="11" t="s">
        <v>3755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3756</v>
      </c>
    </row>
    <row r="189" customFormat="false" ht="15" hidden="false" customHeight="false" outlineLevel="0" collapsed="false">
      <c r="A189" s="9" t="s">
        <v>3757</v>
      </c>
      <c r="B189" s="11" t="s">
        <v>3758</v>
      </c>
      <c r="C189" s="9" t="s">
        <v>2964</v>
      </c>
      <c r="D189" s="11" t="s">
        <v>267</v>
      </c>
      <c r="E189" s="10" t="n">
        <v>0.3</v>
      </c>
      <c r="F189" s="10" t="n">
        <v>0</v>
      </c>
      <c r="G189" s="10" t="n">
        <v>0.6</v>
      </c>
      <c r="H189" s="9" t="s">
        <v>3045</v>
      </c>
      <c r="I189" s="11" t="s">
        <v>3759</v>
      </c>
      <c r="J189" s="11" t="s">
        <v>3760</v>
      </c>
      <c r="K189" s="9" t="s">
        <v>3761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3762</v>
      </c>
    </row>
    <row r="190" customFormat="false" ht="15" hidden="false" customHeight="false" outlineLevel="0" collapsed="false">
      <c r="A190" s="9" t="s">
        <v>3763</v>
      </c>
      <c r="B190" s="11" t="s">
        <v>3764</v>
      </c>
      <c r="C190" s="9" t="s">
        <v>2964</v>
      </c>
      <c r="D190" s="11" t="s">
        <v>2187</v>
      </c>
      <c r="E190" s="10" t="n">
        <v>2029</v>
      </c>
      <c r="F190" s="10" t="n">
        <v>2029</v>
      </c>
      <c r="G190" s="10" t="n">
        <v>2029</v>
      </c>
      <c r="H190" s="9" t="s">
        <v>2940</v>
      </c>
      <c r="I190" s="11" t="s">
        <v>3765</v>
      </c>
      <c r="J190" s="11" t="s">
        <v>3766</v>
      </c>
      <c r="K190" s="9" t="s">
        <v>3767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3768</v>
      </c>
    </row>
    <row r="191" customFormat="false" ht="15" hidden="false" customHeight="false" outlineLevel="0" collapsed="false">
      <c r="A191" s="9" t="s">
        <v>3769</v>
      </c>
      <c r="B191" s="11" t="s">
        <v>3770</v>
      </c>
      <c r="C191" s="9" t="s">
        <v>2964</v>
      </c>
      <c r="D191" s="11" t="s">
        <v>2187</v>
      </c>
      <c r="E191" s="10" t="n">
        <v>2030</v>
      </c>
      <c r="F191" s="10" t="n">
        <v>2030</v>
      </c>
      <c r="G191" s="10" t="n">
        <v>2030</v>
      </c>
      <c r="H191" s="9" t="s">
        <v>2940</v>
      </c>
      <c r="I191" s="11" t="s">
        <v>3765</v>
      </c>
      <c r="J191" s="11" t="s">
        <v>3766</v>
      </c>
      <c r="K191" s="9" t="s">
        <v>3767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3771</v>
      </c>
    </row>
    <row r="192" customFormat="false" ht="15" hidden="false" customHeight="false" outlineLevel="0" collapsed="false">
      <c r="A192" s="9" t="s">
        <v>3772</v>
      </c>
      <c r="B192" s="11" t="s">
        <v>3773</v>
      </c>
      <c r="C192" s="9" t="s">
        <v>2964</v>
      </c>
      <c r="D192" s="11" t="s">
        <v>267</v>
      </c>
      <c r="E192" s="10" t="n">
        <v>0</v>
      </c>
      <c r="F192" s="10" t="n">
        <v>0</v>
      </c>
      <c r="G192" s="10" t="n">
        <v>0</v>
      </c>
      <c r="H192" s="9" t="s">
        <v>2940</v>
      </c>
      <c r="I192" s="11" t="s">
        <v>3774</v>
      </c>
      <c r="J192" s="11" t="s">
        <v>2942</v>
      </c>
      <c r="K192" s="11" t="s">
        <v>3775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3776</v>
      </c>
    </row>
    <row r="193" customFormat="false" ht="15" hidden="false" customHeight="false" outlineLevel="0" collapsed="false">
      <c r="A193" s="9" t="s">
        <v>3777</v>
      </c>
      <c r="B193" s="11" t="s">
        <v>3778</v>
      </c>
      <c r="C193" s="9" t="s">
        <v>2964</v>
      </c>
      <c r="D193" s="11" t="s">
        <v>267</v>
      </c>
      <c r="E193" s="10" t="n">
        <v>0.5</v>
      </c>
      <c r="F193" s="10" t="n">
        <v>0.25</v>
      </c>
      <c r="G193" s="10" t="n">
        <v>0.75</v>
      </c>
      <c r="H193" s="9" t="s">
        <v>3045</v>
      </c>
      <c r="I193" s="11" t="s">
        <v>3779</v>
      </c>
      <c r="J193" s="11" t="s">
        <v>3780</v>
      </c>
      <c r="K193" s="11" t="s">
        <v>2987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3781</v>
      </c>
    </row>
    <row r="194" customFormat="false" ht="15" hidden="false" customHeight="false" outlineLevel="0" collapsed="false">
      <c r="A194" s="9" t="s">
        <v>3782</v>
      </c>
      <c r="B194" s="11" t="s">
        <v>3783</v>
      </c>
      <c r="C194" s="9" t="s">
        <v>2964</v>
      </c>
      <c r="D194" s="11" t="s">
        <v>267</v>
      </c>
      <c r="E194" s="10" t="n">
        <v>1</v>
      </c>
      <c r="F194" s="10" t="n">
        <v>1</v>
      </c>
      <c r="G194" s="10" t="n">
        <v>1</v>
      </c>
      <c r="H194" s="9" t="s">
        <v>2940</v>
      </c>
      <c r="I194" s="11" t="s">
        <v>3784</v>
      </c>
      <c r="J194" s="11" t="s">
        <v>2942</v>
      </c>
      <c r="K194" s="11" t="s">
        <v>2987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3785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1" t="s">
        <v>3786</v>
      </c>
    </row>
    <row r="2" customFormat="false" ht="15" hidden="false" customHeight="false" outlineLevel="0" collapsed="false">
      <c r="A2" s="12" t="s">
        <v>3787</v>
      </c>
    </row>
    <row r="3" customFormat="false" ht="15" hidden="false" customHeight="false" outlineLevel="0" collapsed="false">
      <c r="A3" s="2" t="s">
        <v>3788</v>
      </c>
    </row>
    <row r="5" customFormat="false" ht="15" hidden="false" customHeight="false" outlineLevel="0" collapsed="false">
      <c r="A5" s="8" t="s">
        <v>3789</v>
      </c>
      <c r="B5" s="8" t="s">
        <v>46</v>
      </c>
      <c r="C5" s="8" t="s">
        <v>50</v>
      </c>
      <c r="D5" s="7" t="s">
        <v>75</v>
      </c>
      <c r="E5" s="7" t="s">
        <v>304</v>
      </c>
      <c r="F5" s="7" t="s">
        <v>2855</v>
      </c>
      <c r="G5" s="7" t="s">
        <v>1658</v>
      </c>
      <c r="H5" s="7" t="s">
        <v>2856</v>
      </c>
      <c r="I5" s="7" t="s">
        <v>2857</v>
      </c>
      <c r="J5" s="8"/>
      <c r="K5" s="8" t="s">
        <v>2517</v>
      </c>
    </row>
    <row r="6" customFormat="false" ht="15" hidden="false" customHeight="false" outlineLevel="0" collapsed="false">
      <c r="B6" s="3" t="s">
        <v>3790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3791</v>
      </c>
    </row>
    <row r="8" customFormat="false" ht="15" hidden="false" customHeight="false" outlineLevel="0" collapsed="false">
      <c r="A8" s="9" t="s">
        <v>3792</v>
      </c>
      <c r="B8" s="11" t="s">
        <v>3793</v>
      </c>
      <c r="C8" s="11" t="s">
        <v>267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3794</v>
      </c>
    </row>
    <row r="9" customFormat="false" ht="15" hidden="false" customHeight="false" outlineLevel="0" collapsed="false">
      <c r="A9" s="9" t="s">
        <v>3795</v>
      </c>
      <c r="B9" s="11" t="s">
        <v>3796</v>
      </c>
      <c r="C9" s="11" t="s">
        <v>267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3794</v>
      </c>
    </row>
    <row r="10" customFormat="false" ht="15" hidden="false" customHeight="false" outlineLevel="0" collapsed="false">
      <c r="A10" s="9" t="s">
        <v>3797</v>
      </c>
      <c r="B10" s="11" t="s">
        <v>3798</v>
      </c>
      <c r="C10" s="11" t="s">
        <v>267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3799</v>
      </c>
    </row>
    <row r="11" customFormat="false" ht="15" hidden="false" customHeight="false" outlineLevel="0" collapsed="false">
      <c r="A11" s="9" t="s">
        <v>3800</v>
      </c>
      <c r="B11" s="11" t="s">
        <v>3801</v>
      </c>
      <c r="C11" s="9" t="s">
        <v>3802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3803</v>
      </c>
    </row>
    <row r="12" customFormat="false" ht="15" hidden="false" customHeight="false" outlineLevel="0" collapsed="false">
      <c r="A12" s="9" t="s">
        <v>3804</v>
      </c>
      <c r="B12" s="9" t="s">
        <v>3805</v>
      </c>
      <c r="C12" s="9" t="s">
        <v>3802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3806</v>
      </c>
      <c r="B13" s="9" t="s">
        <v>3807</v>
      </c>
      <c r="C13" s="9" t="s">
        <v>3802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3808</v>
      </c>
      <c r="B14" s="9" t="s">
        <v>3809</v>
      </c>
      <c r="C14" s="9" t="s">
        <v>3802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3810</v>
      </c>
      <c r="B15" s="9" t="s">
        <v>3811</v>
      </c>
      <c r="C15" s="9" t="s">
        <v>3802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3812</v>
      </c>
    </row>
    <row r="16" customFormat="false" ht="15" hidden="false" customHeight="false" outlineLevel="0" collapsed="false">
      <c r="A16" s="9" t="s">
        <v>3813</v>
      </c>
      <c r="B16" s="11" t="s">
        <v>3814</v>
      </c>
      <c r="C16" s="11" t="s">
        <v>267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3794</v>
      </c>
    </row>
    <row r="17" customFormat="false" ht="15" hidden="false" customHeight="false" outlineLevel="0" collapsed="false">
      <c r="A17" s="9" t="s">
        <v>3815</v>
      </c>
      <c r="B17" s="11" t="s">
        <v>3816</v>
      </c>
      <c r="C17" s="11" t="s">
        <v>267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3794</v>
      </c>
    </row>
    <row r="18" customFormat="false" ht="15" hidden="false" customHeight="false" outlineLevel="0" collapsed="false">
      <c r="A18" s="9" t="s">
        <v>3817</v>
      </c>
      <c r="B18" s="11" t="s">
        <v>3818</v>
      </c>
      <c r="C18" s="11" t="s">
        <v>267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3819</v>
      </c>
    </row>
    <row r="19" customFormat="false" ht="15" hidden="false" customHeight="false" outlineLevel="0" collapsed="false">
      <c r="A19" s="9" t="s">
        <v>3820</v>
      </c>
      <c r="B19" s="11" t="s">
        <v>3821</v>
      </c>
      <c r="C19" s="9" t="s">
        <v>3802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3822</v>
      </c>
    </row>
    <row r="20" customFormat="false" ht="15" hidden="false" customHeight="false" outlineLevel="0" collapsed="false">
      <c r="A20" s="9" t="s">
        <v>3823</v>
      </c>
      <c r="B20" s="9" t="s">
        <v>3824</v>
      </c>
      <c r="C20" s="9" t="s">
        <v>3802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3825</v>
      </c>
      <c r="B21" s="9" t="s">
        <v>3826</v>
      </c>
      <c r="C21" s="9" t="s">
        <v>3802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3827</v>
      </c>
      <c r="B22" s="9" t="s">
        <v>3828</v>
      </c>
      <c r="C22" s="9" t="s">
        <v>3802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3829</v>
      </c>
    </row>
    <row r="24" customFormat="false" ht="15" hidden="false" customHeight="false" outlineLevel="0" collapsed="false">
      <c r="A24" s="9" t="s">
        <v>3830</v>
      </c>
      <c r="B24" s="9" t="s">
        <v>3831</v>
      </c>
      <c r="C24" s="11" t="s">
        <v>3145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3832</v>
      </c>
    </row>
    <row r="25" customFormat="false" ht="15" hidden="false" customHeight="false" outlineLevel="0" collapsed="false">
      <c r="A25" s="9" t="s">
        <v>3833</v>
      </c>
      <c r="B25" s="9" t="s">
        <v>3834</v>
      </c>
      <c r="C25" s="11" t="s">
        <v>3145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3832</v>
      </c>
    </row>
    <row r="26" customFormat="false" ht="15" hidden="false" customHeight="false" outlineLevel="0" collapsed="false">
      <c r="A26" s="9" t="s">
        <v>3835</v>
      </c>
      <c r="B26" s="9" t="s">
        <v>3836</v>
      </c>
      <c r="C26" s="11" t="s">
        <v>3145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3832</v>
      </c>
    </row>
    <row r="27" customFormat="false" ht="15" hidden="false" customHeight="false" outlineLevel="0" collapsed="false">
      <c r="A27" s="9" t="s">
        <v>3837</v>
      </c>
      <c r="B27" s="9" t="s">
        <v>3838</v>
      </c>
      <c r="C27" s="11" t="s">
        <v>3145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3832</v>
      </c>
    </row>
    <row r="28" customFormat="false" ht="15" hidden="false" customHeight="false" outlineLevel="0" collapsed="false">
      <c r="A28" s="9" t="s">
        <v>3839</v>
      </c>
      <c r="B28" s="9" t="s">
        <v>3840</v>
      </c>
      <c r="C28" s="11" t="s">
        <v>3145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3832</v>
      </c>
    </row>
    <row r="29" customFormat="false" ht="15" hidden="false" customHeight="false" outlineLevel="0" collapsed="false">
      <c r="A29" s="9" t="s">
        <v>3841</v>
      </c>
      <c r="B29" s="9" t="s">
        <v>3842</v>
      </c>
      <c r="C29" s="11" t="s">
        <v>3145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3832</v>
      </c>
    </row>
    <row r="30" customFormat="false" ht="15" hidden="false" customHeight="false" outlineLevel="0" collapsed="false">
      <c r="A30" s="9" t="s">
        <v>3843</v>
      </c>
      <c r="B30" s="9" t="s">
        <v>3844</v>
      </c>
      <c r="C30" s="11" t="s">
        <v>3145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3832</v>
      </c>
    </row>
    <row r="31" customFormat="false" ht="15" hidden="false" customHeight="false" outlineLevel="0" collapsed="false">
      <c r="A31" s="9" t="s">
        <v>3845</v>
      </c>
      <c r="B31" s="11" t="s">
        <v>3846</v>
      </c>
      <c r="C31" s="9" t="s">
        <v>3331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3847</v>
      </c>
    </row>
    <row r="32" customFormat="false" ht="15" hidden="false" customHeight="false" outlineLevel="0" collapsed="false">
      <c r="A32" s="9" t="s">
        <v>3848</v>
      </c>
      <c r="B32" s="11" t="s">
        <v>3849</v>
      </c>
      <c r="C32" s="9" t="s">
        <v>3331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3847</v>
      </c>
    </row>
    <row r="33" customFormat="false" ht="15" hidden="false" customHeight="false" outlineLevel="0" collapsed="false">
      <c r="A33" s="9" t="s">
        <v>3850</v>
      </c>
      <c r="B33" s="11" t="s">
        <v>3851</v>
      </c>
      <c r="C33" s="9" t="s">
        <v>3331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3847</v>
      </c>
    </row>
    <row r="34" customFormat="false" ht="15" hidden="false" customHeight="false" outlineLevel="0" collapsed="false">
      <c r="A34" s="9" t="s">
        <v>3852</v>
      </c>
      <c r="B34" s="9" t="s">
        <v>3853</v>
      </c>
      <c r="C34" s="9" t="s">
        <v>2882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3854</v>
      </c>
    </row>
    <row r="35" customFormat="false" ht="15" hidden="false" customHeight="false" outlineLevel="0" collapsed="false">
      <c r="A35" s="9" t="s">
        <v>3855</v>
      </c>
      <c r="B35" s="9" t="s">
        <v>3856</v>
      </c>
      <c r="C35" s="9" t="s">
        <v>2882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3854</v>
      </c>
    </row>
    <row r="36" customFormat="false" ht="15" hidden="false" customHeight="false" outlineLevel="0" collapsed="false">
      <c r="A36" s="9" t="s">
        <v>3857</v>
      </c>
      <c r="B36" s="9" t="s">
        <v>3858</v>
      </c>
      <c r="C36" s="9" t="s">
        <v>2882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3854</v>
      </c>
    </row>
    <row r="37" customFormat="false" ht="15" hidden="false" customHeight="false" outlineLevel="0" collapsed="false">
      <c r="A37" s="9" t="s">
        <v>3859</v>
      </c>
      <c r="B37" s="9" t="s">
        <v>3860</v>
      </c>
      <c r="C37" s="9" t="s">
        <v>2882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3854</v>
      </c>
    </row>
    <row r="38" customFormat="false" ht="15" hidden="false" customHeight="false" outlineLevel="0" collapsed="false">
      <c r="A38" s="9" t="s">
        <v>3861</v>
      </c>
      <c r="B38" s="9" t="s">
        <v>3862</v>
      </c>
      <c r="C38" s="9" t="s">
        <v>2882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3854</v>
      </c>
    </row>
    <row r="39" customFormat="false" ht="15" hidden="false" customHeight="false" outlineLevel="0" collapsed="false">
      <c r="A39" s="9" t="s">
        <v>3863</v>
      </c>
      <c r="B39" s="9" t="s">
        <v>3864</v>
      </c>
      <c r="C39" s="9" t="s">
        <v>2882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3854</v>
      </c>
    </row>
    <row r="40" customFormat="false" ht="15" hidden="false" customHeight="false" outlineLevel="0" collapsed="false">
      <c r="A40" s="9" t="s">
        <v>3865</v>
      </c>
      <c r="B40" s="9" t="s">
        <v>3866</v>
      </c>
      <c r="C40" s="9" t="s">
        <v>2882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3854</v>
      </c>
    </row>
    <row r="41" customFormat="false" ht="15" hidden="false" customHeight="false" outlineLevel="0" collapsed="false">
      <c r="A41" s="9" t="s">
        <v>3867</v>
      </c>
      <c r="B41" s="11" t="s">
        <v>3868</v>
      </c>
      <c r="C41" s="9" t="s">
        <v>2882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3869</v>
      </c>
      <c r="B42" s="11" t="s">
        <v>3870</v>
      </c>
      <c r="C42" s="9" t="s">
        <v>2882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3871</v>
      </c>
    </row>
    <row r="43" customFormat="false" ht="15" hidden="false" customHeight="false" outlineLevel="0" collapsed="false">
      <c r="A43" s="9" t="s">
        <v>3872</v>
      </c>
      <c r="B43" s="11" t="s">
        <v>3873</v>
      </c>
      <c r="C43" s="9" t="s">
        <v>2882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3871</v>
      </c>
    </row>
    <row r="44" customFormat="false" ht="15" hidden="false" customHeight="false" outlineLevel="0" collapsed="false">
      <c r="A44" s="9" t="s">
        <v>3874</v>
      </c>
      <c r="B44" s="11" t="s">
        <v>3875</v>
      </c>
      <c r="C44" s="9" t="s">
        <v>2882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3871</v>
      </c>
    </row>
    <row r="45" customFormat="false" ht="15" hidden="false" customHeight="false" outlineLevel="0" collapsed="false">
      <c r="A45" s="9" t="s">
        <v>3876</v>
      </c>
      <c r="B45" s="9" t="s">
        <v>3877</v>
      </c>
      <c r="C45" s="9" t="s">
        <v>2882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3878</v>
      </c>
      <c r="B46" s="9" t="s">
        <v>3879</v>
      </c>
      <c r="C46" s="9" t="s">
        <v>2882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3880</v>
      </c>
      <c r="B47" s="9" t="s">
        <v>3881</v>
      </c>
      <c r="C47" s="9" t="s">
        <v>2882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3882</v>
      </c>
      <c r="B48" s="11" t="s">
        <v>3883</v>
      </c>
      <c r="C48" s="11" t="s">
        <v>267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3884</v>
      </c>
    </row>
    <row r="49" customFormat="false" ht="15" hidden="false" customHeight="false" outlineLevel="0" collapsed="false">
      <c r="A49" s="9" t="s">
        <v>3885</v>
      </c>
      <c r="B49" s="11" t="s">
        <v>3886</v>
      </c>
      <c r="C49" s="11" t="s">
        <v>267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3887</v>
      </c>
    </row>
    <row r="50" customFormat="false" ht="15" hidden="false" customHeight="false" outlineLevel="0" collapsed="false">
      <c r="A50" s="15" t="s">
        <v>3888</v>
      </c>
    </row>
    <row r="51" customFormat="false" ht="15" hidden="false" customHeight="false" outlineLevel="0" collapsed="false">
      <c r="A51" s="9" t="s">
        <v>3889</v>
      </c>
      <c r="B51" s="11" t="s">
        <v>3890</v>
      </c>
      <c r="C51" s="11" t="s">
        <v>745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3891</v>
      </c>
    </row>
    <row r="52" customFormat="false" ht="15" hidden="false" customHeight="false" outlineLevel="0" collapsed="false">
      <c r="A52" s="9" t="s">
        <v>3892</v>
      </c>
      <c r="B52" s="9" t="s">
        <v>3893</v>
      </c>
      <c r="C52" s="9" t="s">
        <v>3331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3894</v>
      </c>
    </row>
    <row r="53" customFormat="false" ht="15" hidden="false" customHeight="false" outlineLevel="0" collapsed="false">
      <c r="A53" s="9" t="s">
        <v>3895</v>
      </c>
      <c r="B53" s="9" t="s">
        <v>3896</v>
      </c>
      <c r="C53" s="11" t="s">
        <v>3897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3898</v>
      </c>
    </row>
    <row r="54" customFormat="false" ht="15" hidden="false" customHeight="false" outlineLevel="0" collapsed="false">
      <c r="A54" s="9" t="s">
        <v>3899</v>
      </c>
      <c r="B54" s="9" t="s">
        <v>3900</v>
      </c>
      <c r="C54" s="9" t="s">
        <v>2882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3901</v>
      </c>
    </row>
    <row r="55" customFormat="false" ht="15" hidden="false" customHeight="false" outlineLevel="0" collapsed="false">
      <c r="A55" s="9" t="s">
        <v>3902</v>
      </c>
      <c r="B55" s="9" t="s">
        <v>3903</v>
      </c>
      <c r="C55" s="11" t="s">
        <v>3097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3904</v>
      </c>
    </row>
    <row r="56" customFormat="false" ht="15" hidden="false" customHeight="false" outlineLevel="0" collapsed="false">
      <c r="A56" s="9" t="s">
        <v>3905</v>
      </c>
      <c r="B56" s="9" t="s">
        <v>3906</v>
      </c>
      <c r="C56" s="9" t="s">
        <v>2882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3907</v>
      </c>
    </row>
    <row r="57" customFormat="false" ht="15" hidden="false" customHeight="false" outlineLevel="0" collapsed="false">
      <c r="A57" s="9" t="s">
        <v>3908</v>
      </c>
      <c r="B57" s="9" t="s">
        <v>3909</v>
      </c>
      <c r="C57" s="9" t="s">
        <v>2882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3907</v>
      </c>
    </row>
    <row r="58" customFormat="false" ht="15" hidden="false" customHeight="false" outlineLevel="0" collapsed="false">
      <c r="A58" s="9" t="s">
        <v>3910</v>
      </c>
      <c r="B58" s="9" t="s">
        <v>3911</v>
      </c>
      <c r="C58" s="9" t="s">
        <v>2882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3907</v>
      </c>
    </row>
    <row r="59" customFormat="false" ht="15" hidden="false" customHeight="false" outlineLevel="0" collapsed="false">
      <c r="A59" s="15" t="s">
        <v>3912</v>
      </c>
    </row>
    <row r="60" customFormat="false" ht="15" hidden="false" customHeight="false" outlineLevel="0" collapsed="false">
      <c r="A60" s="9" t="s">
        <v>3913</v>
      </c>
      <c r="B60" s="11" t="s">
        <v>3914</v>
      </c>
      <c r="C60" s="9" t="s">
        <v>2882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3915</v>
      </c>
    </row>
    <row r="61" customFormat="false" ht="15" hidden="false" customHeight="false" outlineLevel="0" collapsed="false">
      <c r="A61" s="9" t="s">
        <v>3916</v>
      </c>
      <c r="B61" s="11" t="s">
        <v>3917</v>
      </c>
      <c r="C61" s="9" t="s">
        <v>2882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3915</v>
      </c>
    </row>
    <row r="62" customFormat="false" ht="15" hidden="false" customHeight="false" outlineLevel="0" collapsed="false">
      <c r="A62" s="9" t="s">
        <v>3918</v>
      </c>
      <c r="B62" s="11" t="s">
        <v>3919</v>
      </c>
      <c r="C62" s="9" t="s">
        <v>2882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3915</v>
      </c>
    </row>
    <row r="63" customFormat="false" ht="15" hidden="false" customHeight="false" outlineLevel="0" collapsed="false">
      <c r="A63" s="9" t="s">
        <v>3920</v>
      </c>
      <c r="B63" s="11" t="s">
        <v>3921</v>
      </c>
      <c r="C63" s="9" t="s">
        <v>2882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3922</v>
      </c>
    </row>
    <row r="64" customFormat="false" ht="15" hidden="false" customHeight="false" outlineLevel="0" collapsed="false">
      <c r="A64" s="9" t="s">
        <v>3923</v>
      </c>
      <c r="B64" s="11" t="s">
        <v>3924</v>
      </c>
      <c r="C64" s="9" t="s">
        <v>2882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3922</v>
      </c>
    </row>
    <row r="65" customFormat="false" ht="15" hidden="false" customHeight="false" outlineLevel="0" collapsed="false">
      <c r="A65" s="9" t="s">
        <v>3925</v>
      </c>
      <c r="B65" s="11" t="s">
        <v>3926</v>
      </c>
      <c r="C65" s="9" t="s">
        <v>2882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3922</v>
      </c>
    </row>
    <row r="66" customFormat="false" ht="15" hidden="false" customHeight="false" outlineLevel="0" collapsed="false">
      <c r="A66" s="9" t="s">
        <v>3927</v>
      </c>
      <c r="B66" s="11" t="s">
        <v>3928</v>
      </c>
      <c r="C66" s="9" t="s">
        <v>2882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3929</v>
      </c>
      <c r="B67" s="11" t="s">
        <v>3930</v>
      </c>
      <c r="C67" s="9" t="s">
        <v>2882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3931</v>
      </c>
      <c r="B68" s="9" t="s">
        <v>2881</v>
      </c>
      <c r="C68" s="9" t="s">
        <v>2882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3932</v>
      </c>
      <c r="B69" s="11" t="s">
        <v>3933</v>
      </c>
      <c r="C69" s="9" t="s">
        <v>2882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3934</v>
      </c>
    </row>
    <row r="70" customFormat="false" ht="15" hidden="false" customHeight="false" outlineLevel="0" collapsed="false">
      <c r="A70" s="9" t="s">
        <v>3935</v>
      </c>
      <c r="B70" s="9" t="s">
        <v>3936</v>
      </c>
      <c r="C70" s="11" t="s">
        <v>267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3937</v>
      </c>
    </row>
    <row r="72" customFormat="false" ht="15" hidden="false" customHeight="false" outlineLevel="0" collapsed="false">
      <c r="A72" s="9" t="s">
        <v>3938</v>
      </c>
      <c r="B72" s="9" t="s">
        <v>3939</v>
      </c>
      <c r="C72" s="9" t="s">
        <v>74</v>
      </c>
      <c r="D72" s="17" t="n">
        <f aca="false">SRC_ANT_057</f>
        <v>1</v>
      </c>
      <c r="E72" s="17" t="n">
        <f aca="false">SRC_ANT_058</f>
        <v>2.5</v>
      </c>
      <c r="K72" s="2" t="s">
        <v>3940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17.15" hidden="false" customHeight="false" outlineLevel="0" collapsed="false">
      <c r="A1" s="1" t="s">
        <v>3941</v>
      </c>
    </row>
    <row r="2" customFormat="false" ht="15" hidden="false" customHeight="false" outlineLevel="0" collapsed="false">
      <c r="A2" s="12" t="s">
        <v>3942</v>
      </c>
    </row>
    <row r="3" customFormat="false" ht="15" hidden="false" customHeight="false" outlineLevel="0" collapsed="false">
      <c r="A3" s="2" t="s">
        <v>3943</v>
      </c>
    </row>
    <row r="5" customFormat="false" ht="15" hidden="false" customHeight="false" outlineLevel="0" collapsed="false">
      <c r="A5" s="8" t="s">
        <v>3789</v>
      </c>
      <c r="B5" s="8" t="s">
        <v>46</v>
      </c>
      <c r="C5" s="8" t="s">
        <v>50</v>
      </c>
      <c r="D5" s="7" t="s">
        <v>75</v>
      </c>
      <c r="E5" s="7" t="s">
        <v>304</v>
      </c>
      <c r="F5" s="7" t="s">
        <v>2855</v>
      </c>
      <c r="G5" s="7" t="s">
        <v>1658</v>
      </c>
      <c r="H5" s="7" t="s">
        <v>2856</v>
      </c>
      <c r="I5" s="7" t="s">
        <v>2857</v>
      </c>
      <c r="J5" s="8"/>
      <c r="K5" s="8" t="s">
        <v>2517</v>
      </c>
    </row>
    <row r="6" customFormat="false" ht="15" hidden="false" customHeight="false" outlineLevel="0" collapsed="false">
      <c r="B6" s="3" t="s">
        <v>3790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3944</v>
      </c>
    </row>
    <row r="8" customFormat="false" ht="15" hidden="false" customHeight="false" outlineLevel="0" collapsed="false">
      <c r="A8" s="9" t="s">
        <v>3945</v>
      </c>
      <c r="B8" s="11" t="s">
        <v>3946</v>
      </c>
      <c r="C8" s="11" t="s">
        <v>1935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3947</v>
      </c>
    </row>
    <row r="9" customFormat="false" ht="15" hidden="false" customHeight="false" outlineLevel="0" collapsed="false">
      <c r="A9" s="9" t="s">
        <v>3948</v>
      </c>
      <c r="B9" s="11" t="s">
        <v>3949</v>
      </c>
      <c r="C9" s="11" t="s">
        <v>1935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3950</v>
      </c>
    </row>
    <row r="10" customFormat="false" ht="15" hidden="false" customHeight="false" outlineLevel="0" collapsed="false">
      <c r="A10" s="15" t="s">
        <v>3951</v>
      </c>
    </row>
    <row r="11" customFormat="false" ht="15" hidden="false" customHeight="false" outlineLevel="0" collapsed="false">
      <c r="A11" s="9" t="s">
        <v>3952</v>
      </c>
      <c r="B11" s="11" t="s">
        <v>3953</v>
      </c>
      <c r="C11" s="9" t="s">
        <v>2555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3954</v>
      </c>
    </row>
    <row r="12" customFormat="false" ht="15" hidden="false" customHeight="false" outlineLevel="0" collapsed="false">
      <c r="A12" s="9" t="s">
        <v>3955</v>
      </c>
      <c r="B12" s="11" t="s">
        <v>3956</v>
      </c>
      <c r="C12" s="9" t="s">
        <v>2555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3957</v>
      </c>
    </row>
    <row r="13" customFormat="false" ht="15" hidden="false" customHeight="false" outlineLevel="0" collapsed="false">
      <c r="A13" s="9" t="s">
        <v>3958</v>
      </c>
      <c r="B13" s="11" t="s">
        <v>3959</v>
      </c>
      <c r="C13" s="9" t="s">
        <v>2555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3954</v>
      </c>
    </row>
    <row r="14" customFormat="false" ht="15" hidden="false" customHeight="false" outlineLevel="0" collapsed="false">
      <c r="A14" s="9" t="s">
        <v>3960</v>
      </c>
      <c r="B14" s="11" t="s">
        <v>3961</v>
      </c>
      <c r="C14" s="9" t="s">
        <v>2555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3957</v>
      </c>
    </row>
    <row r="15" customFormat="false" ht="15" hidden="false" customHeight="false" outlineLevel="0" collapsed="false">
      <c r="A15" s="9" t="s">
        <v>3962</v>
      </c>
      <c r="B15" s="11" t="s">
        <v>3963</v>
      </c>
      <c r="C15" s="9" t="s">
        <v>2555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3954</v>
      </c>
    </row>
    <row r="16" customFormat="false" ht="15" hidden="false" customHeight="false" outlineLevel="0" collapsed="false">
      <c r="A16" s="9" t="s">
        <v>3964</v>
      </c>
      <c r="B16" s="11" t="s">
        <v>3965</v>
      </c>
      <c r="C16" s="9" t="s">
        <v>2555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3957</v>
      </c>
    </row>
    <row r="17" customFormat="false" ht="15" hidden="false" customHeight="false" outlineLevel="0" collapsed="false">
      <c r="A17" s="9" t="s">
        <v>3966</v>
      </c>
      <c r="B17" s="11" t="s">
        <v>3967</v>
      </c>
      <c r="C17" s="9" t="s">
        <v>2555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3954</v>
      </c>
    </row>
    <row r="18" customFormat="false" ht="15" hidden="false" customHeight="false" outlineLevel="0" collapsed="false">
      <c r="A18" s="9" t="s">
        <v>3968</v>
      </c>
      <c r="B18" s="11" t="s">
        <v>3969</v>
      </c>
      <c r="C18" s="9" t="s">
        <v>2555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3957</v>
      </c>
    </row>
    <row r="19" customFormat="false" ht="15" hidden="false" customHeight="false" outlineLevel="0" collapsed="false">
      <c r="A19" s="9" t="s">
        <v>3970</v>
      </c>
      <c r="B19" s="11" t="s">
        <v>3971</v>
      </c>
      <c r="C19" s="9" t="s">
        <v>2555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3954</v>
      </c>
    </row>
    <row r="20" customFormat="false" ht="15" hidden="false" customHeight="false" outlineLevel="0" collapsed="false">
      <c r="A20" s="9" t="s">
        <v>3972</v>
      </c>
      <c r="B20" s="11" t="s">
        <v>3973</v>
      </c>
      <c r="C20" s="9" t="s">
        <v>2555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3957</v>
      </c>
    </row>
    <row r="21" customFormat="false" ht="15" hidden="false" customHeight="false" outlineLevel="0" collapsed="false">
      <c r="A21" s="9" t="s">
        <v>3974</v>
      </c>
      <c r="B21" s="11" t="s">
        <v>3975</v>
      </c>
      <c r="C21" s="9" t="s">
        <v>2555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3954</v>
      </c>
    </row>
    <row r="22" customFormat="false" ht="15" hidden="false" customHeight="false" outlineLevel="0" collapsed="false">
      <c r="A22" s="9" t="s">
        <v>3976</v>
      </c>
      <c r="B22" s="11" t="s">
        <v>3977</v>
      </c>
      <c r="C22" s="9" t="s">
        <v>2555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3957</v>
      </c>
    </row>
    <row r="23" customFormat="false" ht="15" hidden="false" customHeight="false" outlineLevel="0" collapsed="false">
      <c r="A23" s="15" t="s">
        <v>3978</v>
      </c>
    </row>
    <row r="24" customFormat="false" ht="15" hidden="false" customHeight="false" outlineLevel="0" collapsed="false">
      <c r="A24" s="9" t="s">
        <v>3979</v>
      </c>
      <c r="B24" s="11" t="s">
        <v>3980</v>
      </c>
      <c r="C24" s="11" t="s">
        <v>745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3981</v>
      </c>
    </row>
    <row r="25" customFormat="false" ht="15" hidden="false" customHeight="false" outlineLevel="0" collapsed="false">
      <c r="A25" s="9" t="s">
        <v>3982</v>
      </c>
      <c r="B25" s="11" t="s">
        <v>3983</v>
      </c>
      <c r="C25" s="11" t="s">
        <v>745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3984</v>
      </c>
    </row>
    <row r="26" customFormat="false" ht="15" hidden="false" customHeight="false" outlineLevel="0" collapsed="false">
      <c r="A26" s="9" t="s">
        <v>3985</v>
      </c>
      <c r="B26" s="11" t="s">
        <v>3986</v>
      </c>
      <c r="C26" s="9" t="s">
        <v>2555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3987</v>
      </c>
    </row>
    <row r="27" customFormat="false" ht="15" hidden="false" customHeight="false" outlineLevel="0" collapsed="false">
      <c r="A27" s="9" t="s">
        <v>3988</v>
      </c>
      <c r="B27" s="11" t="s">
        <v>3989</v>
      </c>
      <c r="C27" s="9" t="s">
        <v>2555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3987</v>
      </c>
    </row>
    <row r="28" customFormat="false" ht="15" hidden="false" customHeight="false" outlineLevel="0" collapsed="false">
      <c r="A28" s="9" t="s">
        <v>3990</v>
      </c>
      <c r="B28" s="11" t="s">
        <v>3991</v>
      </c>
      <c r="C28" s="9" t="s">
        <v>2555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3987</v>
      </c>
    </row>
    <row r="29" customFormat="false" ht="15" hidden="false" customHeight="false" outlineLevel="0" collapsed="false">
      <c r="A29" s="9" t="s">
        <v>3992</v>
      </c>
      <c r="B29" s="9" t="s">
        <v>3993</v>
      </c>
      <c r="C29" s="11" t="s">
        <v>267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3794</v>
      </c>
    </row>
    <row r="30" customFormat="false" ht="15" hidden="false" customHeight="false" outlineLevel="0" collapsed="false">
      <c r="A30" s="9" t="s">
        <v>3994</v>
      </c>
      <c r="B30" s="9" t="s">
        <v>3995</v>
      </c>
      <c r="C30" s="11" t="s">
        <v>267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3794</v>
      </c>
    </row>
    <row r="31" customFormat="false" ht="15" hidden="false" customHeight="false" outlineLevel="0" collapsed="false">
      <c r="A31" s="9" t="s">
        <v>3996</v>
      </c>
      <c r="B31" s="9" t="s">
        <v>3997</v>
      </c>
      <c r="C31" s="11" t="s">
        <v>267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3998</v>
      </c>
    </row>
    <row r="32" customFormat="false" ht="15" hidden="false" customHeight="false" outlineLevel="0" collapsed="false">
      <c r="A32" s="9" t="s">
        <v>3999</v>
      </c>
      <c r="B32" s="9" t="s">
        <v>4000</v>
      </c>
      <c r="C32" s="9" t="s">
        <v>2555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4001</v>
      </c>
    </row>
    <row r="33" customFormat="false" ht="15" hidden="false" customHeight="false" outlineLevel="0" collapsed="false">
      <c r="A33" s="15" t="s">
        <v>4002</v>
      </c>
    </row>
    <row r="34" customFormat="false" ht="15" hidden="false" customHeight="false" outlineLevel="0" collapsed="false">
      <c r="A34" s="9" t="s">
        <v>4003</v>
      </c>
      <c r="B34" s="9" t="s">
        <v>4004</v>
      </c>
      <c r="C34" s="9" t="s">
        <v>844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4005</v>
      </c>
    </row>
    <row r="35" customFormat="false" ht="15" hidden="false" customHeight="false" outlineLevel="0" collapsed="false">
      <c r="A35" s="9" t="s">
        <v>4006</v>
      </c>
      <c r="B35" s="9" t="s">
        <v>4007</v>
      </c>
      <c r="C35" s="9" t="s">
        <v>844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4008</v>
      </c>
    </row>
    <row r="36" customFormat="false" ht="15" hidden="false" customHeight="false" outlineLevel="0" collapsed="false">
      <c r="A36" s="9" t="s">
        <v>4009</v>
      </c>
      <c r="B36" s="9" t="s">
        <v>4010</v>
      </c>
      <c r="C36" s="9" t="s">
        <v>844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4008</v>
      </c>
    </row>
    <row r="37" customFormat="false" ht="15" hidden="false" customHeight="false" outlineLevel="0" collapsed="false">
      <c r="A37" s="9" t="s">
        <v>4011</v>
      </c>
      <c r="B37" s="9" t="s">
        <v>4012</v>
      </c>
      <c r="C37" s="9" t="s">
        <v>844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4013</v>
      </c>
    </row>
    <row r="38" customFormat="false" ht="15" hidden="false" customHeight="false" outlineLevel="0" collapsed="false">
      <c r="A38" s="9" t="s">
        <v>4014</v>
      </c>
      <c r="B38" s="9" t="s">
        <v>4015</v>
      </c>
      <c r="C38" s="9" t="s">
        <v>844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2987</v>
      </c>
    </row>
    <row r="39" customFormat="false" ht="15" hidden="false" customHeight="false" outlineLevel="0" collapsed="false">
      <c r="A39" s="9" t="s">
        <v>4016</v>
      </c>
      <c r="B39" s="9" t="s">
        <v>4017</v>
      </c>
      <c r="C39" s="9" t="s">
        <v>844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4018</v>
      </c>
    </row>
    <row r="40" customFormat="false" ht="15" hidden="false" customHeight="false" outlineLevel="0" collapsed="false">
      <c r="A40" s="9" t="s">
        <v>4019</v>
      </c>
      <c r="B40" s="11" t="s">
        <v>4020</v>
      </c>
      <c r="C40" s="9" t="s">
        <v>844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4021</v>
      </c>
    </row>
    <row r="41" customFormat="false" ht="15" hidden="false" customHeight="false" outlineLevel="0" collapsed="false">
      <c r="A41" s="9" t="s">
        <v>4022</v>
      </c>
      <c r="B41" s="11" t="s">
        <v>4023</v>
      </c>
      <c r="C41" s="9" t="s">
        <v>844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4024</v>
      </c>
    </row>
    <row r="42" customFormat="false" ht="15" hidden="false" customHeight="false" outlineLevel="0" collapsed="false">
      <c r="A42" s="15" t="s">
        <v>4025</v>
      </c>
    </row>
    <row r="43" customFormat="false" ht="15" hidden="false" customHeight="false" outlineLevel="0" collapsed="false">
      <c r="A43" s="9" t="s">
        <v>4026</v>
      </c>
      <c r="B43" s="9" t="s">
        <v>4027</v>
      </c>
      <c r="C43" s="9" t="s">
        <v>480</v>
      </c>
      <c r="D43" s="17" t="n">
        <f aca="false">SRC_ANT_063*SRC_ANT_001</f>
        <v>0.69</v>
      </c>
      <c r="K43" s="12" t="s">
        <v>4028</v>
      </c>
    </row>
    <row r="44" customFormat="false" ht="15" hidden="false" customHeight="false" outlineLevel="0" collapsed="false">
      <c r="A44" s="9" t="s">
        <v>4029</v>
      </c>
      <c r="B44" s="9" t="s">
        <v>4030</v>
      </c>
      <c r="C44" s="9" t="s">
        <v>480</v>
      </c>
      <c r="D44" s="17" t="n">
        <f aca="false">SRC_ANT_025-D43</f>
        <v>0.0990000000000001</v>
      </c>
      <c r="K44" s="2" t="s">
        <v>4031</v>
      </c>
    </row>
    <row r="45" customFormat="false" ht="15" hidden="false" customHeight="false" outlineLevel="0" collapsed="false">
      <c r="A45" s="9" t="s">
        <v>4032</v>
      </c>
      <c r="B45" s="11" t="s">
        <v>4033</v>
      </c>
      <c r="C45" s="9" t="s">
        <v>480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4034</v>
      </c>
    </row>
    <row r="46" customFormat="false" ht="15" hidden="false" customHeight="false" outlineLevel="0" collapsed="false">
      <c r="A46" s="15" t="s">
        <v>4035</v>
      </c>
    </row>
    <row r="47" customFormat="false" ht="15" hidden="false" customHeight="false" outlineLevel="0" collapsed="false">
      <c r="A47" s="9" t="s">
        <v>4036</v>
      </c>
      <c r="B47" s="9" t="s">
        <v>4037</v>
      </c>
      <c r="C47" s="9" t="s">
        <v>480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4038</v>
      </c>
      <c r="B48" s="9" t="s">
        <v>4039</v>
      </c>
      <c r="C48" s="9" t="s">
        <v>480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4040</v>
      </c>
      <c r="B49" s="9" t="s">
        <v>4041</v>
      </c>
      <c r="C49" s="9" t="s">
        <v>480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4042</v>
      </c>
      <c r="B50" s="9" t="s">
        <v>4043</v>
      </c>
      <c r="C50" s="9" t="s">
        <v>480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4044</v>
      </c>
      <c r="B51" s="9" t="s">
        <v>4045</v>
      </c>
      <c r="C51" s="9" t="s">
        <v>480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4046</v>
      </c>
      <c r="B52" s="9" t="s">
        <v>4047</v>
      </c>
      <c r="C52" s="9" t="s">
        <v>480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4048</v>
      </c>
      <c r="B53" s="11" t="s">
        <v>4049</v>
      </c>
      <c r="C53" s="9" t="s">
        <v>480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4050</v>
      </c>
      <c r="B54" s="11" t="s">
        <v>4051</v>
      </c>
      <c r="C54" s="9" t="s">
        <v>480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4052</v>
      </c>
      <c r="B55" s="11" t="s">
        <v>4053</v>
      </c>
      <c r="C55" s="9" t="s">
        <v>480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4054</v>
      </c>
    </row>
    <row r="57" customFormat="false" ht="15" hidden="false" customHeight="false" outlineLevel="0" collapsed="false">
      <c r="A57" s="9" t="s">
        <v>4055</v>
      </c>
      <c r="B57" s="9" t="s">
        <v>4056</v>
      </c>
      <c r="C57" s="9" t="s">
        <v>480</v>
      </c>
      <c r="D57" s="17" t="n">
        <f aca="false">SRC_ANT_026</f>
        <v>3.8</v>
      </c>
      <c r="E57" s="17" t="n">
        <f aca="false">E45-E55-E64-E65</f>
        <v>45.3513566422796</v>
      </c>
      <c r="K57" s="12" t="s">
        <v>4057</v>
      </c>
    </row>
    <row r="58" customFormat="false" ht="15" hidden="false" customHeight="false" outlineLevel="0" collapsed="false">
      <c r="A58" s="9" t="s">
        <v>4058</v>
      </c>
      <c r="B58" s="9" t="s">
        <v>2877</v>
      </c>
      <c r="C58" s="9" t="s">
        <v>480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4059</v>
      </c>
    </row>
    <row r="59" customFormat="false" ht="15" hidden="false" customHeight="false" outlineLevel="0" collapsed="false">
      <c r="A59" s="9" t="s">
        <v>4060</v>
      </c>
      <c r="B59" s="9" t="s">
        <v>4061</v>
      </c>
      <c r="C59" s="9" t="s">
        <v>480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4062</v>
      </c>
      <c r="B60" s="9" t="s">
        <v>4063</v>
      </c>
      <c r="C60" s="9" t="s">
        <v>480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4064</v>
      </c>
      <c r="B61" s="9" t="s">
        <v>4065</v>
      </c>
      <c r="C61" s="9" t="s">
        <v>480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4066</v>
      </c>
      <c r="B62" s="11" t="s">
        <v>4067</v>
      </c>
      <c r="C62" s="9" t="s">
        <v>480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4068</v>
      </c>
    </row>
    <row r="64" customFormat="false" ht="15" hidden="false" customHeight="false" outlineLevel="0" collapsed="false">
      <c r="A64" s="9" t="s">
        <v>4069</v>
      </c>
      <c r="B64" s="11" t="s">
        <v>4070</v>
      </c>
      <c r="C64" s="9" t="s">
        <v>480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4071</v>
      </c>
    </row>
    <row r="65" customFormat="false" ht="15" hidden="false" customHeight="false" outlineLevel="0" collapsed="false">
      <c r="A65" s="9" t="s">
        <v>4072</v>
      </c>
      <c r="B65" s="11" t="s">
        <v>4073</v>
      </c>
      <c r="C65" s="9" t="s">
        <v>480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4074</v>
      </c>
    </row>
    <row r="66" customFormat="false" ht="15" hidden="false" customHeight="false" outlineLevel="0" collapsed="false">
      <c r="A66" s="15" t="s">
        <v>4075</v>
      </c>
    </row>
    <row r="67" customFormat="false" ht="15" hidden="false" customHeight="false" outlineLevel="0" collapsed="false">
      <c r="A67" s="9" t="s">
        <v>4076</v>
      </c>
      <c r="B67" s="11" t="s">
        <v>4077</v>
      </c>
      <c r="C67" s="9" t="s">
        <v>480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4078</v>
      </c>
      <c r="B68" s="11" t="s">
        <v>4079</v>
      </c>
      <c r="C68" s="11" t="s">
        <v>267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4080</v>
      </c>
    </row>
    <row r="69" customFormat="false" ht="15" hidden="false" customHeight="false" outlineLevel="0" collapsed="false">
      <c r="A69" s="9" t="s">
        <v>4081</v>
      </c>
      <c r="B69" s="11" t="s">
        <v>4082</v>
      </c>
      <c r="C69" s="9" t="s">
        <v>480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4083</v>
      </c>
      <c r="B70" s="11" t="s">
        <v>4084</v>
      </c>
      <c r="C70" s="11" t="s">
        <v>267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4085</v>
      </c>
    </row>
    <row r="71" customFormat="false" ht="15" hidden="false" customHeight="false" outlineLevel="0" collapsed="false">
      <c r="A71" s="9" t="s">
        <v>4086</v>
      </c>
      <c r="B71" s="11" t="s">
        <v>4087</v>
      </c>
      <c r="C71" s="9" t="s">
        <v>480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4088</v>
      </c>
    </row>
    <row r="72" customFormat="false" ht="15" hidden="false" customHeight="false" outlineLevel="0" collapsed="false">
      <c r="A72" s="9" t="s">
        <v>4089</v>
      </c>
      <c r="B72" s="11" t="s">
        <v>4090</v>
      </c>
      <c r="C72" s="9" t="s">
        <v>480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4091</v>
      </c>
      <c r="B73" s="11" t="s">
        <v>4092</v>
      </c>
      <c r="C73" s="9" t="s">
        <v>480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4093</v>
      </c>
    </row>
    <row r="74" customFormat="false" ht="15" hidden="false" customHeight="false" outlineLevel="0" collapsed="false">
      <c r="A74" s="9" t="s">
        <v>4094</v>
      </c>
      <c r="B74" s="11" t="s">
        <v>4095</v>
      </c>
      <c r="C74" s="9" t="s">
        <v>480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4096</v>
      </c>
      <c r="B75" s="11" t="s">
        <v>4097</v>
      </c>
      <c r="C75" s="11" t="s">
        <v>267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4098</v>
      </c>
    </row>
    <row r="76" customFormat="false" ht="15" hidden="false" customHeight="false" outlineLevel="0" collapsed="false">
      <c r="A76" s="9" t="s">
        <v>4099</v>
      </c>
      <c r="B76" s="11" t="s">
        <v>4100</v>
      </c>
      <c r="C76" s="9" t="s">
        <v>480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4101</v>
      </c>
      <c r="B77" s="11" t="s">
        <v>4102</v>
      </c>
      <c r="C77" s="11" t="s">
        <v>267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4103</v>
      </c>
      <c r="B78" s="11" t="s">
        <v>4104</v>
      </c>
      <c r="C78" s="11" t="s">
        <v>267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4105</v>
      </c>
    </row>
    <row r="79" customFormat="false" ht="15" hidden="false" customHeight="false" outlineLevel="0" collapsed="false">
      <c r="A79" s="15" t="s">
        <v>4106</v>
      </c>
    </row>
    <row r="80" customFormat="false" ht="15" hidden="false" customHeight="false" outlineLevel="0" collapsed="false">
      <c r="A80" s="9" t="s">
        <v>4107</v>
      </c>
      <c r="B80" s="11" t="s">
        <v>4108</v>
      </c>
      <c r="C80" s="11" t="s">
        <v>745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4109</v>
      </c>
    </row>
    <row r="81" customFormat="false" ht="15" hidden="false" customHeight="false" outlineLevel="0" collapsed="false">
      <c r="A81" s="9" t="s">
        <v>4110</v>
      </c>
      <c r="B81" s="11" t="s">
        <v>4111</v>
      </c>
      <c r="C81" s="9" t="s">
        <v>480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4112</v>
      </c>
      <c r="B82" s="11" t="s">
        <v>4113</v>
      </c>
      <c r="C82" s="9" t="s">
        <v>480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4114</v>
      </c>
      <c r="B83" s="11" t="s">
        <v>4115</v>
      </c>
      <c r="C83" s="9" t="s">
        <v>480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4116</v>
      </c>
    </row>
    <row r="85" customFormat="false" ht="15" hidden="false" customHeight="false" outlineLevel="0" collapsed="false">
      <c r="A85" s="9" t="s">
        <v>4117</v>
      </c>
      <c r="B85" s="9" t="s">
        <v>4118</v>
      </c>
      <c r="C85" s="9" t="s">
        <v>480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4119</v>
      </c>
      <c r="B86" s="9" t="s">
        <v>4120</v>
      </c>
      <c r="C86" s="9" t="s">
        <v>480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4121</v>
      </c>
      <c r="B87" s="9" t="s">
        <v>4122</v>
      </c>
      <c r="C87" s="9" t="s">
        <v>480</v>
      </c>
      <c r="D87" s="17" t="n">
        <f aca="false">SRC_ANT_173*INP_029*D40*INP_008/INP_012</f>
        <v>0.4109049</v>
      </c>
      <c r="K87" s="2" t="s">
        <v>4123</v>
      </c>
    </row>
    <row r="88" customFormat="false" ht="15" hidden="false" customHeight="false" outlineLevel="0" collapsed="false">
      <c r="A88" s="9" t="s">
        <v>4124</v>
      </c>
      <c r="B88" s="9" t="s">
        <v>4125</v>
      </c>
      <c r="C88" s="9" t="s">
        <v>480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4126</v>
      </c>
      <c r="B89" s="9" t="s">
        <v>4127</v>
      </c>
      <c r="C89" s="9" t="s">
        <v>480</v>
      </c>
      <c r="D89" s="17" t="n">
        <f aca="false">(SRC_ANT_017-SRC_ANT_008)/LN(SRC_ANT_017/SRC_ANT_008)</f>
        <v>3.64095690650735</v>
      </c>
      <c r="K89" s="2" t="s">
        <v>4128</v>
      </c>
    </row>
    <row r="90" customFormat="false" ht="15" hidden="false" customHeight="false" outlineLevel="0" collapsed="false">
      <c r="A90" s="9" t="s">
        <v>4129</v>
      </c>
      <c r="B90" s="9" t="s">
        <v>4130</v>
      </c>
      <c r="C90" s="11" t="s">
        <v>267</v>
      </c>
      <c r="D90" s="16" t="n">
        <f aca="false">(D67-D89)/D89</f>
        <v>0.263404131968326</v>
      </c>
      <c r="K90" s="12" t="s">
        <v>4131</v>
      </c>
    </row>
    <row r="91" customFormat="false" ht="15" hidden="false" customHeight="false" outlineLevel="0" collapsed="false">
      <c r="A91" s="9" t="s">
        <v>4132</v>
      </c>
      <c r="B91" s="9" t="s">
        <v>4133</v>
      </c>
      <c r="C91" s="9" t="s">
        <v>480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4134</v>
      </c>
    </row>
    <row r="92" customFormat="false" ht="15" hidden="false" customHeight="false" outlineLevel="0" collapsed="false">
      <c r="A92" s="9" t="s">
        <v>4135</v>
      </c>
      <c r="B92" s="9" t="s">
        <v>4136</v>
      </c>
      <c r="C92" s="11" t="s">
        <v>267</v>
      </c>
      <c r="E92" s="16" t="n">
        <f aca="false">(E67-E91)/E91</f>
        <v>-0.155212315484559</v>
      </c>
      <c r="K92" s="12" t="s">
        <v>4137</v>
      </c>
    </row>
    <row r="93" customFormat="false" ht="15" hidden="false" customHeight="false" outlineLevel="0" collapsed="false">
      <c r="A93" s="9" t="s">
        <v>4138</v>
      </c>
      <c r="B93" s="9" t="s">
        <v>4139</v>
      </c>
      <c r="C93" s="9" t="s">
        <v>74</v>
      </c>
      <c r="E93" s="17" t="n">
        <f aca="false">(E67-E98)*INP_008/INP_009</f>
        <v>67.2</v>
      </c>
      <c r="K93" s="12" t="s">
        <v>4140</v>
      </c>
    </row>
    <row r="94" customFormat="false" ht="15" hidden="false" customHeight="false" outlineLevel="0" collapsed="false">
      <c r="A94" s="9" t="s">
        <v>4141</v>
      </c>
      <c r="B94" s="11" t="s">
        <v>4142</v>
      </c>
      <c r="C94" s="9" t="s">
        <v>480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4143</v>
      </c>
    </row>
    <row r="95" customFormat="false" ht="15" hidden="false" customHeight="false" outlineLevel="0" collapsed="false">
      <c r="A95" s="9" t="s">
        <v>4144</v>
      </c>
      <c r="B95" s="11" t="s">
        <v>4145</v>
      </c>
      <c r="C95" s="9" t="s">
        <v>480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4146</v>
      </c>
      <c r="B96" s="9" t="s">
        <v>4147</v>
      </c>
      <c r="C96" s="11" t="s">
        <v>267</v>
      </c>
      <c r="E96" s="16" t="n">
        <f aca="false">SRC_ANT_034/E69</f>
        <v>0.248037644209916</v>
      </c>
      <c r="K96" s="12" t="s">
        <v>4148</v>
      </c>
    </row>
    <row r="97" customFormat="false" ht="15" hidden="false" customHeight="false" outlineLevel="0" collapsed="false">
      <c r="A97" s="15" t="s">
        <v>4149</v>
      </c>
    </row>
    <row r="98" customFormat="false" ht="15" hidden="false" customHeight="false" outlineLevel="0" collapsed="false">
      <c r="A98" s="9" t="s">
        <v>4150</v>
      </c>
      <c r="B98" s="9" t="s">
        <v>4151</v>
      </c>
      <c r="C98" s="9" t="s">
        <v>480</v>
      </c>
      <c r="E98" s="17" t="n">
        <f aca="false">INP_180*SRC_ANT_380+(1-INP_180)*(SRC_ANT_004+SRC_ANT_005)</f>
        <v>16.3</v>
      </c>
      <c r="K98" s="12" t="s">
        <v>4152</v>
      </c>
    </row>
    <row r="100" customFormat="false" ht="15" hidden="false" customHeight="false" outlineLevel="0" collapsed="false">
      <c r="A100" s="15" t="s">
        <v>4153</v>
      </c>
    </row>
    <row r="101" customFormat="false" ht="26.85" hidden="false" customHeight="false" outlineLevel="0" collapsed="false">
      <c r="A101" s="8" t="s">
        <v>3789</v>
      </c>
      <c r="B101" s="8" t="s">
        <v>4154</v>
      </c>
      <c r="C101" s="8" t="s">
        <v>50</v>
      </c>
      <c r="D101" s="7" t="s">
        <v>75</v>
      </c>
      <c r="E101" s="7" t="s">
        <v>304</v>
      </c>
      <c r="F101" s="7" t="s">
        <v>2855</v>
      </c>
      <c r="G101" s="7" t="s">
        <v>1658</v>
      </c>
      <c r="H101" s="7" t="s">
        <v>2856</v>
      </c>
      <c r="I101" s="7" t="s">
        <v>2857</v>
      </c>
      <c r="J101" s="8"/>
      <c r="K101" s="8" t="s">
        <v>2517</v>
      </c>
      <c r="L101" s="8"/>
      <c r="M101" s="7" t="s">
        <v>4155</v>
      </c>
      <c r="N101" s="8" t="s">
        <v>4156</v>
      </c>
      <c r="O101" s="7" t="s">
        <v>4157</v>
      </c>
    </row>
    <row r="102" customFormat="false" ht="15" hidden="false" customHeight="false" outlineLevel="0" collapsed="false">
      <c r="A102" s="9" t="s">
        <v>4158</v>
      </c>
      <c r="B102" s="11" t="s">
        <v>4159</v>
      </c>
      <c r="C102" s="11" t="s">
        <v>267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4160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4161</v>
      </c>
      <c r="B103" s="11" t="s">
        <v>4162</v>
      </c>
      <c r="C103" s="11" t="s">
        <v>267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4163</v>
      </c>
      <c r="B104" s="11" t="s">
        <v>4164</v>
      </c>
      <c r="C104" s="11" t="s">
        <v>267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4165</v>
      </c>
      <c r="B105" s="11" t="s">
        <v>4166</v>
      </c>
      <c r="C105" s="11" t="s">
        <v>267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4167</v>
      </c>
      <c r="B106" s="11" t="s">
        <v>4168</v>
      </c>
      <c r="C106" s="11" t="s">
        <v>267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4169</v>
      </c>
      <c r="B107" s="11" t="s">
        <v>4170</v>
      </c>
      <c r="C107" s="11" t="s">
        <v>267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4171</v>
      </c>
      <c r="B108" s="11" t="s">
        <v>4172</v>
      </c>
      <c r="C108" s="11" t="s">
        <v>267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4173</v>
      </c>
      <c r="B109" s="11" t="s">
        <v>4174</v>
      </c>
      <c r="C109" s="11" t="s">
        <v>267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4175</v>
      </c>
      <c r="B110" s="11" t="s">
        <v>4176</v>
      </c>
      <c r="C110" s="11" t="s">
        <v>267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4177</v>
      </c>
      <c r="B111" s="11" t="s">
        <v>4178</v>
      </c>
      <c r="C111" s="11" t="s">
        <v>267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4160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4179</v>
      </c>
      <c r="B112" s="11" t="s">
        <v>4180</v>
      </c>
      <c r="C112" s="11" t="s">
        <v>267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4181</v>
      </c>
      <c r="B113" s="11" t="s">
        <v>4182</v>
      </c>
      <c r="C113" s="11" t="s">
        <v>267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4183</v>
      </c>
      <c r="B114" s="11" t="s">
        <v>4184</v>
      </c>
      <c r="C114" s="11" t="s">
        <v>267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4185</v>
      </c>
      <c r="B115" s="11" t="s">
        <v>4186</v>
      </c>
      <c r="C115" s="11" t="s">
        <v>267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4187</v>
      </c>
      <c r="B116" s="11" t="s">
        <v>4188</v>
      </c>
      <c r="C116" s="11" t="s">
        <v>267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4189</v>
      </c>
      <c r="B117" s="11" t="s">
        <v>4190</v>
      </c>
      <c r="C117" s="11" t="s">
        <v>267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4191</v>
      </c>
      <c r="B118" s="11" t="s">
        <v>4192</v>
      </c>
      <c r="C118" s="11" t="s">
        <v>267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4193</v>
      </c>
      <c r="B119" s="11" t="s">
        <v>4194</v>
      </c>
      <c r="C119" s="11" t="s">
        <v>267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4195</v>
      </c>
      <c r="B120" s="11" t="s">
        <v>4196</v>
      </c>
      <c r="C120" s="11" t="s">
        <v>267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4160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4197</v>
      </c>
      <c r="B121" s="11" t="s">
        <v>4198</v>
      </c>
      <c r="C121" s="11" t="s">
        <v>267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4199</v>
      </c>
      <c r="B122" s="11" t="s">
        <v>4200</v>
      </c>
      <c r="C122" s="11" t="s">
        <v>267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4201</v>
      </c>
      <c r="B123" s="11" t="s">
        <v>4202</v>
      </c>
      <c r="C123" s="11" t="s">
        <v>267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4203</v>
      </c>
      <c r="B124" s="11" t="s">
        <v>4204</v>
      </c>
      <c r="C124" s="11" t="s">
        <v>267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4205</v>
      </c>
      <c r="B125" s="11" t="s">
        <v>4206</v>
      </c>
      <c r="C125" s="11" t="s">
        <v>267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4207</v>
      </c>
      <c r="B126" s="11" t="s">
        <v>4208</v>
      </c>
      <c r="C126" s="11" t="s">
        <v>267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4209</v>
      </c>
      <c r="B127" s="11" t="s">
        <v>4210</v>
      </c>
      <c r="C127" s="11" t="s">
        <v>267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4160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4211</v>
      </c>
      <c r="B128" s="11" t="s">
        <v>4212</v>
      </c>
      <c r="C128" s="11" t="s">
        <v>267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4213</v>
      </c>
      <c r="B129" s="11" t="s">
        <v>4214</v>
      </c>
      <c r="C129" s="11" t="s">
        <v>267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4215</v>
      </c>
      <c r="B130" s="11" t="s">
        <v>4216</v>
      </c>
      <c r="C130" s="11" t="s">
        <v>267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4217</v>
      </c>
      <c r="B131" s="11" t="s">
        <v>4218</v>
      </c>
      <c r="C131" s="11" t="s">
        <v>267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4219</v>
      </c>
      <c r="B132" s="11" t="s">
        <v>4220</v>
      </c>
      <c r="C132" s="11" t="s">
        <v>267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4221</v>
      </c>
      <c r="B133" s="11" t="s">
        <v>4222</v>
      </c>
      <c r="C133" s="11" t="s">
        <v>267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4223</v>
      </c>
      <c r="B134" s="11" t="s">
        <v>4224</v>
      </c>
      <c r="C134" s="11" t="s">
        <v>267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4160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4225</v>
      </c>
      <c r="B135" s="11" t="s">
        <v>4226</v>
      </c>
      <c r="C135" s="11" t="s">
        <v>267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4227</v>
      </c>
      <c r="B136" s="11" t="s">
        <v>4228</v>
      </c>
      <c r="C136" s="11" t="s">
        <v>267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4229</v>
      </c>
      <c r="B137" s="11" t="s">
        <v>4230</v>
      </c>
      <c r="C137" s="11" t="s">
        <v>267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4160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4231</v>
      </c>
      <c r="B138" s="11" t="s">
        <v>4232</v>
      </c>
      <c r="C138" s="11" t="s">
        <v>267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4233</v>
      </c>
      <c r="B139" s="11" t="s">
        <v>4234</v>
      </c>
      <c r="C139" s="11" t="s">
        <v>267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4235</v>
      </c>
    </row>
    <row r="2" customFormat="false" ht="15" hidden="false" customHeight="false" outlineLevel="0" collapsed="false">
      <c r="A2" s="2" t="s">
        <v>4236</v>
      </c>
    </row>
    <row r="3" customFormat="false" ht="15" hidden="false" customHeight="false" outlineLevel="0" collapsed="false">
      <c r="A3" s="12" t="s">
        <v>4237</v>
      </c>
    </row>
    <row r="5" customFormat="false" ht="15" hidden="false" customHeight="false" outlineLevel="0" collapsed="false">
      <c r="A5" s="8" t="s">
        <v>3789</v>
      </c>
      <c r="B5" s="8" t="s">
        <v>46</v>
      </c>
      <c r="C5" s="8" t="s">
        <v>50</v>
      </c>
      <c r="D5" s="7" t="s">
        <v>75</v>
      </c>
      <c r="E5" s="7" t="s">
        <v>304</v>
      </c>
      <c r="F5" s="7" t="s">
        <v>2855</v>
      </c>
      <c r="G5" s="7" t="s">
        <v>1658</v>
      </c>
      <c r="H5" s="7" t="s">
        <v>2856</v>
      </c>
      <c r="I5" s="7" t="s">
        <v>2857</v>
      </c>
      <c r="J5" s="8"/>
      <c r="K5" s="8" t="s">
        <v>2517</v>
      </c>
    </row>
    <row r="6" customFormat="false" ht="15" hidden="false" customHeight="false" outlineLevel="0" collapsed="false">
      <c r="B6" s="3" t="s">
        <v>3790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4238</v>
      </c>
    </row>
    <row r="8" customFormat="false" ht="15" hidden="false" customHeight="false" outlineLevel="0" collapsed="false">
      <c r="A8" s="9" t="s">
        <v>4239</v>
      </c>
      <c r="B8" s="11" t="s">
        <v>4240</v>
      </c>
      <c r="C8" s="11" t="s">
        <v>1897</v>
      </c>
      <c r="D8" s="9" t="s">
        <v>2506</v>
      </c>
      <c r="K8" s="12" t="s">
        <v>4241</v>
      </c>
    </row>
    <row r="9" customFormat="false" ht="15" hidden="false" customHeight="false" outlineLevel="0" collapsed="false">
      <c r="A9" s="9" t="s">
        <v>4242</v>
      </c>
      <c r="B9" s="11" t="s">
        <v>4243</v>
      </c>
      <c r="C9" s="11" t="s">
        <v>1897</v>
      </c>
      <c r="D9" s="9" t="s">
        <v>2507</v>
      </c>
      <c r="K9" s="12" t="s">
        <v>4241</v>
      </c>
    </row>
    <row r="10" customFormat="false" ht="15" hidden="false" customHeight="false" outlineLevel="0" collapsed="false">
      <c r="A10" s="9" t="s">
        <v>4244</v>
      </c>
      <c r="B10" s="11" t="s">
        <v>4245</v>
      </c>
      <c r="C10" s="11" t="s">
        <v>1897</v>
      </c>
      <c r="D10" s="9" t="s">
        <v>2508</v>
      </c>
      <c r="K10" s="12" t="s">
        <v>4241</v>
      </c>
    </row>
    <row r="11" customFormat="false" ht="15" hidden="false" customHeight="false" outlineLevel="0" collapsed="false">
      <c r="A11" s="9" t="s">
        <v>4246</v>
      </c>
      <c r="B11" s="11" t="s">
        <v>4247</v>
      </c>
      <c r="C11" s="11" t="s">
        <v>1897</v>
      </c>
      <c r="D11" s="9" t="s">
        <v>2509</v>
      </c>
      <c r="K11" s="12" t="s">
        <v>4241</v>
      </c>
    </row>
    <row r="12" customFormat="false" ht="15" hidden="false" customHeight="false" outlineLevel="0" collapsed="false">
      <c r="A12" s="9" t="s">
        <v>4248</v>
      </c>
      <c r="B12" s="11" t="s">
        <v>4249</v>
      </c>
      <c r="C12" s="11" t="s">
        <v>1897</v>
      </c>
      <c r="D12" s="11" t="s">
        <v>2513</v>
      </c>
      <c r="K12" s="12" t="s">
        <v>4250</v>
      </c>
    </row>
    <row r="13" customFormat="false" ht="15" hidden="false" customHeight="false" outlineLevel="0" collapsed="false">
      <c r="A13" s="9" t="s">
        <v>4251</v>
      </c>
      <c r="B13" s="11" t="s">
        <v>4252</v>
      </c>
      <c r="C13" s="9" t="s">
        <v>4253</v>
      </c>
      <c r="D13" s="20" t="n">
        <f aca="false">SUMIFS(TK_IF_TokGW_Astra,TK_HdrGen,$D$8,TK_HdrCost,$D$12)</f>
        <v>6809025705.99183</v>
      </c>
      <c r="K13" s="12" t="s">
        <v>4254</v>
      </c>
    </row>
    <row r="14" customFormat="false" ht="15" hidden="false" customHeight="false" outlineLevel="0" collapsed="false">
      <c r="A14" s="9" t="s">
        <v>4255</v>
      </c>
      <c r="B14" s="11" t="s">
        <v>4256</v>
      </c>
      <c r="C14" s="9" t="s">
        <v>4253</v>
      </c>
      <c r="D14" s="20" t="n">
        <f aca="false">SUMIFS(TK_IF_TokGW_Sol,TK_HdrGen,$D$8,TK_HdrCost,$D$12)</f>
        <v>33634916325.118</v>
      </c>
      <c r="K14" s="12" t="s">
        <v>4257</v>
      </c>
    </row>
    <row r="15" customFormat="false" ht="15" hidden="false" customHeight="false" outlineLevel="0" collapsed="false">
      <c r="A15" s="9" t="s">
        <v>4258</v>
      </c>
      <c r="B15" s="11" t="s">
        <v>4259</v>
      </c>
      <c r="C15" s="9" t="s">
        <v>4253</v>
      </c>
      <c r="D15" s="20" t="n">
        <f aca="false">SUMIFS(TK_IF_TokGW_Luna,TK_HdrGen,$D$8,TK_HdrCost,$D$12)</f>
        <v>112228240510.472</v>
      </c>
      <c r="K15" s="12" t="s">
        <v>4260</v>
      </c>
    </row>
    <row r="16" customFormat="false" ht="15" hidden="false" customHeight="false" outlineLevel="0" collapsed="false">
      <c r="A16" s="9" t="s">
        <v>4261</v>
      </c>
      <c r="B16" s="11" t="s">
        <v>4262</v>
      </c>
      <c r="C16" s="9" t="s">
        <v>4253</v>
      </c>
      <c r="D16" s="20" t="n">
        <f aca="false">SUMIFS(TK_IF_TokGW_Astra,TK_HdrGen,$D$9,TK_HdrCost,$D$12)</f>
        <v>33674781620.6943</v>
      </c>
      <c r="K16" s="12" t="s">
        <v>4254</v>
      </c>
    </row>
    <row r="17" customFormat="false" ht="15" hidden="false" customHeight="false" outlineLevel="0" collapsed="false">
      <c r="A17" s="9" t="s">
        <v>4263</v>
      </c>
      <c r="B17" s="11" t="s">
        <v>4264</v>
      </c>
      <c r="C17" s="9" t="s">
        <v>4253</v>
      </c>
      <c r="D17" s="20" t="n">
        <f aca="false">SUMIFS(TK_IF_TokGW_Sol,TK_HdrGen,$D$9,TK_HdrCost,$D$12)</f>
        <v>163715850475.954</v>
      </c>
      <c r="K17" s="12" t="s">
        <v>4257</v>
      </c>
    </row>
    <row r="18" customFormat="false" ht="15" hidden="false" customHeight="false" outlineLevel="0" collapsed="false">
      <c r="A18" s="9" t="s">
        <v>4265</v>
      </c>
      <c r="B18" s="11" t="s">
        <v>4266</v>
      </c>
      <c r="C18" s="9" t="s">
        <v>4253</v>
      </c>
      <c r="D18" s="20" t="n">
        <f aca="false">SUMIFS(TK_IF_TokGW_Luna,TK_HdrGen,$D$9,TK_HdrCost,$D$12)</f>
        <v>557838911578.971</v>
      </c>
      <c r="K18" s="12" t="s">
        <v>4260</v>
      </c>
    </row>
    <row r="19" customFormat="false" ht="15" hidden="false" customHeight="false" outlineLevel="0" collapsed="false">
      <c r="A19" s="9" t="s">
        <v>4267</v>
      </c>
      <c r="B19" s="11" t="s">
        <v>4268</v>
      </c>
      <c r="C19" s="9" t="s">
        <v>4253</v>
      </c>
      <c r="D19" s="20" t="n">
        <f aca="false">SUMIFS(TK_IF_TokGW_Astra,TK_HdrGen,$D$10,TK_HdrCost,$D$12)</f>
        <v>39257828144.5082</v>
      </c>
      <c r="K19" s="12" t="s">
        <v>4254</v>
      </c>
    </row>
    <row r="20" customFormat="false" ht="15" hidden="false" customHeight="false" outlineLevel="0" collapsed="false">
      <c r="A20" s="9" t="s">
        <v>4269</v>
      </c>
      <c r="B20" s="11" t="s">
        <v>4270</v>
      </c>
      <c r="C20" s="9" t="s">
        <v>4253</v>
      </c>
      <c r="D20" s="20" t="n">
        <f aca="false">SUMIFS(TK_IF_TokGW_Sol,TK_HdrGen,$D$10,TK_HdrCost,$D$12)</f>
        <v>212334321421.888</v>
      </c>
      <c r="K20" s="12" t="s">
        <v>4257</v>
      </c>
    </row>
    <row r="21" customFormat="false" ht="15" hidden="false" customHeight="false" outlineLevel="0" collapsed="false">
      <c r="A21" s="9" t="s">
        <v>4271</v>
      </c>
      <c r="B21" s="11" t="s">
        <v>4272</v>
      </c>
      <c r="C21" s="9" t="s">
        <v>4253</v>
      </c>
      <c r="D21" s="20" t="n">
        <f aca="false">SUMIFS(TK_IF_TokGW_Luna,TK_HdrGen,$D$10,TK_HdrCost,$D$12)</f>
        <v>723176042011.176</v>
      </c>
      <c r="K21" s="12" t="s">
        <v>4260</v>
      </c>
    </row>
    <row r="22" customFormat="false" ht="15" hidden="false" customHeight="false" outlineLevel="0" collapsed="false">
      <c r="A22" s="9" t="s">
        <v>4273</v>
      </c>
      <c r="B22" s="11" t="s">
        <v>4274</v>
      </c>
      <c r="C22" s="9" t="s">
        <v>4253</v>
      </c>
      <c r="D22" s="20" t="n">
        <f aca="false">SUMIFS(TK_IF_TokGW_Astra,TK_HdrGen,$D$11,TK_HdrCost,$D$12)</f>
        <v>69625193603.6778</v>
      </c>
      <c r="K22" s="12" t="s">
        <v>4254</v>
      </c>
    </row>
    <row r="23" customFormat="false" ht="15" hidden="false" customHeight="false" outlineLevel="0" collapsed="false">
      <c r="A23" s="9" t="s">
        <v>4275</v>
      </c>
      <c r="B23" s="11" t="s">
        <v>4276</v>
      </c>
      <c r="C23" s="9" t="s">
        <v>4253</v>
      </c>
      <c r="D23" s="20" t="n">
        <f aca="false">SUMIFS(TK_IF_TokGW_Sol,TK_HdrGen,$D$11,TK_HdrCost,$D$12)</f>
        <v>318984897819.054</v>
      </c>
      <c r="K23" s="12" t="s">
        <v>4257</v>
      </c>
    </row>
    <row r="24" customFormat="false" ht="15" hidden="false" customHeight="false" outlineLevel="0" collapsed="false">
      <c r="A24" s="9" t="s">
        <v>4277</v>
      </c>
      <c r="B24" s="11" t="s">
        <v>4278</v>
      </c>
      <c r="C24" s="9" t="s">
        <v>4253</v>
      </c>
      <c r="D24" s="20" t="n">
        <f aca="false">SUMIFS(TK_IF_TokGW_Luna,TK_HdrGen,$D$11,TK_HdrCost,$D$12)</f>
        <v>1043267705667.06</v>
      </c>
      <c r="K24" s="12" t="s">
        <v>4260</v>
      </c>
    </row>
    <row r="25" customFormat="false" ht="15" hidden="false" customHeight="false" outlineLevel="0" collapsed="false">
      <c r="A25" s="15" t="s">
        <v>4279</v>
      </c>
    </row>
    <row r="26" customFormat="false" ht="15" hidden="false" customHeight="false" outlineLevel="0" collapsed="false">
      <c r="A26" s="9" t="s">
        <v>4280</v>
      </c>
      <c r="B26" s="11" t="s">
        <v>4281</v>
      </c>
      <c r="C26" s="11" t="s">
        <v>745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4282</v>
      </c>
    </row>
    <row r="27" customFormat="false" ht="15" hidden="false" customHeight="false" outlineLevel="0" collapsed="false">
      <c r="A27" s="9" t="s">
        <v>4283</v>
      </c>
      <c r="B27" s="11" t="s">
        <v>4284</v>
      </c>
      <c r="C27" s="11" t="s">
        <v>745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4285</v>
      </c>
    </row>
    <row r="28" customFormat="false" ht="15" hidden="false" customHeight="false" outlineLevel="0" collapsed="false">
      <c r="A28" s="9" t="s">
        <v>4286</v>
      </c>
      <c r="B28" s="11" t="s">
        <v>4287</v>
      </c>
      <c r="C28" s="9" t="s">
        <v>2740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4288</v>
      </c>
    </row>
    <row r="29" customFormat="false" ht="15" hidden="false" customHeight="false" outlineLevel="0" collapsed="false">
      <c r="A29" s="9" t="s">
        <v>4289</v>
      </c>
      <c r="B29" s="9" t="s">
        <v>4290</v>
      </c>
      <c r="C29" s="11" t="s">
        <v>745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4291</v>
      </c>
    </row>
    <row r="30" customFormat="false" ht="15" hidden="false" customHeight="false" outlineLevel="0" collapsed="false">
      <c r="A30" s="9" t="s">
        <v>4292</v>
      </c>
      <c r="B30" s="11" t="s">
        <v>4293</v>
      </c>
      <c r="C30" s="11" t="s">
        <v>745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4282</v>
      </c>
    </row>
    <row r="31" customFormat="false" ht="15" hidden="false" customHeight="false" outlineLevel="0" collapsed="false">
      <c r="A31" s="9" t="s">
        <v>4294</v>
      </c>
      <c r="B31" s="11" t="s">
        <v>4295</v>
      </c>
      <c r="C31" s="11" t="s">
        <v>745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4285</v>
      </c>
    </row>
    <row r="32" customFormat="false" ht="15" hidden="false" customHeight="false" outlineLevel="0" collapsed="false">
      <c r="A32" s="9" t="s">
        <v>4296</v>
      </c>
      <c r="B32" s="11" t="s">
        <v>4297</v>
      </c>
      <c r="C32" s="9" t="s">
        <v>2740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4288</v>
      </c>
    </row>
    <row r="33" customFormat="false" ht="15" hidden="false" customHeight="false" outlineLevel="0" collapsed="false">
      <c r="A33" s="9" t="s">
        <v>4298</v>
      </c>
      <c r="B33" s="9" t="s">
        <v>4299</v>
      </c>
      <c r="C33" s="11" t="s">
        <v>745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4291</v>
      </c>
    </row>
    <row r="34" customFormat="false" ht="15" hidden="false" customHeight="false" outlineLevel="0" collapsed="false">
      <c r="A34" s="9" t="s">
        <v>4300</v>
      </c>
      <c r="B34" s="11" t="s">
        <v>4301</v>
      </c>
      <c r="C34" s="11" t="s">
        <v>745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4282</v>
      </c>
    </row>
    <row r="35" customFormat="false" ht="15" hidden="false" customHeight="false" outlineLevel="0" collapsed="false">
      <c r="A35" s="9" t="s">
        <v>4302</v>
      </c>
      <c r="B35" s="11" t="s">
        <v>4303</v>
      </c>
      <c r="C35" s="11" t="s">
        <v>745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4285</v>
      </c>
    </row>
    <row r="36" customFormat="false" ht="15" hidden="false" customHeight="false" outlineLevel="0" collapsed="false">
      <c r="A36" s="9" t="s">
        <v>4304</v>
      </c>
      <c r="B36" s="11" t="s">
        <v>4305</v>
      </c>
      <c r="C36" s="9" t="s">
        <v>2740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4288</v>
      </c>
    </row>
    <row r="37" customFormat="false" ht="15" hidden="false" customHeight="false" outlineLevel="0" collapsed="false">
      <c r="A37" s="9" t="s">
        <v>4306</v>
      </c>
      <c r="B37" s="9" t="s">
        <v>4307</v>
      </c>
      <c r="C37" s="11" t="s">
        <v>745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4291</v>
      </c>
    </row>
    <row r="38" customFormat="false" ht="15" hidden="false" customHeight="false" outlineLevel="0" collapsed="false">
      <c r="A38" s="9" t="s">
        <v>4308</v>
      </c>
      <c r="B38" s="11" t="s">
        <v>4309</v>
      </c>
      <c r="C38" s="11" t="s">
        <v>745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4282</v>
      </c>
    </row>
    <row r="39" customFormat="false" ht="15" hidden="false" customHeight="false" outlineLevel="0" collapsed="false">
      <c r="A39" s="9" t="s">
        <v>4310</v>
      </c>
      <c r="B39" s="11" t="s">
        <v>4311</v>
      </c>
      <c r="C39" s="11" t="s">
        <v>745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4285</v>
      </c>
    </row>
    <row r="40" customFormat="false" ht="15" hidden="false" customHeight="false" outlineLevel="0" collapsed="false">
      <c r="A40" s="9" t="s">
        <v>4312</v>
      </c>
      <c r="B40" s="11" t="s">
        <v>4313</v>
      </c>
      <c r="C40" s="9" t="s">
        <v>2740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4288</v>
      </c>
    </row>
    <row r="41" customFormat="false" ht="15" hidden="false" customHeight="false" outlineLevel="0" collapsed="false">
      <c r="A41" s="9" t="s">
        <v>4314</v>
      </c>
      <c r="B41" s="9" t="s">
        <v>4315</v>
      </c>
      <c r="C41" s="11" t="s">
        <v>745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4291</v>
      </c>
    </row>
    <row r="42" customFormat="false" ht="15" hidden="false" customHeight="false" outlineLevel="0" collapsed="false">
      <c r="A42" s="9" t="s">
        <v>4316</v>
      </c>
      <c r="B42" s="11" t="s">
        <v>4317</v>
      </c>
      <c r="C42" s="11" t="s">
        <v>745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4282</v>
      </c>
    </row>
    <row r="43" customFormat="false" ht="15" hidden="false" customHeight="false" outlineLevel="0" collapsed="false">
      <c r="A43" s="9" t="s">
        <v>4318</v>
      </c>
      <c r="B43" s="11" t="s">
        <v>4319</v>
      </c>
      <c r="C43" s="11" t="s">
        <v>745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4285</v>
      </c>
    </row>
    <row r="44" customFormat="false" ht="15" hidden="false" customHeight="false" outlineLevel="0" collapsed="false">
      <c r="A44" s="9" t="s">
        <v>4320</v>
      </c>
      <c r="B44" s="11" t="s">
        <v>4321</v>
      </c>
      <c r="C44" s="9" t="s">
        <v>2740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4288</v>
      </c>
    </row>
    <row r="45" customFormat="false" ht="15" hidden="false" customHeight="false" outlineLevel="0" collapsed="false">
      <c r="A45" s="9" t="s">
        <v>4322</v>
      </c>
      <c r="B45" s="9" t="s">
        <v>4323</v>
      </c>
      <c r="C45" s="11" t="s">
        <v>745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4291</v>
      </c>
    </row>
    <row r="46" customFormat="false" ht="15" hidden="false" customHeight="false" outlineLevel="0" collapsed="false">
      <c r="A46" s="9" t="s">
        <v>4324</v>
      </c>
      <c r="B46" s="11" t="s">
        <v>4325</v>
      </c>
      <c r="C46" s="11" t="s">
        <v>745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4282</v>
      </c>
    </row>
    <row r="47" customFormat="false" ht="15" hidden="false" customHeight="false" outlineLevel="0" collapsed="false">
      <c r="A47" s="9" t="s">
        <v>4326</v>
      </c>
      <c r="B47" s="11" t="s">
        <v>4327</v>
      </c>
      <c r="C47" s="11" t="s">
        <v>745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4285</v>
      </c>
    </row>
    <row r="48" customFormat="false" ht="15" hidden="false" customHeight="false" outlineLevel="0" collapsed="false">
      <c r="A48" s="9" t="s">
        <v>4328</v>
      </c>
      <c r="B48" s="11" t="s">
        <v>4329</v>
      </c>
      <c r="C48" s="9" t="s">
        <v>2740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4288</v>
      </c>
    </row>
    <row r="49" customFormat="false" ht="15" hidden="false" customHeight="false" outlineLevel="0" collapsed="false">
      <c r="A49" s="9" t="s">
        <v>4330</v>
      </c>
      <c r="B49" s="9" t="s">
        <v>4331</v>
      </c>
      <c r="C49" s="11" t="s">
        <v>745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4291</v>
      </c>
    </row>
    <row r="50" customFormat="false" ht="15" hidden="false" customHeight="false" outlineLevel="0" collapsed="false">
      <c r="A50" s="9" t="s">
        <v>4332</v>
      </c>
      <c r="B50" s="11" t="s">
        <v>4333</v>
      </c>
      <c r="C50" s="11" t="s">
        <v>745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4282</v>
      </c>
    </row>
    <row r="51" customFormat="false" ht="15" hidden="false" customHeight="false" outlineLevel="0" collapsed="false">
      <c r="A51" s="9" t="s">
        <v>4334</v>
      </c>
      <c r="B51" s="11" t="s">
        <v>4335</v>
      </c>
      <c r="C51" s="11" t="s">
        <v>745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4285</v>
      </c>
    </row>
    <row r="52" customFormat="false" ht="15" hidden="false" customHeight="false" outlineLevel="0" collapsed="false">
      <c r="A52" s="9" t="s">
        <v>4336</v>
      </c>
      <c r="B52" s="11" t="s">
        <v>4337</v>
      </c>
      <c r="C52" s="9" t="s">
        <v>2740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4288</v>
      </c>
    </row>
    <row r="53" customFormat="false" ht="15" hidden="false" customHeight="false" outlineLevel="0" collapsed="false">
      <c r="A53" s="9" t="s">
        <v>4338</v>
      </c>
      <c r="B53" s="9" t="s">
        <v>4339</v>
      </c>
      <c r="C53" s="11" t="s">
        <v>745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4291</v>
      </c>
    </row>
    <row r="54" customFormat="false" ht="15" hidden="false" customHeight="false" outlineLevel="0" collapsed="false">
      <c r="A54" s="9" t="s">
        <v>4340</v>
      </c>
      <c r="B54" s="11" t="s">
        <v>4341</v>
      </c>
      <c r="C54" s="11" t="s">
        <v>745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4282</v>
      </c>
    </row>
    <row r="55" customFormat="false" ht="15" hidden="false" customHeight="false" outlineLevel="0" collapsed="false">
      <c r="A55" s="9" t="s">
        <v>4342</v>
      </c>
      <c r="B55" s="11" t="s">
        <v>4343</v>
      </c>
      <c r="C55" s="11" t="s">
        <v>745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4285</v>
      </c>
    </row>
    <row r="56" customFormat="false" ht="15" hidden="false" customHeight="false" outlineLevel="0" collapsed="false">
      <c r="A56" s="9" t="s">
        <v>4344</v>
      </c>
      <c r="B56" s="11" t="s">
        <v>4345</v>
      </c>
      <c r="C56" s="9" t="s">
        <v>2740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4288</v>
      </c>
    </row>
    <row r="57" customFormat="false" ht="15" hidden="false" customHeight="false" outlineLevel="0" collapsed="false">
      <c r="A57" s="9" t="s">
        <v>4346</v>
      </c>
      <c r="B57" s="9" t="s">
        <v>4347</v>
      </c>
      <c r="C57" s="11" t="s">
        <v>745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4291</v>
      </c>
    </row>
    <row r="58" customFormat="false" ht="15" hidden="false" customHeight="false" outlineLevel="0" collapsed="false">
      <c r="A58" s="9" t="s">
        <v>4348</v>
      </c>
      <c r="B58" s="11" t="s">
        <v>4349</v>
      </c>
      <c r="C58" s="11" t="s">
        <v>745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4282</v>
      </c>
    </row>
    <row r="59" customFormat="false" ht="15" hidden="false" customHeight="false" outlineLevel="0" collapsed="false">
      <c r="A59" s="9" t="s">
        <v>4350</v>
      </c>
      <c r="B59" s="11" t="s">
        <v>4351</v>
      </c>
      <c r="C59" s="11" t="s">
        <v>745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4285</v>
      </c>
    </row>
    <row r="60" customFormat="false" ht="15" hidden="false" customHeight="false" outlineLevel="0" collapsed="false">
      <c r="A60" s="9" t="s">
        <v>4352</v>
      </c>
      <c r="B60" s="11" t="s">
        <v>4353</v>
      </c>
      <c r="C60" s="9" t="s">
        <v>2740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4288</v>
      </c>
    </row>
    <row r="61" customFormat="false" ht="15" hidden="false" customHeight="false" outlineLevel="0" collapsed="false">
      <c r="A61" s="9" t="s">
        <v>4354</v>
      </c>
      <c r="B61" s="9" t="s">
        <v>4355</v>
      </c>
      <c r="C61" s="11" t="s">
        <v>745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4291</v>
      </c>
    </row>
    <row r="62" customFormat="false" ht="15" hidden="false" customHeight="false" outlineLevel="0" collapsed="false">
      <c r="A62" s="9" t="s">
        <v>4356</v>
      </c>
      <c r="B62" s="11" t="s">
        <v>4357</v>
      </c>
      <c r="C62" s="11" t="s">
        <v>745</v>
      </c>
      <c r="D62" s="21" t="n">
        <f aca="false">$D$23/$D$23</f>
        <v>1</v>
      </c>
      <c r="K62" s="2" t="s">
        <v>4358</v>
      </c>
    </row>
    <row r="63" customFormat="false" ht="15" hidden="false" customHeight="false" outlineLevel="0" collapsed="false">
      <c r="A63" s="15" t="s">
        <v>4359</v>
      </c>
    </row>
    <row r="64" customFormat="false" ht="15" hidden="false" customHeight="false" outlineLevel="0" collapsed="false">
      <c r="A64" s="9" t="s">
        <v>4360</v>
      </c>
      <c r="B64" s="11" t="s">
        <v>4361</v>
      </c>
      <c r="C64" s="11" t="s">
        <v>267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4362</v>
      </c>
    </row>
    <row r="65" customFormat="false" ht="15" hidden="false" customHeight="false" outlineLevel="0" collapsed="false">
      <c r="A65" s="9" t="s">
        <v>4363</v>
      </c>
      <c r="B65" s="11" t="s">
        <v>4364</v>
      </c>
      <c r="C65" s="11" t="s">
        <v>267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4362</v>
      </c>
    </row>
    <row r="66" customFormat="false" ht="15" hidden="false" customHeight="false" outlineLevel="0" collapsed="false">
      <c r="A66" s="9" t="s">
        <v>4365</v>
      </c>
      <c r="B66" s="11" t="s">
        <v>4366</v>
      </c>
      <c r="C66" s="11" t="s">
        <v>267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4367</v>
      </c>
    </row>
    <row r="67" customFormat="false" ht="15" hidden="false" customHeight="false" outlineLevel="0" collapsed="false">
      <c r="A67" s="9" t="s">
        <v>4368</v>
      </c>
      <c r="B67" s="11" t="s">
        <v>4369</v>
      </c>
      <c r="C67" s="9" t="s">
        <v>2740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4370</v>
      </c>
    </row>
    <row r="68" customFormat="false" ht="15" hidden="false" customHeight="false" outlineLevel="0" collapsed="false">
      <c r="A68" s="9" t="s">
        <v>4371</v>
      </c>
      <c r="B68" s="11" t="s">
        <v>4372</v>
      </c>
      <c r="C68" s="9" t="s">
        <v>1104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4373</v>
      </c>
    </row>
    <row r="69" customFormat="false" ht="15" hidden="false" customHeight="false" outlineLevel="0" collapsed="false">
      <c r="A69" s="15" t="s">
        <v>4374</v>
      </c>
    </row>
    <row r="70" customFormat="false" ht="15" hidden="false" customHeight="false" outlineLevel="0" collapsed="false">
      <c r="A70" s="9" t="s">
        <v>4375</v>
      </c>
      <c r="B70" s="9" t="s">
        <v>4376</v>
      </c>
      <c r="C70" s="11" t="s">
        <v>745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4377</v>
      </c>
    </row>
    <row r="71" customFormat="false" ht="15" hidden="false" customHeight="false" outlineLevel="0" collapsed="false">
      <c r="A71" s="9" t="s">
        <v>4378</v>
      </c>
      <c r="B71" s="11" t="s">
        <v>4379</v>
      </c>
      <c r="C71" s="11" t="s">
        <v>745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4380</v>
      </c>
    </row>
    <row r="72" customFormat="false" ht="15" hidden="false" customHeight="false" outlineLevel="0" collapsed="false">
      <c r="A72" s="9" t="s">
        <v>4381</v>
      </c>
      <c r="B72" s="11" t="s">
        <v>4382</v>
      </c>
      <c r="C72" s="11" t="s">
        <v>2187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4383</v>
      </c>
      <c r="B73" s="11" t="s">
        <v>4384</v>
      </c>
      <c r="C73" s="9" t="s">
        <v>1104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4385</v>
      </c>
    </row>
    <row r="74" customFormat="false" ht="15" hidden="false" customHeight="false" outlineLevel="0" collapsed="false">
      <c r="A74" s="9" t="s">
        <v>4386</v>
      </c>
      <c r="B74" s="11" t="s">
        <v>4387</v>
      </c>
      <c r="C74" s="9" t="s">
        <v>1104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4388</v>
      </c>
    </row>
    <row r="75" customFormat="false" ht="15" hidden="false" customHeight="false" outlineLevel="0" collapsed="false">
      <c r="A75" s="9" t="s">
        <v>4389</v>
      </c>
      <c r="B75" s="11" t="s">
        <v>4390</v>
      </c>
      <c r="C75" s="9" t="s">
        <v>1104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4391</v>
      </c>
    </row>
    <row r="76" customFormat="false" ht="15" hidden="false" customHeight="false" outlineLevel="0" collapsed="false">
      <c r="A76" s="9" t="s">
        <v>4392</v>
      </c>
      <c r="B76" s="11" t="s">
        <v>4393</v>
      </c>
      <c r="C76" s="9" t="s">
        <v>1104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4394</v>
      </c>
    </row>
    <row r="77" customFormat="false" ht="15" hidden="false" customHeight="false" outlineLevel="0" collapsed="false">
      <c r="A77" s="9" t="s">
        <v>4395</v>
      </c>
      <c r="B77" s="11" t="s">
        <v>4396</v>
      </c>
      <c r="C77" s="9" t="s">
        <v>1104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4397</v>
      </c>
    </row>
    <row r="78" customFormat="false" ht="15" hidden="false" customHeight="false" outlineLevel="0" collapsed="false">
      <c r="A78" s="9" t="s">
        <v>4398</v>
      </c>
      <c r="B78" s="11" t="s">
        <v>4399</v>
      </c>
      <c r="C78" s="9" t="s">
        <v>1104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4400</v>
      </c>
    </row>
    <row r="79" customFormat="false" ht="15" hidden="false" customHeight="false" outlineLevel="0" collapsed="false">
      <c r="A79" s="9" t="s">
        <v>4401</v>
      </c>
      <c r="B79" s="11" t="s">
        <v>4402</v>
      </c>
      <c r="C79" s="9" t="s">
        <v>1104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4403</v>
      </c>
    </row>
    <row r="80" customFormat="false" ht="15" hidden="false" customHeight="false" outlineLevel="0" collapsed="false">
      <c r="A80" s="9" t="s">
        <v>4404</v>
      </c>
      <c r="B80" s="11" t="s">
        <v>4405</v>
      </c>
      <c r="C80" s="9" t="s">
        <v>1104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4406</v>
      </c>
    </row>
    <row r="81" customFormat="false" ht="15" hidden="false" customHeight="false" outlineLevel="0" collapsed="false">
      <c r="A81" s="9" t="s">
        <v>4407</v>
      </c>
      <c r="B81" s="11" t="s">
        <v>4408</v>
      </c>
      <c r="C81" s="9" t="s">
        <v>1104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4409</v>
      </c>
    </row>
    <row r="82" customFormat="false" ht="15" hidden="false" customHeight="false" outlineLevel="0" collapsed="false">
      <c r="A82" s="9" t="s">
        <v>4410</v>
      </c>
      <c r="B82" s="11" t="s">
        <v>4411</v>
      </c>
      <c r="C82" s="9" t="s">
        <v>1104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4412</v>
      </c>
    </row>
    <row r="83" customFormat="false" ht="15" hidden="false" customHeight="false" outlineLevel="0" collapsed="false">
      <c r="A83" s="9" t="s">
        <v>4413</v>
      </c>
      <c r="B83" s="11" t="s">
        <v>4414</v>
      </c>
      <c r="C83" s="9" t="s">
        <v>1104</v>
      </c>
      <c r="K83" s="2" t="s">
        <v>4415</v>
      </c>
    </row>
    <row r="84" customFormat="false" ht="15" hidden="false" customHeight="false" outlineLevel="0" collapsed="false">
      <c r="A84" s="15" t="s">
        <v>4416</v>
      </c>
    </row>
    <row r="85" customFormat="false" ht="15" hidden="false" customHeight="false" outlineLevel="0" collapsed="false">
      <c r="A85" s="9" t="s">
        <v>4417</v>
      </c>
      <c r="B85" s="11" t="s">
        <v>4418</v>
      </c>
      <c r="C85" s="9" t="s">
        <v>480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4419</v>
      </c>
    </row>
    <row r="86" customFormat="false" ht="15" hidden="false" customHeight="false" outlineLevel="0" collapsed="false">
      <c r="A86" s="9" t="s">
        <v>4420</v>
      </c>
      <c r="B86" s="11" t="s">
        <v>4421</v>
      </c>
      <c r="C86" s="9" t="s">
        <v>480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4422</v>
      </c>
    </row>
    <row r="87" customFormat="false" ht="15" hidden="false" customHeight="false" outlineLevel="0" collapsed="false">
      <c r="A87" s="9" t="s">
        <v>4423</v>
      </c>
      <c r="B87" s="11" t="s">
        <v>4424</v>
      </c>
      <c r="C87" s="9" t="s">
        <v>4425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4426</v>
      </c>
    </row>
    <row r="88" customFormat="false" ht="15" hidden="false" customHeight="false" outlineLevel="0" collapsed="false">
      <c r="A88" s="9" t="s">
        <v>4427</v>
      </c>
      <c r="B88" s="11" t="s">
        <v>4428</v>
      </c>
      <c r="C88" s="9" t="s">
        <v>1104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4429</v>
      </c>
    </row>
    <row r="89" customFormat="false" ht="15" hidden="false" customHeight="false" outlineLevel="0" collapsed="false">
      <c r="A89" s="15" t="s">
        <v>4430</v>
      </c>
    </row>
    <row r="90" customFormat="false" ht="15" hidden="false" customHeight="false" outlineLevel="0" collapsed="false">
      <c r="A90" s="9" t="s">
        <v>4431</v>
      </c>
      <c r="B90" s="11" t="s">
        <v>4432</v>
      </c>
      <c r="C90" s="9" t="s">
        <v>1104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4433</v>
      </c>
    </row>
    <row r="91" customFormat="false" ht="15" hidden="false" customHeight="false" outlineLevel="0" collapsed="false">
      <c r="A91" s="9" t="s">
        <v>4434</v>
      </c>
      <c r="B91" s="11" t="s">
        <v>4435</v>
      </c>
      <c r="C91" s="9" t="s">
        <v>1104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4436</v>
      </c>
    </row>
    <row r="92" customFormat="false" ht="15" hidden="false" customHeight="false" outlineLevel="0" collapsed="false">
      <c r="A92" s="9" t="s">
        <v>4437</v>
      </c>
      <c r="B92" s="9" t="s">
        <v>4438</v>
      </c>
      <c r="C92" s="9" t="s">
        <v>1104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4439</v>
      </c>
    </row>
    <row r="93" customFormat="false" ht="15" hidden="false" customHeight="false" outlineLevel="0" collapsed="false">
      <c r="A93" s="9" t="s">
        <v>4440</v>
      </c>
      <c r="B93" s="9" t="s">
        <v>4441</v>
      </c>
      <c r="C93" s="9" t="s">
        <v>1104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4439</v>
      </c>
    </row>
    <row r="94" customFormat="false" ht="15" hidden="false" customHeight="false" outlineLevel="0" collapsed="false">
      <c r="A94" s="9" t="s">
        <v>4442</v>
      </c>
      <c r="B94" s="9" t="s">
        <v>4443</v>
      </c>
      <c r="C94" s="9" t="s">
        <v>1104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4439</v>
      </c>
    </row>
    <row r="95" customFormat="false" ht="15" hidden="false" customHeight="false" outlineLevel="0" collapsed="false">
      <c r="A95" s="9" t="s">
        <v>4444</v>
      </c>
      <c r="B95" s="9" t="s">
        <v>4445</v>
      </c>
      <c r="C95" s="9" t="s">
        <v>1104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4439</v>
      </c>
    </row>
    <row r="96" customFormat="false" ht="15" hidden="false" customHeight="false" outlineLevel="0" collapsed="false">
      <c r="A96" s="9" t="s">
        <v>4446</v>
      </c>
      <c r="B96" s="9" t="s">
        <v>4447</v>
      </c>
      <c r="C96" s="9" t="s">
        <v>1104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4439</v>
      </c>
    </row>
    <row r="97" customFormat="false" ht="15" hidden="false" customHeight="false" outlineLevel="0" collapsed="false">
      <c r="A97" s="9" t="s">
        <v>4448</v>
      </c>
      <c r="B97" s="9" t="s">
        <v>4449</v>
      </c>
      <c r="C97" s="9" t="s">
        <v>1104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4439</v>
      </c>
    </row>
    <row r="98" customFormat="false" ht="15" hidden="false" customHeight="false" outlineLevel="0" collapsed="false">
      <c r="A98" s="9" t="s">
        <v>4450</v>
      </c>
      <c r="B98" s="9" t="s">
        <v>4451</v>
      </c>
      <c r="C98" s="9" t="s">
        <v>1104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4439</v>
      </c>
    </row>
    <row r="99" customFormat="false" ht="15" hidden="false" customHeight="false" outlineLevel="0" collapsed="false">
      <c r="A99" s="9" t="s">
        <v>4452</v>
      </c>
      <c r="B99" s="9" t="s">
        <v>4453</v>
      </c>
      <c r="C99" s="9" t="s">
        <v>1104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4439</v>
      </c>
    </row>
    <row r="100" customFormat="false" ht="15" hidden="false" customHeight="false" outlineLevel="0" collapsed="false">
      <c r="A100" s="9" t="s">
        <v>4454</v>
      </c>
      <c r="B100" s="9" t="s">
        <v>4455</v>
      </c>
      <c r="C100" s="9" t="s">
        <v>1104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4439</v>
      </c>
    </row>
    <row r="101" customFormat="false" ht="15" hidden="false" customHeight="false" outlineLevel="0" collapsed="false">
      <c r="A101" s="9" t="s">
        <v>4456</v>
      </c>
      <c r="B101" s="11" t="s">
        <v>4457</v>
      </c>
      <c r="C101" s="9" t="s">
        <v>1104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4458</v>
      </c>
      <c r="B102" s="11" t="s">
        <v>4459</v>
      </c>
      <c r="C102" s="11" t="s">
        <v>267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4460</v>
      </c>
      <c r="B103" s="11" t="s">
        <v>4461</v>
      </c>
      <c r="C103" s="11" t="s">
        <v>267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4462</v>
      </c>
      <c r="B104" s="11" t="s">
        <v>4463</v>
      </c>
      <c r="C104" s="11" t="s">
        <v>267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4464</v>
      </c>
      <c r="B105" s="11" t="s">
        <v>4465</v>
      </c>
      <c r="C105" s="11" t="s">
        <v>267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4466</v>
      </c>
      <c r="B106" s="11" t="s">
        <v>4467</v>
      </c>
      <c r="C106" s="11" t="s">
        <v>267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4468</v>
      </c>
      <c r="B107" s="11" t="s">
        <v>4469</v>
      </c>
      <c r="C107" s="11" t="s">
        <v>267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4470</v>
      </c>
      <c r="B108" s="11" t="s">
        <v>4471</v>
      </c>
      <c r="C108" s="11" t="s">
        <v>267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4472</v>
      </c>
      <c r="B109" s="11" t="s">
        <v>4473</v>
      </c>
      <c r="C109" s="11" t="s">
        <v>267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4474</v>
      </c>
      <c r="B110" s="11" t="s">
        <v>4475</v>
      </c>
      <c r="C110" s="11" t="s">
        <v>267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4476</v>
      </c>
      <c r="B111" s="11" t="s">
        <v>4477</v>
      </c>
      <c r="C111" s="11" t="s">
        <v>267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32</v>
      </c>
    </row>
    <row r="112" customFormat="false" ht="15" hidden="false" customHeight="false" outlineLevel="0" collapsed="false">
      <c r="A112" s="15" t="s">
        <v>4478</v>
      </c>
    </row>
    <row r="113" customFormat="false" ht="15" hidden="false" customHeight="false" outlineLevel="0" collapsed="false">
      <c r="A113" s="9" t="s">
        <v>4479</v>
      </c>
      <c r="B113" s="11" t="s">
        <v>4480</v>
      </c>
      <c r="C113" s="11" t="s">
        <v>267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4481</v>
      </c>
      <c r="B114" s="11" t="s">
        <v>4482</v>
      </c>
      <c r="C114" s="11" t="s">
        <v>267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4483</v>
      </c>
      <c r="B115" s="11" t="s">
        <v>4484</v>
      </c>
      <c r="C115" s="11" t="s">
        <v>267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4485</v>
      </c>
      <c r="B116" s="11" t="s">
        <v>4486</v>
      </c>
      <c r="C116" s="11" t="s">
        <v>267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4487</v>
      </c>
      <c r="B117" s="11" t="s">
        <v>4488</v>
      </c>
      <c r="C117" s="11" t="s">
        <v>267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4489</v>
      </c>
      <c r="B118" s="11" t="s">
        <v>4490</v>
      </c>
      <c r="C118" s="11" t="s">
        <v>267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4491</v>
      </c>
    </row>
    <row r="120" customFormat="false" ht="15" hidden="false" customHeight="false" outlineLevel="0" collapsed="false">
      <c r="A120" s="9" t="s">
        <v>4492</v>
      </c>
      <c r="B120" s="11" t="s">
        <v>4493</v>
      </c>
      <c r="C120" s="9" t="s">
        <v>4253</v>
      </c>
      <c r="D120" s="20" t="n">
        <f aca="false">TK_IF_Util/(D113/$D$13+D114/$D$14+D115/$D$15)</f>
        <v>11002486154.3173</v>
      </c>
      <c r="E120" s="20" t="n">
        <f aca="false">TK_IF_Util/(E113/$D$13+E114/$D$14+E115/$D$15)</f>
        <v>8839498436.94592</v>
      </c>
      <c r="F120" s="20" t="n">
        <f aca="false">TK_IF_Util/(F113/$D$13+F114/$D$14+F115/$D$15)</f>
        <v>8844135148.20637</v>
      </c>
      <c r="G120" s="20" t="n">
        <f aca="false">TK_IF_Util/(G113/$D$13+G114/$D$14+G115/$D$15)</f>
        <v>8844226705.25006</v>
      </c>
      <c r="H120" s="20" t="n">
        <f aca="false">TK_IF_Util/(H113/$D$13+H114/$D$14+H115/$D$15)</f>
        <v>8843838102.16619</v>
      </c>
      <c r="I120" s="20" t="n">
        <f aca="false">TK_IF_Util/(I113/$D$13+I114/$D$14+I115/$D$15)</f>
        <v>8843934038.62723</v>
      </c>
      <c r="K120" s="2"/>
    </row>
    <row r="121" customFormat="false" ht="15" hidden="false" customHeight="false" outlineLevel="0" collapsed="false">
      <c r="A121" s="9" t="s">
        <v>4494</v>
      </c>
      <c r="B121" s="11" t="s">
        <v>4495</v>
      </c>
      <c r="C121" s="9" t="s">
        <v>4253</v>
      </c>
      <c r="D121" s="20" t="n">
        <f aca="false">TK_IF_Util/(D113/$D$16+D114/$D$17+D115/$D$18)</f>
        <v>54122628900.551</v>
      </c>
      <c r="E121" s="20" t="n">
        <f aca="false">TK_IF_Util/(E113/$D$16+E114/$D$17+E115/$D$18)</f>
        <v>43558293993.6682</v>
      </c>
      <c r="F121" s="20" t="n">
        <f aca="false">TK_IF_Util/(F113/$D$16+F114/$D$17+F115/$D$18)</f>
        <v>43582233777.0308</v>
      </c>
      <c r="G121" s="20" t="n">
        <f aca="false">TK_IF_Util/(G113/$D$16+G114/$D$17+G115/$D$18)</f>
        <v>43582685325.4685</v>
      </c>
      <c r="H121" s="20" t="n">
        <f aca="false">TK_IF_Util/(H113/$D$16+H114/$D$17+H115/$D$18)</f>
        <v>43580659253.4029</v>
      </c>
      <c r="I121" s="20" t="n">
        <f aca="false">TK_IF_Util/(I113/$D$16+I114/$D$17+I115/$D$18)</f>
        <v>43581141452.4506</v>
      </c>
      <c r="K121" s="2"/>
    </row>
    <row r="122" customFormat="false" ht="15" hidden="false" customHeight="false" outlineLevel="0" collapsed="false">
      <c r="A122" s="9" t="s">
        <v>4496</v>
      </c>
      <c r="B122" s="11" t="s">
        <v>4497</v>
      </c>
      <c r="C122" s="9" t="s">
        <v>4253</v>
      </c>
      <c r="D122" s="20" t="n">
        <f aca="false">TK_IF_Util/(D113/$D$19+D114/$D$20+D115/$D$21)</f>
        <v>65533442194.4536</v>
      </c>
      <c r="E122" s="20" t="n">
        <f aca="false">TK_IF_Util/(E113/$D$19+E114/$D$20+E115/$D$21)</f>
        <v>52099589857.9261</v>
      </c>
      <c r="F122" s="20" t="n">
        <f aca="false">TK_IF_Util/(F113/$D$19+F114/$D$20+F115/$D$21)</f>
        <v>52122768676.1201</v>
      </c>
      <c r="G122" s="20" t="n">
        <f aca="false">TK_IF_Util/(G113/$D$19+G114/$D$20+G115/$D$21)</f>
        <v>52123316142.6716</v>
      </c>
      <c r="H122" s="20" t="n">
        <f aca="false">TK_IF_Util/(H113/$D$19+H114/$D$20+H115/$D$21)</f>
        <v>52121456905.9561</v>
      </c>
      <c r="I122" s="20" t="n">
        <f aca="false">TK_IF_Util/(I113/$D$19+I114/$D$20+I115/$D$21)</f>
        <v>52121992176.8072</v>
      </c>
      <c r="K122" s="2"/>
    </row>
    <row r="123" customFormat="false" ht="15" hidden="false" customHeight="false" outlineLevel="0" collapsed="false">
      <c r="A123" s="9" t="s">
        <v>4498</v>
      </c>
      <c r="B123" s="11" t="s">
        <v>4499</v>
      </c>
      <c r="C123" s="9" t="s">
        <v>4253</v>
      </c>
      <c r="D123" s="20" t="n">
        <f aca="false">TK_IF_Util/(D113/$D$22+D114/$D$23+D115/$D$24)</f>
        <v>109335639794.025</v>
      </c>
      <c r="E123" s="20" t="n">
        <f aca="false">TK_IF_Util/(E113/$D$22+E114/$D$23+E115/$D$24)</f>
        <v>88638700426.5155</v>
      </c>
      <c r="F123" s="20" t="n">
        <f aca="false">TK_IF_Util/(F113/$D$22+F114/$D$23+F115/$D$24)</f>
        <v>88691113253.4305</v>
      </c>
      <c r="G123" s="20" t="n">
        <f aca="false">TK_IF_Util/(G113/$D$22+G114/$D$23+G115/$D$24)</f>
        <v>88692019166.7583</v>
      </c>
      <c r="H123" s="20" t="n">
        <f aca="false">TK_IF_Util/(H113/$D$22+H114/$D$23+H115/$D$24)</f>
        <v>88687506520.3565</v>
      </c>
      <c r="I123" s="20" t="n">
        <f aca="false">TK_IF_Util/(I113/$D$22+I114/$D$23+I115/$D$24)</f>
        <v>88688510940.2839</v>
      </c>
      <c r="K123" s="2"/>
    </row>
    <row r="124" customFormat="false" ht="15" hidden="false" customHeight="false" outlineLevel="0" collapsed="false">
      <c r="A124" s="9" t="s">
        <v>4500</v>
      </c>
      <c r="B124" s="11" t="s">
        <v>4501</v>
      </c>
      <c r="C124" s="9" t="s">
        <v>4253</v>
      </c>
      <c r="D124" s="20" t="n">
        <f aca="false">D42*D120</f>
        <v>8801988923.45385</v>
      </c>
      <c r="E124" s="20" t="n">
        <f aca="false">E42*E120</f>
        <v>7071598749.55673</v>
      </c>
      <c r="F124" s="20" t="n">
        <f aca="false">F42*F120</f>
        <v>7075308118.56509</v>
      </c>
      <c r="G124" s="20" t="n">
        <f aca="false">G42*G120</f>
        <v>7075381364.20005</v>
      </c>
      <c r="H124" s="20" t="n">
        <f aca="false">H42*H120</f>
        <v>7075070481.73295</v>
      </c>
      <c r="I124" s="20" t="n">
        <f aca="false">I42*I120</f>
        <v>7075147230.90178</v>
      </c>
      <c r="K124" s="2" t="s">
        <v>4502</v>
      </c>
    </row>
    <row r="125" customFormat="false" ht="15" hidden="false" customHeight="false" outlineLevel="0" collapsed="false">
      <c r="A125" s="9" t="s">
        <v>4503</v>
      </c>
      <c r="B125" s="11" t="s">
        <v>4504</v>
      </c>
      <c r="C125" s="9" t="s">
        <v>4253</v>
      </c>
      <c r="D125" s="20" t="n">
        <f aca="false">D46*D123</f>
        <v>87468511835.22</v>
      </c>
      <c r="E125" s="20" t="n">
        <f aca="false">E46*E123</f>
        <v>70910960341.2124</v>
      </c>
      <c r="F125" s="20" t="n">
        <f aca="false">F46*F123</f>
        <v>70952890602.7444</v>
      </c>
      <c r="G125" s="20" t="n">
        <f aca="false">G46*G123</f>
        <v>70953615333.4067</v>
      </c>
      <c r="H125" s="20" t="n">
        <f aca="false">H46*H123</f>
        <v>70950005216.2852</v>
      </c>
      <c r="I125" s="20" t="n">
        <f aca="false">I46*I123</f>
        <v>70950808752.2271</v>
      </c>
      <c r="K125" s="2" t="s">
        <v>4502</v>
      </c>
    </row>
    <row r="126" customFormat="false" ht="15" hidden="false" customHeight="false" outlineLevel="0" collapsed="false">
      <c r="A126" s="9" t="s">
        <v>4505</v>
      </c>
      <c r="B126" s="11" t="s">
        <v>4506</v>
      </c>
      <c r="C126" s="9" t="s">
        <v>4253</v>
      </c>
      <c r="D126" s="20" t="n">
        <f aca="false">D50*D120</f>
        <v>5501243077.15865</v>
      </c>
      <c r="E126" s="20" t="n">
        <f aca="false">E50*E120</f>
        <v>4419749218.47296</v>
      </c>
      <c r="F126" s="20" t="n">
        <f aca="false">F50*F120</f>
        <v>4422067574.10318</v>
      </c>
      <c r="G126" s="20" t="n">
        <f aca="false">G50*G120</f>
        <v>4422113352.62503</v>
      </c>
      <c r="H126" s="20" t="n">
        <f aca="false">H50*H120</f>
        <v>4421919051.08309</v>
      </c>
      <c r="I126" s="20" t="n">
        <f aca="false">I50*I120</f>
        <v>4421967019.31361</v>
      </c>
      <c r="K126" s="2" t="s">
        <v>4502</v>
      </c>
    </row>
    <row r="127" customFormat="false" ht="15" hidden="false" customHeight="false" outlineLevel="0" collapsed="false">
      <c r="A127" s="9" t="s">
        <v>4507</v>
      </c>
      <c r="B127" s="11" t="s">
        <v>4508</v>
      </c>
      <c r="C127" s="9" t="s">
        <v>4253</v>
      </c>
      <c r="D127" s="20" t="n">
        <f aca="false">D54*D123</f>
        <v>54667819897.0125</v>
      </c>
      <c r="E127" s="20" t="n">
        <f aca="false">E54*E123</f>
        <v>44319350213.2577</v>
      </c>
      <c r="F127" s="20" t="n">
        <f aca="false">F54*F123</f>
        <v>44345556626.7152</v>
      </c>
      <c r="G127" s="20" t="n">
        <f aca="false">G54*G123</f>
        <v>44346009583.3792</v>
      </c>
      <c r="H127" s="20" t="n">
        <f aca="false">H54*H123</f>
        <v>44343753260.1783</v>
      </c>
      <c r="I127" s="20" t="n">
        <f aca="false">I54*I123</f>
        <v>44344255470.1419</v>
      </c>
      <c r="K127" s="2" t="s">
        <v>4502</v>
      </c>
    </row>
    <row r="128" customFormat="false" ht="15" hidden="false" customHeight="false" outlineLevel="0" collapsed="false">
      <c r="A128" s="9" t="s">
        <v>4509</v>
      </c>
      <c r="B128" s="11" t="s">
        <v>4510</v>
      </c>
      <c r="C128" s="9" t="s">
        <v>4253</v>
      </c>
      <c r="D128" s="20" t="n">
        <f aca="false">D58*D123</f>
        <v>76534947855.8175</v>
      </c>
      <c r="E128" s="20" t="n">
        <f aca="false">E58*E123</f>
        <v>62047090298.5608</v>
      </c>
      <c r="F128" s="20" t="n">
        <f aca="false">F58*F123</f>
        <v>62083779277.4013</v>
      </c>
      <c r="G128" s="20" t="n">
        <f aca="false">G58*G123</f>
        <v>62084413416.7308</v>
      </c>
      <c r="H128" s="20" t="n">
        <f aca="false">H58*H123</f>
        <v>62081254564.2496</v>
      </c>
      <c r="I128" s="20" t="n">
        <f aca="false">I58*I123</f>
        <v>62081957658.1987</v>
      </c>
      <c r="K128" s="2" t="s">
        <v>4502</v>
      </c>
    </row>
    <row r="129" customFormat="false" ht="15" hidden="false" customHeight="false" outlineLevel="0" collapsed="false">
      <c r="A129" s="9" t="s">
        <v>4511</v>
      </c>
      <c r="B129" s="11" t="s">
        <v>4512</v>
      </c>
      <c r="C129" s="9" t="s">
        <v>4253</v>
      </c>
      <c r="D129" s="20" t="n">
        <f aca="false">D102*D120+D103*D121+D104*D122+D105*D123+D106*D124+D107*D125+D108*D126+D109*D127+D110*D128</f>
        <v>7701740308.02212</v>
      </c>
      <c r="E129" s="20" t="n">
        <f aca="false">E102*E120+E103*E121+E104*E122+E105*E123+E106*E124+E107*E125+E108*E126+E109*E127+E110*E128</f>
        <v>36942934351.6014</v>
      </c>
      <c r="F129" s="20" t="n">
        <f aca="false">F102*F120+F103*F121+F104*F122+F105*F123+F106*F124+F107*F125+F108*F126+F109*F127+F110*F128</f>
        <v>53936586217.3881</v>
      </c>
      <c r="G129" s="20" t="n">
        <f aca="false">G102*G120+G103*G121+G104*G122+G105*G123+G106*G124+G107*G125+G108*G126+G109*G127+G110*G128</f>
        <v>58593535801.7752</v>
      </c>
      <c r="H129" s="20" t="n">
        <f aca="false">H102*H120+H103*H121+H104*H122+H105*H123+H106*H124+H107*H125+H108*H126+H109*H127+H110*H128</f>
        <v>63448802319.6986</v>
      </c>
      <c r="I129" s="20" t="n">
        <f aca="false">I102*I120+I103*I121+I104*I122+I105*I123+I106*I124+I107*I125+I108*I126+I109*I127+I110*I128</f>
        <v>65640391660.4347</v>
      </c>
      <c r="K129" s="12" t="s">
        <v>4513</v>
      </c>
    </row>
    <row r="130" customFormat="false" ht="15" hidden="false" customHeight="false" outlineLevel="0" collapsed="false">
      <c r="A130" s="9" t="s">
        <v>4514</v>
      </c>
      <c r="B130" s="11" t="s">
        <v>4515</v>
      </c>
      <c r="C130" s="9" t="s">
        <v>4253</v>
      </c>
      <c r="D130" s="20" t="n">
        <f aca="false">TK_IF_Util/(D116/$D$13+D117/$D$14+D118/$D$15)</f>
        <v>17909134013.9318</v>
      </c>
      <c r="E130" s="20" t="n">
        <f aca="false">TK_IF_Util/(E116/$D$13+E117/$D$14+E118/$D$15)</f>
        <v>17909134013.9318</v>
      </c>
      <c r="F130" s="20" t="n">
        <f aca="false">TK_IF_Util/(F116/$D$13+F117/$D$14+F118/$D$15)</f>
        <v>17909134013.9318</v>
      </c>
      <c r="G130" s="20" t="n">
        <f aca="false">TK_IF_Util/(G116/$D$13+G117/$D$14+G118/$D$15)</f>
        <v>17909134013.9318</v>
      </c>
      <c r="H130" s="20" t="n">
        <f aca="false">TK_IF_Util/(H116/$D$13+H117/$D$14+H118/$D$15)</f>
        <v>17909134013.9318</v>
      </c>
      <c r="I130" s="20" t="n">
        <f aca="false">TK_IF_Util/(I116/$D$13+I117/$D$14+I118/$D$15)</f>
        <v>17909134013.9318</v>
      </c>
      <c r="K130" s="2"/>
    </row>
    <row r="131" customFormat="false" ht="15" hidden="false" customHeight="false" outlineLevel="0" collapsed="false">
      <c r="A131" s="9" t="s">
        <v>4516</v>
      </c>
      <c r="B131" s="11" t="s">
        <v>4517</v>
      </c>
      <c r="C131" s="9" t="s">
        <v>4253</v>
      </c>
      <c r="D131" s="20" t="n">
        <f aca="false">TK_IF_Util/(D116/$D$16+D117/$D$17+D118/$D$18)</f>
        <v>87811788559.2533</v>
      </c>
      <c r="E131" s="20" t="n">
        <f aca="false">TK_IF_Util/(E116/$D$16+E117/$D$17+E118/$D$18)</f>
        <v>87811788559.2533</v>
      </c>
      <c r="F131" s="20" t="n">
        <f aca="false">TK_IF_Util/(F116/$D$16+F117/$D$17+F118/$D$18)</f>
        <v>87811788559.2533</v>
      </c>
      <c r="G131" s="20" t="n">
        <f aca="false">TK_IF_Util/(G116/$D$16+G117/$D$17+G118/$D$18)</f>
        <v>87811788559.2533</v>
      </c>
      <c r="H131" s="20" t="n">
        <f aca="false">TK_IF_Util/(H116/$D$16+H117/$D$17+H118/$D$18)</f>
        <v>87811788559.2533</v>
      </c>
      <c r="I131" s="20" t="n">
        <f aca="false">TK_IF_Util/(I116/$D$16+I117/$D$17+I118/$D$18)</f>
        <v>87811788559.2533</v>
      </c>
      <c r="K131" s="2"/>
    </row>
    <row r="132" customFormat="false" ht="15" hidden="false" customHeight="false" outlineLevel="0" collapsed="false">
      <c r="A132" s="9" t="s">
        <v>4518</v>
      </c>
      <c r="B132" s="11" t="s">
        <v>4519</v>
      </c>
      <c r="C132" s="9" t="s">
        <v>4253</v>
      </c>
      <c r="D132" s="20" t="n">
        <f aca="false">TK_IF_Util/(D116/$D$19+D117/$D$20+D118/$D$21)</f>
        <v>109462653398.109</v>
      </c>
      <c r="E132" s="20" t="n">
        <f aca="false">TK_IF_Util/(E116/$D$19+E117/$D$20+E118/$D$21)</f>
        <v>109462653398.109</v>
      </c>
      <c r="F132" s="20" t="n">
        <f aca="false">TK_IF_Util/(F116/$D$19+F117/$D$20+F118/$D$21)</f>
        <v>109462653398.109</v>
      </c>
      <c r="G132" s="20" t="n">
        <f aca="false">TK_IF_Util/(G116/$D$19+G117/$D$20+G118/$D$21)</f>
        <v>109462653398.109</v>
      </c>
      <c r="H132" s="20" t="n">
        <f aca="false">TK_IF_Util/(H116/$D$19+H117/$D$20+H118/$D$21)</f>
        <v>109462653398.109</v>
      </c>
      <c r="I132" s="20" t="n">
        <f aca="false">TK_IF_Util/(I116/$D$19+I117/$D$20+I118/$D$21)</f>
        <v>109462653398.109</v>
      </c>
      <c r="K132" s="2"/>
    </row>
    <row r="133" customFormat="false" ht="15" hidden="false" customHeight="false" outlineLevel="0" collapsed="false">
      <c r="A133" s="9" t="s">
        <v>4520</v>
      </c>
      <c r="B133" s="11" t="s">
        <v>4521</v>
      </c>
      <c r="C133" s="9" t="s">
        <v>4253</v>
      </c>
      <c r="D133" s="20" t="n">
        <f aca="false">TK_IF_Util/(D116/$D$22+D117/$D$23+D118/$D$24)</f>
        <v>174155466843.645</v>
      </c>
      <c r="E133" s="20" t="n">
        <f aca="false">TK_IF_Util/(E116/$D$22+E117/$D$23+E118/$D$24)</f>
        <v>174155466843.645</v>
      </c>
      <c r="F133" s="20" t="n">
        <f aca="false">TK_IF_Util/(F116/$D$22+F117/$D$23+F118/$D$24)</f>
        <v>174155466843.645</v>
      </c>
      <c r="G133" s="20" t="n">
        <f aca="false">TK_IF_Util/(G116/$D$22+G117/$D$23+G118/$D$24)</f>
        <v>174155466843.645</v>
      </c>
      <c r="H133" s="20" t="n">
        <f aca="false">TK_IF_Util/(H116/$D$22+H117/$D$23+H118/$D$24)</f>
        <v>174155466843.645</v>
      </c>
      <c r="I133" s="20" t="n">
        <f aca="false">TK_IF_Util/(I116/$D$22+I117/$D$23+I118/$D$24)</f>
        <v>174155466843.645</v>
      </c>
      <c r="K133" s="2"/>
    </row>
    <row r="134" customFormat="false" ht="15" hidden="false" customHeight="false" outlineLevel="0" collapsed="false">
      <c r="A134" s="9" t="s">
        <v>4522</v>
      </c>
      <c r="B134" s="11" t="s">
        <v>4523</v>
      </c>
      <c r="C134" s="9" t="s">
        <v>4253</v>
      </c>
      <c r="D134" s="20" t="n">
        <f aca="false">D42*D130</f>
        <v>14327307211.1455</v>
      </c>
      <c r="E134" s="20" t="n">
        <f aca="false">E42*E130</f>
        <v>14327307211.1455</v>
      </c>
      <c r="F134" s="20" t="n">
        <f aca="false">F42*F130</f>
        <v>14327307211.1455</v>
      </c>
      <c r="G134" s="20" t="n">
        <f aca="false">G42*G130</f>
        <v>14327307211.1455</v>
      </c>
      <c r="H134" s="20" t="n">
        <f aca="false">H42*H130</f>
        <v>14327307211.1455</v>
      </c>
      <c r="I134" s="20" t="n">
        <f aca="false">I42*I130</f>
        <v>14327307211.1455</v>
      </c>
      <c r="K134" s="2" t="s">
        <v>4502</v>
      </c>
    </row>
    <row r="135" customFormat="false" ht="15" hidden="false" customHeight="false" outlineLevel="0" collapsed="false">
      <c r="A135" s="9" t="s">
        <v>4524</v>
      </c>
      <c r="B135" s="11" t="s">
        <v>4525</v>
      </c>
      <c r="C135" s="9" t="s">
        <v>4253</v>
      </c>
      <c r="D135" s="20" t="n">
        <f aca="false">D46*D133</f>
        <v>139324373474.916</v>
      </c>
      <c r="E135" s="20" t="n">
        <f aca="false">E46*E133</f>
        <v>139324373474.916</v>
      </c>
      <c r="F135" s="20" t="n">
        <f aca="false">F46*F133</f>
        <v>139324373474.916</v>
      </c>
      <c r="G135" s="20" t="n">
        <f aca="false">G46*G133</f>
        <v>139324373474.916</v>
      </c>
      <c r="H135" s="20" t="n">
        <f aca="false">H46*H133</f>
        <v>139324373474.916</v>
      </c>
      <c r="I135" s="20" t="n">
        <f aca="false">I46*I133</f>
        <v>139324373474.916</v>
      </c>
      <c r="K135" s="2" t="s">
        <v>4502</v>
      </c>
    </row>
    <row r="136" customFormat="false" ht="15" hidden="false" customHeight="false" outlineLevel="0" collapsed="false">
      <c r="A136" s="9" t="s">
        <v>4526</v>
      </c>
      <c r="B136" s="11" t="s">
        <v>4527</v>
      </c>
      <c r="C136" s="9" t="s">
        <v>4253</v>
      </c>
      <c r="D136" s="20" t="n">
        <f aca="false">D50*D130</f>
        <v>8954567006.96591</v>
      </c>
      <c r="E136" s="20" t="n">
        <f aca="false">E50*E130</f>
        <v>8954567006.96592</v>
      </c>
      <c r="F136" s="20" t="n">
        <f aca="false">F50*F130</f>
        <v>8954567006.96592</v>
      </c>
      <c r="G136" s="20" t="n">
        <f aca="false">G50*G130</f>
        <v>8954567006.96591</v>
      </c>
      <c r="H136" s="20" t="n">
        <f aca="false">H50*H130</f>
        <v>8954567006.96591</v>
      </c>
      <c r="I136" s="20" t="n">
        <f aca="false">I50*I130</f>
        <v>8954567006.96591</v>
      </c>
      <c r="K136" s="2" t="s">
        <v>4502</v>
      </c>
    </row>
    <row r="137" customFormat="false" ht="15" hidden="false" customHeight="false" outlineLevel="0" collapsed="false">
      <c r="A137" s="9" t="s">
        <v>4528</v>
      </c>
      <c r="B137" s="11" t="s">
        <v>4529</v>
      </c>
      <c r="C137" s="9" t="s">
        <v>4253</v>
      </c>
      <c r="D137" s="20" t="n">
        <f aca="false">D54*D133</f>
        <v>87077733421.8224</v>
      </c>
      <c r="E137" s="20" t="n">
        <f aca="false">E54*E133</f>
        <v>87077733421.8224</v>
      </c>
      <c r="F137" s="20" t="n">
        <f aca="false">F54*F133</f>
        <v>87077733421.8224</v>
      </c>
      <c r="G137" s="20" t="n">
        <f aca="false">G54*G133</f>
        <v>87077733421.8224</v>
      </c>
      <c r="H137" s="20" t="n">
        <f aca="false">H54*H133</f>
        <v>87077733421.8224</v>
      </c>
      <c r="I137" s="20" t="n">
        <f aca="false">I54*I133</f>
        <v>87077733421.8224</v>
      </c>
      <c r="K137" s="2" t="s">
        <v>4502</v>
      </c>
    </row>
    <row r="138" customFormat="false" ht="15" hidden="false" customHeight="false" outlineLevel="0" collapsed="false">
      <c r="A138" s="9" t="s">
        <v>4530</v>
      </c>
      <c r="B138" s="11" t="s">
        <v>4531</v>
      </c>
      <c r="C138" s="9" t="s">
        <v>4253</v>
      </c>
      <c r="D138" s="20" t="n">
        <f aca="false">D58*D133</f>
        <v>121908826790.551</v>
      </c>
      <c r="E138" s="20" t="n">
        <f aca="false">E58*E133</f>
        <v>121908826790.551</v>
      </c>
      <c r="F138" s="20" t="n">
        <f aca="false">F58*F133</f>
        <v>121908826790.551</v>
      </c>
      <c r="G138" s="20" t="n">
        <f aca="false">G58*G133</f>
        <v>121908826790.551</v>
      </c>
      <c r="H138" s="20" t="n">
        <f aca="false">H58*H133</f>
        <v>121908826790.551</v>
      </c>
      <c r="I138" s="20" t="n">
        <f aca="false">I58*I133</f>
        <v>121908826790.551</v>
      </c>
      <c r="K138" s="2" t="s">
        <v>4502</v>
      </c>
    </row>
    <row r="139" customFormat="false" ht="15" hidden="false" customHeight="false" outlineLevel="0" collapsed="false">
      <c r="A139" s="9" t="s">
        <v>4532</v>
      </c>
      <c r="B139" s="11" t="s">
        <v>4533</v>
      </c>
      <c r="C139" s="9" t="s">
        <v>4253</v>
      </c>
      <c r="D139" s="20" t="n">
        <f aca="false">D102*D130+D103*D131+D104*D132+D105*D133+D106*D134+D107*D135+D108*D136+D109*D137+D110*D138</f>
        <v>12536393809.7523</v>
      </c>
      <c r="E139" s="20" t="n">
        <f aca="false">E102*E130+E103*E131+E104*E132+E105*E133+E106*E134+E107*E135+E108*E136+E109*E137+E110*E138</f>
        <v>72808922166.6282</v>
      </c>
      <c r="F139" s="20" t="n">
        <f aca="false">F102*F130+F103*F131+F104*F132+F105*F133+F106*F134+F107*F135+F108*F136+F109*F137+F110*F138</f>
        <v>106363901809.901</v>
      </c>
      <c r="G139" s="20" t="n">
        <f aca="false">G102*G130+G103*G131+G104*G132+G105*G133+G106*G134+G107*G135+G108*G136+G109*G137+G110*G138</f>
        <v>115603491215.629</v>
      </c>
      <c r="H139" s="20" t="n">
        <f aca="false">H102*H130+H103*H131+H104*H132+H105*H133+H106*H134+H107*H135+H108*H136+H109*H137+H110*H138</f>
        <v>125115463066.813</v>
      </c>
      <c r="I139" s="20" t="n">
        <f aca="false">I102*I130+I103*I131+I104*I132+I105*I133+I106*I134+I107*I135+I108*I136+I109*I137+I110*I138</f>
        <v>129416774953.067</v>
      </c>
      <c r="K139" s="12" t="s">
        <v>4513</v>
      </c>
    </row>
    <row r="140" customFormat="false" ht="15" hidden="false" customHeight="false" outlineLevel="0" collapsed="false">
      <c r="A140" s="15" t="s">
        <v>4534</v>
      </c>
    </row>
    <row r="141" customFormat="false" ht="15" hidden="false" customHeight="false" outlineLevel="0" collapsed="false">
      <c r="A141" s="9" t="s">
        <v>4535</v>
      </c>
      <c r="B141" s="11" t="s">
        <v>4536</v>
      </c>
      <c r="C141" s="9" t="s">
        <v>2539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4537</v>
      </c>
    </row>
    <row r="142" customFormat="false" ht="15" hidden="false" customHeight="false" outlineLevel="0" collapsed="false">
      <c r="A142" s="9" t="s">
        <v>4538</v>
      </c>
      <c r="B142" s="11" t="s">
        <v>4539</v>
      </c>
      <c r="C142" s="9" t="s">
        <v>2539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4540</v>
      </c>
      <c r="B143" s="11" t="s">
        <v>4541</v>
      </c>
      <c r="C143" s="9" t="s">
        <v>1104</v>
      </c>
      <c r="D143" s="21" t="n">
        <f aca="false">D141/D129</f>
        <v>0.177697848608459</v>
      </c>
      <c r="E143" s="21" t="n">
        <f aca="false">E141/E129</f>
        <v>0.47005226668861</v>
      </c>
      <c r="F143" s="21" t="n">
        <f aca="false">F141/F129</f>
        <v>0.752294709193506</v>
      </c>
      <c r="G143" s="21" t="n">
        <f aca="false">G141/G129</f>
        <v>1.23174393118138</v>
      </c>
      <c r="H143" s="21" t="n">
        <f aca="false">H141/H129</f>
        <v>1.84875984425895</v>
      </c>
      <c r="I143" s="21" t="n">
        <f aca="false">I141/I129</f>
        <v>2.72348554859813</v>
      </c>
      <c r="K143" s="2"/>
    </row>
    <row r="144" customFormat="false" ht="15" hidden="false" customHeight="false" outlineLevel="0" collapsed="false">
      <c r="A144" s="9" t="s">
        <v>4542</v>
      </c>
      <c r="B144" s="11" t="s">
        <v>4543</v>
      </c>
      <c r="C144" s="9" t="s">
        <v>1104</v>
      </c>
      <c r="D144" s="21" t="n">
        <f aca="false">D142/D139</f>
        <v>0.0042644826668526</v>
      </c>
      <c r="E144" s="21" t="n">
        <f aca="false">E142/E139</f>
        <v>0.00185769708250822</v>
      </c>
      <c r="F144" s="21" t="n">
        <f aca="false">F142/F139</f>
        <v>0.0024129427905254</v>
      </c>
      <c r="G144" s="21" t="n">
        <f aca="false">G142/G139</f>
        <v>0.0036509359456168</v>
      </c>
      <c r="H144" s="21" t="n">
        <f aca="false">H142/H139</f>
        <v>0.00512077798794616</v>
      </c>
      <c r="I144" s="21" t="n">
        <f aca="false">I142/I139</f>
        <v>0.00720186088033758</v>
      </c>
      <c r="K144" s="2"/>
    </row>
    <row r="145" customFormat="false" ht="15" hidden="false" customHeight="false" outlineLevel="0" collapsed="false">
      <c r="A145" s="9" t="s">
        <v>4544</v>
      </c>
      <c r="B145" s="11" t="s">
        <v>4545</v>
      </c>
      <c r="C145" s="9" t="s">
        <v>1104</v>
      </c>
      <c r="D145" s="21" t="n">
        <f aca="false">D143+D144</f>
        <v>0.181962331275312</v>
      </c>
      <c r="E145" s="21" t="n">
        <f aca="false">E143+E144</f>
        <v>0.471909963771119</v>
      </c>
      <c r="F145" s="21" t="n">
        <f aca="false">F143+F144</f>
        <v>0.754707651984031</v>
      </c>
      <c r="G145" s="21" t="n">
        <f aca="false">G143+G144</f>
        <v>1.23539486712699</v>
      </c>
      <c r="H145" s="21" t="n">
        <f aca="false">H143+H144</f>
        <v>1.8538806222469</v>
      </c>
      <c r="I145" s="21" t="n">
        <f aca="false">I143+I144</f>
        <v>2.73068740947847</v>
      </c>
      <c r="K145" s="2"/>
    </row>
    <row r="146" customFormat="false" ht="15" hidden="false" customHeight="false" outlineLevel="0" collapsed="false">
      <c r="A146" s="15" t="s">
        <v>4546</v>
      </c>
    </row>
    <row r="147" customFormat="false" ht="15" hidden="false" customHeight="false" outlineLevel="0" collapsed="false">
      <c r="A147" s="9" t="s">
        <v>4547</v>
      </c>
      <c r="B147" s="9" t="s">
        <v>4548</v>
      </c>
      <c r="C147" s="9" t="s">
        <v>480</v>
      </c>
      <c r="D147" s="17" t="n">
        <f aca="false">SRC_ANT_255</f>
        <v>3.23</v>
      </c>
      <c r="K147" s="12" t="s">
        <v>4549</v>
      </c>
    </row>
    <row r="148" customFormat="false" ht="15" hidden="false" customHeight="false" outlineLevel="0" collapsed="false">
      <c r="A148" s="9" t="s">
        <v>4550</v>
      </c>
      <c r="B148" s="9" t="s">
        <v>4551</v>
      </c>
      <c r="C148" s="9" t="s">
        <v>1104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4552</v>
      </c>
      <c r="B149" s="9" t="s">
        <v>4553</v>
      </c>
      <c r="C149" s="11" t="s">
        <v>745</v>
      </c>
      <c r="D149" s="21" t="n">
        <f aca="false">D145/D148</f>
        <v>0.52729641508883</v>
      </c>
      <c r="K149" s="2" t="s">
        <v>4554</v>
      </c>
    </row>
    <row r="150" customFormat="false" ht="15" hidden="false" customHeight="false" outlineLevel="0" collapsed="false">
      <c r="A150" s="9" t="s">
        <v>4555</v>
      </c>
      <c r="B150" s="9" t="s">
        <v>4556</v>
      </c>
      <c r="C150" s="11" t="s">
        <v>745</v>
      </c>
      <c r="D150" s="21" t="n">
        <f aca="false">$D$149+INP_117*(INP_118-$D$149)*MIN(INP_119-INP_001,D$6-INP_001)/(INP_119-INP_001)</f>
        <v>0.52729641508883</v>
      </c>
      <c r="E150" s="21" t="n">
        <f aca="false">$D$149+INP_117*(INP_118-$D$149)*MIN(INP_119-INP_001,E$6-INP_001)/(INP_119-INP_001)</f>
        <v>0.52729641508883</v>
      </c>
      <c r="F150" s="21" t="n">
        <f aca="false">$D$149+INP_117*(INP_118-$D$149)*MIN(INP_119-INP_001,F$6-INP_001)/(INP_119-INP_001)</f>
        <v>0.52729641508883</v>
      </c>
      <c r="G150" s="21" t="n">
        <f aca="false">$D$149+INP_117*(INP_118-$D$149)*MIN(INP_119-INP_001,G$6-INP_001)/(INP_119-INP_001)</f>
        <v>0.52729641508883</v>
      </c>
      <c r="H150" s="21" t="n">
        <f aca="false">$D$149+INP_117*(INP_118-$D$149)*MIN(INP_119-INP_001,H$6-INP_001)/(INP_119-INP_001)</f>
        <v>0.52729641508883</v>
      </c>
      <c r="I150" s="21" t="n">
        <f aca="false">$D$149+INP_117*(INP_118-$D$149)*MIN(INP_119-INP_001,I$6-INP_001)/(INP_119-INP_001)</f>
        <v>0.52729641508883</v>
      </c>
      <c r="K150" s="2" t="s">
        <v>4557</v>
      </c>
    </row>
    <row r="151" customFormat="false" ht="15" hidden="false" customHeight="false" outlineLevel="0" collapsed="false">
      <c r="A151" s="9" t="s">
        <v>4558</v>
      </c>
      <c r="B151" s="11" t="s">
        <v>4559</v>
      </c>
      <c r="C151" s="9" t="s">
        <v>1104</v>
      </c>
      <c r="D151" s="21" t="n">
        <f aca="false">D143/D150</f>
        <v>0.336998021461086</v>
      </c>
      <c r="E151" s="21" t="n">
        <f aca="false">E143/E150</f>
        <v>0.891438388803429</v>
      </c>
      <c r="F151" s="21" t="n">
        <f aca="false">F143/F150</f>
        <v>1.42670173296508</v>
      </c>
      <c r="G151" s="21" t="n">
        <f aca="false">G143/G150</f>
        <v>2.33596113293104</v>
      </c>
      <c r="H151" s="21" t="n">
        <f aca="false">H143/H150</f>
        <v>3.50611115751187</v>
      </c>
      <c r="I151" s="21" t="n">
        <f aca="false">I143/I150</f>
        <v>5.16499917440047</v>
      </c>
      <c r="K151" s="2"/>
    </row>
    <row r="152" customFormat="false" ht="15" hidden="false" customHeight="false" outlineLevel="0" collapsed="false">
      <c r="A152" s="9" t="s">
        <v>4560</v>
      </c>
      <c r="B152" s="11" t="s">
        <v>4561</v>
      </c>
      <c r="C152" s="9" t="s">
        <v>1104</v>
      </c>
      <c r="D152" s="21" t="n">
        <f aca="false">D144/D150</f>
        <v>0.00808744862438368</v>
      </c>
      <c r="E152" s="21" t="n">
        <f aca="false">E144/E150</f>
        <v>0.00352306033067808</v>
      </c>
      <c r="F152" s="21" t="n">
        <f aca="false">F144/F150</f>
        <v>0.00457606522911579</v>
      </c>
      <c r="G152" s="21" t="n">
        <f aca="false">G144/G150</f>
        <v>0.00692387780599978</v>
      </c>
      <c r="H152" s="21" t="n">
        <f aca="false">H144/H150</f>
        <v>0.00971138403640294</v>
      </c>
      <c r="I152" s="21" t="n">
        <f aca="false">I144/I150</f>
        <v>0.0136580880776979</v>
      </c>
      <c r="K152" s="2"/>
    </row>
    <row r="153" customFormat="false" ht="15" hidden="false" customHeight="false" outlineLevel="0" collapsed="false">
      <c r="A153" s="9" t="s">
        <v>4562</v>
      </c>
      <c r="B153" s="11" t="s">
        <v>4563</v>
      </c>
      <c r="C153" s="9" t="s">
        <v>1104</v>
      </c>
      <c r="D153" s="21" t="n">
        <f aca="false">D145/D150</f>
        <v>0.34508547008547</v>
      </c>
      <c r="E153" s="21" t="n">
        <f aca="false">E145/E150</f>
        <v>0.894961449134107</v>
      </c>
      <c r="F153" s="21" t="n">
        <f aca="false">F145/F150</f>
        <v>1.43127779819419</v>
      </c>
      <c r="G153" s="21" t="n">
        <f aca="false">G145/G150</f>
        <v>2.34288501073704</v>
      </c>
      <c r="H153" s="21" t="n">
        <f aca="false">H145/H150</f>
        <v>3.51582254154827</v>
      </c>
      <c r="I153" s="21" t="n">
        <f aca="false">I145/I150</f>
        <v>5.17865726247817</v>
      </c>
      <c r="K153" s="12" t="s">
        <v>4564</v>
      </c>
    </row>
    <row r="154" customFormat="false" ht="15" hidden="false" customHeight="false" outlineLevel="0" collapsed="false">
      <c r="A154" s="15" t="s">
        <v>4565</v>
      </c>
    </row>
    <row r="155" customFormat="false" ht="15" hidden="false" customHeight="false" outlineLevel="0" collapsed="false">
      <c r="A155" s="9" t="s">
        <v>4566</v>
      </c>
      <c r="B155" s="9" t="s">
        <v>4567</v>
      </c>
      <c r="C155" s="9" t="s">
        <v>480</v>
      </c>
      <c r="D155" s="17" t="n">
        <f aca="false">SRC_ANT_253</f>
        <v>4.1</v>
      </c>
      <c r="K155" s="12" t="s">
        <v>4568</v>
      </c>
    </row>
    <row r="156" customFormat="false" ht="15" hidden="false" customHeight="false" outlineLevel="0" collapsed="false">
      <c r="A156" s="9" t="s">
        <v>4569</v>
      </c>
      <c r="B156" s="11" t="s">
        <v>4570</v>
      </c>
      <c r="C156" s="9" t="s">
        <v>1104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4571</v>
      </c>
    </row>
    <row r="157" customFormat="false" ht="15" hidden="false" customHeight="false" outlineLevel="0" collapsed="false">
      <c r="A157" s="9" t="s">
        <v>4572</v>
      </c>
      <c r="B157" s="11" t="s">
        <v>4573</v>
      </c>
      <c r="C157" s="9" t="s">
        <v>1104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4574</v>
      </c>
      <c r="B158" s="11" t="s">
        <v>4575</v>
      </c>
      <c r="C158" s="9" t="s">
        <v>1104</v>
      </c>
      <c r="D158" s="21" t="n">
        <f aca="false">IF(D$6&lt;=INP_113,D153,MIN(D157,D153))</f>
        <v>0.34508547008547</v>
      </c>
      <c r="E158" s="21" t="n">
        <f aca="false">IF(E$6&lt;=INP_113,E153,MIN(E157,E153))</f>
        <v>0.894961449134107</v>
      </c>
      <c r="F158" s="21" t="n">
        <f aca="false">IF(F$6&lt;=INP_113,F153,MIN(F157,F153))</f>
        <v>1.43127779819419</v>
      </c>
      <c r="G158" s="21" t="n">
        <f aca="false">IF(G$6&lt;=INP_113,G153,MIN(G157,G153))</f>
        <v>2.34288501073704</v>
      </c>
      <c r="H158" s="21" t="n">
        <f aca="false">IF(H$6&lt;=INP_113,H153,MIN(H157,H153))</f>
        <v>3.51582254154827</v>
      </c>
      <c r="I158" s="21" t="n">
        <f aca="false">IF(I$6&lt;=INP_113,I153,MIN(I157,I153))</f>
        <v>5.17865726247817</v>
      </c>
      <c r="K158" s="12" t="s">
        <v>4576</v>
      </c>
    </row>
    <row r="159" customFormat="false" ht="15" hidden="false" customHeight="false" outlineLevel="0" collapsed="false">
      <c r="A159" s="9" t="s">
        <v>4577</v>
      </c>
      <c r="B159" s="11" t="s">
        <v>4578</v>
      </c>
      <c r="C159" s="9" t="s">
        <v>1104</v>
      </c>
      <c r="D159" s="21" t="n">
        <f aca="false">D155/D67</f>
        <v>0.438034188034188</v>
      </c>
      <c r="E159" s="21" t="n">
        <f aca="false">E91*(1-INP_115)-E158</f>
        <v>1.41268545659175</v>
      </c>
      <c r="F159" s="21" t="n">
        <f aca="false">F91*(1-INP_115)-F158</f>
        <v>5.33581651622463</v>
      </c>
      <c r="G159" s="21" t="n">
        <f aca="false">G91*(1-INP_115)-G158</f>
        <v>7.62318288357197</v>
      </c>
      <c r="H159" s="21" t="n">
        <f aca="false">H91*(1-INP_115)-H158</f>
        <v>6.20571508649709</v>
      </c>
      <c r="I159" s="21" t="n">
        <f aca="false">I91*(1-INP_115)-I158</f>
        <v>4.16788036556719</v>
      </c>
      <c r="K159" s="12" t="s">
        <v>4579</v>
      </c>
    </row>
    <row r="160" customFormat="false" ht="15" hidden="false" customHeight="false" outlineLevel="0" collapsed="false">
      <c r="A160" s="9" t="s">
        <v>4580</v>
      </c>
      <c r="B160" s="11" t="s">
        <v>4581</v>
      </c>
      <c r="C160" s="9" t="s">
        <v>1104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4582</v>
      </c>
      <c r="B161" s="11" t="s">
        <v>4583</v>
      </c>
      <c r="C161" s="11" t="s">
        <v>745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4584</v>
      </c>
    </row>
    <row r="162" customFormat="false" ht="15" hidden="false" customHeight="false" outlineLevel="0" collapsed="false">
      <c r="A162" s="9" t="s">
        <v>4585</v>
      </c>
      <c r="B162" s="11" t="s">
        <v>4586</v>
      </c>
      <c r="C162" s="11" t="s">
        <v>4587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4588</v>
      </c>
    </row>
    <row r="163" customFormat="false" ht="15" hidden="false" customHeight="false" outlineLevel="0" collapsed="false">
      <c r="A163" s="9" t="s">
        <v>4589</v>
      </c>
      <c r="B163" s="11" t="s">
        <v>4590</v>
      </c>
      <c r="C163" s="9" t="s">
        <v>1104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4591</v>
      </c>
    </row>
    <row r="164" customFormat="false" ht="15" hidden="false" customHeight="false" outlineLevel="0" collapsed="false">
      <c r="A164" s="9" t="s">
        <v>4592</v>
      </c>
      <c r="B164" s="11" t="s">
        <v>4593</v>
      </c>
      <c r="C164" s="11" t="s">
        <v>267</v>
      </c>
      <c r="D164" s="16" t="n">
        <f aca="false">D159/D91</f>
        <v>0.559345156889495</v>
      </c>
      <c r="E164" s="16" t="n">
        <f aca="false">E159/E91</f>
        <v>0.550958167723955</v>
      </c>
      <c r="F164" s="16" t="n">
        <f aca="false">F159/F91</f>
        <v>0.709645032487566</v>
      </c>
      <c r="G164" s="16" t="n">
        <f aca="false">G159/G91</f>
        <v>0.688422421758995</v>
      </c>
      <c r="H164" s="16" t="n">
        <f aca="false">H159/H91</f>
        <v>0.574512365382918</v>
      </c>
      <c r="I164" s="16" t="n">
        <f aca="false">I159/I91</f>
        <v>0.401334962559278</v>
      </c>
      <c r="K164" s="2"/>
    </row>
    <row r="165" customFormat="false" ht="15" hidden="false" customHeight="false" outlineLevel="0" collapsed="false">
      <c r="A165" s="9" t="s">
        <v>4594</v>
      </c>
      <c r="B165" s="11" t="s">
        <v>4595</v>
      </c>
      <c r="C165" s="9" t="s">
        <v>1104</v>
      </c>
      <c r="D165" s="21" t="n">
        <f aca="false">TK_IF_AllocRDGW</f>
        <v>0.202980591668232</v>
      </c>
      <c r="E165" s="21" t="n">
        <f aca="false">TK_IF_AllocRDGW</f>
        <v>0.202980591668232</v>
      </c>
      <c r="F165" s="21" t="n">
        <f aca="false">TK_IF_AllocRDGW</f>
        <v>0.202980591668232</v>
      </c>
      <c r="G165" s="21" t="n">
        <f aca="false">TK_IF_AllocRDGW</f>
        <v>0.202980591668232</v>
      </c>
      <c r="H165" s="21" t="n">
        <f aca="false">TK_IF_AllocRDGW</f>
        <v>0.202980591668232</v>
      </c>
      <c r="I165" s="21" t="n">
        <f aca="false">TK_IF_AllocRDGW</f>
        <v>0.202980591668232</v>
      </c>
      <c r="K165" s="12" t="s">
        <v>4596</v>
      </c>
    </row>
    <row r="166" customFormat="false" ht="15" hidden="false" customHeight="false" outlineLevel="0" collapsed="false">
      <c r="A166" s="15" t="s">
        <v>4597</v>
      </c>
    </row>
    <row r="167" customFormat="false" ht="15" hidden="false" customHeight="false" outlineLevel="0" collapsed="false">
      <c r="A167" s="9" t="s">
        <v>4598</v>
      </c>
      <c r="B167" s="11" t="s">
        <v>4599</v>
      </c>
      <c r="C167" s="11" t="s">
        <v>745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0.613060359698787</v>
      </c>
      <c r="G167" s="21" t="n">
        <f aca="false">G102*G29+G103*G33+G104*G37+G105*G41+G106*G45+G107*G49+G108*G53+G109*G57+G110*G61</f>
        <v>0.666631033789229</v>
      </c>
      <c r="H167" s="21" t="n">
        <f aca="false">H102*H29+H103*H33+H104*H37+H105*H41+H106*H45+H107*H49+H108*H53+H109*H57+H110*H61</f>
        <v>0.721118767172271</v>
      </c>
      <c r="I167" s="21" t="n">
        <f aca="false">I102*I29+I103*I33+I104*I37+I105*I41+I106*I45+I107*I49+I108*I53+I109*I57+I110*I61</f>
        <v>0.74582076875426</v>
      </c>
      <c r="K167" s="2"/>
    </row>
    <row r="168" customFormat="false" ht="15" hidden="false" customHeight="false" outlineLevel="0" collapsed="false">
      <c r="A168" s="9" t="s">
        <v>4600</v>
      </c>
      <c r="B168" s="11" t="s">
        <v>2890</v>
      </c>
      <c r="C168" s="9" t="s">
        <v>1104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4.60959697168135</v>
      </c>
      <c r="G168" s="21" t="n">
        <f aca="false">G91*G167</f>
        <v>7.3818779368854</v>
      </c>
      <c r="H168" s="21" t="n">
        <f aca="false">H91*H167</f>
        <v>7.78931469928324</v>
      </c>
      <c r="I168" s="21" t="n">
        <f aca="false">I91*I167</f>
        <v>7.74537986548822</v>
      </c>
      <c r="K168" s="2"/>
    </row>
    <row r="169" customFormat="false" ht="15" hidden="false" customHeight="false" outlineLevel="0" collapsed="false">
      <c r="A169" s="9" t="s">
        <v>4601</v>
      </c>
      <c r="B169" s="11" t="s">
        <v>4602</v>
      </c>
      <c r="C169" s="9" t="s">
        <v>1104</v>
      </c>
      <c r="D169" s="21" t="n">
        <f aca="false">D158*D167</f>
        <v>0.0254709382591085</v>
      </c>
      <c r="E169" s="21" t="n">
        <f aca="false">E158*E167</f>
        <v>0.375115339230762</v>
      </c>
      <c r="F169" s="21" t="n">
        <f aca="false">F158*F167</f>
        <v>0.877459681789819</v>
      </c>
      <c r="G169" s="21" t="n">
        <f aca="false">G158*G167</f>
        <v>1.56183985675692</v>
      </c>
      <c r="H169" s="21" t="n">
        <f aca="false">H158*H167</f>
        <v>2.53532561675777</v>
      </c>
      <c r="I169" s="21" t="n">
        <f aca="false">I158*I167</f>
        <v>3.8623501406163</v>
      </c>
      <c r="K169" s="2"/>
    </row>
    <row r="170" customFormat="false" ht="15" hidden="false" customHeight="false" outlineLevel="0" collapsed="false">
      <c r="A170" s="9" t="s">
        <v>4603</v>
      </c>
      <c r="B170" s="11" t="s">
        <v>4604</v>
      </c>
      <c r="C170" s="9" t="s">
        <v>1104</v>
      </c>
      <c r="D170" s="21" t="n">
        <f aca="false">D159*D167</f>
        <v>0.0323315315363297</v>
      </c>
      <c r="E170" s="21" t="n">
        <f aca="false">E159*E167</f>
        <v>0.592114872421024</v>
      </c>
      <c r="F170" s="21" t="n">
        <f aca="false">F159*F167</f>
        <v>3.2711775927234</v>
      </c>
      <c r="G170" s="21" t="n">
        <f aca="false">G159*G167</f>
        <v>5.08185028643994</v>
      </c>
      <c r="H170" s="21" t="n">
        <f aca="false">H159*H167</f>
        <v>4.47505761259714</v>
      </c>
      <c r="I170" s="21" t="n">
        <f aca="false">I159*I167</f>
        <v>3.1084917383231</v>
      </c>
      <c r="K170" s="2"/>
    </row>
    <row r="171" customFormat="false" ht="15" hidden="false" customHeight="false" outlineLevel="0" collapsed="false">
      <c r="A171" s="9" t="s">
        <v>4605</v>
      </c>
      <c r="B171" s="11" t="s">
        <v>4606</v>
      </c>
      <c r="C171" s="11" t="s">
        <v>745</v>
      </c>
      <c r="D171" s="21" t="n">
        <f aca="false">D129/D123</f>
        <v>0.0704412607136269</v>
      </c>
      <c r="E171" s="21" t="n">
        <f aca="false">E129/E123</f>
        <v>0.416781091936567</v>
      </c>
      <c r="F171" s="21" t="n">
        <f aca="false">F129/F123</f>
        <v>0.608139691101485</v>
      </c>
      <c r="G171" s="21" t="n">
        <f aca="false">G129/G123</f>
        <v>0.660640453924134</v>
      </c>
      <c r="H171" s="21" t="n">
        <f aca="false">H129/H123</f>
        <v>0.715419846707892</v>
      </c>
      <c r="I171" s="21" t="n">
        <f aca="false">I129/I123</f>
        <v>0.740122829490642</v>
      </c>
      <c r="K171" s="2" t="s">
        <v>4607</v>
      </c>
    </row>
    <row r="172" customFormat="false" ht="15" hidden="false" customHeight="false" outlineLevel="0" collapsed="false">
      <c r="A172" s="15" t="s">
        <v>4608</v>
      </c>
    </row>
    <row r="173" customFormat="false" ht="15" hidden="false" customHeight="false" outlineLevel="0" collapsed="false">
      <c r="A173" s="9" t="s">
        <v>4609</v>
      </c>
      <c r="B173" s="11" t="s">
        <v>4610</v>
      </c>
      <c r="C173" s="9" t="s">
        <v>1104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4611</v>
      </c>
    </row>
    <row r="174" customFormat="false" ht="15" hidden="false" customHeight="false" outlineLevel="0" collapsed="false">
      <c r="A174" s="9" t="s">
        <v>4612</v>
      </c>
      <c r="B174" s="11" t="s">
        <v>4613</v>
      </c>
      <c r="C174" s="9" t="s">
        <v>1104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4614</v>
      </c>
    </row>
    <row r="175" customFormat="false" ht="15" hidden="false" customHeight="false" outlineLevel="0" collapsed="false">
      <c r="A175" s="9" t="s">
        <v>4615</v>
      </c>
      <c r="B175" s="11" t="s">
        <v>4616</v>
      </c>
      <c r="C175" s="11" t="s">
        <v>267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4617</v>
      </c>
      <c r="B176" s="11" t="s">
        <v>4618</v>
      </c>
      <c r="C176" s="9" t="s">
        <v>1104</v>
      </c>
      <c r="D176" s="21" t="n">
        <f aca="false">SRC_ANT_265_Lo</f>
        <v>1.4</v>
      </c>
      <c r="E176" s="21" t="n">
        <f aca="false">SRC_ANT_265</f>
        <v>5</v>
      </c>
      <c r="K176" s="12" t="s">
        <v>4619</v>
      </c>
    </row>
    <row r="177" customFormat="false" ht="15" hidden="false" customHeight="false" outlineLevel="0" collapsed="false">
      <c r="A177" s="9" t="s">
        <v>4620</v>
      </c>
      <c r="B177" s="11" t="s">
        <v>4621</v>
      </c>
      <c r="C177" s="9" t="s">
        <v>1104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4622</v>
      </c>
    </row>
    <row r="178" customFormat="false" ht="15" hidden="false" customHeight="false" outlineLevel="0" collapsed="false">
      <c r="A178" s="9" t="s">
        <v>4623</v>
      </c>
      <c r="B178" s="11" t="s">
        <v>4624</v>
      </c>
      <c r="C178" s="9" t="s">
        <v>1104</v>
      </c>
      <c r="D178" s="21" t="n">
        <f aca="false">SRC_ANT_184_Lo</f>
        <v>1</v>
      </c>
      <c r="E178" s="21" t="n">
        <f aca="false">E73</f>
        <v>0.771527777777778</v>
      </c>
      <c r="K178" s="12" t="s">
        <v>4625</v>
      </c>
    </row>
    <row r="179" customFormat="false" ht="15" hidden="false" customHeight="false" outlineLevel="0" collapsed="false">
      <c r="A179" s="9" t="s">
        <v>4626</v>
      </c>
      <c r="B179" s="11" t="s">
        <v>4627</v>
      </c>
      <c r="C179" s="9" t="s">
        <v>1104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4628</v>
      </c>
    </row>
    <row r="180" customFormat="false" ht="15" hidden="false" customHeight="false" outlineLevel="0" collapsed="false">
      <c r="A180" s="9" t="s">
        <v>4629</v>
      </c>
      <c r="B180" s="11" t="s">
        <v>4630</v>
      </c>
      <c r="C180" s="9" t="s">
        <v>1104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4631</v>
      </c>
      <c r="B181" s="11" t="s">
        <v>4632</v>
      </c>
      <c r="C181" s="9" t="s">
        <v>1104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4633</v>
      </c>
    </row>
    <row r="182" customFormat="false" ht="15" hidden="false" customHeight="false" outlineLevel="0" collapsed="false">
      <c r="A182" s="9" t="s">
        <v>4634</v>
      </c>
      <c r="B182" s="11" t="s">
        <v>4635</v>
      </c>
      <c r="C182" s="9" t="s">
        <v>1104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4636</v>
      </c>
    </row>
    <row r="183" customFormat="false" ht="15" hidden="false" customHeight="false" outlineLevel="0" collapsed="false">
      <c r="A183" s="9" t="s">
        <v>4637</v>
      </c>
      <c r="B183" s="11" t="s">
        <v>4638</v>
      </c>
      <c r="C183" s="9" t="s">
        <v>1104</v>
      </c>
      <c r="D183" s="21" t="n">
        <f aca="false">SRC_ANT_199/D70</f>
        <v>1.83333333333333</v>
      </c>
      <c r="K183" s="12" t="s">
        <v>4639</v>
      </c>
    </row>
    <row r="184" customFormat="false" ht="15" hidden="false" customHeight="false" outlineLevel="0" collapsed="false">
      <c r="A184" s="9" t="s">
        <v>4640</v>
      </c>
      <c r="B184" s="11" t="s">
        <v>4641</v>
      </c>
      <c r="C184" s="9" t="s">
        <v>1104</v>
      </c>
      <c r="D184" s="21" t="n">
        <f aca="false">SRC_ANT_217/INP_110</f>
        <v>0.401</v>
      </c>
      <c r="K184" s="2" t="s">
        <v>4642</v>
      </c>
    </row>
    <row r="185" customFormat="false" ht="15" hidden="false" customHeight="false" outlineLevel="0" collapsed="false">
      <c r="A185" s="9" t="s">
        <v>4643</v>
      </c>
      <c r="B185" s="11" t="s">
        <v>4644</v>
      </c>
      <c r="C185" s="9" t="s">
        <v>1104</v>
      </c>
      <c r="D185" s="21" t="n">
        <f aca="false">SRC_ANT_219/INP_110</f>
        <v>0.191</v>
      </c>
      <c r="K185" s="2" t="s">
        <v>4645</v>
      </c>
    </row>
    <row r="186" customFormat="false" ht="15" hidden="false" customHeight="false" outlineLevel="0" collapsed="false">
      <c r="A186" s="9" t="s">
        <v>4646</v>
      </c>
      <c r="B186" s="11" t="s">
        <v>4647</v>
      </c>
      <c r="C186" s="9" t="s">
        <v>1104</v>
      </c>
      <c r="D186" s="21" t="n">
        <f aca="false">SRC_ANT_214/INP_110</f>
        <v>0.245</v>
      </c>
      <c r="K186" s="2" t="s">
        <v>4648</v>
      </c>
    </row>
    <row r="187" customFormat="false" ht="15" hidden="false" customHeight="false" outlineLevel="0" collapsed="false">
      <c r="A187" s="9" t="s">
        <v>4649</v>
      </c>
      <c r="B187" s="11" t="s">
        <v>4650</v>
      </c>
      <c r="C187" s="9" t="s">
        <v>1104</v>
      </c>
      <c r="D187" s="21" t="n">
        <f aca="false">SRC_ANT_238/INP_110</f>
        <v>0.5</v>
      </c>
      <c r="K187" s="12" t="s">
        <v>4651</v>
      </c>
    </row>
    <row r="188" customFormat="false" ht="15" hidden="false" customHeight="false" outlineLevel="0" collapsed="false">
      <c r="A188" s="9" t="s">
        <v>4652</v>
      </c>
      <c r="B188" s="11" t="s">
        <v>4653</v>
      </c>
      <c r="C188" s="9" t="s">
        <v>1104</v>
      </c>
      <c r="D188" s="21" t="n">
        <f aca="false">SRC_ANT_240/INP_110</f>
        <v>0.207</v>
      </c>
      <c r="K188" s="2" t="s">
        <v>4654</v>
      </c>
    </row>
    <row r="189" customFormat="false" ht="15" hidden="false" customHeight="false" outlineLevel="0" collapsed="false">
      <c r="A189" s="9" t="s">
        <v>4655</v>
      </c>
      <c r="B189" s="11" t="s">
        <v>4656</v>
      </c>
      <c r="C189" s="9" t="s">
        <v>1104</v>
      </c>
      <c r="D189" s="21" t="n">
        <f aca="false">D184+D185+D186+D187+D188</f>
        <v>1.544</v>
      </c>
      <c r="K189" s="2" t="s">
        <v>4657</v>
      </c>
    </row>
    <row r="190" customFormat="false" ht="15" hidden="false" customHeight="false" outlineLevel="0" collapsed="false">
      <c r="A190" s="15" t="s">
        <v>4658</v>
      </c>
    </row>
    <row r="191" customFormat="false" ht="15" hidden="false" customHeight="false" outlineLevel="0" collapsed="false">
      <c r="A191" s="9" t="s">
        <v>4659</v>
      </c>
      <c r="B191" s="11" t="s">
        <v>4660</v>
      </c>
      <c r="C191" s="9" t="s">
        <v>1104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4.57086064520275</v>
      </c>
      <c r="G191" s="21" t="n">
        <f aca="false">G68+G73+G75+G76+G78+G82+INP_182*(G79+G80)</f>
        <v>5.1771426964848</v>
      </c>
      <c r="H191" s="21" t="n">
        <f aca="false">H68+H73+H75+H76+H78+H82+INP_182*(H79+H80)</f>
        <v>4.57380936315147</v>
      </c>
      <c r="I191" s="21" t="n">
        <f aca="false">I68+I73+I75+I76+I78+I82+INP_182*(I79+I80)</f>
        <v>4.1571426964848</v>
      </c>
      <c r="K191" s="2"/>
    </row>
    <row r="192" customFormat="false" ht="15" hidden="false" customHeight="false" outlineLevel="0" collapsed="false">
      <c r="A192" s="9" t="s">
        <v>4661</v>
      </c>
      <c r="B192" s="11" t="s">
        <v>4662</v>
      </c>
      <c r="C192" s="9" t="s">
        <v>1104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2.31779054169349</v>
      </c>
      <c r="G192" s="21" t="n">
        <f aca="false">G68*(G64*G53+G65*G29+G66*G45)+G73*G49+G75*G57+G76*G37+G78*G29+G82*G33+INP_182*(G79*G41+G80*G37)</f>
        <v>2.79826507690967</v>
      </c>
      <c r="H192" s="21" t="n">
        <f aca="false">H68*(H64*H53+H65*H29+H66*H45)+H73*H49+H75*H57+H76*H37+H78*H29+H82*H33+INP_182*(H79*H41+H80*H37)</f>
        <v>2.94039540931965</v>
      </c>
      <c r="I192" s="21" t="n">
        <f aca="false">I68*(I64*I53+I65*I29+I66*I45)+I73*I49+I75*I57+I76*I37+I78*I29+I82*I33+INP_182*(I79*I41+I80*I37)</f>
        <v>2.89646057552464</v>
      </c>
      <c r="K192" s="2"/>
    </row>
    <row r="193" customFormat="false" ht="15" hidden="false" customHeight="false" outlineLevel="0" collapsed="false">
      <c r="A193" s="9" t="s">
        <v>4663</v>
      </c>
      <c r="B193" s="9" t="s">
        <v>4664</v>
      </c>
      <c r="C193" s="9" t="s">
        <v>2740</v>
      </c>
      <c r="D193" s="25" t="n">
        <f aca="false">Inputs!$F$118</f>
        <v>8</v>
      </c>
      <c r="K193" s="12" t="s">
        <v>4665</v>
      </c>
    </row>
    <row r="194" customFormat="false" ht="15" hidden="false" customHeight="false" outlineLevel="0" collapsed="false">
      <c r="A194" s="9" t="s">
        <v>4666</v>
      </c>
      <c r="B194" s="9" t="s">
        <v>4667</v>
      </c>
      <c r="C194" s="9" t="s">
        <v>1104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9.80442400528895</v>
      </c>
      <c r="G194" s="21" t="n">
        <f aca="false">G91-G191+G191*INP_114/$D$193</f>
        <v>13.6619801196969</v>
      </c>
      <c r="H194" s="21" t="n">
        <f aca="false">H91-H191+H191*INP_114/$D$193</f>
        <v>13.0886131571817</v>
      </c>
      <c r="I194" s="21" t="n">
        <f aca="false">I91-I191+I191*INP_114/$D$193</f>
        <v>12.4636131571817</v>
      </c>
      <c r="K194" s="2" t="s">
        <v>4668</v>
      </c>
    </row>
    <row r="195" customFormat="false" ht="15" hidden="false" customHeight="false" outlineLevel="0" collapsed="false">
      <c r="A195" s="9" t="s">
        <v>4669</v>
      </c>
      <c r="B195" s="9" t="s">
        <v>4670</v>
      </c>
      <c r="C195" s="9" t="s">
        <v>1104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5.76849224252809</v>
      </c>
      <c r="G195" s="21" t="n">
        <f aca="false">G168-G192+G192*INP_114/$D$193</f>
        <v>8.78101047534024</v>
      </c>
      <c r="H195" s="21" t="n">
        <f aca="false">H168-H192+H192*INP_114/$D$193</f>
        <v>9.25951240394306</v>
      </c>
      <c r="I195" s="21" t="n">
        <f aca="false">I168-I192+I192*INP_114/$D$193</f>
        <v>9.19361015325054</v>
      </c>
      <c r="K195" s="2"/>
    </row>
    <row r="196" customFormat="false" ht="15" hidden="false" customHeight="false" outlineLevel="0" collapsed="false">
      <c r="A196" s="9" t="s">
        <v>4671</v>
      </c>
      <c r="B196" s="9" t="s">
        <v>4672</v>
      </c>
      <c r="C196" s="9" t="s">
        <v>480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4673</v>
      </c>
    </row>
    <row r="197" customFormat="false" ht="15" hidden="false" customHeight="false" outlineLevel="0" collapsed="false">
      <c r="A197" s="9" t="s">
        <v>4674</v>
      </c>
      <c r="B197" s="9" t="s">
        <v>4675</v>
      </c>
      <c r="C197" s="9" t="s">
        <v>1104</v>
      </c>
      <c r="D197" s="21" t="n">
        <f aca="false">D153*INP_114/$D$193</f>
        <v>0.517628205128205</v>
      </c>
      <c r="E197" s="21" t="n">
        <f aca="false">E153*INP_114/$D$193</f>
        <v>1.34244217370116</v>
      </c>
      <c r="F197" s="21" t="n">
        <f aca="false">F153*INP_114/$D$193</f>
        <v>2.14691669729129</v>
      </c>
      <c r="G197" s="21" t="n">
        <f aca="false">G153*INP_114/$D$193</f>
        <v>3.51432751610556</v>
      </c>
      <c r="H197" s="21" t="n">
        <f aca="false">H153*INP_114/$D$193</f>
        <v>5.2737338123224</v>
      </c>
      <c r="I197" s="21" t="n">
        <f aca="false">I153*INP_114/$D$193</f>
        <v>7.76798589371725</v>
      </c>
      <c r="K197" s="12" t="s">
        <v>4676</v>
      </c>
    </row>
    <row r="198" customFormat="false" ht="15" hidden="false" customHeight="false" outlineLevel="0" collapsed="false">
      <c r="A198" s="9" t="s">
        <v>4677</v>
      </c>
      <c r="B198" s="9" t="s">
        <v>4678</v>
      </c>
      <c r="C198" s="11" t="s">
        <v>745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4679</v>
      </c>
      <c r="B199" s="9" t="s">
        <v>4680</v>
      </c>
      <c r="C199" s="9" t="s">
        <v>2740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-3.42451486802167</v>
      </c>
      <c r="G199" s="18" t="n">
        <f aca="false">(Revenue!G72*G198-G196-Cost!G89-Cost!G88)/G195</f>
        <v>-1.61216921016334</v>
      </c>
      <c r="H199" s="18" t="n">
        <f aca="false">(Revenue!H72*H198-H196-Cost!H89-Cost!H88)/H195</f>
        <v>5.14697615191875</v>
      </c>
      <c r="I199" s="18" t="n">
        <f aca="false">(Revenue!I72*I198-I196-Cost!I89-Cost!I88)/I195</f>
        <v>10.4008388433092</v>
      </c>
      <c r="K199" s="2" t="s">
        <v>4681</v>
      </c>
    </row>
    <row r="200" customFormat="false" ht="15" hidden="false" customHeight="false" outlineLevel="0" collapsed="false">
      <c r="A200" s="9" t="s">
        <v>4682</v>
      </c>
      <c r="B200" s="9" t="s">
        <v>4683</v>
      </c>
      <c r="C200" s="9" t="s">
        <v>2740</v>
      </c>
      <c r="D200" s="25" t="n">
        <f aca="false">Inputs!$E$118</f>
        <v>12</v>
      </c>
      <c r="K200" s="12" t="s">
        <v>4684</v>
      </c>
    </row>
    <row r="201" customFormat="false" ht="15" hidden="false" customHeight="false" outlineLevel="0" collapsed="false">
      <c r="A201" s="9" t="s">
        <v>4685</v>
      </c>
      <c r="B201" s="9" t="s">
        <v>4686</v>
      </c>
      <c r="C201" s="9" t="s">
        <v>1104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4668</v>
      </c>
    </row>
    <row r="202" customFormat="false" ht="15" hidden="false" customHeight="false" outlineLevel="0" collapsed="false">
      <c r="A202" s="9" t="s">
        <v>4687</v>
      </c>
      <c r="B202" s="9" t="s">
        <v>4688</v>
      </c>
      <c r="C202" s="9" t="s">
        <v>1104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4.60959697168135</v>
      </c>
      <c r="G202" s="21" t="n">
        <f aca="false">G168-G192+G192*INP_114/$D$200</f>
        <v>7.3818779368854</v>
      </c>
      <c r="H202" s="21" t="n">
        <f aca="false">H168-H192+H192*INP_114/$D$200</f>
        <v>7.78931469928324</v>
      </c>
      <c r="I202" s="21" t="n">
        <f aca="false">I168-I192+I192*INP_114/$D$200</f>
        <v>7.74537986548822</v>
      </c>
      <c r="K202" s="2"/>
    </row>
    <row r="203" customFormat="false" ht="15" hidden="false" customHeight="false" outlineLevel="0" collapsed="false">
      <c r="A203" s="9" t="s">
        <v>4689</v>
      </c>
      <c r="B203" s="9" t="s">
        <v>4690</v>
      </c>
      <c r="C203" s="9" t="s">
        <v>480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4673</v>
      </c>
    </row>
    <row r="204" customFormat="false" ht="15" hidden="false" customHeight="false" outlineLevel="0" collapsed="false">
      <c r="A204" s="9" t="s">
        <v>4691</v>
      </c>
      <c r="B204" s="9" t="s">
        <v>4692</v>
      </c>
      <c r="C204" s="9" t="s">
        <v>1104</v>
      </c>
      <c r="D204" s="21" t="n">
        <f aca="false">D153*INP_114/$D$200</f>
        <v>0.34508547008547</v>
      </c>
      <c r="E204" s="21" t="n">
        <f aca="false">E153*INP_114/$D$200</f>
        <v>0.894961449134107</v>
      </c>
      <c r="F204" s="21" t="n">
        <f aca="false">F153*INP_114/$D$200</f>
        <v>1.43127779819419</v>
      </c>
      <c r="G204" s="21" t="n">
        <f aca="false">G153*INP_114/$D$200</f>
        <v>2.34288501073704</v>
      </c>
      <c r="H204" s="21" t="n">
        <f aca="false">H153*INP_114/$D$200</f>
        <v>3.51582254154827</v>
      </c>
      <c r="I204" s="21" t="n">
        <f aca="false">I153*INP_114/$D$200</f>
        <v>5.17865726247817</v>
      </c>
      <c r="K204" s="12" t="s">
        <v>4676</v>
      </c>
    </row>
    <row r="205" customFormat="false" ht="15" hidden="false" customHeight="false" outlineLevel="0" collapsed="false">
      <c r="A205" s="9" t="s">
        <v>4693</v>
      </c>
      <c r="B205" s="9" t="s">
        <v>4694</v>
      </c>
      <c r="C205" s="11" t="s">
        <v>745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4695</v>
      </c>
      <c r="B206" s="9" t="s">
        <v>4696</v>
      </c>
      <c r="C206" s="9" t="s">
        <v>2740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-4.91025301987502</v>
      </c>
      <c r="G206" s="18" t="n">
        <f aca="false">(Revenue!G72*G205-G203-Cost!G89-Cost!G88)/G202</f>
        <v>-2.69802276504027</v>
      </c>
      <c r="H206" s="18" t="n">
        <f aca="false">(Revenue!H72*H205-H203-Cost!H89-Cost!H88)/H202</f>
        <v>5.37896992727052</v>
      </c>
      <c r="I206" s="18" t="n">
        <f aca="false">(Revenue!I72*I205-I203-Cost!I89-Cost!I88)/I202</f>
        <v>11.6019174208063</v>
      </c>
      <c r="K206" s="2" t="s">
        <v>4681</v>
      </c>
    </row>
    <row r="207" customFormat="false" ht="15" hidden="false" customHeight="false" outlineLevel="0" collapsed="false">
      <c r="A207" s="9" t="s">
        <v>4697</v>
      </c>
      <c r="B207" s="9" t="s">
        <v>4698</v>
      </c>
      <c r="C207" s="9" t="s">
        <v>2740</v>
      </c>
      <c r="D207" s="25" t="n">
        <f aca="false">Inputs!$G$118</f>
        <v>20</v>
      </c>
      <c r="K207" s="12" t="s">
        <v>4699</v>
      </c>
    </row>
    <row r="208" customFormat="false" ht="15" hidden="false" customHeight="false" outlineLevel="0" collapsed="false">
      <c r="A208" s="9" t="s">
        <v>4700</v>
      </c>
      <c r="B208" s="9" t="s">
        <v>4701</v>
      </c>
      <c r="C208" s="9" t="s">
        <v>1104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5.69064942460648</v>
      </c>
      <c r="G208" s="21" t="n">
        <f aca="false">G91-G191+G191*INP_114/$D$207</f>
        <v>9.00255169286054</v>
      </c>
      <c r="H208" s="21" t="n">
        <f aca="false">H91-H191+H191*INP_114/$D$207</f>
        <v>8.97218473034536</v>
      </c>
      <c r="I208" s="21" t="n">
        <f aca="false">I91-I191+I191*INP_114/$D$207</f>
        <v>8.72218473034537</v>
      </c>
      <c r="K208" s="2" t="s">
        <v>4668</v>
      </c>
    </row>
    <row r="209" customFormat="false" ht="15" hidden="false" customHeight="false" outlineLevel="0" collapsed="false">
      <c r="A209" s="9" t="s">
        <v>4702</v>
      </c>
      <c r="B209" s="9" t="s">
        <v>4703</v>
      </c>
      <c r="C209" s="9" t="s">
        <v>1104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3.68248075500395</v>
      </c>
      <c r="G209" s="21" t="n">
        <f aca="false">G168-G192+G192*INP_114/$D$207</f>
        <v>6.26257190612153</v>
      </c>
      <c r="H209" s="21" t="n">
        <f aca="false">H168-H192+H192*INP_114/$D$207</f>
        <v>6.61315653555538</v>
      </c>
      <c r="I209" s="21" t="n">
        <f aca="false">I168-I192+I192*INP_114/$D$207</f>
        <v>6.58679563527837</v>
      </c>
      <c r="K209" s="2"/>
    </row>
    <row r="210" customFormat="false" ht="15" hidden="false" customHeight="false" outlineLevel="0" collapsed="false">
      <c r="A210" s="9" t="s">
        <v>4704</v>
      </c>
      <c r="B210" s="9" t="s">
        <v>4705</v>
      </c>
      <c r="C210" s="9" t="s">
        <v>480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4673</v>
      </c>
    </row>
    <row r="211" customFormat="false" ht="15" hidden="false" customHeight="false" outlineLevel="0" collapsed="false">
      <c r="A211" s="9" t="s">
        <v>4706</v>
      </c>
      <c r="B211" s="9" t="s">
        <v>4707</v>
      </c>
      <c r="C211" s="9" t="s">
        <v>1104</v>
      </c>
      <c r="D211" s="21" t="n">
        <f aca="false">D153*INP_114/$D$207</f>
        <v>0.207051282051282</v>
      </c>
      <c r="E211" s="21" t="n">
        <f aca="false">E153*INP_114/$D$207</f>
        <v>0.536976869480464</v>
      </c>
      <c r="F211" s="21" t="n">
        <f aca="false">F153*INP_114/$D$207</f>
        <v>0.858766678916515</v>
      </c>
      <c r="G211" s="21" t="n">
        <f aca="false">G153*INP_114/$D$207</f>
        <v>1.40573100644222</v>
      </c>
      <c r="H211" s="21" t="n">
        <f aca="false">H153*INP_114/$D$207</f>
        <v>2.10949352492896</v>
      </c>
      <c r="I211" s="21" t="n">
        <f aca="false">I153*INP_114/$D$207</f>
        <v>3.1071943574869</v>
      </c>
      <c r="K211" s="12" t="s">
        <v>4676</v>
      </c>
    </row>
    <row r="212" customFormat="false" ht="15" hidden="false" customHeight="false" outlineLevel="0" collapsed="false">
      <c r="A212" s="9" t="s">
        <v>4708</v>
      </c>
      <c r="B212" s="9" t="s">
        <v>4709</v>
      </c>
      <c r="C212" s="11" t="s">
        <v>745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4710</v>
      </c>
      <c r="B213" s="9" t="s">
        <v>4711</v>
      </c>
      <c r="C213" s="9" t="s">
        <v>2740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-7.71064109758657</v>
      </c>
      <c r="G213" s="18" t="n">
        <f aca="false">(Revenue!G72*G212-G210-Cost!G89-Cost!G88)/G209</f>
        <v>-5.01973872615128</v>
      </c>
      <c r="H213" s="18" t="n">
        <f aca="false">(Revenue!H72*H212-H210-Cost!H89-Cost!H88)/H209</f>
        <v>4.59364440538523</v>
      </c>
      <c r="I213" s="18" t="n">
        <f aca="false">(Revenue!I72*I212-I210-Cost!I89-Cost!I88)/I209</f>
        <v>11.8936827450028</v>
      </c>
      <c r="K213" s="2" t="s">
        <v>4681</v>
      </c>
    </row>
    <row r="214" customFormat="false" ht="15" hidden="false" customHeight="false" outlineLevel="0" collapsed="false">
      <c r="A214" s="9" t="s">
        <v>4712</v>
      </c>
      <c r="B214" s="9" t="s">
        <v>4713</v>
      </c>
      <c r="C214" s="11" t="s">
        <v>745</v>
      </c>
      <c r="D214" s="21" t="n">
        <f aca="false">$D$149</f>
        <v>0.52729641508883</v>
      </c>
      <c r="E214" s="21" t="n">
        <f aca="false">$D$149</f>
        <v>0.52729641508883</v>
      </c>
      <c r="F214" s="21" t="n">
        <f aca="false">$D$149</f>
        <v>0.52729641508883</v>
      </c>
      <c r="G214" s="21" t="n">
        <f aca="false">$D$149</f>
        <v>0.52729641508883</v>
      </c>
      <c r="H214" s="21" t="n">
        <f aca="false">$D$149</f>
        <v>0.52729641508883</v>
      </c>
      <c r="I214" s="21" t="n">
        <f aca="false">$D$149</f>
        <v>0.52729641508883</v>
      </c>
      <c r="K214" s="2"/>
    </row>
    <row r="215" customFormat="false" ht="15" hidden="false" customHeight="false" outlineLevel="0" collapsed="false">
      <c r="A215" s="9" t="s">
        <v>4714</v>
      </c>
      <c r="B215" s="9" t="s">
        <v>4715</v>
      </c>
      <c r="C215" s="9" t="s">
        <v>1104</v>
      </c>
      <c r="D215" s="21" t="n">
        <f aca="false">D145/D214</f>
        <v>0.34508547008547</v>
      </c>
      <c r="E215" s="21" t="n">
        <f aca="false">E145/E214</f>
        <v>0.894961449134107</v>
      </c>
      <c r="F215" s="21" t="n">
        <f aca="false">F145/F214</f>
        <v>1.43127779819419</v>
      </c>
      <c r="G215" s="21" t="n">
        <f aca="false">G145/G214</f>
        <v>2.34288501073704</v>
      </c>
      <c r="H215" s="21" t="n">
        <f aca="false">H145/H214</f>
        <v>3.51582254154827</v>
      </c>
      <c r="I215" s="21" t="n">
        <f aca="false">I145/I214</f>
        <v>5.17865726247817</v>
      </c>
      <c r="K215" s="2"/>
    </row>
    <row r="216" customFormat="false" ht="15" hidden="false" customHeight="false" outlineLevel="0" collapsed="false">
      <c r="A216" s="9" t="s">
        <v>4716</v>
      </c>
      <c r="B216" s="9" t="s">
        <v>4717</v>
      </c>
      <c r="C216" s="11" t="s">
        <v>745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4718</v>
      </c>
    </row>
    <row r="217" customFormat="false" ht="15" hidden="false" customHeight="false" outlineLevel="0" collapsed="false">
      <c r="A217" s="9" t="s">
        <v>4719</v>
      </c>
      <c r="B217" s="9" t="s">
        <v>4720</v>
      </c>
      <c r="C217" s="11" t="s">
        <v>745</v>
      </c>
      <c r="D217" s="21" t="n">
        <f aca="false">$D$149+(INP_118-$D$149)*MIN(INP_119-INP_001,D$6-INP_001)/(INP_119-INP_001)</f>
        <v>0.52729641508883</v>
      </c>
      <c r="E217" s="21" t="n">
        <f aca="false">$D$149+(INP_118-$D$149)*MIN(INP_119-INP_001,E$6-INP_001)/(INP_119-INP_001)</f>
        <v>0.621837132071064</v>
      </c>
      <c r="F217" s="21" t="n">
        <f aca="false">$D$149+(INP_118-$D$149)*MIN(INP_119-INP_001,F$6-INP_001)/(INP_119-INP_001)</f>
        <v>0.716377849053298</v>
      </c>
      <c r="G217" s="21" t="n">
        <f aca="false">$D$149+(INP_118-$D$149)*MIN(INP_119-INP_001,G$6-INP_001)/(INP_119-INP_001)</f>
        <v>0.810918566035532</v>
      </c>
      <c r="H217" s="21" t="n">
        <f aca="false">$D$149+(INP_118-$D$149)*MIN(INP_119-INP_001,H$6-INP_001)/(INP_119-INP_001)</f>
        <v>0.905459283017766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4721</v>
      </c>
      <c r="B218" s="9" t="s">
        <v>4722</v>
      </c>
      <c r="C218" s="9" t="s">
        <v>1104</v>
      </c>
      <c r="D218" s="21" t="n">
        <f aca="false">D145/D217</f>
        <v>0.34508547008547</v>
      </c>
      <c r="E218" s="21" t="n">
        <f aca="false">E145/E217</f>
        <v>0.758896404592945</v>
      </c>
      <c r="F218" s="21" t="n">
        <f aca="false">F145/F217</f>
        <v>1.05350500853898</v>
      </c>
      <c r="G218" s="21" t="n">
        <f aca="false">G145/G217</f>
        <v>1.52345120566997</v>
      </c>
      <c r="H218" s="21" t="n">
        <f aca="false">H145/H217</f>
        <v>2.04744780578999</v>
      </c>
      <c r="I218" s="21" t="n">
        <f aca="false">I145/I217</f>
        <v>2.73068740947847</v>
      </c>
      <c r="K218" s="2"/>
    </row>
    <row r="219" customFormat="false" ht="15" hidden="false" customHeight="false" outlineLevel="0" collapsed="false">
      <c r="A219" s="9" t="s">
        <v>4723</v>
      </c>
      <c r="B219" s="9" t="s">
        <v>4724</v>
      </c>
      <c r="C219" s="11" t="s">
        <v>745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4718</v>
      </c>
    </row>
    <row r="220" customFormat="false" ht="15" hidden="false" customHeight="false" outlineLevel="0" collapsed="false">
      <c r="A220" s="9" t="s">
        <v>4725</v>
      </c>
      <c r="B220" s="9" t="s">
        <v>4726</v>
      </c>
      <c r="C220" s="9" t="s">
        <v>4253</v>
      </c>
      <c r="D220" s="20" t="n">
        <f aca="false">D129+D106*(TK_NNV_TPUv7_OutLo-D42)*D120+D107*(TK_NNV_TPUv7_OutLo-D46)*D123+D108*(TK_NNV_Trn3_OutLo-D50)*D120+D109*(TK_NNV_Trn3_OutLo-D54)*D123+D110*(TK_NNV_MI455X_OutLo-D58)*D123</f>
        <v>5721292800.245</v>
      </c>
      <c r="E220" s="20" t="n">
        <f aca="false">E129+E106*(TK_NNV_TPUv7_OutLo-E42)*E120+E107*(TK_NNV_TPUv7_OutLo-E46)*E123+E108*(TK_NNV_Trn3_OutLo-E50)*E120+E109*(TK_NNV_Trn3_OutLo-E54)*E123+E110*(TK_NNV_MI455X_OutLo-E58)*E123</f>
        <v>26683002180.5226</v>
      </c>
      <c r="F220" s="20" t="n">
        <f aca="false">F129+F106*(TK_NNV_TPUv7_OutLo-F42)*F120+F107*(TK_NNV_TPUv7_OutLo-F46)*F123+F108*(TK_NNV_Trn3_OutLo-F50)*F120+F109*(TK_NNV_Trn3_OutLo-F54)*F123+F110*(TK_NNV_MI455X_OutLo-F58)*F123</f>
        <v>40246284047.6616</v>
      </c>
      <c r="G220" s="20" t="n">
        <f aca="false">G129+G106*(TK_NNV_TPUv7_OutLo-G42)*G120+G107*(TK_NNV_TPUv7_OutLo-G46)*G123+G108*(TK_NNV_Trn3_OutLo-G50)*G120+G109*(TK_NNV_Trn3_OutLo-G54)*G123+G110*(TK_NNV_MI455X_OutLo-G58)*G123</f>
        <v>44681476683.0661</v>
      </c>
      <c r="H220" s="20" t="n">
        <f aca="false">H129+H106*(TK_NNV_TPUv7_OutLo-H42)*H120+H107*(TK_NNV_TPUv7_OutLo-H46)*H123+H108*(TK_NNV_Trn3_OutLo-H50)*H120+H109*(TK_NNV_Trn3_OutLo-H54)*H123+H110*(TK_NNV_MI455X_OutLo-H58)*H123</f>
        <v>48642957391.2822</v>
      </c>
      <c r="I220" s="20" t="n">
        <f aca="false">I129+I106*(TK_NNV_TPUv7_OutLo-I42)*I120+I107*(TK_NNV_TPUv7_OutLo-I46)*I123+I108*(TK_NNV_Trn3_OutLo-I50)*I120+I109*(TK_NNV_Trn3_OutLo-I54)*I123+I110*(TK_NNV_MI455X_OutLo-I58)*I123</f>
        <v>50240335036.2388</v>
      </c>
      <c r="K220" s="2"/>
    </row>
    <row r="221" customFormat="false" ht="15" hidden="false" customHeight="false" outlineLevel="0" collapsed="false">
      <c r="A221" s="9" t="s">
        <v>4727</v>
      </c>
      <c r="B221" s="9" t="s">
        <v>4728</v>
      </c>
      <c r="C221" s="9" t="s">
        <v>4253</v>
      </c>
      <c r="D221" s="20" t="n">
        <f aca="false">D139+D106*(TK_NNV_TPUv7_OutLo-D42)*D130+D107*(TK_NNV_TPUv7_OutLo-D46)*D133+D108*(TK_NNV_Trn3_OutLo-D50)*D130+D109*(TK_NNV_Trn3_OutLo-D54)*D133+D110*(TK_NNV_MI455X_OutLo-D58)*D133</f>
        <v>9312749687.24455</v>
      </c>
      <c r="E221" s="20" t="n">
        <f aca="false">E139+E106*(TK_NNV_TPUv7_OutLo-E42)*E130+E107*(TK_NNV_TPUv7_OutLo-E46)*E133+E108*(TK_NNV_Trn3_OutLo-E50)*E130+E109*(TK_NNV_Trn3_OutLo-E54)*E133+E110*(TK_NNV_MI455X_OutLo-E58)*E133</f>
        <v>52640598331.8461</v>
      </c>
      <c r="F221" s="20" t="n">
        <f aca="false">F139+F106*(TK_NNV_TPUv7_OutLo-F42)*F130+F107*(TK_NNV_TPUv7_OutLo-F46)*F133+F108*(TK_NNV_Trn3_OutLo-F50)*F130+F109*(TK_NNV_Trn3_OutLo-F54)*F133+F110*(TK_NNV_MI455X_OutLo-F58)*F133</f>
        <v>79481377979.2838</v>
      </c>
      <c r="G221" s="20" t="n">
        <f aca="false">G139+G106*(TK_NNV_TPUv7_OutLo-G42)*G130+G107*(TK_NNV_TPUv7_OutLo-G46)*G133+G108*(TK_NNV_Trn3_OutLo-G50)*G130+G109*(TK_NNV_Trn3_OutLo-G54)*G133+G110*(TK_NNV_MI455X_OutLo-G58)*G133</f>
        <v>88285800477.0776</v>
      </c>
      <c r="H221" s="20" t="n">
        <f aca="false">H139+H106*(TK_NNV_TPUv7_OutLo-H42)*H130+H107*(TK_NNV_TPUv7_OutLo-H46)*H133+H108*(TK_NNV_Trn3_OutLo-H50)*H130+H109*(TK_NNV_Trn3_OutLo-H54)*H133+H110*(TK_NNV_MI455X_OutLo-H58)*H133</f>
        <v>96041257051.8864</v>
      </c>
      <c r="I221" s="20" t="n">
        <f aca="false">I139+I106*(TK_NNV_TPUv7_OutLo-I42)*I130+I107*(TK_NNV_TPUv7_OutLo-I46)*I133+I108*(TK_NNV_Trn3_OutLo-I50)*I130+I109*(TK_NNV_Trn3_OutLo-I54)*I133+I110*(TK_NNV_MI455X_OutLo-I58)*I133</f>
        <v>99176059189.8799</v>
      </c>
      <c r="K221" s="2"/>
    </row>
    <row r="222" customFormat="false" ht="15" hidden="false" customHeight="false" outlineLevel="0" collapsed="false">
      <c r="A222" s="9" t="s">
        <v>4729</v>
      </c>
      <c r="B222" s="9" t="s">
        <v>4730</v>
      </c>
      <c r="C222" s="9" t="s">
        <v>1104</v>
      </c>
      <c r="D222" s="21" t="n">
        <f aca="false">D141/D220+D142/D221</f>
        <v>0.244949292101381</v>
      </c>
      <c r="E222" s="21" t="n">
        <f aca="false">E141/E220+E142/E221</f>
        <v>0.65336240342698</v>
      </c>
      <c r="F222" s="21" t="n">
        <f aca="false">F141/F220+F142/F221</f>
        <v>1.01142669460063</v>
      </c>
      <c r="G222" s="21" t="n">
        <f aca="false">G141/G220+G142/G221</f>
        <v>1.62004129461295</v>
      </c>
      <c r="H222" s="21" t="n">
        <f aca="false">H141/H220+H142/H221</f>
        <v>2.41815259589735</v>
      </c>
      <c r="I222" s="21" t="n">
        <f aca="false">I141/I220+I142/I221</f>
        <v>3.56770728209776</v>
      </c>
      <c r="K222" s="2"/>
    </row>
    <row r="223" customFormat="false" ht="15" hidden="false" customHeight="false" outlineLevel="0" collapsed="false">
      <c r="A223" s="9" t="s">
        <v>4731</v>
      </c>
      <c r="B223" s="9" t="s">
        <v>4732</v>
      </c>
      <c r="C223" s="9" t="s">
        <v>1104</v>
      </c>
      <c r="D223" s="21" t="n">
        <f aca="false">D222/($D$222/$D$148)</f>
        <v>0.34508547008547</v>
      </c>
      <c r="E223" s="21" t="n">
        <f aca="false">E222/($D$222/$D$148)</f>
        <v>0.920459374217968</v>
      </c>
      <c r="F223" s="21" t="n">
        <f aca="false">F222/($D$222/$D$148)</f>
        <v>1.42490167401174</v>
      </c>
      <c r="G223" s="21" t="n">
        <f aca="false">G222/($D$222/$D$148)</f>
        <v>2.28232017701851</v>
      </c>
      <c r="H223" s="21" t="n">
        <f aca="false">H222/($D$222/$D$148)</f>
        <v>3.40670233473571</v>
      </c>
      <c r="I223" s="21" t="n">
        <f aca="false">I222/($D$222/$D$148)</f>
        <v>5.02619923498492</v>
      </c>
      <c r="K223" s="12" t="s">
        <v>4733</v>
      </c>
    </row>
    <row r="224" customFormat="false" ht="15" hidden="false" customHeight="false" outlineLevel="0" collapsed="false">
      <c r="A224" s="9" t="s">
        <v>4734</v>
      </c>
      <c r="B224" s="9" t="s">
        <v>4735</v>
      </c>
      <c r="C224" s="11" t="s">
        <v>745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4736</v>
      </c>
      <c r="B225" s="9" t="s">
        <v>4737</v>
      </c>
      <c r="C225" s="11" t="s">
        <v>745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0.458701014466451</v>
      </c>
      <c r="G225" s="21" t="n">
        <f aca="false">G167+G106*(TK_NNV_TPUv7_OutLo-G42)*G29+G107*(TK_NNV_TPUv7_OutLo-G46)*G41+G108*(TK_NNV_Trn3_OutLo-G50)*G29+G109*(TK_NNV_Trn3_OutLo-G54)*G41+G110*(TK_NNV_MI455X_OutLo-G58)*G41</f>
        <v>0.509772961897195</v>
      </c>
      <c r="H225" s="21" t="n">
        <f aca="false">H167+H106*(TK_NNV_TPUv7_OutLo-H42)*H29+H107*(TK_NNV_TPUv7_OutLo-H46)*H41+H108*(TK_NNV_Trn3_OutLo-H50)*H29+H109*(TK_NNV_Trn3_OutLo-H54)*H41+H110*(TK_NNV_MI455X_OutLo-H58)*H41</f>
        <v>0.55417479152878</v>
      </c>
      <c r="I225" s="21" t="n">
        <f aca="false">I167+I106*(TK_NNV_TPUv7_OutLo-I42)*I29+I107*(TK_NNV_TPUv7_OutLo-I46)*I41+I108*(TK_NNV_Trn3_OutLo-I50)*I29+I109*(TK_NNV_Trn3_OutLo-I54)*I41+I110*(TK_NNV_MI455X_OutLo-I58)*I41</f>
        <v>0.57217869876207</v>
      </c>
      <c r="K225" s="2"/>
    </row>
    <row r="226" customFormat="false" ht="15" hidden="false" customHeight="false" outlineLevel="0" collapsed="false">
      <c r="A226" s="9" t="s">
        <v>4738</v>
      </c>
      <c r="B226" s="9" t="s">
        <v>4739</v>
      </c>
      <c r="C226" s="9" t="s">
        <v>2740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-6.56262224769246</v>
      </c>
      <c r="G226" s="18" t="n">
        <f aca="false">(Revenue!G72*G224-Cost!G106)/(G91*G225)</f>
        <v>-3.5282092999832</v>
      </c>
      <c r="H226" s="18" t="n">
        <f aca="false">(Revenue!H72*H224-Cost!H106)/(H91*H225)</f>
        <v>6.99937316150657</v>
      </c>
      <c r="I226" s="18" t="n">
        <f aca="false">(Revenue!I72*I224-Cost!I106)/(I91*I225)</f>
        <v>15.1228121363661</v>
      </c>
      <c r="K226" s="2"/>
    </row>
    <row r="227" customFormat="false" ht="15" hidden="false" customHeight="false" outlineLevel="0" collapsed="false">
      <c r="A227" s="9" t="s">
        <v>4740</v>
      </c>
      <c r="B227" s="9" t="s">
        <v>4741</v>
      </c>
      <c r="C227" s="9" t="s">
        <v>4253</v>
      </c>
      <c r="D227" s="20" t="n">
        <f aca="false">D129+D106*(TK_NNV_TPUv7_OutHi-D42)*D120+D107*(TK_NNV_TPUv7_OutHi-D46)*D123+D108*(TK_NNV_Trn3_OutHi-D50)*D120+D109*(TK_NNV_Trn3_OutHi-D54)*D123+D110*(TK_NNV_MI455X_OutHi-D58)*D123</f>
        <v>10672411569.6878</v>
      </c>
      <c r="E227" s="20" t="n">
        <f aca="false">E129+E106*(TK_NNV_TPUv7_OutHi-E42)*E120+E107*(TK_NNV_TPUv7_OutHi-E46)*E123+E108*(TK_NNV_Trn3_OutHi-E50)*E120+E109*(TK_NNV_Trn3_OutHi-E54)*E123+E110*(TK_NNV_MI455X_OutHi-E58)*E123</f>
        <v>52332832608.2196</v>
      </c>
      <c r="F227" s="20" t="n">
        <f aca="false">F129+F106*(TK_NNV_TPUv7_OutHi-F42)*F120+F107*(TK_NNV_TPUv7_OutHi-F46)*F123+F108*(TK_NNV_Trn3_OutHi-F50)*F120+F109*(TK_NNV_Trn3_OutHi-F54)*F123+F110*(TK_NNV_MI455X_OutHi-F58)*F123</f>
        <v>74472039471.9777</v>
      </c>
      <c r="G227" s="20" t="n">
        <f aca="false">G129+G106*(TK_NNV_TPUv7_OutHi-G42)*G120+G107*(TK_NNV_TPUv7_OutHi-G46)*G123+G108*(TK_NNV_Trn3_OutHi-G50)*G120+G109*(TK_NNV_Trn3_OutHi-G54)*G123+G110*(TK_NNV_MI455X_OutHi-G58)*G123</f>
        <v>79461624479.8388</v>
      </c>
      <c r="H227" s="20" t="n">
        <f aca="false">H129+H106*(TK_NNV_TPUv7_OutHi-H42)*H120+H107*(TK_NNV_TPUv7_OutHi-H46)*H123+H108*(TK_NNV_Trn3_OutHi-H50)*H120+H109*(TK_NNV_Trn3_OutHi-H54)*H123+H110*(TK_NNV_MI455X_OutHi-H58)*H123</f>
        <v>85657569712.3232</v>
      </c>
      <c r="I227" s="20" t="n">
        <f aca="false">I129+I106*(TK_NNV_TPUv7_OutHi-I42)*I120+I107*(TK_NNV_TPUv7_OutHi-I46)*I123+I108*(TK_NNV_Trn3_OutHi-I50)*I120+I109*(TK_NNV_Trn3_OutHi-I54)*I123+I110*(TK_NNV_MI455X_OutHi-I58)*I123</f>
        <v>88740476596.7284</v>
      </c>
      <c r="K227" s="2"/>
    </row>
    <row r="228" customFormat="false" ht="15" hidden="false" customHeight="false" outlineLevel="0" collapsed="false">
      <c r="A228" s="9" t="s">
        <v>4742</v>
      </c>
      <c r="B228" s="9" t="s">
        <v>4743</v>
      </c>
      <c r="C228" s="9" t="s">
        <v>4253</v>
      </c>
      <c r="D228" s="20" t="n">
        <f aca="false">D139+D106*(TK_NNV_TPUv7_OutHi-D42)*D130+D107*(TK_NNV_TPUv7_OutHi-D46)*D133+D108*(TK_NNV_Trn3_OutHi-D50)*D130+D109*(TK_NNV_Trn3_OutHi-D54)*D133+D110*(TK_NNV_MI455X_OutHi-D58)*D133</f>
        <v>17371859993.5139</v>
      </c>
      <c r="E228" s="20" t="n">
        <f aca="false">E139+E106*(TK_NNV_TPUv7_OutHi-E42)*E130+E107*(TK_NNV_TPUv7_OutHi-E46)*E133+E108*(TK_NNV_Trn3_OutHi-E50)*E130+E109*(TK_NNV_Trn3_OutHi-E54)*E133+E110*(TK_NNV_MI455X_OutHi-E58)*E133</f>
        <v>103061407918.801</v>
      </c>
      <c r="F228" s="20" t="n">
        <f aca="false">F139+F106*(TK_NNV_TPUv7_OutHi-F42)*F130+F107*(TK_NNV_TPUv7_OutHi-F46)*F133+F108*(TK_NNV_Trn3_OutHi-F50)*F130+F109*(TK_NNV_Trn3_OutHi-F54)*F133+F110*(TK_NNV_MI455X_OutHi-F58)*F133</f>
        <v>146687687555.826</v>
      </c>
      <c r="G228" s="20" t="n">
        <f aca="false">G139+G106*(TK_NNV_TPUv7_OutHi-G42)*G130+G107*(TK_NNV_TPUv7_OutHi-G46)*G133+G108*(TK_NNV_Trn3_OutHi-G50)*G130+G109*(TK_NNV_Trn3_OutHi-G54)*G133+G110*(TK_NNV_MI455X_OutHi-G58)*G133</f>
        <v>156580027323.456</v>
      </c>
      <c r="H228" s="20" t="n">
        <f aca="false">H139+H106*(TK_NNV_TPUv7_OutHi-H42)*H130+H107*(TK_NNV_TPUv7_OutHi-H46)*H133+H108*(TK_NNV_Trn3_OutHi-H50)*H130+H109*(TK_NNV_Trn3_OutHi-H54)*H133+H110*(TK_NNV_MI455X_OutHi-H58)*H133</f>
        <v>168726772089.202</v>
      </c>
      <c r="I228" s="20" t="n">
        <f aca="false">I139+I106*(TK_NNV_TPUv7_OutHi-I42)*I130+I107*(TK_NNV_TPUv7_OutHi-I46)*I133+I108*(TK_NNV_Trn3_OutHi-I50)*I130+I109*(TK_NNV_Trn3_OutHi-I54)*I133+I110*(TK_NNV_MI455X_OutHi-I58)*I133</f>
        <v>174777848597.846</v>
      </c>
      <c r="K228" s="2"/>
    </row>
    <row r="229" customFormat="false" ht="15" hidden="false" customHeight="false" outlineLevel="0" collapsed="false">
      <c r="A229" s="9" t="s">
        <v>4744</v>
      </c>
      <c r="B229" s="9" t="s">
        <v>4745</v>
      </c>
      <c r="C229" s="9" t="s">
        <v>1104</v>
      </c>
      <c r="D229" s="21" t="n">
        <f aca="false">D141/D227+D142/D228</f>
        <v>0.131313022569813</v>
      </c>
      <c r="E229" s="21" t="n">
        <f aca="false">E141/E227+E142/E228</f>
        <v>0.333132955531572</v>
      </c>
      <c r="F229" s="21" t="n">
        <f aca="false">F141/F227+F142/F228</f>
        <v>0.546601216622585</v>
      </c>
      <c r="G229" s="21" t="n">
        <f aca="false">G141/G227+G142/G228</f>
        <v>0.910960745491351</v>
      </c>
      <c r="H229" s="21" t="n">
        <f aca="false">H141/H227+H142/H228</f>
        <v>1.37322196757163</v>
      </c>
      <c r="I229" s="21" t="n">
        <f aca="false">I141/I227+I142/I228</f>
        <v>2.01986616730268</v>
      </c>
      <c r="K229" s="2"/>
    </row>
    <row r="230" customFormat="false" ht="15" hidden="false" customHeight="false" outlineLevel="0" collapsed="false">
      <c r="A230" s="9" t="s">
        <v>4746</v>
      </c>
      <c r="B230" s="9" t="s">
        <v>4747</v>
      </c>
      <c r="C230" s="9" t="s">
        <v>1104</v>
      </c>
      <c r="D230" s="21" t="n">
        <f aca="false">D229/($D$229/$D$148)</f>
        <v>0.34508547008547</v>
      </c>
      <c r="E230" s="21" t="n">
        <f aca="false">E229/($D$229/$D$148)</f>
        <v>0.875460333718661</v>
      </c>
      <c r="F230" s="21" t="n">
        <f aca="false">F229/($D$229/$D$148)</f>
        <v>1.43644654655034</v>
      </c>
      <c r="G230" s="21" t="n">
        <f aca="false">G229/($D$229/$D$148)</f>
        <v>2.39396908954832</v>
      </c>
      <c r="H230" s="21" t="n">
        <f aca="false">H229/($D$229/$D$148)</f>
        <v>3.60877344026723</v>
      </c>
      <c r="I230" s="21" t="n">
        <f aca="false">I229/($D$229/$D$148)</f>
        <v>5.30812902035521</v>
      </c>
      <c r="K230" s="12" t="s">
        <v>4733</v>
      </c>
    </row>
    <row r="231" customFormat="false" ht="15" hidden="false" customHeight="false" outlineLevel="0" collapsed="false">
      <c r="A231" s="9" t="s">
        <v>4748</v>
      </c>
      <c r="B231" s="9" t="s">
        <v>4749</v>
      </c>
      <c r="C231" s="11" t="s">
        <v>745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4750</v>
      </c>
      <c r="B232" s="9" t="s">
        <v>4751</v>
      </c>
      <c r="C232" s="11" t="s">
        <v>745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0.84459937754729</v>
      </c>
      <c r="G232" s="21" t="n">
        <f aca="false">G167+G106*(TK_NNV_TPUv7_OutHi-G42)*G29+G107*(TK_NNV_TPUv7_OutHi-G46)*G41+G108*(TK_NNV_Trn3_OutHi-G50)*G29+G109*(TK_NNV_Trn3_OutHi-G54)*G41+G110*(TK_NNV_MI455X_OutHi-G58)*G41</f>
        <v>0.90191814162728</v>
      </c>
      <c r="H232" s="21" t="n">
        <f aca="false">H167+H106*(TK_NNV_TPUv7_OutHi-H42)*H29+H107*(TK_NNV_TPUv7_OutHi-H46)*H41+H108*(TK_NNV_Trn3_OutHi-H50)*H29+H109*(TK_NNV_Trn3_OutHi-H54)*H41+H110*(TK_NNV_MI455X_OutHi-H58)*H41</f>
        <v>0.971534730637508</v>
      </c>
      <c r="I232" s="21" t="n">
        <f aca="false">I167+I106*(TK_NNV_TPUv7_OutHi-I42)*I29+I107*(TK_NNV_TPUv7_OutHi-I46)*I41+I108*(TK_NNV_Trn3_OutHi-I50)*I29+I109*(TK_NNV_Trn3_OutHi-I54)*I41+I110*(TK_NNV_MI455X_OutHi-I58)*I41</f>
        <v>1.00628387374254</v>
      </c>
      <c r="K232" s="2"/>
    </row>
    <row r="233" customFormat="false" ht="15" hidden="false" customHeight="false" outlineLevel="0" collapsed="false">
      <c r="A233" s="9" t="s">
        <v>4752</v>
      </c>
      <c r="B233" s="9" t="s">
        <v>4753</v>
      </c>
      <c r="C233" s="9" t="s">
        <v>2740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-3.56415309151478</v>
      </c>
      <c r="G233" s="18" t="n">
        <f aca="false">(Revenue!G72*G231-Cost!G106)/(G91*G232)</f>
        <v>-1.99417843153768</v>
      </c>
      <c r="H233" s="18" t="n">
        <f aca="false">(Revenue!H72*H231-Cost!H106)/(H91*H232)</f>
        <v>3.99252444641353</v>
      </c>
      <c r="I233" s="18" t="n">
        <f aca="false">(Revenue!I72*I231-Cost!I106)/(I91*I232)</f>
        <v>8.59891646442407</v>
      </c>
      <c r="K233" s="2"/>
    </row>
    <row r="234" customFormat="false" ht="15" hidden="false" customHeight="false" outlineLevel="0" collapsed="false">
      <c r="A234" s="9" t="s">
        <v>4754</v>
      </c>
      <c r="B234" s="11" t="s">
        <v>4755</v>
      </c>
      <c r="C234" s="9" t="s">
        <v>1104</v>
      </c>
      <c r="D234" s="21" t="n">
        <f aca="false">SRC_ANT_231_Hi*INP_123*D71</f>
        <v>1.6</v>
      </c>
      <c r="K234" s="2" t="s">
        <v>4756</v>
      </c>
    </row>
    <row r="235" customFormat="false" ht="15" hidden="false" customHeight="false" outlineLevel="0" collapsed="false">
      <c r="A235" s="9" t="s">
        <v>4757</v>
      </c>
      <c r="B235" s="11" t="s">
        <v>4758</v>
      </c>
      <c r="C235" s="9" t="s">
        <v>1104</v>
      </c>
      <c r="D235" s="21" t="n">
        <f aca="false">SRC_ANT_224/INP_110*D71</f>
        <v>0.35</v>
      </c>
      <c r="K235" s="2" t="s">
        <v>4756</v>
      </c>
    </row>
    <row r="236" customFormat="false" ht="15" hidden="false" customHeight="false" outlineLevel="0" collapsed="false">
      <c r="A236" s="15" t="s">
        <v>4759</v>
      </c>
    </row>
    <row r="237" customFormat="false" ht="15" hidden="false" customHeight="false" outlineLevel="0" collapsed="false">
      <c r="A237" s="9" t="s">
        <v>4760</v>
      </c>
      <c r="B237" s="11" t="s">
        <v>4761</v>
      </c>
      <c r="C237" s="9" t="s">
        <v>1104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4762</v>
      </c>
    </row>
    <row r="238" customFormat="false" ht="15" hidden="false" customHeight="false" outlineLevel="0" collapsed="false">
      <c r="A238" s="9" t="s">
        <v>4763</v>
      </c>
      <c r="B238" s="11" t="s">
        <v>4764</v>
      </c>
      <c r="C238" s="9" t="s">
        <v>1104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4765</v>
      </c>
    </row>
    <row r="239" customFormat="false" ht="15" hidden="false" customHeight="false" outlineLevel="0" collapsed="false">
      <c r="A239" s="9" t="s">
        <v>4766</v>
      </c>
      <c r="B239" s="11" t="s">
        <v>4767</v>
      </c>
      <c r="C239" s="9" t="s">
        <v>1104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4768</v>
      </c>
    </row>
    <row r="240" customFormat="false" ht="15" hidden="false" customHeight="false" outlineLevel="0" collapsed="false">
      <c r="A240" s="9" t="s">
        <v>4769</v>
      </c>
      <c r="B240" s="11" t="s">
        <v>4770</v>
      </c>
      <c r="C240" s="11" t="s">
        <v>745</v>
      </c>
      <c r="D240" s="21" t="n">
        <f aca="false">MAX(E239:I239)/D239</f>
        <v>1</v>
      </c>
      <c r="K240" s="12" t="s">
        <v>4771</v>
      </c>
    </row>
    <row r="241" customFormat="false" ht="15" hidden="false" customHeight="false" outlineLevel="0" collapsed="false">
      <c r="A241" s="9" t="s">
        <v>4772</v>
      </c>
      <c r="B241" s="11" t="s">
        <v>4773</v>
      </c>
      <c r="C241" s="9" t="s">
        <v>1104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4768</v>
      </c>
    </row>
    <row r="242" customFormat="false" ht="15" hidden="false" customHeight="false" outlineLevel="0" collapsed="false">
      <c r="A242" s="9" t="s">
        <v>4774</v>
      </c>
      <c r="B242" s="11" t="s">
        <v>4775</v>
      </c>
      <c r="C242" s="11" t="s">
        <v>745</v>
      </c>
      <c r="D242" s="21" t="n">
        <f aca="false">MAX(E241:I241)/D241</f>
        <v>1</v>
      </c>
      <c r="K242" s="12" t="s">
        <v>4771</v>
      </c>
    </row>
    <row r="243" customFormat="false" ht="15" hidden="false" customHeight="false" outlineLevel="0" collapsed="false">
      <c r="A243" s="9" t="s">
        <v>4776</v>
      </c>
      <c r="B243" s="11" t="s">
        <v>4777</v>
      </c>
      <c r="C243" s="9" t="s">
        <v>1104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4778</v>
      </c>
    </row>
    <row r="244" customFormat="false" ht="15" hidden="false" customHeight="false" outlineLevel="0" collapsed="false">
      <c r="A244" s="9" t="s">
        <v>4779</v>
      </c>
      <c r="B244" s="11" t="s">
        <v>4780</v>
      </c>
      <c r="C244" s="9" t="s">
        <v>1104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4778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4781</v>
      </c>
    </row>
    <row r="2" customFormat="false" ht="15" hidden="false" customHeight="false" outlineLevel="0" collapsed="false">
      <c r="A2" s="2" t="s">
        <v>4782</v>
      </c>
    </row>
    <row r="3" customFormat="false" ht="15" hidden="false" customHeight="false" outlineLevel="0" collapsed="false">
      <c r="A3" s="2" t="s">
        <v>4783</v>
      </c>
    </row>
    <row r="5" customFormat="false" ht="15" hidden="false" customHeight="false" outlineLevel="0" collapsed="false">
      <c r="A5" s="8" t="s">
        <v>3789</v>
      </c>
      <c r="B5" s="8" t="s">
        <v>46</v>
      </c>
      <c r="C5" s="8" t="s">
        <v>50</v>
      </c>
      <c r="D5" s="7" t="s">
        <v>75</v>
      </c>
      <c r="E5" s="7" t="s">
        <v>304</v>
      </c>
      <c r="F5" s="7" t="s">
        <v>2855</v>
      </c>
      <c r="G5" s="7" t="s">
        <v>1658</v>
      </c>
      <c r="H5" s="7" t="s">
        <v>2856</v>
      </c>
      <c r="I5" s="7" t="s">
        <v>2857</v>
      </c>
      <c r="J5" s="8"/>
      <c r="K5" s="8" t="s">
        <v>2517</v>
      </c>
    </row>
    <row r="6" customFormat="false" ht="15" hidden="false" customHeight="false" outlineLevel="0" collapsed="false">
      <c r="B6" s="3" t="s">
        <v>3790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4784</v>
      </c>
    </row>
    <row r="8" customFormat="false" ht="15" hidden="false" customHeight="false" outlineLevel="0" collapsed="false">
      <c r="A8" s="9" t="s">
        <v>4785</v>
      </c>
      <c r="B8" s="11" t="s">
        <v>4786</v>
      </c>
      <c r="C8" s="11" t="s">
        <v>1897</v>
      </c>
      <c r="D8" s="11" t="s">
        <v>2512</v>
      </c>
      <c r="K8" s="2"/>
    </row>
    <row r="9" customFormat="false" ht="15" hidden="false" customHeight="false" outlineLevel="0" collapsed="false">
      <c r="A9" s="9" t="s">
        <v>4787</v>
      </c>
      <c r="B9" s="11" t="s">
        <v>4788</v>
      </c>
      <c r="C9" s="11" t="s">
        <v>1897</v>
      </c>
      <c r="D9" s="11" t="s">
        <v>2514</v>
      </c>
      <c r="K9" s="2"/>
    </row>
    <row r="10" customFormat="false" ht="15" hidden="false" customHeight="false" outlineLevel="0" collapsed="false">
      <c r="A10" s="9" t="s">
        <v>4789</v>
      </c>
      <c r="B10" s="11" t="s">
        <v>4790</v>
      </c>
      <c r="C10" s="9" t="s">
        <v>2740</v>
      </c>
      <c r="D10" s="18" t="n">
        <f aca="false">SUMIFS(TK_IF_HoldEcon,TK_HdrGen,Compute!$D$8,TK_HdrCost,Compute!$D$12)*Compute!D27</f>
        <v>9.70308728611469</v>
      </c>
      <c r="K10" s="12" t="s">
        <v>4791</v>
      </c>
    </row>
    <row r="11" customFormat="false" ht="15" hidden="false" customHeight="false" outlineLevel="0" collapsed="false">
      <c r="A11" s="9" t="s">
        <v>4792</v>
      </c>
      <c r="B11" s="11" t="s">
        <v>4793</v>
      </c>
      <c r="C11" s="9" t="s">
        <v>2740</v>
      </c>
      <c r="D11" s="18" t="n">
        <f aca="false">SUMIFS(TK_IF_HoldEcon,TK_HdrGen,Compute!$D$8,TK_HdrCost,$D$8)*Compute!D27</f>
        <v>6.79107465326444</v>
      </c>
      <c r="K11" s="12" t="s">
        <v>4791</v>
      </c>
    </row>
    <row r="12" customFormat="false" ht="15" hidden="false" customHeight="false" outlineLevel="0" collapsed="false">
      <c r="A12" s="9" t="s">
        <v>4794</v>
      </c>
      <c r="B12" s="11" t="s">
        <v>4795</v>
      </c>
      <c r="C12" s="9" t="s">
        <v>2740</v>
      </c>
      <c r="D12" s="18" t="n">
        <f aca="false">SUMIFS(TK_IF_HoldEcon,TK_HdrGen,Compute!$D$8,TK_HdrCost,$D$9)*Compute!D27</f>
        <v>16.6637697337026</v>
      </c>
      <c r="K12" s="12" t="s">
        <v>4791</v>
      </c>
    </row>
    <row r="13" customFormat="false" ht="15" hidden="false" customHeight="false" outlineLevel="0" collapsed="false">
      <c r="A13" s="9" t="s">
        <v>4796</v>
      </c>
      <c r="B13" s="11" t="s">
        <v>4797</v>
      </c>
      <c r="C13" s="9" t="s">
        <v>2740</v>
      </c>
      <c r="D13" s="18" t="n">
        <f aca="false">SUMIFS(TK_IF_HoldEcon,TK_HdrGen,Compute!$D$9,TK_HdrCost,Compute!$D$12)*Compute!D31</f>
        <v>8.82816556596761</v>
      </c>
      <c r="K13" s="12" t="s">
        <v>4791</v>
      </c>
    </row>
    <row r="14" customFormat="false" ht="15" hidden="false" customHeight="false" outlineLevel="0" collapsed="false">
      <c r="A14" s="9" t="s">
        <v>4798</v>
      </c>
      <c r="B14" s="11" t="s">
        <v>4799</v>
      </c>
      <c r="C14" s="9" t="s">
        <v>2740</v>
      </c>
      <c r="D14" s="18" t="n">
        <f aca="false">SUMIFS(TK_IF_HoldEcon,TK_HdrGen,Compute!$D$9,TK_HdrCost,$D$8)*Compute!D31</f>
        <v>6.6118162762144</v>
      </c>
      <c r="K14" s="12" t="s">
        <v>4791</v>
      </c>
    </row>
    <row r="15" customFormat="false" ht="15" hidden="false" customHeight="false" outlineLevel="0" collapsed="false">
      <c r="A15" s="9" t="s">
        <v>4800</v>
      </c>
      <c r="B15" s="11" t="s">
        <v>4801</v>
      </c>
      <c r="C15" s="9" t="s">
        <v>2740</v>
      </c>
      <c r="D15" s="18" t="n">
        <f aca="false">SUMIFS(TK_IF_HoldEcon,TK_HdrGen,Compute!$D$9,TK_HdrCost,$D$9)*Compute!D31</f>
        <v>14.3185748619737</v>
      </c>
      <c r="K15" s="12" t="s">
        <v>4791</v>
      </c>
    </row>
    <row r="16" customFormat="false" ht="15" hidden="false" customHeight="false" outlineLevel="0" collapsed="false">
      <c r="A16" s="9" t="s">
        <v>4802</v>
      </c>
      <c r="B16" s="11" t="s">
        <v>4803</v>
      </c>
      <c r="C16" s="9" t="s">
        <v>2740</v>
      </c>
      <c r="D16" s="18" t="n">
        <f aca="false">SUMIFS(TK_IF_HoldEcon,TK_HdrGen,Compute!$D$10,TK_HdrCost,Compute!$D$12)*Compute!D35</f>
        <v>10.8864110021101</v>
      </c>
      <c r="K16" s="12" t="s">
        <v>4791</v>
      </c>
    </row>
    <row r="17" customFormat="false" ht="15" hidden="false" customHeight="false" outlineLevel="0" collapsed="false">
      <c r="A17" s="9" t="s">
        <v>4804</v>
      </c>
      <c r="B17" s="11" t="s">
        <v>4805</v>
      </c>
      <c r="C17" s="9" t="s">
        <v>2740</v>
      </c>
      <c r="D17" s="18" t="n">
        <f aca="false">SUMIFS(TK_IF_HoldEcon,TK_HdrGen,Compute!$D$10,TK_HdrCost,$D$8)*Compute!D35</f>
        <v>8.42889912085495</v>
      </c>
      <c r="K17" s="12" t="s">
        <v>4791</v>
      </c>
    </row>
    <row r="18" customFormat="false" ht="15" hidden="false" customHeight="false" outlineLevel="0" collapsed="false">
      <c r="A18" s="9" t="s">
        <v>4806</v>
      </c>
      <c r="B18" s="11" t="s">
        <v>4807</v>
      </c>
      <c r="C18" s="9" t="s">
        <v>2740</v>
      </c>
      <c r="D18" s="18" t="n">
        <f aca="false">SUMIFS(TK_IF_HoldEcon,TK_HdrGen,Compute!$D$10,TK_HdrCost,$D$9)*Compute!D35</f>
        <v>18.5346455040469</v>
      </c>
      <c r="K18" s="12" t="s">
        <v>4791</v>
      </c>
    </row>
    <row r="19" customFormat="false" ht="15" hidden="false" customHeight="false" outlineLevel="0" collapsed="false">
      <c r="A19" s="9" t="s">
        <v>4808</v>
      </c>
      <c r="B19" s="11" t="s">
        <v>4809</v>
      </c>
      <c r="C19" s="9" t="s">
        <v>2740</v>
      </c>
      <c r="D19" s="18" t="n">
        <f aca="false">SUMIFS(TK_IF_HoldEcon,TK_HdrGen,Compute!$D$11,TK_HdrCost,Compute!$D$12)*Compute!D39</f>
        <v>12.2254710045841</v>
      </c>
      <c r="K19" s="12" t="s">
        <v>4791</v>
      </c>
    </row>
    <row r="20" customFormat="false" ht="15" hidden="false" customHeight="false" outlineLevel="0" collapsed="false">
      <c r="A20" s="9" t="s">
        <v>4810</v>
      </c>
      <c r="B20" s="11" t="s">
        <v>4811</v>
      </c>
      <c r="C20" s="9" t="s">
        <v>2740</v>
      </c>
      <c r="D20" s="18" t="n">
        <f aca="false">SUMIFS(TK_IF_HoldEcon,TK_HdrGen,Compute!$D$11,TK_HdrCost,$D$8)*Compute!D39</f>
        <v>9.51207691858967</v>
      </c>
      <c r="K20" s="12" t="s">
        <v>4791</v>
      </c>
    </row>
    <row r="21" customFormat="false" ht="15" hidden="false" customHeight="false" outlineLevel="0" collapsed="false">
      <c r="A21" s="9" t="s">
        <v>4812</v>
      </c>
      <c r="B21" s="11" t="s">
        <v>4813</v>
      </c>
      <c r="C21" s="9" t="s">
        <v>2740</v>
      </c>
      <c r="D21" s="18" t="n">
        <f aca="false">SUMIFS(TK_IF_HoldEcon,TK_HdrGen,Compute!$D$11,TK_HdrCost,$D$9)*Compute!D39</f>
        <v>19.7506269894487</v>
      </c>
      <c r="K21" s="12" t="s">
        <v>4791</v>
      </c>
    </row>
    <row r="22" customFormat="false" ht="15" hidden="false" customHeight="false" outlineLevel="0" collapsed="false">
      <c r="A22" s="9" t="s">
        <v>4814</v>
      </c>
      <c r="B22" s="11" t="s">
        <v>4815</v>
      </c>
      <c r="C22" s="9" t="s">
        <v>2740</v>
      </c>
      <c r="D22" s="18" t="n">
        <f aca="false">SUMIFS(TK_IF_HoldEcon,TK_HdrGen,Compute!$D$8,TK_HdrCost,Compute!$D$12)*Compute!D43</f>
        <v>7.76246982889175</v>
      </c>
      <c r="K22" s="12" t="s">
        <v>4791</v>
      </c>
    </row>
    <row r="23" customFormat="false" ht="15" hidden="false" customHeight="false" outlineLevel="0" collapsed="false">
      <c r="A23" s="9" t="s">
        <v>4816</v>
      </c>
      <c r="B23" s="11" t="s">
        <v>4817</v>
      </c>
      <c r="C23" s="9" t="s">
        <v>2740</v>
      </c>
      <c r="D23" s="18" t="n">
        <f aca="false">SUMIFS(TK_IF_HoldEcon,TK_HdrGen,Compute!$D$8,TK_HdrCost,$D$8)*Compute!D43</f>
        <v>5.43285972261155</v>
      </c>
      <c r="K23" s="12" t="s">
        <v>4791</v>
      </c>
    </row>
    <row r="24" customFormat="false" ht="15" hidden="false" customHeight="false" outlineLevel="0" collapsed="false">
      <c r="A24" s="9" t="s">
        <v>4818</v>
      </c>
      <c r="B24" s="11" t="s">
        <v>4819</v>
      </c>
      <c r="C24" s="9" t="s">
        <v>2740</v>
      </c>
      <c r="D24" s="18" t="n">
        <f aca="false">SUMIFS(TK_IF_HoldEcon,TK_HdrGen,Compute!$D$8,TK_HdrCost,$D$9)*Compute!D43</f>
        <v>13.3310157869621</v>
      </c>
      <c r="K24" s="12" t="s">
        <v>4791</v>
      </c>
    </row>
    <row r="25" customFormat="false" ht="15" hidden="false" customHeight="false" outlineLevel="0" collapsed="false">
      <c r="A25" s="9" t="s">
        <v>4820</v>
      </c>
      <c r="B25" s="11" t="s">
        <v>4821</v>
      </c>
      <c r="C25" s="9" t="s">
        <v>2740</v>
      </c>
      <c r="D25" s="18" t="n">
        <f aca="false">SUMIFS(TK_IF_HoldEcon,TK_HdrGen,Compute!$D$11,TK_HdrCost,Compute!$D$12)*Compute!D47</f>
        <v>9.78037680366728</v>
      </c>
      <c r="K25" s="12" t="s">
        <v>4791</v>
      </c>
    </row>
    <row r="26" customFormat="false" ht="15" hidden="false" customHeight="false" outlineLevel="0" collapsed="false">
      <c r="A26" s="9" t="s">
        <v>4822</v>
      </c>
      <c r="B26" s="11" t="s">
        <v>4823</v>
      </c>
      <c r="C26" s="9" t="s">
        <v>2740</v>
      </c>
      <c r="D26" s="18" t="n">
        <f aca="false">SUMIFS(TK_IF_HoldEcon,TK_HdrGen,Compute!$D$11,TK_HdrCost,$D$8)*Compute!D47</f>
        <v>7.60966153487174</v>
      </c>
      <c r="K26" s="12" t="s">
        <v>4791</v>
      </c>
    </row>
    <row r="27" customFormat="false" ht="15" hidden="false" customHeight="false" outlineLevel="0" collapsed="false">
      <c r="A27" s="9" t="s">
        <v>4824</v>
      </c>
      <c r="B27" s="11" t="s">
        <v>4825</v>
      </c>
      <c r="C27" s="9" t="s">
        <v>2740</v>
      </c>
      <c r="D27" s="18" t="n">
        <f aca="false">SUMIFS(TK_IF_HoldEcon,TK_HdrGen,Compute!$D$11,TK_HdrCost,$D$9)*Compute!D47</f>
        <v>15.800501591559</v>
      </c>
      <c r="K27" s="12" t="s">
        <v>4791</v>
      </c>
    </row>
    <row r="28" customFormat="false" ht="15" hidden="false" customHeight="false" outlineLevel="0" collapsed="false">
      <c r="A28" s="9" t="s">
        <v>4826</v>
      </c>
      <c r="B28" s="11" t="s">
        <v>4827</v>
      </c>
      <c r="C28" s="9" t="s">
        <v>2740</v>
      </c>
      <c r="D28" s="18" t="n">
        <f aca="false">SUMIFS(TK_IF_HoldEcon,TK_HdrGen,Compute!$D$8,TK_HdrCost,Compute!$D$12)*Compute!D51</f>
        <v>6.79216110028028</v>
      </c>
      <c r="K28" s="12" t="s">
        <v>4791</v>
      </c>
    </row>
    <row r="29" customFormat="false" ht="15" hidden="false" customHeight="false" outlineLevel="0" collapsed="false">
      <c r="A29" s="9" t="s">
        <v>4828</v>
      </c>
      <c r="B29" s="11" t="s">
        <v>4829</v>
      </c>
      <c r="C29" s="9" t="s">
        <v>2740</v>
      </c>
      <c r="D29" s="18" t="n">
        <f aca="false">SUMIFS(TK_IF_HoldEcon,TK_HdrGen,Compute!$D$8,TK_HdrCost,$D$8)*Compute!D51</f>
        <v>4.75375225728511</v>
      </c>
      <c r="K29" s="12" t="s">
        <v>4791</v>
      </c>
    </row>
    <row r="30" customFormat="false" ht="15" hidden="false" customHeight="false" outlineLevel="0" collapsed="false">
      <c r="A30" s="9" t="s">
        <v>4830</v>
      </c>
      <c r="B30" s="11" t="s">
        <v>4831</v>
      </c>
      <c r="C30" s="9" t="s">
        <v>2740</v>
      </c>
      <c r="D30" s="18" t="n">
        <f aca="false">SUMIFS(TK_IF_HoldEcon,TK_HdrGen,Compute!$D$8,TK_HdrCost,$D$9)*Compute!D51</f>
        <v>11.6646388135918</v>
      </c>
      <c r="K30" s="12" t="s">
        <v>4791</v>
      </c>
    </row>
    <row r="31" customFormat="false" ht="15" hidden="false" customHeight="false" outlineLevel="0" collapsed="false">
      <c r="A31" s="9" t="s">
        <v>4832</v>
      </c>
      <c r="B31" s="11" t="s">
        <v>4833</v>
      </c>
      <c r="C31" s="9" t="s">
        <v>2740</v>
      </c>
      <c r="D31" s="18" t="n">
        <f aca="false">SUMIFS(TK_IF_HoldEcon,TK_HdrGen,Compute!$D$11,TK_HdrCost,Compute!$D$12)*Compute!D55</f>
        <v>8.55782970320887</v>
      </c>
      <c r="K31" s="12" t="s">
        <v>4791</v>
      </c>
    </row>
    <row r="32" customFormat="false" ht="15" hidden="false" customHeight="false" outlineLevel="0" collapsed="false">
      <c r="A32" s="9" t="s">
        <v>4834</v>
      </c>
      <c r="B32" s="11" t="s">
        <v>4835</v>
      </c>
      <c r="C32" s="9" t="s">
        <v>2740</v>
      </c>
      <c r="D32" s="18" t="n">
        <f aca="false">SUMIFS(TK_IF_HoldEcon,TK_HdrGen,Compute!$D$11,TK_HdrCost,$D$8)*Compute!D55</f>
        <v>6.65845384301277</v>
      </c>
      <c r="K32" s="12" t="s">
        <v>4791</v>
      </c>
    </row>
    <row r="33" customFormat="false" ht="15" hidden="false" customHeight="false" outlineLevel="0" collapsed="false">
      <c r="A33" s="9" t="s">
        <v>4836</v>
      </c>
      <c r="B33" s="11" t="s">
        <v>4837</v>
      </c>
      <c r="C33" s="9" t="s">
        <v>2740</v>
      </c>
      <c r="D33" s="18" t="n">
        <f aca="false">SUMIFS(TK_IF_HoldEcon,TK_HdrGen,Compute!$D$11,TK_HdrCost,$D$9)*Compute!D55</f>
        <v>13.8254388926141</v>
      </c>
      <c r="K33" s="12" t="s">
        <v>4791</v>
      </c>
    </row>
    <row r="34" customFormat="false" ht="15" hidden="false" customHeight="false" outlineLevel="0" collapsed="false">
      <c r="A34" s="9" t="s">
        <v>4838</v>
      </c>
      <c r="B34" s="11" t="s">
        <v>4839</v>
      </c>
      <c r="C34" s="9" t="s">
        <v>2740</v>
      </c>
      <c r="D34" s="18" t="n">
        <f aca="false">SUMIFS(TK_IF_HoldEcon,TK_HdrGen,Compute!$D$11,TK_HdrCost,Compute!$D$12)*Compute!D59</f>
        <v>11.0029239041257</v>
      </c>
      <c r="K34" s="12" t="s">
        <v>4791</v>
      </c>
    </row>
    <row r="35" customFormat="false" ht="15" hidden="false" customHeight="false" outlineLevel="0" collapsed="false">
      <c r="A35" s="9" t="s">
        <v>4840</v>
      </c>
      <c r="B35" s="11" t="s">
        <v>4841</v>
      </c>
      <c r="C35" s="9" t="s">
        <v>2740</v>
      </c>
      <c r="D35" s="18" t="n">
        <f aca="false">SUMIFS(TK_IF_HoldEcon,TK_HdrGen,Compute!$D$11,TK_HdrCost,$D$8)*Compute!D59</f>
        <v>8.5608692267307</v>
      </c>
      <c r="K35" s="12" t="s">
        <v>4791</v>
      </c>
    </row>
    <row r="36" customFormat="false" ht="15" hidden="false" customHeight="false" outlineLevel="0" collapsed="false">
      <c r="A36" s="9" t="s">
        <v>4842</v>
      </c>
      <c r="B36" s="11" t="s">
        <v>4843</v>
      </c>
      <c r="C36" s="9" t="s">
        <v>2740</v>
      </c>
      <c r="D36" s="18" t="n">
        <f aca="false">SUMIFS(TK_IF_HoldEcon,TK_HdrGen,Compute!$D$11,TK_HdrCost,$D$9)*Compute!D59</f>
        <v>17.7755642905038</v>
      </c>
      <c r="K36" s="12" t="s">
        <v>4791</v>
      </c>
    </row>
    <row r="37" customFormat="false" ht="15" hidden="false" customHeight="false" outlineLevel="0" collapsed="false">
      <c r="A37" s="15" t="s">
        <v>4844</v>
      </c>
    </row>
    <row r="38" customFormat="false" ht="15" hidden="false" customHeight="false" outlineLevel="0" collapsed="false">
      <c r="A38" s="9" t="s">
        <v>4845</v>
      </c>
      <c r="B38" s="9" t="s">
        <v>4846</v>
      </c>
      <c r="C38" s="9" t="s">
        <v>480</v>
      </c>
      <c r="D38" s="17" t="n">
        <f aca="false">SRC_ANT_252</f>
        <v>7.33</v>
      </c>
      <c r="K38" s="12" t="s">
        <v>4847</v>
      </c>
    </row>
    <row r="39" customFormat="false" ht="15" hidden="false" customHeight="false" outlineLevel="0" collapsed="false">
      <c r="A39" s="9" t="s">
        <v>4848</v>
      </c>
      <c r="B39" s="11" t="s">
        <v>4849</v>
      </c>
      <c r="C39" s="9" t="s">
        <v>480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4850</v>
      </c>
    </row>
    <row r="40" customFormat="false" ht="15" hidden="false" customHeight="false" outlineLevel="0" collapsed="false">
      <c r="A40" s="9" t="s">
        <v>4851</v>
      </c>
      <c r="B40" s="11" t="s">
        <v>4852</v>
      </c>
      <c r="C40" s="9" t="s">
        <v>480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4853</v>
      </c>
    </row>
    <row r="41" customFormat="false" ht="15" hidden="false" customHeight="false" outlineLevel="0" collapsed="false">
      <c r="A41" s="9" t="s">
        <v>4854</v>
      </c>
      <c r="B41" s="11" t="s">
        <v>4855</v>
      </c>
      <c r="C41" s="9" t="s">
        <v>480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4853</v>
      </c>
    </row>
    <row r="42" customFormat="false" ht="15" hidden="false" customHeight="false" outlineLevel="0" collapsed="false">
      <c r="A42" s="9" t="s">
        <v>4856</v>
      </c>
      <c r="B42" s="11" t="s">
        <v>4857</v>
      </c>
      <c r="C42" s="9" t="s">
        <v>480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4853</v>
      </c>
    </row>
    <row r="43" customFormat="false" ht="15" hidden="false" customHeight="false" outlineLevel="0" collapsed="false">
      <c r="A43" s="9" t="s">
        <v>4858</v>
      </c>
      <c r="B43" s="11" t="s">
        <v>4859</v>
      </c>
      <c r="C43" s="9" t="s">
        <v>480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4853</v>
      </c>
    </row>
    <row r="44" customFormat="false" ht="15" hidden="false" customHeight="false" outlineLevel="0" collapsed="false">
      <c r="A44" s="9" t="s">
        <v>4860</v>
      </c>
      <c r="B44" s="11" t="s">
        <v>4861</v>
      </c>
      <c r="C44" s="9" t="s">
        <v>480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4862</v>
      </c>
    </row>
    <row r="45" customFormat="false" ht="15" hidden="false" customHeight="false" outlineLevel="0" collapsed="false">
      <c r="A45" s="9" t="s">
        <v>4863</v>
      </c>
      <c r="B45" s="11" t="s">
        <v>4864</v>
      </c>
      <c r="C45" s="9" t="s">
        <v>480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4865</v>
      </c>
    </row>
    <row r="46" customFormat="false" ht="15" hidden="false" customHeight="false" outlineLevel="0" collapsed="false">
      <c r="A46" s="9" t="s">
        <v>4866</v>
      </c>
      <c r="B46" s="11" t="s">
        <v>4867</v>
      </c>
      <c r="C46" s="9" t="s">
        <v>480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4.43995510662177</v>
      </c>
      <c r="H46" s="17" t="n">
        <f aca="false">INP_182*H284+(1-INP_182)*(SRC_ANT_221/(((INP_144-INP_143+1)+(INP_144-INP_143+1)-INP_122+1)/INP_112)*MIN(INP_122,H$6-INP_143+1)/INP_122*(H$6&gt;=INP_143)*(H$6&lt;=INP_144))</f>
        <v>8.87991021324355</v>
      </c>
      <c r="I46" s="17" t="n">
        <f aca="false">INP_182*I284+(1-INP_182)*(SRC_ANT_221/(((INP_144-INP_143+1)+(INP_144-INP_143+1)-INP_122+1)/INP_112)*MIN(INP_122,I$6-INP_143+1)/INP_122*(I$6&gt;=INP_143)*(I$6&lt;=INP_144))</f>
        <v>8.87991021324355</v>
      </c>
      <c r="K46" s="12" t="s">
        <v>4868</v>
      </c>
    </row>
    <row r="47" customFormat="false" ht="15" hidden="false" customHeight="false" outlineLevel="0" collapsed="false">
      <c r="A47" s="9" t="s">
        <v>4869</v>
      </c>
      <c r="B47" s="11" t="s">
        <v>4870</v>
      </c>
      <c r="C47" s="9" t="s">
        <v>480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2.47736625514403</v>
      </c>
      <c r="G47" s="17" t="n">
        <f aca="false">INP_182*G285+(1-INP_182)*Compute!G238*Compute!G36</f>
        <v>4.95473251028807</v>
      </c>
      <c r="H47" s="17" t="n">
        <f aca="false">INP_182*H285+(1-INP_182)*Compute!H238*Compute!H36</f>
        <v>4.95473251028807</v>
      </c>
      <c r="I47" s="17" t="n">
        <f aca="false">INP_182*I285+(1-INP_182)*Compute!I238*Compute!I36</f>
        <v>4.95473251028807</v>
      </c>
      <c r="K47" s="12" t="s">
        <v>4871</v>
      </c>
    </row>
    <row r="48" customFormat="false" ht="15" hidden="false" customHeight="false" outlineLevel="0" collapsed="false">
      <c r="A48" s="9" t="s">
        <v>4872</v>
      </c>
      <c r="B48" s="11" t="s">
        <v>4873</v>
      </c>
      <c r="C48" s="9" t="s">
        <v>480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4853</v>
      </c>
    </row>
    <row r="49" customFormat="false" ht="15" hidden="false" customHeight="false" outlineLevel="0" collapsed="false">
      <c r="A49" s="9" t="s">
        <v>4874</v>
      </c>
      <c r="B49" s="11" t="s">
        <v>4875</v>
      </c>
      <c r="C49" s="9" t="s">
        <v>480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4853</v>
      </c>
    </row>
    <row r="50" customFormat="false" ht="15" hidden="false" customHeight="false" outlineLevel="0" collapsed="false">
      <c r="A50" s="9" t="s">
        <v>4876</v>
      </c>
      <c r="B50" s="11" t="s">
        <v>4877</v>
      </c>
      <c r="C50" s="9" t="s">
        <v>480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4878</v>
      </c>
      <c r="B51" s="11" t="s">
        <v>4879</v>
      </c>
      <c r="C51" s="9" t="s">
        <v>480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4880</v>
      </c>
    </row>
    <row r="52" customFormat="false" ht="15" hidden="false" customHeight="false" outlineLevel="0" collapsed="false">
      <c r="A52" s="9" t="s">
        <v>4881</v>
      </c>
      <c r="B52" s="11" t="s">
        <v>4882</v>
      </c>
      <c r="C52" s="9" t="s">
        <v>480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4883</v>
      </c>
    </row>
    <row r="53" customFormat="false" ht="15" hidden="false" customHeight="false" outlineLevel="0" collapsed="false">
      <c r="A53" s="9" t="s">
        <v>4884</v>
      </c>
      <c r="B53" s="11" t="s">
        <v>4885</v>
      </c>
      <c r="C53" s="9" t="s">
        <v>480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4886</v>
      </c>
    </row>
    <row r="54" customFormat="false" ht="15" hidden="false" customHeight="false" outlineLevel="0" collapsed="false">
      <c r="A54" s="9" t="s">
        <v>4887</v>
      </c>
      <c r="B54" s="11" t="s">
        <v>4888</v>
      </c>
      <c r="C54" s="9" t="s">
        <v>480</v>
      </c>
      <c r="D54" s="17" t="n">
        <f aca="false">D53-D38</f>
        <v>0</v>
      </c>
      <c r="K54" s="12" t="s">
        <v>4889</v>
      </c>
    </row>
    <row r="55" customFormat="false" ht="15" hidden="false" customHeight="false" outlineLevel="0" collapsed="false">
      <c r="A55" s="9" t="s">
        <v>4890</v>
      </c>
      <c r="B55" s="11" t="s">
        <v>4891</v>
      </c>
      <c r="C55" s="9" t="s">
        <v>2740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9.7424019923287</v>
      </c>
      <c r="G55" s="18" t="n">
        <f aca="false">G50/Compute!G90</f>
        <v>9.87643182849724</v>
      </c>
      <c r="H55" s="18" t="n">
        <f aca="false">H50/Compute!H90</f>
        <v>9.91709088776749</v>
      </c>
      <c r="I55" s="18" t="n">
        <f aca="false">I50/Compute!I90</f>
        <v>9.82466643535864</v>
      </c>
      <c r="K55" s="2"/>
    </row>
    <row r="56" customFormat="false" ht="15" hidden="false" customHeight="false" outlineLevel="0" collapsed="false">
      <c r="A56" s="9" t="s">
        <v>4892</v>
      </c>
      <c r="B56" s="11" t="s">
        <v>4893</v>
      </c>
      <c r="C56" s="9" t="s">
        <v>2740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4894</v>
      </c>
    </row>
    <row r="57" customFormat="false" ht="15" hidden="false" customHeight="false" outlineLevel="0" collapsed="false">
      <c r="A57" s="9" t="s">
        <v>4895</v>
      </c>
      <c r="B57" s="11" t="s">
        <v>4896</v>
      </c>
      <c r="C57" s="9" t="s">
        <v>2740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4894</v>
      </c>
    </row>
    <row r="58" customFormat="false" ht="15" hidden="false" customHeight="false" outlineLevel="0" collapsed="false">
      <c r="A58" s="9" t="s">
        <v>4897</v>
      </c>
      <c r="B58" s="11" t="s">
        <v>4898</v>
      </c>
      <c r="C58" s="9" t="s">
        <v>2740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4894</v>
      </c>
    </row>
    <row r="59" customFormat="false" ht="15" hidden="false" customHeight="false" outlineLevel="0" collapsed="false">
      <c r="A59" s="9" t="s">
        <v>4899</v>
      </c>
      <c r="B59" s="11" t="s">
        <v>4900</v>
      </c>
      <c r="C59" s="9" t="s">
        <v>2740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4894</v>
      </c>
    </row>
    <row r="60" customFormat="false" ht="15" hidden="false" customHeight="false" outlineLevel="0" collapsed="false">
      <c r="A60" s="9" t="s">
        <v>4901</v>
      </c>
      <c r="B60" s="11" t="s">
        <v>4902</v>
      </c>
      <c r="C60" s="9" t="s">
        <v>2740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4894</v>
      </c>
    </row>
    <row r="61" customFormat="false" ht="15" hidden="false" customHeight="false" outlineLevel="0" collapsed="false">
      <c r="A61" s="9" t="s">
        <v>4903</v>
      </c>
      <c r="B61" s="11" t="s">
        <v>4904</v>
      </c>
      <c r="C61" s="9" t="s">
        <v>2740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4894</v>
      </c>
    </row>
    <row r="62" customFormat="false" ht="15" hidden="false" customHeight="false" outlineLevel="0" collapsed="false">
      <c r="A62" s="9" t="s">
        <v>4905</v>
      </c>
      <c r="B62" s="11" t="s">
        <v>4906</v>
      </c>
      <c r="C62" s="9" t="s">
        <v>2740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19.304152637486</v>
      </c>
      <c r="H62" s="18" t="n">
        <f aca="false">IF(Compute!H79&gt;Compute!H72-Compute!H72,H46/Compute!H79,Compute!H72-Compute!H72)</f>
        <v>19.304152637486</v>
      </c>
      <c r="I62" s="18" t="n">
        <f aca="false">IF(Compute!I79&gt;Compute!I72-Compute!I72,I46/Compute!I79,Compute!I72-Compute!I72)</f>
        <v>19.304152637486</v>
      </c>
      <c r="K62" s="2" t="s">
        <v>4894</v>
      </c>
    </row>
    <row r="63" customFormat="false" ht="15" hidden="false" customHeight="false" outlineLevel="0" collapsed="false">
      <c r="A63" s="9" t="s">
        <v>4907</v>
      </c>
      <c r="B63" s="11" t="s">
        <v>4908</v>
      </c>
      <c r="C63" s="9" t="s">
        <v>2740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14.156378600823</v>
      </c>
      <c r="G63" s="18" t="n">
        <f aca="false">IF(Compute!G80&gt;Compute!G72-Compute!G72,G47/Compute!G80,Compute!G72-Compute!G72)</f>
        <v>14.156378600823</v>
      </c>
      <c r="H63" s="18" t="n">
        <f aca="false">IF(Compute!H80&gt;Compute!H72-Compute!H72,H47/Compute!H80,Compute!H72-Compute!H72)</f>
        <v>14.156378600823</v>
      </c>
      <c r="I63" s="18" t="n">
        <f aca="false">IF(Compute!I80&gt;Compute!I72-Compute!I72,I47/Compute!I80,Compute!I72-Compute!I72)</f>
        <v>14.156378600823</v>
      </c>
      <c r="K63" s="2" t="s">
        <v>4894</v>
      </c>
    </row>
    <row r="64" customFormat="false" ht="15" hidden="false" customHeight="false" outlineLevel="0" collapsed="false">
      <c r="A64" s="9" t="s">
        <v>4909</v>
      </c>
      <c r="B64" s="11" t="s">
        <v>4910</v>
      </c>
      <c r="C64" s="9" t="s">
        <v>2740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4894</v>
      </c>
    </row>
    <row r="65" customFormat="false" ht="15" hidden="false" customHeight="false" outlineLevel="0" collapsed="false">
      <c r="A65" s="9" t="s">
        <v>4911</v>
      </c>
      <c r="B65" s="11" t="s">
        <v>4912</v>
      </c>
      <c r="C65" s="9" t="s">
        <v>2740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4894</v>
      </c>
    </row>
    <row r="66" customFormat="false" ht="15" hidden="false" customHeight="false" outlineLevel="0" collapsed="false">
      <c r="A66" s="9" t="s">
        <v>4913</v>
      </c>
      <c r="B66" s="11" t="s">
        <v>4914</v>
      </c>
      <c r="C66" s="11" t="s">
        <v>745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4915</v>
      </c>
    </row>
    <row r="67" customFormat="false" ht="15" hidden="false" customHeight="false" outlineLevel="0" collapsed="false">
      <c r="A67" s="9" t="s">
        <v>4916</v>
      </c>
      <c r="B67" s="11" t="s">
        <v>4917</v>
      </c>
      <c r="C67" s="9" t="s">
        <v>480</v>
      </c>
      <c r="E67" s="17" t="n">
        <f aca="false">SRC_ANT_004*SRC_ANT_051+SRC_ANT_005*SRC_ANT_052</f>
        <v>9.7983</v>
      </c>
      <c r="K67" s="2" t="s">
        <v>4918</v>
      </c>
    </row>
    <row r="68" customFormat="false" ht="15" hidden="false" customHeight="false" outlineLevel="0" collapsed="false">
      <c r="A68" s="9" t="s">
        <v>4919</v>
      </c>
      <c r="B68" s="11" t="s">
        <v>4920</v>
      </c>
      <c r="C68" s="9" t="s">
        <v>480</v>
      </c>
      <c r="E68" s="17" t="n">
        <f aca="false">E50*INP_009/INP_008-E67</f>
        <v>3.07845094466937</v>
      </c>
      <c r="K68" s="2" t="s">
        <v>4921</v>
      </c>
    </row>
    <row r="69" customFormat="false" ht="15" hidden="false" customHeight="false" outlineLevel="0" collapsed="false">
      <c r="A69" s="15" t="s">
        <v>4922</v>
      </c>
    </row>
    <row r="70" customFormat="false" ht="15" hidden="false" customHeight="false" outlineLevel="0" collapsed="false">
      <c r="A70" s="9" t="s">
        <v>4923</v>
      </c>
      <c r="B70" s="11" t="s">
        <v>4924</v>
      </c>
      <c r="C70" s="9" t="s">
        <v>480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70.0481112918281</v>
      </c>
      <c r="G70" s="17" t="n">
        <f aca="false">Compute!G92*$D$10+Compute!G93*$D$13+Compute!G94*$D$16+Compute!G95*$D$19+Compute!G96*$D$22+Compute!G97*$D$25+Compute!G98*$D$28+Compute!G99*$D$31+Compute!G100*$D$34-Compute!G88*$D$25</f>
        <v>103.687323037379</v>
      </c>
      <c r="H70" s="17" t="n">
        <f aca="false">Compute!H92*$D$10+Compute!H93*$D$13+Compute!H94*$D$16+Compute!H95*$D$19+Compute!H96*$D$22+Compute!H97*$D$25+Compute!H98*$D$28+Compute!H99*$D$31+Compute!H100*$D$34-Compute!H88*$D$25</f>
        <v>98.4132752966711</v>
      </c>
      <c r="I70" s="17" t="n">
        <f aca="false">Compute!I92*$D$10+Compute!I93*$D$13+Compute!I94*$D$16+Compute!I95*$D$19+Compute!I96*$D$22+Compute!I97*$D$25+Compute!I98*$D$28+Compute!I99*$D$31+Compute!I100*$D$34-Compute!I88*$D$25</f>
        <v>94.37032226079</v>
      </c>
      <c r="K70" s="12" t="s">
        <v>4925</v>
      </c>
    </row>
    <row r="71" customFormat="false" ht="15" hidden="false" customHeight="false" outlineLevel="0" collapsed="false">
      <c r="A71" s="9" t="s">
        <v>4926</v>
      </c>
      <c r="B71" s="11" t="s">
        <v>4927</v>
      </c>
      <c r="C71" s="9" t="s">
        <v>480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53.5316736669347</v>
      </c>
      <c r="G71" s="17" t="n">
        <f aca="false">Compute!G92*$D$11+Compute!G93*$D$14+Compute!G94*$D$17+Compute!G95*$D$20+Compute!G96*$D$23+Compute!G97*$D$26+Compute!G98*$D$29+Compute!G99*$D$32+Compute!G100*$D$35-Compute!G88*$D$26</f>
        <v>79.6892509919514</v>
      </c>
      <c r="H71" s="17" t="n">
        <f aca="false">Compute!H92*$D$11+Compute!H93*$D$14+Compute!H94*$D$17+Compute!H95*$D$20+Compute!H96*$D$23+Compute!H97*$D$26+Compute!H98*$D$29+Compute!H99*$D$32+Compute!H100*$D$35-Compute!H88*$D$26</f>
        <v>76.2177998055067</v>
      </c>
      <c r="I71" s="17" t="n">
        <f aca="false">Compute!I92*$D$11+Compute!I93*$D$14+Compute!I94*$D$17+Compute!I95*$D$20+Compute!I96*$D$23+Compute!I97*$D$26+Compute!I98*$D$29+Compute!I99*$D$32+Compute!I100*$D$35-Compute!I88*$D$26</f>
        <v>73.3881853666465</v>
      </c>
      <c r="K71" s="12" t="s">
        <v>4925</v>
      </c>
    </row>
    <row r="72" customFormat="false" ht="15" hidden="false" customHeight="false" outlineLevel="0" collapsed="false">
      <c r="A72" s="9" t="s">
        <v>4928</v>
      </c>
      <c r="B72" s="11" t="s">
        <v>4929</v>
      </c>
      <c r="C72" s="9" t="s">
        <v>480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114.757815455365</v>
      </c>
      <c r="G72" s="17" t="n">
        <f aca="false">Compute!G92*$D$12+Compute!G93*$D$15+Compute!G94*$D$18+Compute!G95*$D$21+Compute!G96*$D$24+Compute!G97*$D$27+Compute!G98*$D$30+Compute!G99*$D$33+Compute!G100*$D$36-Compute!G88*$D$27</f>
        <v>169.459460005416</v>
      </c>
      <c r="H72" s="17" t="n">
        <f aca="false">Compute!H92*$D$12+Compute!H93*$D$15+Compute!H94*$D$18+Compute!H95*$D$21+Compute!H96*$D$24+Compute!H97*$D$27+Compute!H98*$D$30+Compute!H99*$D$33+Compute!H100*$D$36-Compute!H88*$D$27</f>
        <v>160.115629434904</v>
      </c>
      <c r="I72" s="17" t="n">
        <f aca="false">Compute!I92*$D$12+Compute!I93*$D$15+Compute!I94*$D$18+Compute!I95*$D$21+Compute!I96*$D$24+Compute!I97*$D$27+Compute!I98*$D$30+Compute!I99*$D$33+Compute!I100*$D$36-Compute!I88*$D$27</f>
        <v>153.172392045861</v>
      </c>
      <c r="K72" s="12" t="s">
        <v>4925</v>
      </c>
    </row>
    <row r="73" customFormat="false" ht="15" hidden="false" customHeight="false" outlineLevel="0" collapsed="false">
      <c r="A73" s="9" t="s">
        <v>4930</v>
      </c>
      <c r="B73" s="11" t="s">
        <v>4931</v>
      </c>
      <c r="C73" s="9" t="s">
        <v>480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-0.025954622419917</v>
      </c>
      <c r="G73" s="17" t="n">
        <f aca="false">G50-G70</f>
        <v>-0.87225837061844</v>
      </c>
      <c r="H73" s="17" t="n">
        <f aca="false">H50-H70</f>
        <v>-1.15825552328877</v>
      </c>
      <c r="I73" s="17" t="n">
        <f aca="false">I50-I70</f>
        <v>-2.11530248740765</v>
      </c>
      <c r="K73" s="2"/>
    </row>
    <row r="74" customFormat="false" ht="15" hidden="false" customHeight="false" outlineLevel="0" collapsed="false">
      <c r="A74" s="9" t="s">
        <v>4932</v>
      </c>
      <c r="B74" s="11" t="s">
        <v>4933</v>
      </c>
      <c r="C74" s="11" t="s">
        <v>267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-0.000370662996606276</v>
      </c>
      <c r="G74" s="16" t="n">
        <f aca="false">G73/G50</f>
        <v>-0.00848376036571647</v>
      </c>
      <c r="H74" s="16" t="n">
        <f aca="false">H73/H50</f>
        <v>-0.0119094677682208</v>
      </c>
      <c r="I74" s="16" t="n">
        <f aca="false">I73/I50</f>
        <v>-0.0229288605932092</v>
      </c>
      <c r="K74" s="2"/>
    </row>
    <row r="75" customFormat="false" ht="15" hidden="false" customHeight="false" outlineLevel="0" collapsed="false">
      <c r="A75" s="9" t="s">
        <v>4934</v>
      </c>
      <c r="B75" s="11" t="s">
        <v>4935</v>
      </c>
      <c r="C75" s="11" t="s">
        <v>267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0.235503786042025</v>
      </c>
      <c r="G75" s="16" t="n">
        <f aca="false">(G50-G71)/G50</f>
        <v>0.224926315513816</v>
      </c>
      <c r="H75" s="16" t="n">
        <f aca="false">(H50-H71)/H50</f>
        <v>0.216309862636348</v>
      </c>
      <c r="I75" s="16" t="n">
        <f aca="false">(I50-I71)/I50</f>
        <v>0.204507401907027</v>
      </c>
      <c r="K75" s="12" t="s">
        <v>4936</v>
      </c>
    </row>
    <row r="76" customFormat="false" ht="15" hidden="false" customHeight="false" outlineLevel="0" collapsed="false">
      <c r="A76" s="9" t="s">
        <v>4937</v>
      </c>
      <c r="B76" s="11" t="s">
        <v>4938</v>
      </c>
      <c r="C76" s="11" t="s">
        <v>267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-0.638878619479905</v>
      </c>
      <c r="G76" s="16" t="n">
        <f aca="false">(G50-G72)/G50</f>
        <v>-0.648196794454787</v>
      </c>
      <c r="H76" s="16" t="n">
        <f aca="false">(H50-H72)/H50</f>
        <v>-0.646348227659566</v>
      </c>
      <c r="I76" s="16" t="n">
        <f aca="false">(I50-I72)/I50</f>
        <v>-0.660314987977002</v>
      </c>
      <c r="K76" s="12" t="s">
        <v>4936</v>
      </c>
    </row>
    <row r="77" customFormat="false" ht="15" hidden="false" customHeight="false" outlineLevel="0" collapsed="false">
      <c r="A77" s="15" t="s">
        <v>4939</v>
      </c>
    </row>
    <row r="78" customFormat="false" ht="15" hidden="false" customHeight="false" outlineLevel="0" collapsed="false">
      <c r="A78" s="9" t="s">
        <v>4940</v>
      </c>
      <c r="B78" s="11" t="s">
        <v>4941</v>
      </c>
      <c r="C78" s="9" t="s">
        <v>480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4942</v>
      </c>
      <c r="B79" s="11" t="s">
        <v>4943</v>
      </c>
      <c r="C79" s="9" t="s">
        <v>480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4944</v>
      </c>
      <c r="B80" s="11" t="s">
        <v>4945</v>
      </c>
      <c r="C80" s="9" t="s">
        <v>480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4946</v>
      </c>
    </row>
    <row r="81" customFormat="false" ht="15" hidden="false" customHeight="false" outlineLevel="0" collapsed="false">
      <c r="A81" s="15" t="s">
        <v>4947</v>
      </c>
    </row>
    <row r="82" customFormat="false" ht="15" hidden="false" customHeight="false" outlineLevel="0" collapsed="false">
      <c r="A82" s="9" t="s">
        <v>4948</v>
      </c>
      <c r="B82" s="9" t="s">
        <v>4949</v>
      </c>
      <c r="C82" s="9" t="s">
        <v>480</v>
      </c>
      <c r="D82" s="17" t="n">
        <f aca="false">SRC_ANT_274</f>
        <v>12.65</v>
      </c>
      <c r="K82" s="12" t="s">
        <v>1742</v>
      </c>
    </row>
    <row r="83" customFormat="false" ht="15" hidden="false" customHeight="false" outlineLevel="0" collapsed="false">
      <c r="A83" s="9" t="s">
        <v>4950</v>
      </c>
      <c r="B83" s="9" t="s">
        <v>4951</v>
      </c>
      <c r="C83" s="9" t="s">
        <v>480</v>
      </c>
      <c r="D83" s="17" t="n">
        <f aca="false">SRC_ANT_277</f>
        <v>5.32</v>
      </c>
      <c r="K83" s="12" t="s">
        <v>4952</v>
      </c>
    </row>
    <row r="84" customFormat="false" ht="15" hidden="false" customHeight="false" outlineLevel="0" collapsed="false">
      <c r="A84" s="9" t="s">
        <v>4953</v>
      </c>
      <c r="B84" s="11" t="s">
        <v>4954</v>
      </c>
      <c r="C84" s="9" t="s">
        <v>480</v>
      </c>
      <c r="D84" s="17" t="n">
        <f aca="false">SRC_ANT_031</f>
        <v>0.351</v>
      </c>
      <c r="K84" s="12" t="s">
        <v>4955</v>
      </c>
    </row>
    <row r="85" customFormat="false" ht="15" hidden="false" customHeight="false" outlineLevel="0" collapsed="false">
      <c r="A85" s="9" t="s">
        <v>4956</v>
      </c>
      <c r="B85" s="9" t="s">
        <v>4957</v>
      </c>
      <c r="C85" s="9" t="s">
        <v>480</v>
      </c>
      <c r="D85" s="17" t="n">
        <f aca="false">D83-D84</f>
        <v>4.969</v>
      </c>
      <c r="K85" s="2" t="s">
        <v>4958</v>
      </c>
    </row>
    <row r="86" customFormat="false" ht="15" hidden="false" customHeight="false" outlineLevel="0" collapsed="false">
      <c r="A86" s="9" t="s">
        <v>4959</v>
      </c>
      <c r="B86" s="11" t="s">
        <v>4960</v>
      </c>
      <c r="C86" s="11" t="s">
        <v>1026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4961</v>
      </c>
    </row>
    <row r="87" customFormat="false" ht="15" hidden="false" customHeight="false" outlineLevel="0" collapsed="false">
      <c r="A87" s="9" t="s">
        <v>4962</v>
      </c>
      <c r="B87" s="11" t="s">
        <v>4963</v>
      </c>
      <c r="C87" s="9" t="s">
        <v>3647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4964</v>
      </c>
    </row>
    <row r="88" customFormat="false" ht="15" hidden="false" customHeight="false" outlineLevel="0" collapsed="false">
      <c r="A88" s="9" t="s">
        <v>4965</v>
      </c>
      <c r="B88" s="11" t="s">
        <v>4966</v>
      </c>
      <c r="C88" s="9" t="s">
        <v>480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4967</v>
      </c>
    </row>
    <row r="89" customFormat="false" ht="15" hidden="false" customHeight="false" outlineLevel="0" collapsed="false">
      <c r="A89" s="9" t="s">
        <v>4968</v>
      </c>
      <c r="B89" s="11" t="s">
        <v>4969</v>
      </c>
      <c r="C89" s="9" t="s">
        <v>480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4970</v>
      </c>
    </row>
    <row r="90" customFormat="false" ht="15" hidden="false" customHeight="false" outlineLevel="0" collapsed="false">
      <c r="A90" s="9" t="s">
        <v>4971</v>
      </c>
      <c r="B90" s="11" t="s">
        <v>4972</v>
      </c>
      <c r="C90" s="9" t="s">
        <v>3647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4973</v>
      </c>
    </row>
    <row r="91" customFormat="false" ht="15" hidden="false" customHeight="false" outlineLevel="0" collapsed="false">
      <c r="A91" s="9" t="s">
        <v>4974</v>
      </c>
      <c r="B91" s="11" t="s">
        <v>4975</v>
      </c>
      <c r="C91" s="9" t="s">
        <v>480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4976</v>
      </c>
      <c r="B92" s="11" t="s">
        <v>4977</v>
      </c>
      <c r="C92" s="11" t="s">
        <v>267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4978</v>
      </c>
      <c r="B93" s="11" t="s">
        <v>4979</v>
      </c>
      <c r="C93" s="11" t="s">
        <v>1026</v>
      </c>
      <c r="E93" s="20" t="n">
        <f aca="false">SRC_ANT_286</f>
        <v>3950</v>
      </c>
      <c r="K93" s="12" t="s">
        <v>4980</v>
      </c>
    </row>
    <row r="94" customFormat="false" ht="15" hidden="false" customHeight="false" outlineLevel="0" collapsed="false">
      <c r="A94" s="9" t="s">
        <v>4981</v>
      </c>
      <c r="B94" s="11" t="s">
        <v>4982</v>
      </c>
      <c r="C94" s="9" t="s">
        <v>480</v>
      </c>
      <c r="E94" s="17" t="n">
        <f aca="false">SRC_ANT_297*INP_164</f>
        <v>5</v>
      </c>
      <c r="K94" s="2" t="s">
        <v>4983</v>
      </c>
    </row>
    <row r="95" customFormat="false" ht="15" hidden="false" customHeight="false" outlineLevel="0" collapsed="false">
      <c r="A95" s="9" t="s">
        <v>4984</v>
      </c>
      <c r="B95" s="11" t="s">
        <v>4985</v>
      </c>
      <c r="C95" s="9" t="s">
        <v>480</v>
      </c>
      <c r="D95" s="17" t="n">
        <f aca="false">Revenue!D67-D53-D83</f>
        <v>-8.05</v>
      </c>
      <c r="K95" s="2" t="s">
        <v>4986</v>
      </c>
    </row>
    <row r="96" customFormat="false" ht="15" hidden="false" customHeight="false" outlineLevel="0" collapsed="false">
      <c r="A96" s="9" t="s">
        <v>4987</v>
      </c>
      <c r="B96" s="11" t="s">
        <v>4988</v>
      </c>
      <c r="C96" s="9" t="s">
        <v>480</v>
      </c>
      <c r="D96" s="17" t="n">
        <f aca="false">D95+SRC_ANT_278</f>
        <v>0.00999999999999979</v>
      </c>
      <c r="K96" s="2" t="s">
        <v>4989</v>
      </c>
    </row>
    <row r="97" customFormat="false" ht="15" hidden="false" customHeight="false" outlineLevel="0" collapsed="false">
      <c r="A97" s="15" t="s">
        <v>4990</v>
      </c>
    </row>
    <row r="98" customFormat="false" ht="15" hidden="false" customHeight="false" outlineLevel="0" collapsed="false">
      <c r="A98" s="9" t="s">
        <v>4991</v>
      </c>
      <c r="B98" s="11" t="s">
        <v>4992</v>
      </c>
      <c r="C98" s="9" t="s">
        <v>480</v>
      </c>
      <c r="D98" s="17" t="n">
        <f aca="false">Compute!D147</f>
        <v>3.23</v>
      </c>
      <c r="E98" s="17" t="n">
        <f aca="false">E53*Compute!E158/Compute!E91</f>
        <v>14.8064133582468</v>
      </c>
      <c r="F98" s="17" t="n">
        <f aca="false">F53*Compute!F158/Compute!F91</f>
        <v>16.5016481498297</v>
      </c>
      <c r="G98" s="17" t="n">
        <f aca="false">G53*Compute!G158/Compute!G91</f>
        <v>25.279655359569</v>
      </c>
      <c r="H98" s="17" t="n">
        <f aca="false">H53*Compute!H158/Compute!H91</f>
        <v>31.6553063406758</v>
      </c>
      <c r="I98" s="17" t="n">
        <f aca="false">I53*Compute!I158/Compute!I91</f>
        <v>46.0043528893882</v>
      </c>
      <c r="K98" s="12" t="s">
        <v>4993</v>
      </c>
    </row>
    <row r="99" customFormat="false" ht="15" hidden="false" customHeight="false" outlineLevel="0" collapsed="false">
      <c r="A99" s="9" t="s">
        <v>4994</v>
      </c>
      <c r="B99" s="11" t="s">
        <v>4995</v>
      </c>
      <c r="C99" s="9" t="s">
        <v>480</v>
      </c>
      <c r="D99" s="17" t="n">
        <f aca="false">Compute!D155</f>
        <v>4.1</v>
      </c>
      <c r="E99" s="17" t="n">
        <f aca="false">E53*Compute!E159/Compute!E91</f>
        <v>23.3717383421581</v>
      </c>
      <c r="F99" s="17" t="n">
        <f aca="false">F53*Compute!F159/Compute!F91</f>
        <v>61.5182928526377</v>
      </c>
      <c r="G99" s="17" t="n">
        <f aca="false">G53*Compute!G159/Compute!G91</f>
        <v>82.2539028405156</v>
      </c>
      <c r="H99" s="17" t="n">
        <f aca="false">H53*Compute!H159/Compute!H91</f>
        <v>55.8742114553683</v>
      </c>
      <c r="I99" s="17" t="n">
        <f aca="false">I53*Compute!I159/Compute!I91</f>
        <v>37.0251649066559</v>
      </c>
      <c r="K99" s="12" t="s">
        <v>4996</v>
      </c>
    </row>
    <row r="100" customFormat="false" ht="15" hidden="false" customHeight="false" outlineLevel="0" collapsed="false">
      <c r="A100" s="9" t="s">
        <v>4997</v>
      </c>
      <c r="B100" s="11" t="s">
        <v>4998</v>
      </c>
      <c r="C100" s="9" t="s">
        <v>480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4999</v>
      </c>
      <c r="B101" s="11" t="s">
        <v>5000</v>
      </c>
      <c r="C101" s="9" t="s">
        <v>480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5001</v>
      </c>
    </row>
    <row r="102" customFormat="false" ht="15" hidden="false" customHeight="false" outlineLevel="0" collapsed="false">
      <c r="A102" s="9" t="s">
        <v>5002</v>
      </c>
      <c r="B102" s="11" t="s">
        <v>5003</v>
      </c>
      <c r="C102" s="9" t="s">
        <v>480</v>
      </c>
      <c r="E102" s="17" t="n">
        <f aca="false">SRC_ANT_258+SRC_ANT_259</f>
        <v>19</v>
      </c>
      <c r="K102" s="12" t="s">
        <v>5004</v>
      </c>
    </row>
    <row r="103" customFormat="false" ht="15" hidden="false" customHeight="false" outlineLevel="0" collapsed="false">
      <c r="A103" s="15" t="s">
        <v>5005</v>
      </c>
    </row>
    <row r="104" customFormat="false" ht="15" hidden="false" customHeight="false" outlineLevel="0" collapsed="false">
      <c r="A104" s="9" t="s">
        <v>5006</v>
      </c>
      <c r="B104" s="11" t="s">
        <v>5007</v>
      </c>
      <c r="C104" s="9" t="s">
        <v>1104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4.60959697168135</v>
      </c>
      <c r="G104" s="21" t="n">
        <f aca="false">Compute!G168</f>
        <v>7.3818779368854</v>
      </c>
      <c r="H104" s="21" t="n">
        <f aca="false">Compute!H168</f>
        <v>7.78931469928324</v>
      </c>
      <c r="I104" s="21" t="n">
        <f aca="false">Compute!I168</f>
        <v>7.74537986548822</v>
      </c>
      <c r="K104" s="12" t="s">
        <v>2888</v>
      </c>
    </row>
    <row r="105" customFormat="false" ht="15" hidden="false" customHeight="false" outlineLevel="0" collapsed="false">
      <c r="A105" s="9" t="s">
        <v>5008</v>
      </c>
      <c r="B105" s="11" t="s">
        <v>4115</v>
      </c>
      <c r="C105" s="9" t="s">
        <v>480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5009</v>
      </c>
    </row>
    <row r="106" customFormat="false" ht="15" hidden="false" customHeight="false" outlineLevel="0" collapsed="false">
      <c r="A106" s="9" t="s">
        <v>5010</v>
      </c>
      <c r="B106" s="11" t="s">
        <v>5011</v>
      </c>
      <c r="C106" s="9" t="s">
        <v>480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5012</v>
      </c>
    </row>
    <row r="107" customFormat="false" ht="15" hidden="false" customHeight="false" outlineLevel="0" collapsed="false">
      <c r="A107" s="9" t="s">
        <v>5013</v>
      </c>
      <c r="B107" s="11" t="s">
        <v>5014</v>
      </c>
      <c r="C107" s="9" t="s">
        <v>480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5015</v>
      </c>
      <c r="B108" s="11" t="s">
        <v>5016</v>
      </c>
      <c r="C108" s="9" t="s">
        <v>480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5017</v>
      </c>
    </row>
    <row r="109" customFormat="false" ht="15" hidden="false" customHeight="false" outlineLevel="0" collapsed="false">
      <c r="A109" s="9" t="s">
        <v>5018</v>
      </c>
      <c r="B109" s="11" t="s">
        <v>5019</v>
      </c>
      <c r="C109" s="9" t="s">
        <v>2740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16.517399910669</v>
      </c>
      <c r="G109" s="18" t="n">
        <f aca="false">G105/G104</f>
        <v>15.4909640546821</v>
      </c>
      <c r="H109" s="18" t="n">
        <f aca="false">H105/H104</f>
        <v>20.0913543755611</v>
      </c>
      <c r="I109" s="18" t="n">
        <f aca="false">I105/I104</f>
        <v>26.0257532924227</v>
      </c>
      <c r="K109" s="2"/>
    </row>
    <row r="110" customFormat="false" ht="15" hidden="false" customHeight="false" outlineLevel="0" collapsed="false">
      <c r="A110" s="9" t="s">
        <v>5020</v>
      </c>
      <c r="B110" s="11" t="s">
        <v>5021</v>
      </c>
      <c r="C110" s="9" t="s">
        <v>2740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18.8061611174773</v>
      </c>
      <c r="G110" s="18" t="n">
        <f aca="false">G53/G104</f>
        <v>16.1858178034084</v>
      </c>
      <c r="H110" s="18" t="n">
        <f aca="false">H53/H104</f>
        <v>12.485696563567</v>
      </c>
      <c r="I110" s="18" t="n">
        <f aca="false">I53/I104</f>
        <v>11.9109742034024</v>
      </c>
      <c r="K110" s="2"/>
    </row>
    <row r="111" customFormat="false" ht="15" hidden="false" customHeight="false" outlineLevel="0" collapsed="false">
      <c r="A111" s="9" t="s">
        <v>5022</v>
      </c>
      <c r="B111" s="11" t="s">
        <v>5023</v>
      </c>
      <c r="C111" s="9" t="s">
        <v>2740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1.72541173808932</v>
      </c>
      <c r="G111" s="18" t="n">
        <f aca="false">G89/G104</f>
        <v>1.33170280644447</v>
      </c>
      <c r="H111" s="18" t="n">
        <f aca="false">H89/H104</f>
        <v>1.4948925907776</v>
      </c>
      <c r="I111" s="18" t="n">
        <f aca="false">I89/I104</f>
        <v>1.70332071181259</v>
      </c>
      <c r="K111" s="2"/>
    </row>
    <row r="112" customFormat="false" ht="15" hidden="false" customHeight="false" outlineLevel="0" collapsed="false">
      <c r="A112" s="9" t="s">
        <v>5024</v>
      </c>
      <c r="B112" s="11" t="s">
        <v>5025</v>
      </c>
      <c r="C112" s="9" t="s">
        <v>2740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0.896080074977439</v>
      </c>
      <c r="G112" s="18" t="n">
        <f aca="false">G88/G104</f>
        <v>0.671466209869538</v>
      </c>
      <c r="H112" s="18" t="n">
        <f aca="false">H88/H104</f>
        <v>0.731795293946016</v>
      </c>
      <c r="I112" s="18" t="n">
        <f aca="false">I88/I104</f>
        <v>0.809540956401467</v>
      </c>
      <c r="K112" s="2"/>
    </row>
    <row r="113" customFormat="false" ht="15" hidden="false" customHeight="false" outlineLevel="0" collapsed="false">
      <c r="A113" s="9" t="s">
        <v>5026</v>
      </c>
      <c r="B113" s="11" t="s">
        <v>5027</v>
      </c>
      <c r="C113" s="9" t="s">
        <v>2740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21.427652930544</v>
      </c>
      <c r="G113" s="18" t="n">
        <f aca="false">G110+G111+G112</f>
        <v>18.1889868197224</v>
      </c>
      <c r="H113" s="18" t="n">
        <f aca="false">H110+H111+H112</f>
        <v>14.7123844482906</v>
      </c>
      <c r="I113" s="18" t="n">
        <f aca="false">I110+I111+I112</f>
        <v>14.4238358716164</v>
      </c>
      <c r="K113" s="2"/>
    </row>
    <row r="114" customFormat="false" ht="15" hidden="false" customHeight="false" outlineLevel="0" collapsed="false">
      <c r="A114" s="9" t="s">
        <v>5028</v>
      </c>
      <c r="B114" s="11" t="s">
        <v>5029</v>
      </c>
      <c r="C114" s="9" t="s">
        <v>2740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20.5315728555666</v>
      </c>
      <c r="G114" s="18" t="n">
        <f aca="false">G110+G111</f>
        <v>17.5175206098529</v>
      </c>
      <c r="H114" s="18" t="n">
        <f aca="false">H110+H111</f>
        <v>13.9805891543446</v>
      </c>
      <c r="I114" s="18" t="n">
        <f aca="false">I110+I111</f>
        <v>13.614294915215</v>
      </c>
      <c r="K114" s="2"/>
    </row>
    <row r="115" customFormat="false" ht="15" hidden="false" customHeight="false" outlineLevel="0" collapsed="false">
      <c r="A115" s="9" t="s">
        <v>5030</v>
      </c>
      <c r="B115" s="11" t="s">
        <v>5031</v>
      </c>
      <c r="C115" s="9" t="s">
        <v>2740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-4.91025301987502</v>
      </c>
      <c r="G115" s="18" t="n">
        <f aca="false">G109-G113</f>
        <v>-2.69802276504026</v>
      </c>
      <c r="H115" s="18" t="n">
        <f aca="false">H109-H113</f>
        <v>5.37896992727052</v>
      </c>
      <c r="I115" s="18" t="n">
        <f aca="false">I109-I113</f>
        <v>11.6019174208063</v>
      </c>
      <c r="K115" s="2" t="s">
        <v>5032</v>
      </c>
    </row>
    <row r="116" customFormat="false" ht="15" hidden="false" customHeight="false" outlineLevel="0" collapsed="false">
      <c r="A116" s="9" t="s">
        <v>5033</v>
      </c>
      <c r="B116" s="11" t="s">
        <v>5034</v>
      </c>
      <c r="C116" s="9" t="s">
        <v>2740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-4.01417294489758</v>
      </c>
      <c r="G116" s="18" t="n">
        <f aca="false">G109-G114</f>
        <v>-2.02655655517072</v>
      </c>
      <c r="H116" s="18" t="n">
        <f aca="false">H109-H114</f>
        <v>6.11076522121654</v>
      </c>
      <c r="I116" s="18" t="n">
        <f aca="false">I109-I114</f>
        <v>12.4114583772078</v>
      </c>
      <c r="K116" s="2"/>
    </row>
    <row r="117" customFormat="false" ht="15" hidden="false" customHeight="false" outlineLevel="0" collapsed="false">
      <c r="A117" s="9" t="s">
        <v>5035</v>
      </c>
      <c r="B117" s="11" t="s">
        <v>5036</v>
      </c>
      <c r="C117" s="11" t="s">
        <v>745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5037</v>
      </c>
      <c r="B118" s="11" t="s">
        <v>5038</v>
      </c>
      <c r="C118" s="11" t="s">
        <v>745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5039</v>
      </c>
      <c r="B119" s="11" t="s">
        <v>5040</v>
      </c>
      <c r="C119" s="9" t="s">
        <v>2740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10.1261631305235</v>
      </c>
      <c r="G119" s="18" t="n">
        <f aca="false">G105/Compute!G91</f>
        <v>10.3267573821645</v>
      </c>
      <c r="H119" s="18" t="n">
        <f aca="false">H105/Compute!H91</f>
        <v>14.4882526981258</v>
      </c>
      <c r="I119" s="18" t="n">
        <f aca="false">I105/Compute!I91</f>
        <v>19.4105473279634</v>
      </c>
      <c r="K119" s="2" t="s">
        <v>5041</v>
      </c>
    </row>
    <row r="120" customFormat="false" ht="15" hidden="false" customHeight="false" outlineLevel="0" collapsed="false">
      <c r="A120" s="9" t="s">
        <v>5042</v>
      </c>
      <c r="B120" s="11" t="s">
        <v>5043</v>
      </c>
      <c r="C120" s="9" t="s">
        <v>2740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-3.01028148257663</v>
      </c>
      <c r="G120" s="18" t="n">
        <f aca="false">G108/Compute!G91</f>
        <v>-1.79858570504567</v>
      </c>
      <c r="H120" s="18" t="n">
        <f aca="false">H108/Compute!H91</f>
        <v>3.87887616261004</v>
      </c>
      <c r="I120" s="18" t="n">
        <f aca="false">I108/Compute!I91</f>
        <v>8.65295096980919</v>
      </c>
      <c r="K120" s="2"/>
    </row>
    <row r="121" customFormat="false" ht="15" hidden="false" customHeight="false" outlineLevel="0" collapsed="false">
      <c r="A121" s="9" t="s">
        <v>5044</v>
      </c>
      <c r="B121" s="11" t="s">
        <v>5045</v>
      </c>
      <c r="C121" s="9" t="s">
        <v>2740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15.8941558636591</v>
      </c>
      <c r="G121" s="18" t="n">
        <f aca="false">G79/G104</f>
        <v>14.8068090173773</v>
      </c>
      <c r="H121" s="18" t="n">
        <f aca="false">H79/H104</f>
        <v>13.7349063563533</v>
      </c>
      <c r="I121" s="18" t="n">
        <f aca="false">I79/I104</f>
        <v>13.1672700043089</v>
      </c>
      <c r="K121" s="2"/>
    </row>
    <row r="122" customFormat="false" ht="15" hidden="false" customHeight="false" outlineLevel="0" collapsed="false">
      <c r="A122" s="9" t="s">
        <v>5046</v>
      </c>
      <c r="B122" s="11" t="s">
        <v>5047</v>
      </c>
      <c r="C122" s="9" t="s">
        <v>2740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-1.99824776605687</v>
      </c>
      <c r="G122" s="18" t="n">
        <f aca="false">G109-G121-G111-G112</f>
        <v>-1.31901397900918</v>
      </c>
      <c r="H122" s="18" t="n">
        <f aca="false">H109-H121-H111-H112</f>
        <v>4.12976013448421</v>
      </c>
      <c r="I122" s="18" t="n">
        <f aca="false">I109-I121-I111-I112</f>
        <v>10.3456216198998</v>
      </c>
      <c r="K122" s="2"/>
    </row>
    <row r="123" customFormat="false" ht="15" hidden="false" customHeight="false" outlineLevel="0" collapsed="false">
      <c r="A123" s="9" t="s">
        <v>5048</v>
      </c>
      <c r="B123" s="11" t="s">
        <v>5049</v>
      </c>
      <c r="C123" s="9" t="s">
        <v>480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5050</v>
      </c>
    </row>
    <row r="125" customFormat="false" ht="15" hidden="false" customHeight="false" outlineLevel="0" collapsed="false">
      <c r="A125" s="9" t="s">
        <v>5051</v>
      </c>
      <c r="B125" s="9" t="s">
        <v>5052</v>
      </c>
      <c r="C125" s="9" t="s">
        <v>2740</v>
      </c>
      <c r="D125" s="18" t="n">
        <f aca="false">SUMIFS(TK_IF_FullCostDefault_Sol,TK_HdrGen,Compute!$D$11,TK_HdrCost,Compute!$D$12)*Compute!$D$23*TK_IF_Util/INP_111</f>
        <v>21.7017191207557</v>
      </c>
      <c r="E125" s="18" t="n">
        <f aca="false">SUMIFS(TK_IF_FullCostDefault_Sol,TK_HdrGen,Compute!$D$11,TK_HdrCost,Compute!$D$12)*Compute!$D$23*TK_IF_Util/INP_111</f>
        <v>21.7017191207557</v>
      </c>
      <c r="F125" s="18" t="n">
        <f aca="false">SUMIFS(TK_IF_FullCostDefault_Sol,TK_HdrGen,Compute!$D$11,TK_HdrCost,Compute!$D$12)*Compute!$D$23*TK_IF_Util/INP_111</f>
        <v>21.7017191207557</v>
      </c>
      <c r="G125" s="18" t="n">
        <f aca="false">SUMIFS(TK_IF_FullCostDefault_Sol,TK_HdrGen,Compute!$D$11,TK_HdrCost,Compute!$D$12)*Compute!$D$23*TK_IF_Util/INP_111</f>
        <v>21.7017191207557</v>
      </c>
      <c r="H125" s="18" t="n">
        <f aca="false">SUMIFS(TK_IF_FullCostDefault_Sol,TK_HdrGen,Compute!$D$11,TK_HdrCost,Compute!$D$12)*Compute!$D$23*TK_IF_Util/INP_111</f>
        <v>21.7017191207557</v>
      </c>
      <c r="I125" s="18" t="n">
        <f aca="false">SUMIFS(TK_IF_FullCostDefault_Sol,TK_HdrGen,Compute!$D$11,TK_HdrCost,Compute!$D$12)*Compute!$D$23*TK_IF_Util/INP_111</f>
        <v>21.7017191207557</v>
      </c>
      <c r="K125" s="12" t="s">
        <v>5053</v>
      </c>
    </row>
    <row r="126" customFormat="false" ht="15" hidden="false" customHeight="false" outlineLevel="0" collapsed="false">
      <c r="A126" s="9" t="s">
        <v>5054</v>
      </c>
      <c r="B126" s="9" t="s">
        <v>5055</v>
      </c>
      <c r="C126" s="9" t="s">
        <v>2740</v>
      </c>
      <c r="D126" s="18" t="n">
        <f aca="false">SUMIFS(TK_IF_FullCost_Sol,TK_HdrGen,Compute!$D$11,TK_HdrCost,Compute!$D$12)*Compute!$D$23*TK_IF_Util/INP_111</f>
        <v>13.2290397901505</v>
      </c>
      <c r="E126" s="18" t="n">
        <f aca="false">SUMIFS(TK_IF_FullCost_Sol,TK_HdrGen,Compute!$D$11,TK_HdrCost,Compute!$D$12)*Compute!$D$23*TK_IF_Util/INP_111</f>
        <v>13.2290397901505</v>
      </c>
      <c r="F126" s="18" t="n">
        <f aca="false">SUMIFS(TK_IF_FullCost_Sol,TK_HdrGen,Compute!$D$11,TK_HdrCost,Compute!$D$12)*Compute!$D$23*TK_IF_Util/INP_111</f>
        <v>13.2290397901505</v>
      </c>
      <c r="G126" s="18" t="n">
        <f aca="false">SUMIFS(TK_IF_FullCost_Sol,TK_HdrGen,Compute!$D$11,TK_HdrCost,Compute!$D$12)*Compute!$D$23*TK_IF_Util/INP_111</f>
        <v>13.2290397901505</v>
      </c>
      <c r="H126" s="18" t="n">
        <f aca="false">SUMIFS(TK_IF_FullCost_Sol,TK_HdrGen,Compute!$D$11,TK_HdrCost,Compute!$D$12)*Compute!$D$23*TK_IF_Util/INP_111</f>
        <v>13.2290397901505</v>
      </c>
      <c r="I126" s="18" t="n">
        <f aca="false">SUMIFS(TK_IF_FullCost_Sol,TK_HdrGen,Compute!$D$11,TK_HdrCost,Compute!$D$12)*Compute!$D$23*TK_IF_Util/INP_111</f>
        <v>13.2290397901505</v>
      </c>
      <c r="K126" s="12" t="s">
        <v>5053</v>
      </c>
    </row>
    <row r="127" customFormat="false" ht="15" hidden="false" customHeight="false" outlineLevel="0" collapsed="false">
      <c r="A127" s="9" t="s">
        <v>5056</v>
      </c>
      <c r="B127" s="11" t="s">
        <v>5057</v>
      </c>
      <c r="C127" s="9" t="s">
        <v>2740</v>
      </c>
      <c r="D127" s="18" t="n">
        <f aca="false">D110-D125</f>
        <v>105.109471230465</v>
      </c>
      <c r="E127" s="18" t="n">
        <f aca="false">E110-E125</f>
        <v>17.7699094951517</v>
      </c>
      <c r="F127" s="18" t="n">
        <f aca="false">F110-F125</f>
        <v>-2.89555800327847</v>
      </c>
      <c r="G127" s="18" t="n">
        <f aca="false">G110-G125</f>
        <v>-5.51590131734736</v>
      </c>
      <c r="H127" s="18" t="n">
        <f aca="false">H110-H125</f>
        <v>-9.21602255718878</v>
      </c>
      <c r="I127" s="18" t="n">
        <f aca="false">I110-I125</f>
        <v>-9.79074491735338</v>
      </c>
      <c r="K127" s="2"/>
    </row>
    <row r="128" customFormat="false" ht="15" hidden="false" customHeight="false" outlineLevel="0" collapsed="false">
      <c r="A128" s="15" t="s">
        <v>5058</v>
      </c>
    </row>
    <row r="129" customFormat="false" ht="15" hidden="false" customHeight="false" outlineLevel="0" collapsed="false">
      <c r="A129" s="9" t="s">
        <v>5059</v>
      </c>
      <c r="B129" s="11" t="s">
        <v>5060</v>
      </c>
      <c r="C129" s="9" t="s">
        <v>480</v>
      </c>
      <c r="E129" s="17" t="n">
        <f aca="false">Revenue!E72-E50-E89</f>
        <v>14.0782473081093</v>
      </c>
      <c r="K129" s="2" t="s">
        <v>5061</v>
      </c>
    </row>
    <row r="130" customFormat="false" ht="15" hidden="false" customHeight="false" outlineLevel="0" collapsed="false">
      <c r="A130" s="9" t="s">
        <v>5062</v>
      </c>
      <c r="B130" s="11" t="s">
        <v>5063</v>
      </c>
      <c r="C130" s="11" t="s">
        <v>267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5064</v>
      </c>
      <c r="B131" s="11" t="s">
        <v>5065</v>
      </c>
      <c r="C131" s="11" t="s">
        <v>267</v>
      </c>
      <c r="E131" s="16" t="n">
        <f aca="false">SRC_ANT_348/SRC_ANT_347</f>
        <v>0.0512844036697248</v>
      </c>
      <c r="K131" s="12" t="s">
        <v>5066</v>
      </c>
    </row>
    <row r="132" customFormat="false" ht="15" hidden="false" customHeight="false" outlineLevel="0" collapsed="false">
      <c r="A132" s="15" t="s">
        <v>5067</v>
      </c>
    </row>
    <row r="133" customFormat="false" ht="15" hidden="false" customHeight="false" outlineLevel="0" collapsed="false">
      <c r="A133" s="9" t="s">
        <v>5068</v>
      </c>
      <c r="B133" s="11" t="s">
        <v>5069</v>
      </c>
      <c r="C133" s="9" t="s">
        <v>480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5070</v>
      </c>
      <c r="B134" s="11" t="s">
        <v>5071</v>
      </c>
      <c r="C134" s="9" t="s">
        <v>480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</f>
        <v>0</v>
      </c>
      <c r="K134" s="12" t="s">
        <v>5072</v>
      </c>
    </row>
    <row r="135" customFormat="false" ht="15" hidden="false" customHeight="false" outlineLevel="0" collapsed="false">
      <c r="A135" s="9" t="s">
        <v>5073</v>
      </c>
      <c r="B135" s="11" t="s">
        <v>5074</v>
      </c>
      <c r="C135" s="9" t="s">
        <v>480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5075</v>
      </c>
      <c r="B136" s="11" t="s">
        <v>5076</v>
      </c>
      <c r="C136" s="9" t="s">
        <v>480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5077</v>
      </c>
    </row>
    <row r="138" customFormat="false" ht="15" hidden="false" customHeight="false" outlineLevel="0" collapsed="false">
      <c r="A138" s="9" t="s">
        <v>5078</v>
      </c>
      <c r="B138" s="11" t="s">
        <v>5079</v>
      </c>
      <c r="C138" s="9" t="s">
        <v>480</v>
      </c>
      <c r="D138" s="17" t="n">
        <f aca="false">SRC_ANT_247_Lo</f>
        <v>111.1</v>
      </c>
      <c r="K138" s="2" t="s">
        <v>5080</v>
      </c>
    </row>
    <row r="139" customFormat="false" ht="15" hidden="false" customHeight="false" outlineLevel="0" collapsed="false">
      <c r="A139" s="9" t="s">
        <v>5081</v>
      </c>
      <c r="B139" s="11" t="s">
        <v>5082</v>
      </c>
      <c r="C139" s="9" t="s">
        <v>480</v>
      </c>
      <c r="D139" s="17" t="n">
        <f aca="false">SRC_ANT_250</f>
        <v>125.2</v>
      </c>
      <c r="K139" s="2" t="s">
        <v>5080</v>
      </c>
    </row>
    <row r="140" customFormat="false" ht="15" hidden="false" customHeight="false" outlineLevel="0" collapsed="false">
      <c r="A140" s="9" t="s">
        <v>5083</v>
      </c>
      <c r="B140" s="11" t="s">
        <v>5084</v>
      </c>
      <c r="C140" s="9" t="s">
        <v>480</v>
      </c>
      <c r="D140" s="17" t="n">
        <f aca="false">SRC_ANT_248</f>
        <v>110</v>
      </c>
      <c r="K140" s="2" t="s">
        <v>5080</v>
      </c>
    </row>
    <row r="141" customFormat="false" ht="15" hidden="false" customHeight="false" outlineLevel="0" collapsed="false">
      <c r="A141" s="9" t="s">
        <v>5085</v>
      </c>
      <c r="B141" s="11" t="s">
        <v>5086</v>
      </c>
      <c r="C141" s="9" t="s">
        <v>480</v>
      </c>
      <c r="D141" s="17" t="n">
        <f aca="false">SRC_ANT_211</f>
        <v>31.4</v>
      </c>
      <c r="K141" s="2" t="s">
        <v>5080</v>
      </c>
    </row>
    <row r="142" customFormat="false" ht="15" hidden="false" customHeight="false" outlineLevel="0" collapsed="false">
      <c r="A142" s="9" t="s">
        <v>5087</v>
      </c>
      <c r="B142" s="11" t="s">
        <v>5088</v>
      </c>
      <c r="C142" s="9" t="s">
        <v>480</v>
      </c>
      <c r="D142" s="17" t="n">
        <f aca="false">Compute!$D$234*Compute!D60*((INP_138)+(INP_138)-INP_122+1)/INP_112</f>
        <v>77.76</v>
      </c>
      <c r="K142" s="2" t="s">
        <v>5089</v>
      </c>
    </row>
    <row r="143" customFormat="false" ht="15" hidden="false" customHeight="false" outlineLevel="0" collapsed="false">
      <c r="A143" s="9" t="s">
        <v>5090</v>
      </c>
      <c r="B143" s="11" t="s">
        <v>5091</v>
      </c>
      <c r="C143" s="9" t="s">
        <v>480</v>
      </c>
      <c r="D143" s="17" t="n">
        <f aca="false">SRC_ANT_227*(INP_141+INP_142+(INP_140-(INP_139+1))*INP_008)</f>
        <v>45</v>
      </c>
      <c r="K143" s="2" t="s">
        <v>5092</v>
      </c>
    </row>
    <row r="144" customFormat="false" ht="15" hidden="false" customHeight="false" outlineLevel="0" collapsed="false">
      <c r="A144" s="9" t="s">
        <v>5093</v>
      </c>
      <c r="B144" s="11" t="s">
        <v>5094</v>
      </c>
      <c r="C144" s="9" t="s">
        <v>480</v>
      </c>
      <c r="D144" s="17" t="n">
        <f aca="false">INP_182*$D$206+(1-INP_182)*(SRC_ANT_221)</f>
        <v>48.8395061728395</v>
      </c>
      <c r="K144" s="12" t="s">
        <v>5095</v>
      </c>
    </row>
    <row r="145" customFormat="false" ht="15" hidden="false" customHeight="false" outlineLevel="0" collapsed="false">
      <c r="A145" s="9" t="s">
        <v>5096</v>
      </c>
      <c r="B145" s="11" t="s">
        <v>5097</v>
      </c>
      <c r="C145" s="9" t="s">
        <v>480</v>
      </c>
      <c r="D145" s="17" t="n">
        <f aca="false">INP_182*$D$207+(1-INP_182)*(Compute!$D$235*Compute!D36*((INP_146)+(INP_146)-INP_122+1)/INP_112)</f>
        <v>37.1604938271605</v>
      </c>
      <c r="K145" s="12" t="s">
        <v>5098</v>
      </c>
    </row>
    <row r="146" customFormat="false" ht="15" hidden="false" customHeight="false" outlineLevel="0" collapsed="false">
      <c r="A146" s="9" t="s">
        <v>5099</v>
      </c>
      <c r="B146" s="11" t="s">
        <v>5100</v>
      </c>
      <c r="C146" s="9" t="s">
        <v>480</v>
      </c>
      <c r="D146" s="17" t="n">
        <f aca="false">SRC_ANT_236</f>
        <v>10</v>
      </c>
      <c r="K146" s="2" t="s">
        <v>5080</v>
      </c>
    </row>
    <row r="147" customFormat="false" ht="15" hidden="false" customHeight="false" outlineLevel="0" collapsed="false">
      <c r="A147" s="9" t="s">
        <v>5101</v>
      </c>
      <c r="B147" s="11" t="s">
        <v>5102</v>
      </c>
      <c r="C147" s="9" t="s">
        <v>480</v>
      </c>
      <c r="D147" s="17" t="n">
        <f aca="false">SRC_ANT_234</f>
        <v>1.8</v>
      </c>
      <c r="K147" s="2" t="s">
        <v>5080</v>
      </c>
    </row>
    <row r="148" customFormat="false" ht="15" hidden="false" customHeight="false" outlineLevel="0" collapsed="false">
      <c r="A148" s="9" t="s">
        <v>5103</v>
      </c>
      <c r="B148" s="11" t="s">
        <v>5104</v>
      </c>
      <c r="C148" s="9" t="s">
        <v>480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5105</v>
      </c>
      <c r="B149" s="11" t="s">
        <v>5106</v>
      </c>
      <c r="C149" s="9" t="s">
        <v>480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5107</v>
      </c>
      <c r="B150" s="11" t="s">
        <v>5108</v>
      </c>
      <c r="C150" s="9" t="s">
        <v>480</v>
      </c>
      <c r="D150" s="17" t="n">
        <f aca="false">SRC_ANT_247_Lo</f>
        <v>111.1</v>
      </c>
      <c r="K150" s="12" t="s">
        <v>5109</v>
      </c>
    </row>
    <row r="151" customFormat="false" ht="15" hidden="false" customHeight="false" outlineLevel="0" collapsed="false">
      <c r="A151" s="9" t="s">
        <v>5110</v>
      </c>
      <c r="B151" s="11" t="s">
        <v>5111</v>
      </c>
      <c r="C151" s="9" t="s">
        <v>480</v>
      </c>
      <c r="D151" s="17" t="n">
        <f aca="false">SRC_ANT_248</f>
        <v>110</v>
      </c>
      <c r="K151" s="12" t="s">
        <v>5109</v>
      </c>
    </row>
    <row r="152" customFormat="false" ht="15" hidden="false" customHeight="false" outlineLevel="0" collapsed="false">
      <c r="A152" s="9" t="s">
        <v>5112</v>
      </c>
      <c r="B152" s="11" t="s">
        <v>5113</v>
      </c>
      <c r="C152" s="9" t="s">
        <v>480</v>
      </c>
      <c r="D152" s="17" t="n">
        <f aca="false">SRC_ANT_211</f>
        <v>31.4</v>
      </c>
      <c r="K152" s="12" t="s">
        <v>5109</v>
      </c>
    </row>
    <row r="153" customFormat="false" ht="15" hidden="false" customHeight="false" outlineLevel="0" collapsed="false">
      <c r="A153" s="9" t="s">
        <v>5114</v>
      </c>
      <c r="B153" s="11" t="s">
        <v>5115</v>
      </c>
      <c r="C153" s="9" t="s">
        <v>480</v>
      </c>
      <c r="D153" s="17" t="n">
        <f aca="false">SRC_ANT_249</f>
        <v>161.2</v>
      </c>
      <c r="K153" s="12" t="s">
        <v>5109</v>
      </c>
    </row>
    <row r="154" customFormat="false" ht="15" hidden="false" customHeight="false" outlineLevel="0" collapsed="false">
      <c r="A154" s="9" t="s">
        <v>5116</v>
      </c>
      <c r="B154" s="11" t="s">
        <v>5117</v>
      </c>
      <c r="C154" s="9" t="s">
        <v>480</v>
      </c>
      <c r="D154" s="17" t="n">
        <f aca="false">SRC_ANT_229_Hi</f>
        <v>84.5</v>
      </c>
      <c r="K154" s="12" t="s">
        <v>5109</v>
      </c>
    </row>
    <row r="155" customFormat="false" ht="15" hidden="false" customHeight="false" outlineLevel="0" collapsed="false">
      <c r="A155" s="9" t="s">
        <v>5118</v>
      </c>
      <c r="B155" s="11" t="s">
        <v>5119</v>
      </c>
      <c r="C155" s="9" t="s">
        <v>480</v>
      </c>
      <c r="D155" s="17" t="n">
        <f aca="false">SRC_ANT_232_Lo</f>
        <v>20</v>
      </c>
      <c r="K155" s="12" t="s">
        <v>5109</v>
      </c>
    </row>
    <row r="156" customFormat="false" ht="15" hidden="false" customHeight="false" outlineLevel="0" collapsed="false">
      <c r="A156" s="9" t="s">
        <v>5120</v>
      </c>
      <c r="B156" s="11" t="s">
        <v>5121</v>
      </c>
      <c r="C156" s="9" t="s">
        <v>480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5122</v>
      </c>
      <c r="B157" s="11" t="s">
        <v>5123</v>
      </c>
      <c r="C157" s="9" t="s">
        <v>480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5124</v>
      </c>
      <c r="B158" s="11" t="s">
        <v>5125</v>
      </c>
      <c r="C158" s="11" t="s">
        <v>267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5126</v>
      </c>
      <c r="B159" s="11" t="s">
        <v>5127</v>
      </c>
      <c r="C159" s="11" t="s">
        <v>267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5128</v>
      </c>
    </row>
    <row r="161" customFormat="false" ht="15" hidden="false" customHeight="false" outlineLevel="0" collapsed="false">
      <c r="A161" s="9" t="s">
        <v>5129</v>
      </c>
      <c r="B161" s="11" t="s">
        <v>5130</v>
      </c>
      <c r="C161" s="11" t="s">
        <v>267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5131</v>
      </c>
      <c r="B162" s="11" t="s">
        <v>5132</v>
      </c>
      <c r="C162" s="11" t="s">
        <v>267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5133</v>
      </c>
      <c r="B163" s="11" t="s">
        <v>5134</v>
      </c>
      <c r="C163" s="11" t="s">
        <v>267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5135</v>
      </c>
      <c r="B164" s="11" t="s">
        <v>5136</v>
      </c>
      <c r="C164" s="11" t="s">
        <v>267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5137</v>
      </c>
      <c r="B165" s="11" t="s">
        <v>5138</v>
      </c>
      <c r="C165" s="11" t="s">
        <v>267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5139</v>
      </c>
      <c r="B166" s="11" t="s">
        <v>5140</v>
      </c>
      <c r="C166" s="11" t="s">
        <v>267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5141</v>
      </c>
      <c r="B167" s="11" t="s">
        <v>5142</v>
      </c>
      <c r="C167" s="11" t="s">
        <v>267</v>
      </c>
      <c r="D167" s="16" t="n">
        <f aca="false">MAX(ABS($D$161),ABS($D$162),ABS($D$163),ABS($D$164),ABS($D$165),ABS($D$166),ABS($D$208),ABS($D$210))</f>
        <v>2.888</v>
      </c>
      <c r="K167" s="12" t="s">
        <v>5143</v>
      </c>
    </row>
    <row r="168" customFormat="false" ht="15" hidden="false" customHeight="false" outlineLevel="0" collapsed="false">
      <c r="A168" s="15" t="s">
        <v>5144</v>
      </c>
    </row>
    <row r="169" customFormat="false" ht="15" hidden="false" customHeight="false" outlineLevel="0" collapsed="false">
      <c r="A169" s="9" t="s">
        <v>5145</v>
      </c>
      <c r="B169" s="11" t="s">
        <v>5146</v>
      </c>
      <c r="C169" s="11" t="s">
        <v>745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5147</v>
      </c>
      <c r="B170" s="11" t="s">
        <v>5148</v>
      </c>
      <c r="C170" s="11" t="s">
        <v>745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5149</v>
      </c>
      <c r="B171" s="11" t="s">
        <v>5150</v>
      </c>
      <c r="C171" s="11" t="s">
        <v>745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5151</v>
      </c>
      <c r="B172" s="11" t="s">
        <v>5152</v>
      </c>
      <c r="C172" s="11" t="s">
        <v>745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5153</v>
      </c>
      <c r="B173" s="11" t="s">
        <v>5154</v>
      </c>
      <c r="C173" s="11" t="s">
        <v>745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5155</v>
      </c>
      <c r="B174" s="11" t="s">
        <v>5156</v>
      </c>
      <c r="C174" s="11" t="s">
        <v>745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5157</v>
      </c>
      <c r="B175" s="11" t="s">
        <v>5158</v>
      </c>
      <c r="C175" s="9" t="s">
        <v>480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5159</v>
      </c>
      <c r="B176" s="11" t="s">
        <v>5160</v>
      </c>
      <c r="C176" s="9" t="s">
        <v>480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5161</v>
      </c>
      <c r="B177" s="11" t="s">
        <v>5162</v>
      </c>
      <c r="C177" s="9" t="s">
        <v>1104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8.01802423032924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10.9756365334044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9.97245475607445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9.19004734866705</v>
      </c>
      <c r="K177" s="12" t="s">
        <v>5163</v>
      </c>
    </row>
    <row r="178" customFormat="false" ht="15" hidden="false" customHeight="false" outlineLevel="0" collapsed="false">
      <c r="A178" s="9" t="s">
        <v>5164</v>
      </c>
      <c r="B178" s="11" t="s">
        <v>5165</v>
      </c>
      <c r="C178" s="9" t="s">
        <v>1104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4.30650703356493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6.66111410943681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6.9914208302834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6.90892097571277</v>
      </c>
      <c r="K178" s="2"/>
    </row>
    <row r="179" customFormat="false" ht="15" hidden="false" customHeight="false" outlineLevel="0" collapsed="false">
      <c r="A179" s="9" t="s">
        <v>5166</v>
      </c>
      <c r="B179" s="11" t="s">
        <v>5167</v>
      </c>
      <c r="C179" s="11" t="s">
        <v>745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5168</v>
      </c>
    </row>
    <row r="180" customFormat="false" ht="15" hidden="false" customHeight="false" outlineLevel="0" collapsed="false">
      <c r="A180" s="9" t="s">
        <v>5169</v>
      </c>
      <c r="B180" s="11" t="s">
        <v>5170</v>
      </c>
      <c r="C180" s="9" t="s">
        <v>480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5171</v>
      </c>
      <c r="B181" s="11" t="s">
        <v>5172</v>
      </c>
      <c r="C181" s="9" t="s">
        <v>480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5173</v>
      </c>
      <c r="B182" s="11" t="s">
        <v>5174</v>
      </c>
      <c r="C182" s="9" t="s">
        <v>2740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-7.71059705307629</v>
      </c>
      <c r="G182" s="18" t="n">
        <f aca="false">G181/G178</f>
        <v>-4.18939638528386</v>
      </c>
      <c r="H182" s="18" t="n">
        <f aca="false">H181/H178</f>
        <v>6.10558221081444</v>
      </c>
      <c r="I182" s="18" t="n">
        <f aca="false">I181/I178</f>
        <v>13.7558892254459</v>
      </c>
      <c r="K182" s="2"/>
    </row>
    <row r="183" customFormat="false" ht="15" hidden="false" customHeight="false" outlineLevel="0" collapsed="false">
      <c r="A183" s="9" t="s">
        <v>5175</v>
      </c>
      <c r="B183" s="11" t="s">
        <v>5176</v>
      </c>
      <c r="C183" s="9" t="s">
        <v>2740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-2.80034403320127</v>
      </c>
      <c r="G183" s="18" t="n">
        <f aca="false">G182-G115</f>
        <v>-1.4913736202436</v>
      </c>
      <c r="H183" s="18" t="n">
        <f aca="false">H182-H115</f>
        <v>0.726612283543918</v>
      </c>
      <c r="I183" s="18" t="n">
        <f aca="false">I182-I115</f>
        <v>2.15397180463956</v>
      </c>
      <c r="K183" s="2"/>
    </row>
    <row r="184" customFormat="false" ht="15" hidden="false" customHeight="false" outlineLevel="0" collapsed="false">
      <c r="A184" s="9" t="s">
        <v>5177</v>
      </c>
      <c r="B184" s="11" t="s">
        <v>5178</v>
      </c>
      <c r="C184" s="9" t="s">
        <v>480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5179</v>
      </c>
    </row>
    <row r="185" customFormat="false" ht="15" hidden="false" customHeight="false" outlineLevel="0" collapsed="false">
      <c r="A185" s="15" t="s">
        <v>5180</v>
      </c>
    </row>
    <row r="186" customFormat="false" ht="15" hidden="false" customHeight="false" outlineLevel="0" collapsed="false">
      <c r="A186" s="9" t="s">
        <v>5181</v>
      </c>
      <c r="B186" s="11" t="s">
        <v>5182</v>
      </c>
      <c r="C186" s="9" t="s">
        <v>480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5183</v>
      </c>
      <c r="B187" s="11" t="s">
        <v>5184</v>
      </c>
      <c r="C187" s="9" t="s">
        <v>480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5185</v>
      </c>
      <c r="B188" s="11" t="s">
        <v>5186</v>
      </c>
      <c r="C188" s="9" t="s">
        <v>480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5187</v>
      </c>
      <c r="B189" s="11" t="s">
        <v>5188</v>
      </c>
      <c r="C189" s="9" t="s">
        <v>480</v>
      </c>
      <c r="K189" s="2" t="s">
        <v>5189</v>
      </c>
    </row>
    <row r="190" customFormat="false" ht="15" hidden="false" customHeight="false" outlineLevel="0" collapsed="false">
      <c r="A190" s="9" t="s">
        <v>5190</v>
      </c>
      <c r="B190" s="11" t="s">
        <v>5191</v>
      </c>
      <c r="C190" s="9" t="s">
        <v>480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5192</v>
      </c>
      <c r="B191" s="11" t="s">
        <v>5193</v>
      </c>
      <c r="C191" s="9" t="s">
        <v>2740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-4.91025301987502</v>
      </c>
      <c r="G191" s="18" t="n">
        <f aca="false">G115-G190/G104</f>
        <v>-2.95157161570798</v>
      </c>
      <c r="H191" s="18" t="n">
        <f aca="false">H115-H190/H104</f>
        <v>5.13868349143825</v>
      </c>
      <c r="I191" s="18" t="n">
        <f aca="false">I115-I190/I104</f>
        <v>11.3602679860244</v>
      </c>
      <c r="K191" s="2"/>
    </row>
    <row r="192" customFormat="false" ht="15" hidden="false" customHeight="false" outlineLevel="0" collapsed="false">
      <c r="A192" s="9" t="s">
        <v>5194</v>
      </c>
      <c r="B192" s="11" t="s">
        <v>5195</v>
      </c>
      <c r="C192" s="9" t="s">
        <v>2740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-0.253548850667717</v>
      </c>
      <c r="H192" s="18" t="n">
        <f aca="false">H191-H115</f>
        <v>-0.240286435832268</v>
      </c>
      <c r="I192" s="18" t="n">
        <f aca="false">I191-I115</f>
        <v>-0.241649434781943</v>
      </c>
      <c r="K192" s="2"/>
    </row>
    <row r="193" customFormat="false" ht="15" hidden="false" customHeight="false" outlineLevel="0" collapsed="false">
      <c r="A193" s="15" t="s">
        <v>5196</v>
      </c>
    </row>
    <row r="194" customFormat="false" ht="15" hidden="false" customHeight="false" outlineLevel="0" collapsed="false">
      <c r="A194" s="9" t="s">
        <v>5197</v>
      </c>
      <c r="B194" s="11" t="s">
        <v>5198</v>
      </c>
      <c r="C194" s="9" t="s">
        <v>480</v>
      </c>
      <c r="E194" s="17" t="n">
        <f aca="false">SRC_ANT_347*(1-SRC_ANT_052)-SRC_ANT_348</f>
        <v>4.237</v>
      </c>
      <c r="K194" s="12" t="s">
        <v>5199</v>
      </c>
    </row>
    <row r="195" customFormat="false" ht="15" hidden="false" customHeight="false" outlineLevel="0" collapsed="false">
      <c r="A195" s="9" t="s">
        <v>5200</v>
      </c>
      <c r="B195" s="11" t="s">
        <v>5201</v>
      </c>
      <c r="C195" s="9" t="s">
        <v>480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5202</v>
      </c>
      <c r="B196" s="11" t="s">
        <v>5203</v>
      </c>
      <c r="C196" s="9" t="s">
        <v>480</v>
      </c>
      <c r="E196" s="17" t="n">
        <f aca="false">E89+Revenue!E71</f>
        <v>10.0682508025519</v>
      </c>
      <c r="K196" s="2" t="s">
        <v>5204</v>
      </c>
    </row>
    <row r="197" customFormat="false" ht="15" hidden="false" customHeight="false" outlineLevel="0" collapsed="false">
      <c r="A197" s="9" t="s">
        <v>5205</v>
      </c>
      <c r="B197" s="11" t="s">
        <v>5206</v>
      </c>
      <c r="C197" s="9" t="s">
        <v>480</v>
      </c>
      <c r="E197" s="17" t="n">
        <f aca="false">E195-E196</f>
        <v>6.87974919744806</v>
      </c>
      <c r="K197" s="2" t="s">
        <v>5207</v>
      </c>
    </row>
    <row r="198" customFormat="false" ht="15" hidden="false" customHeight="false" outlineLevel="0" collapsed="false">
      <c r="A198" s="9" t="s">
        <v>5208</v>
      </c>
      <c r="B198" s="11" t="s">
        <v>5209</v>
      </c>
      <c r="C198" s="9" t="s">
        <v>480</v>
      </c>
      <c r="E198" s="17" t="n">
        <f aca="false">(E130-E131)*Revenue!E72</f>
        <v>11.7308783844237</v>
      </c>
      <c r="K198" s="2" t="s">
        <v>5210</v>
      </c>
    </row>
    <row r="199" customFormat="false" ht="15" hidden="false" customHeight="false" outlineLevel="0" collapsed="false">
      <c r="A199" s="9" t="s">
        <v>5211</v>
      </c>
      <c r="B199" s="11" t="s">
        <v>5212</v>
      </c>
      <c r="C199" s="11" t="s">
        <v>745</v>
      </c>
      <c r="E199" s="21" t="n">
        <f aca="false">E197/E89</f>
        <v>1.15823711995862</v>
      </c>
      <c r="K199" s="2" t="s">
        <v>5213</v>
      </c>
    </row>
    <row r="200" customFormat="false" ht="15" hidden="false" customHeight="false" outlineLevel="0" collapsed="false">
      <c r="A200" s="9" t="s">
        <v>5214</v>
      </c>
      <c r="B200" s="11" t="s">
        <v>5215</v>
      </c>
      <c r="C200" s="9" t="s">
        <v>480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5216</v>
      </c>
      <c r="B201" s="11" t="s">
        <v>5217</v>
      </c>
      <c r="C201" s="9" t="s">
        <v>2740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-6.9086889421424</v>
      </c>
      <c r="G201" s="18" t="n">
        <f aca="false">G115-G200/G104</f>
        <v>-4.24045038821732</v>
      </c>
      <c r="H201" s="18" t="n">
        <f aca="false">H115-H200/H104</f>
        <v>3.64752983828079</v>
      </c>
      <c r="I201" s="18" t="n">
        <f aca="false">I115-I200/I104</f>
        <v>9.62906814519061</v>
      </c>
      <c r="K201" s="2"/>
    </row>
    <row r="202" customFormat="false" ht="15" hidden="false" customHeight="false" outlineLevel="0" collapsed="false">
      <c r="A202" s="9" t="s">
        <v>5218</v>
      </c>
      <c r="B202" s="11" t="s">
        <v>5219</v>
      </c>
      <c r="C202" s="9" t="s">
        <v>2740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-1.99843592226738</v>
      </c>
      <c r="G202" s="18" t="n">
        <f aca="false">G201-G115</f>
        <v>-1.54242762317706</v>
      </c>
      <c r="H202" s="18" t="n">
        <f aca="false">H201-H115</f>
        <v>-1.73144008898973</v>
      </c>
      <c r="I202" s="18" t="n">
        <f aca="false">I201-I115</f>
        <v>-1.97284927561569</v>
      </c>
      <c r="K202" s="2"/>
    </row>
    <row r="203" customFormat="false" ht="15" hidden="false" customHeight="false" outlineLevel="0" collapsed="false">
      <c r="A203" s="15" t="s">
        <v>5220</v>
      </c>
    </row>
    <row r="204" customFormat="false" ht="15" hidden="false" customHeight="false" outlineLevel="0" collapsed="false">
      <c r="A204" s="9" t="s">
        <v>5221</v>
      </c>
      <c r="B204" s="9" t="s">
        <v>5222</v>
      </c>
      <c r="C204" s="11" t="s">
        <v>267</v>
      </c>
      <c r="D204" s="16" t="n">
        <f aca="false">SRC_ANT_222/(SRC_ANT_222+SRC_ANT_224)</f>
        <v>0.567901234567901</v>
      </c>
      <c r="K204" s="2" t="s">
        <v>5223</v>
      </c>
    </row>
    <row r="205" customFormat="false" ht="15" hidden="false" customHeight="false" outlineLevel="0" collapsed="false">
      <c r="A205" s="9" t="s">
        <v>5224</v>
      </c>
      <c r="B205" s="9" t="s">
        <v>5225</v>
      </c>
      <c r="C205" s="11" t="s">
        <v>267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5226</v>
      </c>
      <c r="B206" s="9" t="s">
        <v>5227</v>
      </c>
      <c r="C206" s="9" t="s">
        <v>480</v>
      </c>
      <c r="D206" s="17" t="n">
        <f aca="false">SRC_ANT_400*$D$204</f>
        <v>48.8395061728395</v>
      </c>
      <c r="K206" s="12" t="s">
        <v>5228</v>
      </c>
    </row>
    <row r="207" customFormat="false" ht="15" hidden="false" customHeight="false" outlineLevel="0" collapsed="false">
      <c r="A207" s="9" t="s">
        <v>5229</v>
      </c>
      <c r="B207" s="9" t="s">
        <v>5230</v>
      </c>
      <c r="C207" s="9" t="s">
        <v>480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5231</v>
      </c>
      <c r="B208" s="11" t="s">
        <v>5232</v>
      </c>
      <c r="C208" s="11" t="s">
        <v>267</v>
      </c>
      <c r="D208" s="16" t="n">
        <f aca="false">($D$144-(SRC_ANT_400*$D$204))/(SRC_ANT_400*$D$204)</f>
        <v>0</v>
      </c>
      <c r="K208" s="2" t="s">
        <v>5233</v>
      </c>
    </row>
    <row r="209" customFormat="false" ht="15" hidden="false" customHeight="false" outlineLevel="0" collapsed="false">
      <c r="A209" s="9" t="s">
        <v>5234</v>
      </c>
      <c r="B209" s="11" t="s">
        <v>5235</v>
      </c>
      <c r="C209" s="11" t="s">
        <v>745</v>
      </c>
      <c r="D209" s="21" t="n">
        <f aca="false">(SRC_ANT_400*$D$204)/$D$144</f>
        <v>1</v>
      </c>
      <c r="K209" s="2" t="s">
        <v>5236</v>
      </c>
    </row>
    <row r="210" customFormat="false" ht="15" hidden="false" customHeight="false" outlineLevel="0" collapsed="false">
      <c r="A210" s="9" t="s">
        <v>5237</v>
      </c>
      <c r="B210" s="11" t="s">
        <v>5238</v>
      </c>
      <c r="C210" s="11" t="s">
        <v>267</v>
      </c>
      <c r="D210" s="16" t="n">
        <f aca="false">($D$145-(SRC_ANT_400*$D$205))/(SRC_ANT_400*$D$205)</f>
        <v>0</v>
      </c>
      <c r="K210" s="2" t="s">
        <v>5233</v>
      </c>
    </row>
    <row r="211" customFormat="false" ht="15" hidden="false" customHeight="false" outlineLevel="0" collapsed="false">
      <c r="A211" s="9" t="s">
        <v>5239</v>
      </c>
      <c r="B211" s="11" t="s">
        <v>5240</v>
      </c>
      <c r="C211" s="11" t="s">
        <v>745</v>
      </c>
      <c r="D211" s="21" t="n">
        <f aca="false">(SRC_ANT_400*$D$205)/$D$145</f>
        <v>1</v>
      </c>
      <c r="K211" s="2" t="s">
        <v>5236</v>
      </c>
    </row>
    <row r="212" customFormat="false" ht="15" hidden="false" customHeight="false" outlineLevel="0" collapsed="false">
      <c r="A212" s="15" t="s">
        <v>5241</v>
      </c>
    </row>
    <row r="213" customFormat="false" ht="15" hidden="false" customHeight="false" outlineLevel="0" collapsed="false">
      <c r="A213" s="9" t="s">
        <v>5242</v>
      </c>
      <c r="B213" s="11" t="s">
        <v>5243</v>
      </c>
      <c r="C213" s="9" t="s">
        <v>480</v>
      </c>
      <c r="D213" s="17" t="n">
        <f aca="false">$D$149-$D$139</f>
        <v>473.06</v>
      </c>
      <c r="K213" s="2" t="s">
        <v>5244</v>
      </c>
    </row>
    <row r="214" customFormat="false" ht="15" hidden="false" customHeight="false" outlineLevel="0" collapsed="false">
      <c r="A214" s="9" t="s">
        <v>5245</v>
      </c>
      <c r="B214" s="11" t="s">
        <v>5246</v>
      </c>
      <c r="C214" s="9" t="s">
        <v>480</v>
      </c>
      <c r="D214" s="17" t="n">
        <f aca="false">SRC_ANT_396</f>
        <v>450</v>
      </c>
      <c r="K214" s="12" t="s">
        <v>5109</v>
      </c>
    </row>
    <row r="215" customFormat="false" ht="15" hidden="false" customHeight="false" outlineLevel="0" collapsed="false">
      <c r="A215" s="9" t="s">
        <v>5247</v>
      </c>
      <c r="B215" s="11" t="s">
        <v>5248</v>
      </c>
      <c r="C215" s="11" t="s">
        <v>267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5249</v>
      </c>
      <c r="B216" s="11" t="s">
        <v>5250</v>
      </c>
      <c r="C216" s="9" t="s">
        <v>480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5251</v>
      </c>
      <c r="B217" s="11" t="s">
        <v>5252</v>
      </c>
      <c r="C217" s="9" t="s">
        <v>480</v>
      </c>
      <c r="D217" s="17" t="n">
        <f aca="false">SRC_ANT_402</f>
        <v>600</v>
      </c>
      <c r="K217" s="12" t="s">
        <v>5253</v>
      </c>
    </row>
    <row r="218" customFormat="false" ht="15" hidden="false" customHeight="false" outlineLevel="0" collapsed="false">
      <c r="A218" s="9" t="s">
        <v>5254</v>
      </c>
      <c r="B218" s="11" t="s">
        <v>5255</v>
      </c>
      <c r="C218" s="11" t="s">
        <v>267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5256</v>
      </c>
      <c r="B219" s="11" t="s">
        <v>5257</v>
      </c>
      <c r="C219" s="9" t="s">
        <v>480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5258</v>
      </c>
      <c r="B220" s="11" t="s">
        <v>5259</v>
      </c>
      <c r="C220" s="9" t="s">
        <v>480</v>
      </c>
      <c r="D220" s="17" t="n">
        <f aca="false">SRC_ANT_404</f>
        <v>750</v>
      </c>
      <c r="K220" s="12" t="s">
        <v>5109</v>
      </c>
    </row>
    <row r="221" customFormat="false" ht="15" hidden="false" customHeight="false" outlineLevel="0" collapsed="false">
      <c r="A221" s="9" t="s">
        <v>5260</v>
      </c>
      <c r="B221" s="11" t="s">
        <v>5261</v>
      </c>
      <c r="C221" s="11" t="s">
        <v>267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5262</v>
      </c>
      <c r="B222" s="11" t="s">
        <v>5263</v>
      </c>
      <c r="C222" s="9" t="s">
        <v>480</v>
      </c>
      <c r="D222" s="17" t="n">
        <f aca="false">SRC_ANT_397+SRC_ANT_398+SRC_ANT_399+SRC_ANT_400</f>
        <v>338</v>
      </c>
      <c r="K222" s="12" t="s">
        <v>5264</v>
      </c>
    </row>
    <row r="223" customFormat="false" ht="15" hidden="false" customHeight="false" outlineLevel="0" collapsed="false">
      <c r="A223" s="9" t="s">
        <v>5265</v>
      </c>
      <c r="B223" s="11" t="s">
        <v>5266</v>
      </c>
      <c r="C223" s="9" t="s">
        <v>480</v>
      </c>
      <c r="D223" s="17" t="n">
        <f aca="false">$D$214-$D$222</f>
        <v>112</v>
      </c>
      <c r="K223" s="12" t="s">
        <v>5267</v>
      </c>
    </row>
    <row r="224" customFormat="false" ht="15" hidden="false" customHeight="false" outlineLevel="0" collapsed="false">
      <c r="A224" s="9" t="s">
        <v>5268</v>
      </c>
      <c r="B224" s="11" t="s">
        <v>5269</v>
      </c>
      <c r="C224" s="9" t="s">
        <v>480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5270</v>
      </c>
      <c r="B225" s="11" t="s">
        <v>5271</v>
      </c>
      <c r="C225" s="11" t="s">
        <v>267</v>
      </c>
      <c r="D225" s="16" t="n">
        <f aca="false">($D$224-$D$223)/$D$223</f>
        <v>0.201428571428571</v>
      </c>
      <c r="K225" s="2" t="s">
        <v>5272</v>
      </c>
    </row>
    <row r="226" customFormat="false" ht="15" hidden="false" customHeight="false" outlineLevel="0" collapsed="false">
      <c r="A226" s="9" t="s">
        <v>5273</v>
      </c>
      <c r="B226" s="11" t="s">
        <v>5274</v>
      </c>
      <c r="C226" s="9" t="s">
        <v>480</v>
      </c>
      <c r="D226" s="17" t="n">
        <f aca="false">$D$217-$D$214</f>
        <v>150</v>
      </c>
      <c r="K226" s="2" t="s">
        <v>5275</v>
      </c>
    </row>
    <row r="227" customFormat="false" ht="15" hidden="false" customHeight="false" outlineLevel="0" collapsed="false">
      <c r="A227" s="15" t="s">
        <v>5276</v>
      </c>
    </row>
    <row r="228" customFormat="false" ht="15" hidden="false" customHeight="false" outlineLevel="0" collapsed="false">
      <c r="A228" s="9" t="s">
        <v>5277</v>
      </c>
      <c r="B228" s="11" t="s">
        <v>5278</v>
      </c>
      <c r="C228" s="9" t="s">
        <v>480</v>
      </c>
      <c r="E228" s="17" t="n">
        <f aca="false">SRC_ANT_394</f>
        <v>9</v>
      </c>
      <c r="K228" s="12" t="s">
        <v>5279</v>
      </c>
    </row>
    <row r="229" customFormat="false" ht="15" hidden="false" customHeight="false" outlineLevel="0" collapsed="false">
      <c r="A229" s="9" t="s">
        <v>5280</v>
      </c>
      <c r="B229" s="11" t="s">
        <v>5281</v>
      </c>
      <c r="C229" s="9" t="s">
        <v>480</v>
      </c>
      <c r="E229" s="17" t="n">
        <f aca="false">SRC_ANT_408</f>
        <v>9.88235294117647</v>
      </c>
      <c r="K229" s="12" t="s">
        <v>5282</v>
      </c>
    </row>
    <row r="230" customFormat="false" ht="15" hidden="false" customHeight="false" outlineLevel="0" collapsed="false">
      <c r="A230" s="9" t="s">
        <v>5283</v>
      </c>
      <c r="B230" s="11" t="s">
        <v>5284</v>
      </c>
      <c r="C230" s="9" t="s">
        <v>480</v>
      </c>
      <c r="E230" s="17" t="n">
        <f aca="false">SRC_ANT_384*(1+INP_181)/SRC_ANT_387</f>
        <v>9.88235294117647</v>
      </c>
      <c r="K230" s="2" t="s">
        <v>5285</v>
      </c>
    </row>
    <row r="231" customFormat="false" ht="15" hidden="false" customHeight="false" outlineLevel="0" collapsed="false">
      <c r="A231" s="9" t="s">
        <v>5286</v>
      </c>
      <c r="B231" s="11" t="s">
        <v>5287</v>
      </c>
      <c r="C231" s="9" t="s">
        <v>480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5288</v>
      </c>
      <c r="B232" s="11" t="s">
        <v>5289</v>
      </c>
      <c r="C232" s="9" t="s">
        <v>480</v>
      </c>
      <c r="E232" s="17" t="n">
        <f aca="false">E50</f>
        <v>25.7535018893387</v>
      </c>
      <c r="K232" s="12" t="s">
        <v>5290</v>
      </c>
    </row>
    <row r="233" customFormat="false" ht="15" hidden="false" customHeight="false" outlineLevel="0" collapsed="false">
      <c r="A233" s="9" t="s">
        <v>5291</v>
      </c>
      <c r="B233" s="11" t="s">
        <v>5292</v>
      </c>
      <c r="C233" s="9" t="s">
        <v>480</v>
      </c>
      <c r="E233" s="17" t="n">
        <f aca="false">E53</f>
        <v>42.4201685560054</v>
      </c>
      <c r="K233" s="12" t="s">
        <v>2892</v>
      </c>
    </row>
    <row r="234" customFormat="false" ht="15" hidden="false" customHeight="false" outlineLevel="0" collapsed="false">
      <c r="A234" s="9" t="s">
        <v>5293</v>
      </c>
      <c r="B234" s="11" t="s">
        <v>5294</v>
      </c>
      <c r="C234" s="9" t="s">
        <v>480</v>
      </c>
      <c r="E234" s="17" t="n">
        <f aca="false">E52</f>
        <v>16.6666666666667</v>
      </c>
      <c r="K234" s="2" t="s">
        <v>5295</v>
      </c>
    </row>
    <row r="235" customFormat="false" ht="15" hidden="false" customHeight="false" outlineLevel="0" collapsed="false">
      <c r="A235" s="9" t="s">
        <v>5296</v>
      </c>
      <c r="B235" s="11" t="s">
        <v>5297</v>
      </c>
      <c r="C235" s="11" t="s">
        <v>267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5298</v>
      </c>
      <c r="B236" s="11" t="s">
        <v>5299</v>
      </c>
      <c r="C236" s="11" t="s">
        <v>267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5300</v>
      </c>
      <c r="B237" s="11" t="s">
        <v>5301</v>
      </c>
      <c r="C237" s="11" t="s">
        <v>267</v>
      </c>
      <c r="E237" s="16" t="n">
        <f aca="false">(E50*INP_009/INP_008-E228)/E228</f>
        <v>0.430750104963263</v>
      </c>
      <c r="K237" s="2" t="s">
        <v>5302</v>
      </c>
    </row>
    <row r="238" customFormat="false" ht="15" hidden="false" customHeight="false" outlineLevel="0" collapsed="false">
      <c r="A238" s="15" t="s">
        <v>5303</v>
      </c>
    </row>
    <row r="239" customFormat="false" ht="15" hidden="false" customHeight="false" outlineLevel="0" collapsed="false">
      <c r="A239" s="9" t="s">
        <v>5304</v>
      </c>
      <c r="B239" s="11" t="s">
        <v>5305</v>
      </c>
      <c r="C239" s="11" t="s">
        <v>267</v>
      </c>
      <c r="E239" s="16" t="n">
        <f aca="false">SRC_ANT_385</f>
        <v>0.11</v>
      </c>
      <c r="K239" s="12" t="s">
        <v>5306</v>
      </c>
    </row>
    <row r="240" customFormat="false" ht="15" hidden="false" customHeight="false" outlineLevel="0" collapsed="false">
      <c r="A240" s="9" t="s">
        <v>5307</v>
      </c>
      <c r="B240" s="11" t="s">
        <v>5308</v>
      </c>
      <c r="C240" s="11" t="s">
        <v>267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5309</v>
      </c>
      <c r="B241" s="11" t="s">
        <v>5310</v>
      </c>
      <c r="C241" s="11" t="s">
        <v>267</v>
      </c>
      <c r="E241" s="16" t="n">
        <f aca="false">E130-E239</f>
        <v>0.197576074057281</v>
      </c>
      <c r="K241" s="2" t="s">
        <v>5311</v>
      </c>
    </row>
    <row r="242" customFormat="false" ht="15" hidden="false" customHeight="false" outlineLevel="0" collapsed="false">
      <c r="A242" s="9" t="s">
        <v>5312</v>
      </c>
      <c r="B242" s="11" t="s">
        <v>5313</v>
      </c>
      <c r="C242" s="11" t="s">
        <v>267</v>
      </c>
      <c r="E242" s="16" t="n">
        <f aca="false">SRC_ANT_408/SRC_ANT_384</f>
        <v>0.588235294117647</v>
      </c>
      <c r="K242" s="2" t="s">
        <v>5314</v>
      </c>
    </row>
    <row r="243" customFormat="false" ht="15" hidden="false" customHeight="false" outlineLevel="0" collapsed="false">
      <c r="A243" s="9" t="s">
        <v>5315</v>
      </c>
      <c r="B243" s="11" t="s">
        <v>5316</v>
      </c>
      <c r="C243" s="9" t="s">
        <v>480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5317</v>
      </c>
      <c r="B244" s="11" t="s">
        <v>5201</v>
      </c>
      <c r="C244" s="9" t="s">
        <v>480</v>
      </c>
      <c r="E244" s="17" t="n">
        <f aca="false">E243*INP_164</f>
        <v>20.2785882352941</v>
      </c>
      <c r="K244" s="12" t="s">
        <v>5318</v>
      </c>
    </row>
    <row r="245" customFormat="false" ht="15" hidden="false" customHeight="false" outlineLevel="0" collapsed="false">
      <c r="A245" s="9" t="s">
        <v>5319</v>
      </c>
      <c r="B245" s="11" t="s">
        <v>5320</v>
      </c>
      <c r="C245" s="9" t="s">
        <v>480</v>
      </c>
      <c r="E245" s="17" t="n">
        <f aca="false">E244-E196</f>
        <v>10.2103374327422</v>
      </c>
      <c r="K245" s="2" t="s">
        <v>5321</v>
      </c>
    </row>
    <row r="246" customFormat="false" ht="15" hidden="false" customHeight="false" outlineLevel="0" collapsed="false">
      <c r="A246" s="9" t="s">
        <v>5322</v>
      </c>
      <c r="B246" s="11" t="s">
        <v>5323</v>
      </c>
      <c r="C246" s="11" t="s">
        <v>267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5324</v>
      </c>
      <c r="B247" s="11" t="s">
        <v>5325</v>
      </c>
      <c r="C247" s="11" t="s">
        <v>267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5326</v>
      </c>
      <c r="B248" s="11" t="s">
        <v>5327</v>
      </c>
      <c r="C248" s="9" t="s">
        <v>480</v>
      </c>
      <c r="E248" s="17" t="n">
        <f aca="false">(E246-E247)*Revenue!E67</f>
        <v>4.98980802097747</v>
      </c>
      <c r="K248" s="2" t="s">
        <v>5328</v>
      </c>
    </row>
    <row r="249" customFormat="false" ht="15" hidden="false" customHeight="false" outlineLevel="0" collapsed="false">
      <c r="A249" s="15" t="s">
        <v>5329</v>
      </c>
    </row>
    <row r="250" customFormat="false" ht="15" hidden="false" customHeight="false" outlineLevel="0" collapsed="false">
      <c r="A250" s="9" t="s">
        <v>5330</v>
      </c>
      <c r="B250" s="11" t="s">
        <v>5331</v>
      </c>
      <c r="C250" s="9" t="s">
        <v>480</v>
      </c>
      <c r="D250" s="17" t="n">
        <f aca="false">SRC_ANT_403</f>
        <v>150</v>
      </c>
      <c r="K250" s="2" t="s">
        <v>5332</v>
      </c>
    </row>
    <row r="251" customFormat="false" ht="15" hidden="false" customHeight="false" outlineLevel="0" collapsed="false">
      <c r="A251" s="9" t="s">
        <v>5333</v>
      </c>
      <c r="B251" s="11" t="s">
        <v>5334</v>
      </c>
      <c r="C251" s="11" t="s">
        <v>2187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5335</v>
      </c>
      <c r="B252" s="11" t="s">
        <v>5336</v>
      </c>
      <c r="C252" s="11" t="s">
        <v>2187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5337</v>
      </c>
      <c r="B253" s="9" t="s">
        <v>5338</v>
      </c>
      <c r="C253" s="11" t="s">
        <v>745</v>
      </c>
      <c r="D253" s="21" t="n">
        <f aca="false">(($D$252+$D$252)-INP_122+1)/INP_112</f>
        <v>6.5</v>
      </c>
      <c r="K253" s="2" t="s">
        <v>5339</v>
      </c>
    </row>
    <row r="254" customFormat="false" ht="15" hidden="false" customHeight="false" outlineLevel="0" collapsed="false">
      <c r="A254" s="9" t="s">
        <v>5340</v>
      </c>
      <c r="B254" s="11" t="s">
        <v>5341</v>
      </c>
      <c r="C254" s="9" t="s">
        <v>480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5342</v>
      </c>
    </row>
    <row r="255" customFormat="false" ht="15" hidden="false" customHeight="false" outlineLevel="0" collapsed="false">
      <c r="A255" s="9" t="s">
        <v>5343</v>
      </c>
      <c r="B255" s="11" t="s">
        <v>5344</v>
      </c>
      <c r="C255" s="9" t="s">
        <v>1104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5345</v>
      </c>
    </row>
    <row r="256" customFormat="false" ht="15" hidden="false" customHeight="false" outlineLevel="0" collapsed="false">
      <c r="A256" s="9" t="s">
        <v>5346</v>
      </c>
      <c r="B256" s="11" t="s">
        <v>5347</v>
      </c>
      <c r="C256" s="9" t="s">
        <v>1104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7.51899368268758</v>
      </c>
      <c r="G256" s="21" t="n">
        <f aca="false">Compute!G91+G255</f>
        <v>12.0349472329929</v>
      </c>
      <c r="H256" s="21" t="n">
        <f aca="false">Compute!H91+H255</f>
        <v>12.7247853986829</v>
      </c>
      <c r="I256" s="21" t="n">
        <f aca="false">Compute!I91+I255</f>
        <v>12.3081187320162</v>
      </c>
      <c r="K256" s="2"/>
    </row>
    <row r="257" customFormat="false" ht="15" hidden="false" customHeight="false" outlineLevel="0" collapsed="false">
      <c r="A257" s="9" t="s">
        <v>5348</v>
      </c>
      <c r="B257" s="11" t="s">
        <v>5349</v>
      </c>
      <c r="C257" s="9" t="s">
        <v>1104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4.60959697168135</v>
      </c>
      <c r="G257" s="21" t="n">
        <f aca="false">Compute!G168+G255*Compute!G41</f>
        <v>8.34341639842386</v>
      </c>
      <c r="H257" s="21" t="n">
        <f aca="false">Compute!H168+H255*Compute!H41</f>
        <v>9.71239162236016</v>
      </c>
      <c r="I257" s="21" t="n">
        <f aca="false">Compute!I168+I255*Compute!I41</f>
        <v>9.66845678856515</v>
      </c>
      <c r="K257" s="2"/>
    </row>
    <row r="258" customFormat="false" ht="15" hidden="false" customHeight="false" outlineLevel="0" collapsed="false">
      <c r="A258" s="9" t="s">
        <v>5350</v>
      </c>
      <c r="B258" s="11" t="s">
        <v>5351</v>
      </c>
      <c r="C258" s="11" t="s">
        <v>745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5352</v>
      </c>
    </row>
    <row r="259" customFormat="false" ht="15" hidden="false" customHeight="false" outlineLevel="0" collapsed="false">
      <c r="A259" s="9" t="s">
        <v>5353</v>
      </c>
      <c r="B259" s="11" t="s">
        <v>5354</v>
      </c>
      <c r="C259" s="9" t="s">
        <v>480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5355</v>
      </c>
      <c r="B260" s="11" t="s">
        <v>5356</v>
      </c>
      <c r="C260" s="9" t="s">
        <v>480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5357</v>
      </c>
      <c r="B261" s="11" t="s">
        <v>5358</v>
      </c>
      <c r="C261" s="9" t="s">
        <v>480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5359</v>
      </c>
      <c r="B262" s="11" t="s">
        <v>5360</v>
      </c>
      <c r="C262" s="9" t="s">
        <v>2740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-4.91025301987502</v>
      </c>
      <c r="G262" s="18" t="n">
        <f aca="false">G261/G257</f>
        <v>-3.77003073547533</v>
      </c>
      <c r="H262" s="18" t="n">
        <f aca="false">H261/H257</f>
        <v>1.93789204311285</v>
      </c>
      <c r="I262" s="18" t="n">
        <f aca="false">I261/I257</f>
        <v>6.9074451048106</v>
      </c>
      <c r="K262" s="2"/>
    </row>
    <row r="263" customFormat="false" ht="15" hidden="false" customHeight="false" outlineLevel="0" collapsed="false">
      <c r="A263" s="9" t="s">
        <v>5361</v>
      </c>
      <c r="B263" s="11" t="s">
        <v>5362</v>
      </c>
      <c r="C263" s="9" t="s">
        <v>2740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-1.07200797043506</v>
      </c>
      <c r="H263" s="18" t="n">
        <f aca="false">H262-H115</f>
        <v>-3.44107788415767</v>
      </c>
      <c r="I263" s="18" t="n">
        <f aca="false">I262-I115</f>
        <v>-4.6944723159957</v>
      </c>
      <c r="K263" s="2"/>
    </row>
    <row r="264" customFormat="false" ht="15" hidden="false" customHeight="false" outlineLevel="0" collapsed="false">
      <c r="A264" s="9" t="s">
        <v>5363</v>
      </c>
      <c r="B264" s="11" t="s">
        <v>5364</v>
      </c>
      <c r="C264" s="11" t="s">
        <v>745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5365</v>
      </c>
      <c r="B265" s="11" t="s">
        <v>5366</v>
      </c>
      <c r="C265" s="9" t="s">
        <v>480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5367</v>
      </c>
    </row>
    <row r="266" customFormat="false" ht="15" hidden="false" customHeight="false" outlineLevel="0" collapsed="false">
      <c r="A266" s="15" t="s">
        <v>5368</v>
      </c>
    </row>
    <row r="267" customFormat="false" ht="15" hidden="false" customHeight="false" outlineLevel="0" collapsed="false">
      <c r="A267" s="9" t="s">
        <v>5369</v>
      </c>
      <c r="B267" s="9" t="s">
        <v>5370</v>
      </c>
      <c r="C267" s="9" t="s">
        <v>2740</v>
      </c>
      <c r="E267" s="18" t="n">
        <f aca="false">TK_L1_RevGW_PQ_VR200</f>
        <v>48.7876810461932</v>
      </c>
      <c r="K267" s="12" t="s">
        <v>5371</v>
      </c>
    </row>
    <row r="268" customFormat="false" ht="15" hidden="false" customHeight="false" outlineLevel="0" collapsed="false">
      <c r="A268" s="9" t="s">
        <v>5372</v>
      </c>
      <c r="B268" s="9" t="s">
        <v>5373</v>
      </c>
      <c r="C268" s="9" t="s">
        <v>2740</v>
      </c>
      <c r="E268" s="18" t="n">
        <f aca="false">TK_L1_RevGW_PQ_VR200_Lo</f>
        <v>35.6983032045316</v>
      </c>
      <c r="K268" s="2"/>
    </row>
    <row r="269" customFormat="false" ht="15" hidden="false" customHeight="false" outlineLevel="0" collapsed="false">
      <c r="A269" s="9" t="s">
        <v>5374</v>
      </c>
      <c r="B269" s="9" t="s">
        <v>5375</v>
      </c>
      <c r="C269" s="9" t="s">
        <v>2740</v>
      </c>
      <c r="E269" s="18" t="n">
        <f aca="false">TK_L1_RevGW_PQ_VR200_Hi</f>
        <v>77.3463236098185</v>
      </c>
      <c r="K269" s="2"/>
    </row>
    <row r="270" customFormat="false" ht="15" hidden="false" customHeight="false" outlineLevel="0" collapsed="false">
      <c r="A270" s="9" t="s">
        <v>5376</v>
      </c>
      <c r="B270" s="9" t="s">
        <v>5377</v>
      </c>
      <c r="C270" s="9" t="s">
        <v>2740</v>
      </c>
      <c r="E270" s="18" t="n">
        <f aca="false">TK_L1_RevGW_PQ_VR200_FY</f>
        <v>52.002078532064</v>
      </c>
      <c r="K270" s="2"/>
    </row>
    <row r="271" customFormat="false" ht="15" hidden="false" customHeight="false" outlineLevel="0" collapsed="false">
      <c r="A271" s="9" t="s">
        <v>5378</v>
      </c>
      <c r="B271" s="9" t="s">
        <v>5379</v>
      </c>
      <c r="C271" s="9" t="s">
        <v>2740</v>
      </c>
      <c r="E271" s="18" t="n">
        <f aca="false">TK_L1_RevGW_PQ_VR200_Life</f>
        <v>34.0950038651521</v>
      </c>
      <c r="K271" s="2"/>
    </row>
    <row r="272" customFormat="false" ht="15" hidden="false" customHeight="false" outlineLevel="0" collapsed="false">
      <c r="A272" s="9" t="s">
        <v>5380</v>
      </c>
      <c r="B272" s="9" t="s">
        <v>5381</v>
      </c>
      <c r="C272" s="11" t="s">
        <v>745</v>
      </c>
      <c r="E272" s="21" t="n">
        <f aca="false">TK_L1_TokLedger_2026Q2</f>
        <v>6.25811015798616</v>
      </c>
      <c r="K272" s="2" t="s">
        <v>5382</v>
      </c>
    </row>
    <row r="273" customFormat="false" ht="15" hidden="false" customHeight="false" outlineLevel="0" collapsed="false">
      <c r="A273" s="9" t="s">
        <v>5383</v>
      </c>
      <c r="B273" s="11" t="s">
        <v>5384</v>
      </c>
      <c r="C273" s="9" t="s">
        <v>2740</v>
      </c>
      <c r="D273" s="18" t="n">
        <f aca="false">Revenue!D67/(Compute!D151*Compute!D161*Compute!D167)</f>
        <v>184.932061552232</v>
      </c>
      <c r="E273" s="18" t="n">
        <f aca="false">Revenue!E67/(Compute!E151*Compute!E161*Compute!E167)</f>
        <v>133.551483835183</v>
      </c>
      <c r="F273" s="18" t="n">
        <f aca="false">Revenue!F67/(Compute!F151*Compute!F161*Compute!F167)</f>
        <v>94.9205589880164</v>
      </c>
      <c r="G273" s="18" t="n">
        <f aca="false">Revenue!G67/(Compute!G151*Compute!G161*Compute!G167)</f>
        <v>80.1176804808346</v>
      </c>
      <c r="H273" s="18" t="n">
        <f aca="false">Revenue!H67/(Compute!H151*Compute!H161*Compute!H167)</f>
        <v>67.5586109342759</v>
      </c>
      <c r="I273" s="18" t="n">
        <f aca="false">Revenue!I67/(Compute!I151*Compute!I161*Compute!I167)</f>
        <v>57.143937325694</v>
      </c>
      <c r="K273" s="2" t="s">
        <v>5385</v>
      </c>
    </row>
    <row r="274" customFormat="false" ht="15" hidden="false" customHeight="false" outlineLevel="0" collapsed="false">
      <c r="A274" s="9" t="s">
        <v>5386</v>
      </c>
      <c r="B274" s="11" t="s">
        <v>5387</v>
      </c>
      <c r="C274" s="9" t="s">
        <v>2740</v>
      </c>
      <c r="D274" s="18" t="n">
        <f aca="false">Revenue!D67/Compute!D169</f>
        <v>180.597980066754</v>
      </c>
      <c r="E274" s="18" t="n">
        <f aca="false">Revenue!E67/Compute!E169</f>
        <v>133.025751765653</v>
      </c>
      <c r="F274" s="18" t="n">
        <f aca="false">Revenue!F67/Compute!F169</f>
        <v>94.6170800476868</v>
      </c>
      <c r="G274" s="18" t="n">
        <f aca="false">Revenue!G67/Compute!G169</f>
        <v>79.8809104186219</v>
      </c>
      <c r="H274" s="18" t="n">
        <f aca="false">Revenue!H67/Compute!H169</f>
        <v>67.3720009424474</v>
      </c>
      <c r="I274" s="18" t="n">
        <f aca="false">Revenue!I67/Compute!I169</f>
        <v>56.9932270373813</v>
      </c>
      <c r="K274" s="2"/>
    </row>
    <row r="275" customFormat="false" ht="15" hidden="false" customHeight="false" outlineLevel="0" collapsed="false">
      <c r="A275" s="9" t="s">
        <v>5388</v>
      </c>
      <c r="B275" s="11" t="s">
        <v>5389</v>
      </c>
      <c r="C275" s="9" t="s">
        <v>2740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18.0108311985988</v>
      </c>
      <c r="G275" s="18" t="n">
        <f aca="false">Revenue!G67/G104</f>
        <v>16.9010095740587</v>
      </c>
      <c r="H275" s="18" t="n">
        <f aca="false">Revenue!H67/H104</f>
        <v>21.928753226177</v>
      </c>
      <c r="I275" s="18" t="n">
        <f aca="false">Revenue!I67/I104</f>
        <v>28.4205296944633</v>
      </c>
      <c r="K275" s="2" t="s">
        <v>5390</v>
      </c>
    </row>
    <row r="276" customFormat="false" ht="15" hidden="false" customHeight="false" outlineLevel="0" collapsed="false">
      <c r="A276" s="9" t="s">
        <v>5391</v>
      </c>
      <c r="B276" s="11" t="s">
        <v>5392</v>
      </c>
      <c r="C276" s="9" t="s">
        <v>2740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16.517399910669</v>
      </c>
      <c r="G276" s="18" t="n">
        <f aca="false">G109</f>
        <v>15.4909640546821</v>
      </c>
      <c r="H276" s="18" t="n">
        <f aca="false">H109</f>
        <v>20.0913543755611</v>
      </c>
      <c r="I276" s="18" t="n">
        <f aca="false">I109</f>
        <v>26.0257532924227</v>
      </c>
      <c r="K276" s="2"/>
    </row>
    <row r="277" customFormat="false" ht="15" hidden="false" customHeight="false" outlineLevel="0" collapsed="false">
      <c r="A277" s="9" t="s">
        <v>5393</v>
      </c>
      <c r="B277" s="9" t="s">
        <v>5394</v>
      </c>
      <c r="C277" s="11" t="s">
        <v>745</v>
      </c>
      <c r="E277" s="21" t="n">
        <f aca="false">E267/E273</f>
        <v>0.365309913788772</v>
      </c>
      <c r="K277" s="12" t="s">
        <v>5395</v>
      </c>
    </row>
    <row r="278" customFormat="false" ht="15" hidden="false" customHeight="false" outlineLevel="0" collapsed="false">
      <c r="A278" s="9" t="s">
        <v>5396</v>
      </c>
      <c r="B278" s="9" t="s">
        <v>5397</v>
      </c>
      <c r="C278" s="11" t="s">
        <v>745</v>
      </c>
      <c r="E278" s="21" t="n">
        <f aca="false">E267/E276</f>
        <v>1.14551684257257</v>
      </c>
      <c r="K278" s="2" t="s">
        <v>5398</v>
      </c>
    </row>
    <row r="279" customFormat="false" ht="15" hidden="false" customHeight="false" outlineLevel="0" collapsed="false">
      <c r="A279" s="9" t="s">
        <v>5399</v>
      </c>
      <c r="B279" s="11" t="s">
        <v>5400</v>
      </c>
      <c r="C279" s="11" t="s">
        <v>745</v>
      </c>
      <c r="E279" s="21" t="n">
        <f aca="false">E267/E272/E273</f>
        <v>0.0583738388373667</v>
      </c>
      <c r="K279" s="2" t="s">
        <v>5401</v>
      </c>
    </row>
    <row r="280" customFormat="false" ht="15" hidden="false" customHeight="false" outlineLevel="0" collapsed="false">
      <c r="A280" s="9" t="s">
        <v>5402</v>
      </c>
      <c r="B280" s="11" t="s">
        <v>5403</v>
      </c>
      <c r="C280" s="9" t="s">
        <v>4253</v>
      </c>
      <c r="D280" s="20" t="n">
        <f aca="false">Compute!D141/(Compute!D151*Compute!D161*Compute!D167)</f>
        <v>55020612396.3097</v>
      </c>
      <c r="E280" s="20" t="n">
        <f aca="false">Compute!E141/(Compute!E151*Compute!E161*Compute!E167)</f>
        <v>46475675580.7797</v>
      </c>
      <c r="F280" s="20" t="n">
        <f aca="false">Compute!F141/(Compute!F151*Compute!F161*Compute!F167)</f>
        <v>46391139313.8058</v>
      </c>
      <c r="G280" s="20" t="n">
        <f aca="false">Compute!G141/(Compute!G151*Compute!G161*Compute!G167)</f>
        <v>46346719263.9334</v>
      </c>
      <c r="H280" s="20" t="n">
        <f aca="false">Compute!H141/(Compute!H151*Compute!H161*Compute!H167)</f>
        <v>46395028846.7036</v>
      </c>
      <c r="I280" s="20" t="n">
        <f aca="false">Compute!I141/(Compute!I151*Compute!I161*Compute!I167)</f>
        <v>46407856495.316</v>
      </c>
      <c r="K280" s="12" t="s">
        <v>5404</v>
      </c>
    </row>
    <row r="281" customFormat="false" ht="15" hidden="false" customHeight="false" outlineLevel="0" collapsed="false">
      <c r="A281" s="9" t="s">
        <v>5405</v>
      </c>
      <c r="B281" s="9" t="s">
        <v>5406</v>
      </c>
      <c r="C281" s="9" t="s">
        <v>4253</v>
      </c>
      <c r="E281" s="20" t="n">
        <f aca="false">TK_L1_TokGW_PaidPQ_VR200</f>
        <v>18525220456.2625</v>
      </c>
      <c r="K281" s="2" t="s">
        <v>5407</v>
      </c>
    </row>
    <row r="282" customFormat="false" ht="15" hidden="false" customHeight="false" outlineLevel="0" collapsed="false">
      <c r="A282" s="9" t="s">
        <v>5408</v>
      </c>
      <c r="B282" s="11" t="s">
        <v>5409</v>
      </c>
      <c r="C282" s="11" t="s">
        <v>745</v>
      </c>
      <c r="E282" s="21" t="n">
        <f aca="false">E280/E281</f>
        <v>2.50877854277132</v>
      </c>
      <c r="K282" s="2" t="s">
        <v>5410</v>
      </c>
    </row>
    <row r="283" customFormat="false" ht="15" hidden="false" customHeight="false" outlineLevel="0" collapsed="false">
      <c r="A283" s="15" t="s">
        <v>5411</v>
      </c>
    </row>
    <row r="284" customFormat="false" ht="15" hidden="false" customHeight="false" outlineLevel="0" collapsed="false">
      <c r="A284" s="9" t="s">
        <v>5412</v>
      </c>
      <c r="B284" s="9" t="s">
        <v>5413</v>
      </c>
      <c r="C284" s="9" t="s">
        <v>480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4.43995510662177</v>
      </c>
      <c r="H284" s="17" t="n">
        <f aca="false">$D$206/(((INP_144-INP_143+1)+(INP_144-INP_143+1)-INP_122+1)/INP_112)*MIN(INP_122,H$6-INP_143+1)/INP_122*(H$6&gt;=INP_143)*(H$6&lt;=INP_144)</f>
        <v>8.87991021324355</v>
      </c>
      <c r="I284" s="17" t="n">
        <f aca="false">$D$206/(((INP_144-INP_143+1)+(INP_144-INP_143+1)-INP_122+1)/INP_112)*MIN(INP_122,I$6-INP_143+1)/INP_122*(I$6&gt;=INP_143)*(I$6&lt;=INP_144)</f>
        <v>8.87991021324355</v>
      </c>
      <c r="K284" s="2" t="s">
        <v>5414</v>
      </c>
    </row>
    <row r="285" customFormat="false" ht="15" hidden="false" customHeight="false" outlineLevel="0" collapsed="false">
      <c r="A285" s="9" t="s">
        <v>5415</v>
      </c>
      <c r="B285" s="9" t="s">
        <v>5416</v>
      </c>
      <c r="C285" s="9" t="s">
        <v>480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2.47736625514403</v>
      </c>
      <c r="G285" s="17" t="n">
        <f aca="false">$D$207/(((INP_184-INP_145+1)+(INP_184-INP_145+1)-INP_122+1)/INP_112)*MIN(INP_122,G$6-INP_145+1)/INP_122*(G$6&gt;=INP_145)*(G$6&lt;=INP_184)</f>
        <v>4.95473251028807</v>
      </c>
      <c r="H285" s="17" t="n">
        <f aca="false">$D$207/(((INP_184-INP_145+1)+(INP_184-INP_145+1)-INP_122+1)/INP_112)*MIN(INP_122,H$6-INP_145+1)/INP_122*(H$6&gt;=INP_145)*(H$6&lt;=INP_184)</f>
        <v>4.95473251028807</v>
      </c>
      <c r="I285" s="17" t="n">
        <f aca="false">$D$207/(((INP_184-INP_145+1)+(INP_184-INP_145+1)-INP_122+1)/INP_112)*MIN(INP_122,I$6-INP_145+1)/INP_122*(I$6&gt;=INP_145)*(I$6&lt;=INP_184)</f>
        <v>4.95473251028807</v>
      </c>
      <c r="K285" s="2" t="s">
        <v>5414</v>
      </c>
    </row>
    <row r="286" customFormat="false" ht="15" hidden="false" customHeight="false" outlineLevel="0" collapsed="false">
      <c r="A286" s="9" t="s">
        <v>5417</v>
      </c>
      <c r="B286" s="11" t="s">
        <v>5418</v>
      </c>
      <c r="C286" s="9" t="s">
        <v>2740</v>
      </c>
      <c r="D286" s="18" t="n">
        <f aca="false">MAX($D$284:$I$284)/MAX(Compute!$D$243:$I$243)</f>
        <v>19.304152637486</v>
      </c>
      <c r="K286" s="2" t="s">
        <v>5419</v>
      </c>
    </row>
    <row r="287" customFormat="false" ht="15" hidden="false" customHeight="false" outlineLevel="0" collapsed="false">
      <c r="A287" s="9" t="s">
        <v>5420</v>
      </c>
      <c r="B287" s="11" t="s">
        <v>5421</v>
      </c>
      <c r="C287" s="9" t="s">
        <v>2740</v>
      </c>
      <c r="D287" s="18" t="n">
        <f aca="false">MAX($D$285:$I$285)/MAX(Compute!$D$244:$I$244)</f>
        <v>14.156378600823</v>
      </c>
      <c r="K287" s="2" t="s">
        <v>5419</v>
      </c>
    </row>
    <row r="288" customFormat="false" ht="15" hidden="false" customHeight="false" outlineLevel="0" collapsed="false">
      <c r="A288" s="9" t="s">
        <v>5422</v>
      </c>
      <c r="B288" s="11" t="s">
        <v>5423</v>
      </c>
      <c r="C288" s="9" t="s">
        <v>2740</v>
      </c>
      <c r="D288" s="18" t="n">
        <f aca="false">(MAX($D$284:$I$284)+MAX($D$285:$I$285))/(MAX(Compute!$D$243:$I$243)+MAX(Compute!$D$244:$I$244))</f>
        <v>17.0798058315205</v>
      </c>
      <c r="K288" s="2"/>
    </row>
    <row r="289" customFormat="false" ht="15" hidden="false" customHeight="false" outlineLevel="0" collapsed="false">
      <c r="A289" s="9" t="s">
        <v>5424</v>
      </c>
      <c r="B289" s="9" t="s">
        <v>5425</v>
      </c>
      <c r="C289" s="9" t="s">
        <v>480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5426</v>
      </c>
    </row>
    <row r="291" customFormat="false" ht="15" hidden="false" customHeight="false" outlineLevel="0" collapsed="false">
      <c r="A291" s="9" t="s">
        <v>5427</v>
      </c>
      <c r="B291" s="11" t="s">
        <v>5428</v>
      </c>
      <c r="C291" s="9" t="s">
        <v>480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29.1765059320147</v>
      </c>
      <c r="I291" s="17" t="n">
        <f aca="false">INP_189*I50*(I$6&gt;=INP_190)*(I$6&lt;=INP_191)</f>
        <v>27.6765059320147</v>
      </c>
      <c r="K291" s="12" t="s">
        <v>5429</v>
      </c>
    </row>
    <row r="292" customFormat="false" ht="15" hidden="false" customHeight="false" outlineLevel="0" collapsed="false">
      <c r="A292" s="9" t="s">
        <v>5430</v>
      </c>
      <c r="B292" s="11" t="s">
        <v>5431</v>
      </c>
      <c r="C292" s="9" t="s">
        <v>480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14.5882529660074</v>
      </c>
      <c r="I292" s="17" t="n">
        <f aca="false">SUMPRODUCT(($D$6:$I$6&lt;=I$6)*$D$291:$I$291*(((I$6-$D$6:$I$6+1)&lt;INP_122)*(I$6-$D$6:$I$6+1)+((I$6-$D$6:$I$6+1)&gt;=INP_122)*INP_122)/INP_122)</f>
        <v>43.0147588980221</v>
      </c>
      <c r="K292" s="2" t="s">
        <v>5432</v>
      </c>
    </row>
    <row r="293" customFormat="false" ht="15" hidden="false" customHeight="false" outlineLevel="0" collapsed="false">
      <c r="A293" s="9" t="s">
        <v>5433</v>
      </c>
      <c r="B293" s="11" t="s">
        <v>5434</v>
      </c>
      <c r="C293" s="9" t="s">
        <v>1104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1.21568774716728</v>
      </c>
      <c r="I293" s="21" t="n">
        <f aca="false">I292/Compute!I40</f>
        <v>3.58456324150184</v>
      </c>
      <c r="K293" s="12" t="s">
        <v>5435</v>
      </c>
    </row>
    <row r="294" customFormat="false" ht="15" hidden="false" customHeight="false" outlineLevel="0" collapsed="false">
      <c r="A294" s="9" t="s">
        <v>5436</v>
      </c>
      <c r="B294" s="11" t="s">
        <v>5437</v>
      </c>
      <c r="C294" s="9" t="s">
        <v>1104</v>
      </c>
      <c r="D294" s="21" t="n">
        <f aca="false">Compute!D168+D293*Compute!D41</f>
        <v>0.0578024697954382</v>
      </c>
      <c r="E294" s="21" t="n">
        <f aca="false">Compute!E168+E293*Compute!E41</f>
        <v>1.07470023516865</v>
      </c>
      <c r="F294" s="21" t="n">
        <f aca="false">Compute!F168+F293*Compute!F41</f>
        <v>4.60959697168135</v>
      </c>
      <c r="G294" s="21" t="n">
        <f aca="false">Compute!G168+G293*Compute!G41</f>
        <v>7.3818779368854</v>
      </c>
      <c r="H294" s="21" t="n">
        <f aca="false">Compute!H168+H293*Compute!H41</f>
        <v>9.00500244645052</v>
      </c>
      <c r="I294" s="21" t="n">
        <f aca="false">Compute!I168+I293*Compute!I41</f>
        <v>11.3299431069901</v>
      </c>
      <c r="K294" s="2"/>
    </row>
    <row r="295" customFormat="false" ht="15" hidden="false" customHeight="false" outlineLevel="0" collapsed="false">
      <c r="A295" s="9" t="s">
        <v>5438</v>
      </c>
      <c r="B295" s="11" t="s">
        <v>5439</v>
      </c>
      <c r="C295" s="9" t="s">
        <v>480</v>
      </c>
      <c r="D295" s="17" t="n">
        <f aca="false">D53+D292</f>
        <v>7.33</v>
      </c>
      <c r="E295" s="17" t="n">
        <f aca="false">E53+E292</f>
        <v>42.4201685560054</v>
      </c>
      <c r="F295" s="17" t="n">
        <f aca="false">F53+F292</f>
        <v>86.6888233360748</v>
      </c>
      <c r="G295" s="17" t="n">
        <f aca="false">G53+G292</f>
        <v>119.481731333427</v>
      </c>
      <c r="H295" s="17" t="n">
        <f aca="false">H53+H292</f>
        <v>111.84327273939</v>
      </c>
      <c r="I295" s="17" t="n">
        <f aca="false">I53+I292</f>
        <v>135.269778671404</v>
      </c>
      <c r="K295" s="2"/>
    </row>
    <row r="296" customFormat="false" ht="15" hidden="false" customHeight="false" outlineLevel="0" collapsed="false">
      <c r="A296" s="9" t="s">
        <v>5440</v>
      </c>
      <c r="B296" s="11" t="s">
        <v>5441</v>
      </c>
      <c r="C296" s="9" t="s">
        <v>480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5442</v>
      </c>
    </row>
    <row r="297" customFormat="false" ht="15" hidden="false" customHeight="false" outlineLevel="0" collapsed="false">
      <c r="A297" s="9" t="s">
        <v>5443</v>
      </c>
      <c r="B297" s="11" t="s">
        <v>5444</v>
      </c>
      <c r="C297" s="9" t="s">
        <v>2740</v>
      </c>
      <c r="D297" s="18" t="n">
        <f aca="false">(D108+D296-D292)/D294</f>
        <v>-139.267405501682</v>
      </c>
      <c r="E297" s="18" t="n">
        <f aca="false">(E108+E296-E292)/E294</f>
        <v>-5.36501172129409</v>
      </c>
      <c r="F297" s="18" t="n">
        <f aca="false">(F108+F296-F292)/F294</f>
        <v>-4.91025301987502</v>
      </c>
      <c r="G297" s="18" t="n">
        <f aca="false">(G108+G296-G292)/G294</f>
        <v>-2.69802276504026</v>
      </c>
      <c r="H297" s="18" t="n">
        <f aca="false">(H108+H296-H292)/H294</f>
        <v>3.03278502342309</v>
      </c>
      <c r="I297" s="18" t="n">
        <f aca="false">(I108+I296-I292)/I294</f>
        <v>4.13475145036218</v>
      </c>
      <c r="K297" s="2" t="s">
        <v>5445</v>
      </c>
    </row>
    <row r="298" customFormat="false" ht="15" hidden="false" customHeight="false" outlineLevel="0" collapsed="false">
      <c r="A298" s="9" t="s">
        <v>5446</v>
      </c>
      <c r="B298" s="11" t="s">
        <v>5447</v>
      </c>
      <c r="C298" s="9" t="s">
        <v>2740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-2.34618490384743</v>
      </c>
      <c r="I298" s="18" t="n">
        <f aca="false">I297-I115</f>
        <v>-7.46716597044412</v>
      </c>
      <c r="K298" s="2"/>
    </row>
    <row r="299" customFormat="false" ht="15" hidden="false" customHeight="false" outlineLevel="0" collapsed="false">
      <c r="A299" s="9" t="s">
        <v>5448</v>
      </c>
      <c r="B299" s="11" t="s">
        <v>5449</v>
      </c>
      <c r="C299" s="11" t="s">
        <v>745</v>
      </c>
      <c r="D299" s="21" t="n">
        <f aca="false">(D105+D296)/(D106+D292)</f>
        <v>0.345475241889585</v>
      </c>
      <c r="E299" s="21" t="n">
        <f aca="false">(E105+E296)/(E106+E292)</f>
        <v>0.888124307888594</v>
      </c>
      <c r="F299" s="21" t="n">
        <f aca="false">(F105+F296)/(F106+F292)</f>
        <v>0.770845036748019</v>
      </c>
      <c r="G299" s="21" t="n">
        <f aca="false">(G105+G296)/(G106+G292)</f>
        <v>0.851667231837521</v>
      </c>
      <c r="H299" s="21" t="n">
        <f aca="false">(H105+H296)/(H106+H292)</f>
        <v>1.21139975474192</v>
      </c>
      <c r="I299" s="21" t="n">
        <f aca="false">(I105+I296)/(I106+I292)</f>
        <v>1.30275729846968</v>
      </c>
      <c r="K299" s="2" t="s">
        <v>5450</v>
      </c>
    </row>
    <row r="300" customFormat="false" ht="15" hidden="false" customHeight="false" outlineLevel="0" collapsed="false">
      <c r="A300" s="9" t="s">
        <v>5451</v>
      </c>
      <c r="B300" s="11" t="s">
        <v>5452</v>
      </c>
      <c r="C300" s="9" t="s">
        <v>480</v>
      </c>
      <c r="D300" s="17" t="n">
        <f aca="false">D105+D296-D53-D292-D89</f>
        <v>-6.2848</v>
      </c>
      <c r="E300" s="17" t="n">
        <f aca="false">E105+E296-E53-E292-E89</f>
        <v>-2.58841935855733</v>
      </c>
      <c r="F300" s="17" t="n">
        <f aca="false">F105+F296-F53-F292-F89</f>
        <v>-18.5037194506051</v>
      </c>
      <c r="G300" s="17" t="n">
        <f aca="false">G105+G296-G53-G292-G89</f>
        <v>-14.9597931224653</v>
      </c>
      <c r="H300" s="17" t="n">
        <f aca="false">H105+H296-H53-H292-H89</f>
        <v>33.0104203954834</v>
      </c>
      <c r="I300" s="17" t="n">
        <f aca="false">I105+I296-I53-I292-I89</f>
        <v>53.1167009181481</v>
      </c>
      <c r="K300" s="12" t="s">
        <v>5453</v>
      </c>
    </row>
    <row r="301" customFormat="false" ht="15" hidden="false" customHeight="false" outlineLevel="0" collapsed="false">
      <c r="A301" s="9" t="s">
        <v>5454</v>
      </c>
      <c r="B301" s="11" t="s">
        <v>5455</v>
      </c>
      <c r="C301" s="9" t="s">
        <v>480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12.2124066691827</v>
      </c>
      <c r="I301" s="17" t="n">
        <f aca="false">INP_193*I293*Compute!I41*I109</f>
        <v>46.645479292207</v>
      </c>
      <c r="K301" s="2" t="s">
        <v>5442</v>
      </c>
    </row>
    <row r="302" customFormat="false" ht="15" hidden="false" customHeight="false" outlineLevel="0" collapsed="false">
      <c r="A302" s="9" t="s">
        <v>5456</v>
      </c>
      <c r="B302" s="11" t="s">
        <v>5457</v>
      </c>
      <c r="C302" s="9" t="s">
        <v>2740</v>
      </c>
      <c r="D302" s="18" t="n">
        <f aca="false">(D108+D301-D292)/D294</f>
        <v>-139.267405501682</v>
      </c>
      <c r="E302" s="18" t="n">
        <f aca="false">(E108+E301-E292)/E294</f>
        <v>-5.36501172129409</v>
      </c>
      <c r="F302" s="18" t="n">
        <f aca="false">(F108+F301-F292)/F294</f>
        <v>-4.91025301987502</v>
      </c>
      <c r="G302" s="18" t="n">
        <f aca="false">(G108+G301-G292)/G294</f>
        <v>-2.69802276504026</v>
      </c>
      <c r="H302" s="18" t="n">
        <f aca="false">(H108+H301-H292)/H294</f>
        <v>4.3889652956446</v>
      </c>
      <c r="I302" s="18" t="n">
        <f aca="false">(I108+I301-I292)/I294</f>
        <v>8.25176058727734</v>
      </c>
      <c r="K302" s="2" t="s">
        <v>5445</v>
      </c>
    </row>
    <row r="303" customFormat="false" ht="15" hidden="false" customHeight="false" outlineLevel="0" collapsed="false">
      <c r="A303" s="9" t="s">
        <v>5458</v>
      </c>
      <c r="B303" s="11" t="s">
        <v>5459</v>
      </c>
      <c r="C303" s="9" t="s">
        <v>2740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-0.990004631625918</v>
      </c>
      <c r="I303" s="18" t="n">
        <f aca="false">I302-I115</f>
        <v>-3.35015683352896</v>
      </c>
      <c r="K303" s="2"/>
    </row>
    <row r="304" customFormat="false" ht="15" hidden="false" customHeight="false" outlineLevel="0" collapsed="false">
      <c r="A304" s="9" t="s">
        <v>5460</v>
      </c>
      <c r="B304" s="11" t="s">
        <v>5461</v>
      </c>
      <c r="C304" s="11" t="s">
        <v>745</v>
      </c>
      <c r="D304" s="21" t="n">
        <f aca="false">(D105+D301)/(D106+D292)</f>
        <v>0.345475241889585</v>
      </c>
      <c r="E304" s="21" t="n">
        <f aca="false">(E105+E301)/(E106+E292)</f>
        <v>0.888124307888594</v>
      </c>
      <c r="F304" s="21" t="n">
        <f aca="false">(F105+F301)/(F106+F292)</f>
        <v>0.770845036748019</v>
      </c>
      <c r="G304" s="21" t="n">
        <f aca="false">(G105+G301)/(G106+G292)</f>
        <v>0.851667231837521</v>
      </c>
      <c r="H304" s="21" t="n">
        <f aca="false">(H105+H301)/(H106+H292)</f>
        <v>1.30593206570996</v>
      </c>
      <c r="I304" s="21" t="n">
        <f aca="false">(I105+I301)/(I106+I292)</f>
        <v>1.60421545841741</v>
      </c>
      <c r="K304" s="2" t="s">
        <v>5450</v>
      </c>
    </row>
    <row r="305" customFormat="false" ht="15" hidden="false" customHeight="false" outlineLevel="0" collapsed="false">
      <c r="A305" s="9" t="s">
        <v>5462</v>
      </c>
      <c r="B305" s="11" t="s">
        <v>5463</v>
      </c>
      <c r="C305" s="9" t="s">
        <v>480</v>
      </c>
      <c r="D305" s="17" t="n">
        <f aca="false">D105+D301-D53-D292-D89</f>
        <v>-6.2848</v>
      </c>
      <c r="E305" s="17" t="n">
        <f aca="false">E105+E301-E53-E292-E89</f>
        <v>-2.58841935855733</v>
      </c>
      <c r="F305" s="17" t="n">
        <f aca="false">F105+F301-F53-F292-F89</f>
        <v>-18.5037194506051</v>
      </c>
      <c r="G305" s="17" t="n">
        <f aca="false">G105+G301-G53-G292-G89</f>
        <v>-14.9597931224653</v>
      </c>
      <c r="H305" s="17" t="n">
        <f aca="false">H105+H301-H53-H292-H89</f>
        <v>45.222827064666</v>
      </c>
      <c r="I305" s="17" t="n">
        <f aca="false">I105+I301-I53-I292-I89</f>
        <v>99.7621802103551</v>
      </c>
      <c r="K305" s="12" t="s">
        <v>5453</v>
      </c>
    </row>
    <row r="306" customFormat="false" ht="15" hidden="false" customHeight="false" outlineLevel="0" collapsed="false">
      <c r="A306" s="9" t="s">
        <v>5464</v>
      </c>
      <c r="B306" s="11" t="s">
        <v>5465</v>
      </c>
      <c r="C306" s="9" t="s">
        <v>480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24.4248133383653</v>
      </c>
      <c r="I306" s="17" t="n">
        <f aca="false">INP_194*I293*Compute!I41*I109</f>
        <v>93.290958584414</v>
      </c>
      <c r="K306" s="2" t="s">
        <v>5442</v>
      </c>
    </row>
    <row r="307" customFormat="false" ht="15" hidden="false" customHeight="false" outlineLevel="0" collapsed="false">
      <c r="A307" s="9" t="s">
        <v>5466</v>
      </c>
      <c r="B307" s="11" t="s">
        <v>5467</v>
      </c>
      <c r="C307" s="9" t="s">
        <v>2740</v>
      </c>
      <c r="D307" s="18" t="n">
        <f aca="false">(D108+D306-D292)/D294</f>
        <v>-139.267405501682</v>
      </c>
      <c r="E307" s="18" t="n">
        <f aca="false">(E108+E306-E292)/E294</f>
        <v>-5.36501172129409</v>
      </c>
      <c r="F307" s="18" t="n">
        <f aca="false">(F108+F306-F292)/F294</f>
        <v>-4.91025301987502</v>
      </c>
      <c r="G307" s="18" t="n">
        <f aca="false">(G108+G306-G292)/G294</f>
        <v>-2.69802276504026</v>
      </c>
      <c r="H307" s="18" t="n">
        <f aca="false">(H108+H306-H292)/H294</f>
        <v>5.74514556786612</v>
      </c>
      <c r="I307" s="18" t="n">
        <f aca="false">(I108+I306-I292)/I294</f>
        <v>12.3687697241925</v>
      </c>
      <c r="K307" s="2" t="s">
        <v>5445</v>
      </c>
    </row>
    <row r="308" customFormat="false" ht="15" hidden="false" customHeight="false" outlineLevel="0" collapsed="false">
      <c r="A308" s="9" t="s">
        <v>5468</v>
      </c>
      <c r="B308" s="11" t="s">
        <v>5469</v>
      </c>
      <c r="C308" s="9" t="s">
        <v>2740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0.366175640595597</v>
      </c>
      <c r="I308" s="18" t="n">
        <f aca="false">I307-I115</f>
        <v>0.766852303386195</v>
      </c>
      <c r="K308" s="2"/>
    </row>
    <row r="309" customFormat="false" ht="15" hidden="false" customHeight="false" outlineLevel="0" collapsed="false">
      <c r="A309" s="9" t="s">
        <v>5470</v>
      </c>
      <c r="B309" s="11" t="s">
        <v>5471</v>
      </c>
      <c r="C309" s="11" t="s">
        <v>745</v>
      </c>
      <c r="D309" s="21" t="n">
        <f aca="false">(D105+D306)/(D106+D292)</f>
        <v>0.345475241889585</v>
      </c>
      <c r="E309" s="21" t="n">
        <f aca="false">(E105+E306)/(E106+E292)</f>
        <v>0.888124307888594</v>
      </c>
      <c r="F309" s="21" t="n">
        <f aca="false">(F105+F306)/(F106+F292)</f>
        <v>0.770845036748019</v>
      </c>
      <c r="G309" s="21" t="n">
        <f aca="false">(G105+G306)/(G106+G292)</f>
        <v>0.851667231837521</v>
      </c>
      <c r="H309" s="21" t="n">
        <f aca="false">(H105+H306)/(H106+H292)</f>
        <v>1.40046437667801</v>
      </c>
      <c r="I309" s="21" t="n">
        <f aca="false">(I105+I306)/(I106+I292)</f>
        <v>1.90567361836515</v>
      </c>
      <c r="K309" s="2" t="s">
        <v>5450</v>
      </c>
    </row>
    <row r="310" customFormat="false" ht="15" hidden="false" customHeight="false" outlineLevel="0" collapsed="false">
      <c r="A310" s="9" t="s">
        <v>5472</v>
      </c>
      <c r="B310" s="11" t="s">
        <v>5473</v>
      </c>
      <c r="C310" s="9" t="s">
        <v>480</v>
      </c>
      <c r="D310" s="17" t="n">
        <f aca="false">D105+D306-D53-D292-D89</f>
        <v>-6.2848</v>
      </c>
      <c r="E310" s="17" t="n">
        <f aca="false">E105+E306-E53-E292-E89</f>
        <v>-2.58841935855733</v>
      </c>
      <c r="F310" s="17" t="n">
        <f aca="false">F105+F306-F53-F292-F89</f>
        <v>-18.5037194506051</v>
      </c>
      <c r="G310" s="17" t="n">
        <f aca="false">G105+G306-G53-G292-G89</f>
        <v>-14.9597931224653</v>
      </c>
      <c r="H310" s="17" t="n">
        <f aca="false">H105+H306-H53-H292-H89</f>
        <v>57.4352337338487</v>
      </c>
      <c r="I310" s="17" t="n">
        <f aca="false">I105+I306-I53-I292-I89</f>
        <v>146.407659502562</v>
      </c>
      <c r="K310" s="12" t="s">
        <v>5453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5474</v>
      </c>
    </row>
    <row r="2" customFormat="false" ht="15" hidden="false" customHeight="false" outlineLevel="0" collapsed="false">
      <c r="A2" s="2" t="s">
        <v>5475</v>
      </c>
    </row>
    <row r="3" customFormat="false" ht="15" hidden="false" customHeight="false" outlineLevel="0" collapsed="false">
      <c r="A3" s="12" t="s">
        <v>5476</v>
      </c>
    </row>
    <row r="5" customFormat="false" ht="15" hidden="false" customHeight="false" outlineLevel="0" collapsed="false">
      <c r="A5" s="8" t="s">
        <v>3789</v>
      </c>
      <c r="B5" s="8" t="s">
        <v>46</v>
      </c>
      <c r="C5" s="8" t="s">
        <v>50</v>
      </c>
      <c r="D5" s="7" t="s">
        <v>75</v>
      </c>
      <c r="E5" s="7" t="s">
        <v>304</v>
      </c>
      <c r="F5" s="7" t="s">
        <v>2855</v>
      </c>
      <c r="G5" s="7" t="s">
        <v>1658</v>
      </c>
      <c r="H5" s="7" t="s">
        <v>2856</v>
      </c>
      <c r="I5" s="7" t="s">
        <v>2857</v>
      </c>
      <c r="J5" s="8"/>
      <c r="K5" s="8" t="s">
        <v>2517</v>
      </c>
    </row>
    <row r="6" customFormat="false" ht="15" hidden="false" customHeight="false" outlineLevel="0" collapsed="false">
      <c r="B6" s="3" t="s">
        <v>3790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5477</v>
      </c>
    </row>
    <row r="8" customFormat="false" ht="15" hidden="false" customHeight="false" outlineLevel="0" collapsed="false">
      <c r="A8" s="9" t="s">
        <v>5478</v>
      </c>
      <c r="B8" s="11" t="s">
        <v>5479</v>
      </c>
      <c r="C8" s="9" t="s">
        <v>480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2867</v>
      </c>
    </row>
    <row r="9" customFormat="false" ht="15" hidden="false" customHeight="false" outlineLevel="0" collapsed="false">
      <c r="A9" s="9" t="s">
        <v>5480</v>
      </c>
      <c r="B9" s="11" t="s">
        <v>5481</v>
      </c>
      <c r="C9" s="9" t="s">
        <v>480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2892</v>
      </c>
    </row>
    <row r="10" customFormat="false" ht="15" hidden="false" customHeight="false" outlineLevel="0" collapsed="false">
      <c r="A10" s="9" t="s">
        <v>5482</v>
      </c>
      <c r="B10" s="11" t="s">
        <v>5483</v>
      </c>
      <c r="C10" s="9" t="s">
        <v>480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5484</v>
      </c>
    </row>
    <row r="11" customFormat="false" ht="15" hidden="false" customHeight="false" outlineLevel="0" collapsed="false">
      <c r="A11" s="9" t="s">
        <v>5485</v>
      </c>
      <c r="B11" s="11" t="s">
        <v>5486</v>
      </c>
      <c r="C11" s="9" t="s">
        <v>480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5487</v>
      </c>
    </row>
    <row r="12" customFormat="false" ht="15" hidden="false" customHeight="false" outlineLevel="0" collapsed="false">
      <c r="A12" s="9" t="s">
        <v>5488</v>
      </c>
      <c r="B12" s="11" t="s">
        <v>5489</v>
      </c>
      <c r="C12" s="9" t="s">
        <v>480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5490</v>
      </c>
    </row>
    <row r="13" customFormat="false" ht="15" hidden="false" customHeight="false" outlineLevel="0" collapsed="false">
      <c r="A13" s="9" t="s">
        <v>5491</v>
      </c>
      <c r="B13" s="11" t="s">
        <v>5492</v>
      </c>
      <c r="C13" s="9" t="s">
        <v>480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5493</v>
      </c>
    </row>
    <row r="14" customFormat="false" ht="15" hidden="false" customHeight="false" outlineLevel="0" collapsed="false">
      <c r="A14" s="9" t="s">
        <v>5494</v>
      </c>
      <c r="B14" s="11" t="s">
        <v>5495</v>
      </c>
      <c r="C14" s="9" t="s">
        <v>480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5496</v>
      </c>
    </row>
    <row r="15" customFormat="false" ht="15" hidden="false" customHeight="false" outlineLevel="0" collapsed="false">
      <c r="A15" s="9" t="s">
        <v>5497</v>
      </c>
      <c r="B15" s="11" t="s">
        <v>5498</v>
      </c>
      <c r="C15" s="9" t="s">
        <v>480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5001</v>
      </c>
    </row>
    <row r="16" customFormat="false" ht="15" hidden="false" customHeight="false" outlineLevel="0" collapsed="false">
      <c r="A16" s="9" t="s">
        <v>5499</v>
      </c>
      <c r="B16" s="11" t="s">
        <v>5500</v>
      </c>
      <c r="C16" s="11" t="s">
        <v>267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5501</v>
      </c>
    </row>
    <row r="17" customFormat="false" ht="15" hidden="false" customHeight="false" outlineLevel="0" collapsed="false">
      <c r="A17" s="9" t="s">
        <v>5502</v>
      </c>
      <c r="B17" s="9" t="s">
        <v>5503</v>
      </c>
      <c r="C17" s="9" t="s">
        <v>480</v>
      </c>
      <c r="D17" s="17" t="n">
        <f aca="false">SRC_ANT_281</f>
        <v>34</v>
      </c>
      <c r="K17" s="12" t="s">
        <v>5504</v>
      </c>
    </row>
    <row r="18" customFormat="false" ht="15" hidden="false" customHeight="false" outlineLevel="0" collapsed="false">
      <c r="A18" s="9" t="s">
        <v>5505</v>
      </c>
      <c r="B18" s="11" t="s">
        <v>5506</v>
      </c>
      <c r="C18" s="9" t="s">
        <v>480</v>
      </c>
      <c r="D18" s="17" t="n">
        <f aca="false">SRC_ANT_352</f>
        <v>3</v>
      </c>
      <c r="K18" s="12" t="s">
        <v>5507</v>
      </c>
    </row>
    <row r="19" customFormat="false" ht="15" hidden="false" customHeight="false" outlineLevel="0" collapsed="false">
      <c r="A19" s="15" t="s">
        <v>5508</v>
      </c>
    </row>
    <row r="20" customFormat="false" ht="15" hidden="false" customHeight="false" outlineLevel="0" collapsed="false">
      <c r="A20" s="9" t="s">
        <v>5509</v>
      </c>
      <c r="B20" s="9" t="s">
        <v>5510</v>
      </c>
      <c r="C20" s="9" t="s">
        <v>480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5511</v>
      </c>
    </row>
    <row r="21" customFormat="false" ht="15" hidden="false" customHeight="false" outlineLevel="0" collapsed="false">
      <c r="A21" s="9" t="s">
        <v>5512</v>
      </c>
      <c r="B21" s="9" t="s">
        <v>5513</v>
      </c>
      <c r="C21" s="9" t="s">
        <v>480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5514</v>
      </c>
    </row>
    <row r="22" customFormat="false" ht="15" hidden="false" customHeight="false" outlineLevel="0" collapsed="false">
      <c r="A22" s="9" t="s">
        <v>5515</v>
      </c>
      <c r="B22" s="9" t="s">
        <v>5516</v>
      </c>
      <c r="C22" s="9" t="s">
        <v>480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5517</v>
      </c>
    </row>
    <row r="23" customFormat="false" ht="15" hidden="false" customHeight="false" outlineLevel="0" collapsed="false">
      <c r="A23" s="9" t="s">
        <v>5518</v>
      </c>
      <c r="B23" s="11" t="s">
        <v>5519</v>
      </c>
      <c r="C23" s="9" t="s">
        <v>480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5520</v>
      </c>
    </row>
    <row r="24" customFormat="false" ht="15" hidden="false" customHeight="false" outlineLevel="0" collapsed="false">
      <c r="A24" s="9" t="s">
        <v>5521</v>
      </c>
      <c r="B24" s="9" t="s">
        <v>5522</v>
      </c>
      <c r="C24" s="9" t="s">
        <v>480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5523</v>
      </c>
    </row>
    <row r="25" customFormat="false" ht="15" hidden="false" customHeight="false" outlineLevel="0" collapsed="false">
      <c r="A25" s="9" t="s">
        <v>5524</v>
      </c>
      <c r="B25" s="9" t="s">
        <v>5525</v>
      </c>
      <c r="C25" s="9" t="s">
        <v>480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5526</v>
      </c>
    </row>
    <row r="26" customFormat="false" ht="15" hidden="false" customHeight="false" outlineLevel="0" collapsed="false">
      <c r="A26" s="9" t="s">
        <v>5527</v>
      </c>
      <c r="B26" s="11" t="s">
        <v>5528</v>
      </c>
      <c r="C26" s="9" t="s">
        <v>480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5529</v>
      </c>
    </row>
    <row r="27" customFormat="false" ht="15" hidden="false" customHeight="false" outlineLevel="0" collapsed="false">
      <c r="A27" s="9" t="s">
        <v>5530</v>
      </c>
      <c r="B27" s="11" t="s">
        <v>5531</v>
      </c>
      <c r="C27" s="9" t="s">
        <v>480</v>
      </c>
      <c r="K27" s="12" t="s">
        <v>5532</v>
      </c>
    </row>
    <row r="28" customFormat="false" ht="15" hidden="false" customHeight="false" outlineLevel="0" collapsed="false">
      <c r="A28" s="9" t="s">
        <v>5533</v>
      </c>
      <c r="B28" s="11" t="s">
        <v>5534</v>
      </c>
      <c r="C28" s="9" t="s">
        <v>480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5535</v>
      </c>
    </row>
    <row r="29" customFormat="false" ht="15" hidden="false" customHeight="false" outlineLevel="0" collapsed="false">
      <c r="A29" s="15" t="s">
        <v>5536</v>
      </c>
    </row>
    <row r="30" customFormat="false" ht="15" hidden="false" customHeight="false" outlineLevel="0" collapsed="false">
      <c r="A30" s="9" t="s">
        <v>5537</v>
      </c>
      <c r="B30" s="9" t="s">
        <v>5538</v>
      </c>
      <c r="C30" s="9" t="s">
        <v>480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5539</v>
      </c>
    </row>
    <row r="31" customFormat="false" ht="15" hidden="false" customHeight="false" outlineLevel="0" collapsed="false">
      <c r="A31" s="9" t="s">
        <v>5540</v>
      </c>
      <c r="B31" s="9" t="s">
        <v>5541</v>
      </c>
      <c r="C31" s="9" t="s">
        <v>480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5542</v>
      </c>
    </row>
    <row r="32" customFormat="false" ht="15" hidden="false" customHeight="false" outlineLevel="0" collapsed="false">
      <c r="A32" s="9" t="s">
        <v>5543</v>
      </c>
      <c r="B32" s="9" t="s">
        <v>5544</v>
      </c>
      <c r="C32" s="9" t="s">
        <v>480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2052</v>
      </c>
    </row>
    <row r="33" customFormat="false" ht="15" hidden="false" customHeight="false" outlineLevel="0" collapsed="false">
      <c r="A33" s="9" t="s">
        <v>5545</v>
      </c>
      <c r="B33" s="9" t="s">
        <v>5546</v>
      </c>
      <c r="C33" s="9" t="s">
        <v>480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5547</v>
      </c>
    </row>
    <row r="34" customFormat="false" ht="15" hidden="false" customHeight="false" outlineLevel="0" collapsed="false">
      <c r="A34" s="9" t="s">
        <v>5548</v>
      </c>
      <c r="B34" s="9" t="s">
        <v>5549</v>
      </c>
      <c r="C34" s="9" t="s">
        <v>480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2072</v>
      </c>
    </row>
    <row r="35" customFormat="false" ht="15" hidden="false" customHeight="false" outlineLevel="0" collapsed="false">
      <c r="A35" s="9" t="s">
        <v>5550</v>
      </c>
      <c r="B35" s="11" t="s">
        <v>5551</v>
      </c>
      <c r="C35" s="9" t="s">
        <v>480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5552</v>
      </c>
    </row>
    <row r="36" customFormat="false" ht="15" hidden="false" customHeight="false" outlineLevel="0" collapsed="false">
      <c r="A36" s="9" t="s">
        <v>5553</v>
      </c>
      <c r="B36" s="11" t="s">
        <v>5554</v>
      </c>
      <c r="C36" s="9" t="s">
        <v>480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5555</v>
      </c>
    </row>
    <row r="38" customFormat="false" ht="15" hidden="false" customHeight="false" outlineLevel="0" collapsed="false">
      <c r="A38" s="9" t="s">
        <v>5556</v>
      </c>
      <c r="B38" s="11" t="s">
        <v>5557</v>
      </c>
      <c r="C38" s="9" t="s">
        <v>480</v>
      </c>
      <c r="D38" s="26" t="n">
        <f aca="false">Cost!E89*INP_165/INP_008</f>
        <v>2.9699226</v>
      </c>
      <c r="E38" s="26" t="n">
        <f aca="false">Cost!F89*INP_165/INP_008</f>
        <v>3.9767263614</v>
      </c>
      <c r="F38" s="26" t="n">
        <f aca="false">Cost!G89*INP_165/INP_008</f>
        <v>4.9152337826904</v>
      </c>
      <c r="G38" s="26" t="n">
        <f aca="false">Cost!H89*INP_165/INP_008</f>
        <v>5.82209441559678</v>
      </c>
      <c r="H38" s="26" t="n">
        <f aca="false">Cost!I89*INP_165/INP_008</f>
        <v>6.59643297287115</v>
      </c>
      <c r="I38" s="17" t="n">
        <f aca="false">Cost!I89*INP_165/INP_008</f>
        <v>6.59643297287115</v>
      </c>
      <c r="K38" s="12" t="s">
        <v>5558</v>
      </c>
    </row>
    <row r="39" customFormat="false" ht="15" hidden="false" customHeight="false" outlineLevel="0" collapsed="false">
      <c r="A39" s="9" t="s">
        <v>5559</v>
      </c>
      <c r="B39" s="11" t="s">
        <v>5560</v>
      </c>
      <c r="C39" s="9" t="s">
        <v>480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5561</v>
      </c>
    </row>
    <row r="40" customFormat="false" ht="15" hidden="false" customHeight="false" outlineLevel="0" collapsed="false">
      <c r="A40" s="9" t="s">
        <v>5562</v>
      </c>
      <c r="B40" s="11" t="s">
        <v>5563</v>
      </c>
      <c r="C40" s="9" t="s">
        <v>480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5564</v>
      </c>
      <c r="B41" s="11" t="s">
        <v>5565</v>
      </c>
      <c r="C41" s="9" t="s">
        <v>480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5566</v>
      </c>
    </row>
    <row r="42" customFormat="false" ht="15" hidden="false" customHeight="false" outlineLevel="0" collapsed="false">
      <c r="A42" s="9" t="s">
        <v>5567</v>
      </c>
      <c r="B42" s="11" t="s">
        <v>2926</v>
      </c>
      <c r="C42" s="9" t="s">
        <v>480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5568</v>
      </c>
    </row>
    <row r="43" customFormat="false" ht="15" hidden="false" customHeight="false" outlineLevel="0" collapsed="false">
      <c r="A43" s="9" t="s">
        <v>5569</v>
      </c>
      <c r="B43" s="11" t="s">
        <v>2922</v>
      </c>
      <c r="C43" s="9" t="s">
        <v>480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5570</v>
      </c>
      <c r="B44" s="11" t="s">
        <v>5571</v>
      </c>
      <c r="C44" s="9" t="s">
        <v>480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5001</v>
      </c>
    </row>
    <row r="45" customFormat="false" ht="15" hidden="false" customHeight="false" outlineLevel="0" collapsed="false">
      <c r="A45" s="9" t="s">
        <v>5572</v>
      </c>
      <c r="B45" s="11" t="s">
        <v>5573</v>
      </c>
      <c r="C45" s="9" t="s">
        <v>480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5574</v>
      </c>
    </row>
    <row r="46" customFormat="false" ht="15" hidden="false" customHeight="false" outlineLevel="0" collapsed="false">
      <c r="A46" s="9" t="s">
        <v>5575</v>
      </c>
      <c r="B46" s="11" t="s">
        <v>5576</v>
      </c>
      <c r="C46" s="11" t="s">
        <v>4587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5577</v>
      </c>
      <c r="B47" s="11" t="s">
        <v>5578</v>
      </c>
      <c r="C47" s="11" t="s">
        <v>2187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5579</v>
      </c>
      <c r="B48" s="11" t="s">
        <v>5580</v>
      </c>
      <c r="C48" s="9" t="s">
        <v>480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5581</v>
      </c>
    </row>
    <row r="49" customFormat="false" ht="15" hidden="false" customHeight="false" outlineLevel="0" collapsed="false">
      <c r="A49" s="9" t="s">
        <v>5582</v>
      </c>
      <c r="B49" s="11" t="s">
        <v>5583</v>
      </c>
      <c r="C49" s="11" t="s">
        <v>2187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5584</v>
      </c>
      <c r="B50" s="11" t="s">
        <v>5585</v>
      </c>
      <c r="C50" s="11" t="s">
        <v>2187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5586</v>
      </c>
      <c r="B51" s="11" t="s">
        <v>5587</v>
      </c>
      <c r="C51" s="11" t="s">
        <v>2187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5588</v>
      </c>
      <c r="B52" s="11" t="s">
        <v>5589</v>
      </c>
      <c r="C52" s="9" t="s">
        <v>480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5590</v>
      </c>
      <c r="B53" s="11" t="s">
        <v>5591</v>
      </c>
      <c r="C53" s="11" t="s">
        <v>2187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5592</v>
      </c>
      <c r="B54" s="11" t="s">
        <v>5593</v>
      </c>
      <c r="C54" s="9" t="s">
        <v>480</v>
      </c>
      <c r="D54" s="17" t="n">
        <f aca="false">MIN($D$48:$I$48)</f>
        <v>84.2280680683723</v>
      </c>
      <c r="K54" s="2" t="s">
        <v>5594</v>
      </c>
    </row>
    <row r="55" customFormat="false" ht="15" hidden="false" customHeight="false" outlineLevel="0" collapsed="false">
      <c r="A55" s="9" t="s">
        <v>5595</v>
      </c>
      <c r="B55" s="11" t="s">
        <v>5596</v>
      </c>
      <c r="C55" s="11" t="s">
        <v>2187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5597</v>
      </c>
    </row>
    <row r="57" customFormat="false" ht="15" hidden="false" customHeight="false" outlineLevel="0" collapsed="false">
      <c r="A57" s="9" t="s">
        <v>5598</v>
      </c>
      <c r="B57" s="11" t="s">
        <v>5599</v>
      </c>
      <c r="C57" s="9" t="s">
        <v>480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5600</v>
      </c>
      <c r="B58" s="11" t="s">
        <v>5601</v>
      </c>
      <c r="C58" s="9" t="s">
        <v>480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5602</v>
      </c>
      <c r="B59" s="11" t="s">
        <v>5603</v>
      </c>
      <c r="C59" s="9" t="s">
        <v>480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5604</v>
      </c>
      <c r="B60" s="11" t="s">
        <v>5605</v>
      </c>
      <c r="C60" s="9" t="s">
        <v>480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5606</v>
      </c>
      <c r="B61" s="11" t="s">
        <v>5607</v>
      </c>
      <c r="C61" s="9" t="s">
        <v>480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5608</v>
      </c>
      <c r="B62" s="11" t="s">
        <v>5609</v>
      </c>
      <c r="C62" s="9" t="s">
        <v>480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5610</v>
      </c>
      <c r="B63" s="11" t="s">
        <v>5611</v>
      </c>
      <c r="C63" s="9" t="s">
        <v>480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5612</v>
      </c>
      <c r="B64" s="11" t="s">
        <v>5613</v>
      </c>
      <c r="C64" s="9" t="s">
        <v>480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5614</v>
      </c>
      <c r="B65" s="11" t="s">
        <v>5615</v>
      </c>
      <c r="C65" s="9" t="s">
        <v>480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5616</v>
      </c>
      <c r="B66" s="11" t="s">
        <v>5617</v>
      </c>
      <c r="C66" s="9" t="s">
        <v>480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5618</v>
      </c>
      <c r="B67" s="11" t="s">
        <v>5619</v>
      </c>
      <c r="C67" s="9" t="s">
        <v>480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5620</v>
      </c>
      <c r="B68" s="11" t="s">
        <v>5621</v>
      </c>
      <c r="C68" s="9" t="s">
        <v>480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5622</v>
      </c>
      <c r="B69" s="11" t="s">
        <v>5623</v>
      </c>
      <c r="C69" s="9" t="s">
        <v>480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5624</v>
      </c>
      <c r="B70" s="11" t="s">
        <v>5625</v>
      </c>
      <c r="C70" s="9" t="s">
        <v>480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5626</v>
      </c>
      <c r="B71" s="11" t="s">
        <v>5627</v>
      </c>
      <c r="C71" s="9" t="s">
        <v>480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5628</v>
      </c>
      <c r="B72" s="11" t="s">
        <v>5629</v>
      </c>
      <c r="C72" s="9" t="s">
        <v>480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5630</v>
      </c>
    </row>
    <row r="73" customFormat="false" ht="15" hidden="false" customHeight="false" outlineLevel="0" collapsed="false">
      <c r="A73" s="9" t="s">
        <v>5631</v>
      </c>
      <c r="B73" s="11" t="s">
        <v>5632</v>
      </c>
      <c r="C73" s="9" t="s">
        <v>480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5633</v>
      </c>
      <c r="B74" s="11" t="s">
        <v>5634</v>
      </c>
      <c r="C74" s="9" t="s">
        <v>480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5635</v>
      </c>
      <c r="B75" s="11" t="s">
        <v>5636</v>
      </c>
      <c r="C75" s="9" t="s">
        <v>480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5637</v>
      </c>
      <c r="B76" s="11" t="s">
        <v>5638</v>
      </c>
      <c r="C76" s="9" t="s">
        <v>480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5639</v>
      </c>
      <c r="B77" s="11" t="s">
        <v>5640</v>
      </c>
      <c r="C77" s="9" t="s">
        <v>480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5641</v>
      </c>
    </row>
    <row r="78" customFormat="false" ht="15" hidden="false" customHeight="false" outlineLevel="0" collapsed="false">
      <c r="A78" s="9" t="s">
        <v>5642</v>
      </c>
      <c r="B78" s="11" t="s">
        <v>5643</v>
      </c>
      <c r="C78" s="9" t="s">
        <v>480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5644</v>
      </c>
      <c r="B79" s="11" t="s">
        <v>5645</v>
      </c>
      <c r="C79" s="9" t="s">
        <v>480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5646</v>
      </c>
      <c r="B80" s="11" t="s">
        <v>5647</v>
      </c>
      <c r="C80" s="9" t="s">
        <v>480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5648</v>
      </c>
      <c r="B81" s="11" t="s">
        <v>5649</v>
      </c>
      <c r="C81" s="9" t="s">
        <v>480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5650</v>
      </c>
      <c r="B82" s="11" t="s">
        <v>5651</v>
      </c>
      <c r="C82" s="9" t="s">
        <v>480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5652</v>
      </c>
    </row>
    <row r="83" customFormat="false" ht="15" hidden="false" customHeight="false" outlineLevel="0" collapsed="false">
      <c r="A83" s="9" t="s">
        <v>5653</v>
      </c>
      <c r="B83" s="11" t="s">
        <v>5654</v>
      </c>
      <c r="C83" s="9" t="s">
        <v>480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5655</v>
      </c>
      <c r="B84" s="11" t="s">
        <v>5656</v>
      </c>
      <c r="C84" s="9" t="s">
        <v>480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5657</v>
      </c>
      <c r="B85" s="11" t="s">
        <v>5658</v>
      </c>
      <c r="C85" s="9" t="s">
        <v>480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5659</v>
      </c>
      <c r="B86" s="11" t="s">
        <v>5660</v>
      </c>
      <c r="C86" s="9" t="s">
        <v>480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5661</v>
      </c>
      <c r="B87" s="11" t="s">
        <v>5662</v>
      </c>
      <c r="C87" s="9" t="s">
        <v>480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5663</v>
      </c>
      <c r="B88" s="11" t="s">
        <v>5664</v>
      </c>
      <c r="C88" s="9" t="s">
        <v>480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5665</v>
      </c>
      <c r="B89" s="11" t="s">
        <v>5666</v>
      </c>
      <c r="C89" s="9" t="s">
        <v>480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5667</v>
      </c>
      <c r="B90" s="11" t="s">
        <v>5668</v>
      </c>
      <c r="C90" s="9" t="s">
        <v>480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5669</v>
      </c>
      <c r="B91" s="11" t="s">
        <v>5670</v>
      </c>
      <c r="C91" s="9" t="s">
        <v>480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5671</v>
      </c>
    </row>
    <row r="93" customFormat="false" ht="15" hidden="false" customHeight="false" outlineLevel="0" collapsed="false">
      <c r="A93" s="9" t="s">
        <v>5672</v>
      </c>
      <c r="B93" s="11" t="s">
        <v>5673</v>
      </c>
      <c r="C93" s="9" t="s">
        <v>480</v>
      </c>
      <c r="D93" s="17" t="n">
        <f aca="false">SRC_ANT_306</f>
        <v>15</v>
      </c>
      <c r="K93" s="12" t="s">
        <v>5674</v>
      </c>
    </row>
    <row r="94" customFormat="false" ht="15" hidden="false" customHeight="false" outlineLevel="0" collapsed="false">
      <c r="A94" s="9" t="s">
        <v>5675</v>
      </c>
      <c r="B94" s="9" t="s">
        <v>5676</v>
      </c>
      <c r="C94" s="9" t="s">
        <v>480</v>
      </c>
      <c r="D94" s="17" t="n">
        <f aca="false">SRC_ANT_251_Hi</f>
        <v>42</v>
      </c>
      <c r="K94" s="12" t="s">
        <v>5677</v>
      </c>
    </row>
    <row r="95" customFormat="false" ht="15" hidden="false" customHeight="false" outlineLevel="0" collapsed="false">
      <c r="A95" s="9" t="s">
        <v>5678</v>
      </c>
      <c r="B95" s="11" t="s">
        <v>5679</v>
      </c>
      <c r="C95" s="9" t="s">
        <v>480</v>
      </c>
      <c r="D95" s="17" t="n">
        <f aca="false">SRC_ANT_307</f>
        <v>71</v>
      </c>
      <c r="K95" s="12" t="s">
        <v>5680</v>
      </c>
    </row>
    <row r="96" customFormat="false" ht="15" hidden="false" customHeight="false" outlineLevel="0" collapsed="false">
      <c r="A96" s="9" t="s">
        <v>5681</v>
      </c>
      <c r="B96" s="11" t="s">
        <v>5682</v>
      </c>
      <c r="C96" s="9" t="s">
        <v>480</v>
      </c>
      <c r="D96" s="17" t="n">
        <f aca="false">D93+D94+D95</f>
        <v>128</v>
      </c>
      <c r="K96" s="2" t="s">
        <v>5683</v>
      </c>
    </row>
    <row r="97" customFormat="false" ht="15" hidden="false" customHeight="false" outlineLevel="0" collapsed="false">
      <c r="A97" s="9" t="s">
        <v>5684</v>
      </c>
      <c r="B97" s="11" t="s">
        <v>5685</v>
      </c>
      <c r="C97" s="9" t="s">
        <v>480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5686</v>
      </c>
    </row>
    <row r="98" customFormat="false" ht="15" hidden="false" customHeight="false" outlineLevel="0" collapsed="false">
      <c r="A98" s="9" t="s">
        <v>5687</v>
      </c>
      <c r="B98" s="11" t="s">
        <v>5688</v>
      </c>
      <c r="C98" s="11" t="s">
        <v>267</v>
      </c>
      <c r="D98" s="16" t="n">
        <f aca="false">SRC_ANT_246</f>
        <v>0.8</v>
      </c>
      <c r="K98" s="12" t="s">
        <v>5689</v>
      </c>
    </row>
    <row r="99" customFormat="false" ht="15" hidden="false" customHeight="false" outlineLevel="0" collapsed="false">
      <c r="A99" s="15" t="s">
        <v>5690</v>
      </c>
    </row>
    <row r="100" customFormat="false" ht="15" hidden="false" customHeight="false" outlineLevel="0" collapsed="false">
      <c r="A100" s="9" t="s">
        <v>5691</v>
      </c>
      <c r="B100" s="11" t="s">
        <v>5692</v>
      </c>
      <c r="C100" s="11" t="s">
        <v>5693</v>
      </c>
      <c r="D100" s="27" t="s">
        <v>5694</v>
      </c>
      <c r="E100" s="27" t="s">
        <v>5695</v>
      </c>
      <c r="F100" s="27" t="s">
        <v>5696</v>
      </c>
      <c r="G100" s="27" t="s">
        <v>5697</v>
      </c>
      <c r="H100" s="27" t="s">
        <v>5698</v>
      </c>
      <c r="I100" s="27" t="s">
        <v>5699</v>
      </c>
      <c r="K100" s="2"/>
    </row>
    <row r="101" customFormat="false" ht="15" hidden="false" customHeight="false" outlineLevel="0" collapsed="false">
      <c r="A101" s="9" t="s">
        <v>5700</v>
      </c>
      <c r="B101" s="9" t="s">
        <v>5701</v>
      </c>
      <c r="C101" s="11" t="s">
        <v>5693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28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5702</v>
      </c>
    </row>
    <row r="102" customFormat="false" ht="15" hidden="false" customHeight="false" outlineLevel="0" collapsed="false">
      <c r="A102" s="9" t="s">
        <v>5703</v>
      </c>
      <c r="B102" s="9" t="s">
        <v>5704</v>
      </c>
      <c r="C102" s="11" t="s">
        <v>5693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28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5705</v>
      </c>
    </row>
    <row r="103" customFormat="false" ht="15" hidden="false" customHeight="false" outlineLevel="0" collapsed="false">
      <c r="A103" s="9" t="s">
        <v>5706</v>
      </c>
      <c r="B103" s="9" t="s">
        <v>5707</v>
      </c>
      <c r="C103" s="11" t="s">
        <v>5693</v>
      </c>
      <c r="E103" s="22" t="n">
        <f aca="false">SRC_ANT_251_Hi</f>
        <v>42</v>
      </c>
      <c r="F103" s="22" t="n">
        <f aca="false">SRC_ANT_249</f>
        <v>161.2</v>
      </c>
      <c r="G103" s="28" t="n">
        <f aca="false">SUM(Cost!$E$41:$I$41)</f>
        <v>97.3777777777778</v>
      </c>
      <c r="I103" s="22" t="n">
        <f aca="false">E103/F103</f>
        <v>0.260545905707196</v>
      </c>
      <c r="K103" s="12" t="s">
        <v>5708</v>
      </c>
    </row>
    <row r="104" customFormat="false" ht="15" hidden="false" customHeight="false" outlineLevel="0" collapsed="false">
      <c r="A104" s="9" t="s">
        <v>5709</v>
      </c>
      <c r="B104" s="9" t="s">
        <v>5710</v>
      </c>
      <c r="C104" s="11" t="s">
        <v>5693</v>
      </c>
      <c r="D104" s="22" t="n">
        <f aca="false">SRC_ANT_331</f>
        <v>5</v>
      </c>
      <c r="F104" s="22" t="n">
        <f aca="false">SRC_ANT_211</f>
        <v>31.4</v>
      </c>
      <c r="G104" s="28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5711</v>
      </c>
      <c r="B105" s="9" t="s">
        <v>5712</v>
      </c>
      <c r="C105" s="11" t="s">
        <v>5693</v>
      </c>
      <c r="E105" s="22" t="n">
        <f aca="false">SRC_ANT_330-SRC_ANT_331</f>
        <v>10</v>
      </c>
      <c r="G105" s="28" t="n">
        <f aca="false">SUM(Cost!$E$43:$I$43)+SUM(Cost!$E$45:$I$45)+SUM(Cost!$E$46:$I$46)+SUM(Cost!$E$47:$I$47)+SUM(Cost!$E$48:$I$48)+SUM(Cost!$E$49:$I$49)</f>
        <v>109.0588218366</v>
      </c>
      <c r="K105" s="2" t="s">
        <v>5713</v>
      </c>
    </row>
    <row r="106" customFormat="false" ht="15" hidden="false" customHeight="false" outlineLevel="0" collapsed="false">
      <c r="A106" s="9" t="s">
        <v>5714</v>
      </c>
      <c r="B106" s="9" t="s">
        <v>5715</v>
      </c>
      <c r="C106" s="11" t="s">
        <v>5693</v>
      </c>
      <c r="E106" s="22" t="n">
        <f aca="false">SRC_ANT_332</f>
        <v>5</v>
      </c>
      <c r="F106" s="22" t="n">
        <f aca="false">SRC_ANT_232_Lo</f>
        <v>20</v>
      </c>
      <c r="G106" s="28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5716</v>
      </c>
      <c r="B107" s="11" t="s">
        <v>5717</v>
      </c>
      <c r="C107" s="11" t="s">
        <v>5693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5718</v>
      </c>
    </row>
    <row r="108" customFormat="false" ht="15" hidden="false" customHeight="false" outlineLevel="0" collapsed="false">
      <c r="A108" s="15" t="s">
        <v>5719</v>
      </c>
    </row>
    <row r="109" customFormat="false" ht="15" hidden="false" customHeight="false" outlineLevel="0" collapsed="false">
      <c r="A109" s="9" t="s">
        <v>5720</v>
      </c>
      <c r="B109" s="9" t="s">
        <v>5721</v>
      </c>
      <c r="C109" s="9" t="s">
        <v>480</v>
      </c>
      <c r="E109" s="17" t="n">
        <f aca="false">SRC_ANT_392</f>
        <v>72</v>
      </c>
      <c r="K109" s="12" t="s">
        <v>5722</v>
      </c>
    </row>
    <row r="110" customFormat="false" ht="15" hidden="false" customHeight="false" outlineLevel="0" collapsed="false">
      <c r="A110" s="9" t="s">
        <v>5723</v>
      </c>
      <c r="B110" s="11" t="s">
        <v>5724</v>
      </c>
      <c r="C110" s="9" t="s">
        <v>480</v>
      </c>
      <c r="E110" s="17" t="n">
        <f aca="false">SRC_ANT_391</f>
        <v>80.7</v>
      </c>
      <c r="K110" s="12" t="s">
        <v>5725</v>
      </c>
    </row>
    <row r="111" customFormat="false" ht="15" hidden="false" customHeight="false" outlineLevel="0" collapsed="false">
      <c r="A111" s="9" t="s">
        <v>5726</v>
      </c>
      <c r="B111" s="11" t="s">
        <v>5727</v>
      </c>
      <c r="C111" s="9" t="s">
        <v>480</v>
      </c>
      <c r="E111" s="17" t="n">
        <f aca="false">E110-E109</f>
        <v>8.7</v>
      </c>
      <c r="K111" s="2" t="s">
        <v>5728</v>
      </c>
    </row>
    <row r="112" customFormat="false" ht="15" hidden="false" customHeight="false" outlineLevel="0" collapsed="false">
      <c r="A112" s="9" t="s">
        <v>5729</v>
      </c>
      <c r="B112" s="11" t="s">
        <v>5730</v>
      </c>
      <c r="C112" s="11" t="s">
        <v>267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5731</v>
      </c>
    </row>
    <row r="114" customFormat="false" ht="15" hidden="false" customHeight="false" outlineLevel="0" collapsed="false">
      <c r="A114" s="9" t="s">
        <v>5732</v>
      </c>
      <c r="B114" s="11" t="s">
        <v>5733</v>
      </c>
      <c r="C114" s="9" t="s">
        <v>480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5734</v>
      </c>
    </row>
    <row r="115" customFormat="false" ht="15" hidden="false" customHeight="false" outlineLevel="0" collapsed="false">
      <c r="A115" s="9" t="s">
        <v>5735</v>
      </c>
      <c r="B115" s="11" t="s">
        <v>5736</v>
      </c>
      <c r="C115" s="9" t="s">
        <v>480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5737</v>
      </c>
      <c r="B116" s="11" t="s">
        <v>5738</v>
      </c>
      <c r="C116" s="9" t="s">
        <v>480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5739</v>
      </c>
      <c r="B117" s="11" t="s">
        <v>5740</v>
      </c>
      <c r="C117" s="9" t="s">
        <v>480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5741</v>
      </c>
      <c r="B118" s="11" t="s">
        <v>5742</v>
      </c>
      <c r="C118" s="9" t="s">
        <v>480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  <row r="119" customFormat="false" ht="15" hidden="false" customHeight="false" outlineLevel="0" collapsed="false">
      <c r="A119" s="15" t="s">
        <v>5743</v>
      </c>
    </row>
    <row r="120" customFormat="false" ht="15" hidden="false" customHeight="false" outlineLevel="0" collapsed="false">
      <c r="A120" s="9" t="s">
        <v>5744</v>
      </c>
      <c r="B120" s="11" t="s">
        <v>5745</v>
      </c>
      <c r="C120" s="9" t="s">
        <v>480</v>
      </c>
      <c r="D120" s="17" t="n">
        <f aca="false">SRC_ANT_305*INP_188</f>
        <v>0</v>
      </c>
      <c r="K120" s="12" t="s">
        <v>5746</v>
      </c>
    </row>
    <row r="121" customFormat="false" ht="15" hidden="false" customHeight="false" outlineLevel="0" collapsed="false">
      <c r="A121" s="9" t="s">
        <v>5747</v>
      </c>
      <c r="B121" s="11" t="s">
        <v>5748</v>
      </c>
      <c r="C121" s="9" t="s">
        <v>480</v>
      </c>
      <c r="E121" s="17" t="n">
        <f aca="false">E14</f>
        <v>-2.58841935855733</v>
      </c>
      <c r="F121" s="17" t="n">
        <f aca="false">E121+F14</f>
        <v>-21.0921388091624</v>
      </c>
      <c r="G121" s="17" t="n">
        <f aca="false">F121+G14</f>
        <v>-36.0519319316277</v>
      </c>
      <c r="H121" s="17" t="n">
        <f aca="false">G121+H14</f>
        <v>11.546741429863</v>
      </c>
      <c r="I121" s="17" t="n">
        <f aca="false">H121+I14</f>
        <v>107.678201246033</v>
      </c>
      <c r="K121" s="2" t="s">
        <v>5749</v>
      </c>
    </row>
    <row r="122" customFormat="false" ht="15" hidden="false" customHeight="false" outlineLevel="0" collapsed="false">
      <c r="A122" s="9" t="s">
        <v>5750</v>
      </c>
      <c r="B122" s="11" t="s">
        <v>5751</v>
      </c>
      <c r="C122" s="11" t="s">
        <v>2187</v>
      </c>
      <c r="E122" s="23" t="str">
        <f aca="false">IF(E8&gt;E9+E11,E$6,"")</f>
        <v/>
      </c>
      <c r="F122" s="23" t="str">
        <f aca="false">IF(F8&gt;F9+F11,F$6,"")</f>
        <v/>
      </c>
      <c r="G122" s="23" t="str">
        <f aca="false">IF(G8&gt;G9+G11,G$6,"")</f>
        <v/>
      </c>
      <c r="H122" s="23" t="n">
        <f aca="false">IF(H8&gt;H9+H11,H$6,"")</f>
        <v>2029</v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5752</v>
      </c>
      <c r="B123" s="11" t="s">
        <v>5753</v>
      </c>
      <c r="C123" s="11" t="s">
        <v>2187</v>
      </c>
      <c r="D123" s="23" t="n">
        <f aca="false">IF(COUNT($D$122:$I$122),MIN($D$122:$I$122),"無")</f>
        <v>2029</v>
      </c>
      <c r="K123" s="2" t="s">
        <v>5754</v>
      </c>
    </row>
    <row r="124" customFormat="false" ht="15" hidden="false" customHeight="false" outlineLevel="0" collapsed="false">
      <c r="A124" s="9" t="s">
        <v>5755</v>
      </c>
      <c r="B124" s="11" t="s">
        <v>5756</v>
      </c>
      <c r="C124" s="9" t="s">
        <v>480</v>
      </c>
      <c r="E124" s="17" t="n">
        <f aca="false">$D$120+E14</f>
        <v>-2.58841935855733</v>
      </c>
      <c r="F124" s="17" t="n">
        <f aca="false">E126+F14</f>
        <v>-14.5269930892051</v>
      </c>
      <c r="G124" s="17" t="n">
        <f aca="false">F126+G14</f>
        <v>-10.0445593397749</v>
      </c>
      <c r="H124" s="17" t="n">
        <f aca="false">G126+H14</f>
        <v>53.4207677770875</v>
      </c>
      <c r="I124" s="17" t="n">
        <f aca="false">H126+I14</f>
        <v>149.552227593258</v>
      </c>
      <c r="K124" s="2"/>
    </row>
    <row r="125" customFormat="false" ht="15" hidden="false" customHeight="false" outlineLevel="0" collapsed="false">
      <c r="A125" s="9" t="s">
        <v>5757</v>
      </c>
      <c r="B125" s="11" t="s">
        <v>5758</v>
      </c>
      <c r="C125" s="9" t="s">
        <v>480</v>
      </c>
      <c r="E125" s="17" t="n">
        <f aca="false">(E38-E124)*(E38&gt;E124)</f>
        <v>6.56514571995733</v>
      </c>
      <c r="F125" s="17" t="n">
        <f aca="false">(F38-F124)*(F38&gt;F124)</f>
        <v>19.4422268718955</v>
      </c>
      <c r="G125" s="17" t="n">
        <f aca="false">(G38-G124)*(G38&gt;G124)</f>
        <v>15.8666537553716</v>
      </c>
      <c r="H125" s="17" t="n">
        <f aca="false">(H38-H124)*(H38&gt;H124)</f>
        <v>-0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5759</v>
      </c>
      <c r="B126" s="11" t="s">
        <v>5760</v>
      </c>
      <c r="C126" s="9" t="s">
        <v>480</v>
      </c>
      <c r="D126" s="17" t="n">
        <f aca="false">$D$120</f>
        <v>0</v>
      </c>
      <c r="E126" s="17" t="n">
        <f aca="false">E124+E125</f>
        <v>3.9767263614</v>
      </c>
      <c r="F126" s="17" t="n">
        <f aca="false">F124+F125</f>
        <v>4.9152337826904</v>
      </c>
      <c r="G126" s="17" t="n">
        <f aca="false">G124+G125</f>
        <v>5.82209441559678</v>
      </c>
      <c r="H126" s="17" t="n">
        <f aca="false">H124+H125</f>
        <v>53.4207677770875</v>
      </c>
      <c r="I126" s="17" t="n">
        <f aca="false">I124+I125</f>
        <v>149.552227593258</v>
      </c>
      <c r="K126" s="2"/>
    </row>
    <row r="127" customFormat="false" ht="15" hidden="false" customHeight="false" outlineLevel="0" collapsed="false">
      <c r="A127" s="9" t="s">
        <v>5761</v>
      </c>
      <c r="B127" s="11" t="s">
        <v>5762</v>
      </c>
      <c r="C127" s="9" t="s">
        <v>480</v>
      </c>
      <c r="E127" s="17" t="n">
        <f aca="false">E125</f>
        <v>6.56514571995733</v>
      </c>
      <c r="F127" s="17" t="n">
        <f aca="false">E127+F125</f>
        <v>26.0073725918528</v>
      </c>
      <c r="G127" s="17" t="n">
        <f aca="false">F127+G125</f>
        <v>41.8740263472245</v>
      </c>
      <c r="H127" s="17" t="n">
        <f aca="false">G127+H125</f>
        <v>41.8740263472245</v>
      </c>
      <c r="I127" s="17" t="n">
        <f aca="false">H127+I125</f>
        <v>41.8740263472245</v>
      </c>
      <c r="K127" s="2"/>
    </row>
    <row r="128" customFormat="false" ht="15" hidden="false" customHeight="false" outlineLevel="0" collapsed="false">
      <c r="A128" s="9" t="s">
        <v>5763</v>
      </c>
      <c r="B128" s="11" t="s">
        <v>5764</v>
      </c>
      <c r="C128" s="9" t="s">
        <v>480</v>
      </c>
      <c r="E128" s="17" t="n">
        <f aca="false">$D$120+E14</f>
        <v>-2.58841935855733</v>
      </c>
      <c r="F128" s="17" t="n">
        <f aca="false">E128+F14</f>
        <v>-21.0921388091624</v>
      </c>
      <c r="G128" s="17" t="n">
        <f aca="false">F128+G14</f>
        <v>-36.0519319316277</v>
      </c>
      <c r="H128" s="17" t="n">
        <f aca="false">G128+H14</f>
        <v>11.546741429863</v>
      </c>
      <c r="I128" s="17" t="n">
        <f aca="false">H128+I14</f>
        <v>107.678201246033</v>
      </c>
      <c r="K128" s="2" t="s">
        <v>5765</v>
      </c>
    </row>
    <row r="129" customFormat="false" ht="15" hidden="false" customHeight="false" outlineLevel="0" collapsed="false">
      <c r="A129" s="9" t="s">
        <v>5766</v>
      </c>
      <c r="B129" s="11" t="s">
        <v>5767</v>
      </c>
      <c r="C129" s="11" t="s">
        <v>2187</v>
      </c>
      <c r="E129" s="23" t="n">
        <f aca="false">IF(SIGN(E125),E$6,"")</f>
        <v>2026</v>
      </c>
      <c r="F129" s="23" t="n">
        <f aca="false">IF(SIGN(F125),F$6,"")</f>
        <v>2027</v>
      </c>
      <c r="G129" s="23" t="n">
        <f aca="false">IF(SIGN(G125),G$6,"")</f>
        <v>2028</v>
      </c>
      <c r="H129" s="23" t="str">
        <f aca="false">IF(SIGN(H125),H$6,"")</f>
        <v/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5768</v>
      </c>
      <c r="B130" s="11" t="s">
        <v>5769</v>
      </c>
      <c r="C130" s="11" t="s">
        <v>2187</v>
      </c>
      <c r="D130" s="23" t="n">
        <f aca="false">IF(COUNT($D$129:$I$129),MIN($D$129:$I$129),"無")</f>
        <v>2026</v>
      </c>
      <c r="K130" s="2"/>
    </row>
    <row r="131" customFormat="false" ht="15" hidden="false" customHeight="false" outlineLevel="0" collapsed="false">
      <c r="A131" s="9" t="s">
        <v>5770</v>
      </c>
      <c r="B131" s="11" t="s">
        <v>5771</v>
      </c>
      <c r="C131" s="9" t="s">
        <v>480</v>
      </c>
      <c r="D131" s="17" t="n">
        <f aca="false">I127</f>
        <v>41.8740263472245</v>
      </c>
      <c r="K131" s="2"/>
    </row>
    <row r="132" customFormat="false" ht="15" hidden="false" customHeight="false" outlineLevel="0" collapsed="false">
      <c r="A132" s="9" t="s">
        <v>5772</v>
      </c>
      <c r="B132" s="11" t="s">
        <v>5773</v>
      </c>
      <c r="C132" s="9" t="s">
        <v>480</v>
      </c>
      <c r="D132" s="17" t="n">
        <f aca="false">MIN($D$128:$I$128)</f>
        <v>-36.0519319316277</v>
      </c>
      <c r="K132" s="2" t="s">
        <v>5774</v>
      </c>
    </row>
    <row r="133" customFormat="false" ht="15" hidden="false" customHeight="false" outlineLevel="0" collapsed="false">
      <c r="A133" s="9" t="s">
        <v>5775</v>
      </c>
      <c r="B133" s="11" t="s">
        <v>5776</v>
      </c>
      <c r="C133" s="9" t="s">
        <v>480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5777</v>
      </c>
      <c r="B134" s="11" t="s">
        <v>5778</v>
      </c>
      <c r="C134" s="9" t="s">
        <v>480</v>
      </c>
      <c r="E134" s="17" t="n">
        <f aca="false">SRC_ANT_305+E14+E133</f>
        <v>117.691580641443</v>
      </c>
      <c r="F134" s="17" t="n">
        <f aca="false">E136+F14+F133</f>
        <v>99.1878611908376</v>
      </c>
      <c r="G134" s="17" t="n">
        <f aca="false">F136+G14+G133</f>
        <v>84.2280680683723</v>
      </c>
      <c r="H134" s="17" t="n">
        <f aca="false">G136+H14+H133</f>
        <v>131.826741429863</v>
      </c>
      <c r="I134" s="17" t="n">
        <f aca="false">H136+I14+I133</f>
        <v>227.958201246033</v>
      </c>
      <c r="K134" s="2"/>
    </row>
    <row r="135" customFormat="false" ht="15" hidden="false" customHeight="false" outlineLevel="0" collapsed="false">
      <c r="A135" s="9" t="s">
        <v>5779</v>
      </c>
      <c r="B135" s="11" t="s">
        <v>5780</v>
      </c>
      <c r="C135" s="9" t="s">
        <v>480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5781</v>
      </c>
      <c r="B136" s="11" t="s">
        <v>5782</v>
      </c>
      <c r="C136" s="9" t="s">
        <v>480</v>
      </c>
      <c r="D136" s="17" t="n">
        <f aca="false">SRC_ANT_305</f>
        <v>20.28</v>
      </c>
      <c r="E136" s="17" t="n">
        <f aca="false">E134+E135</f>
        <v>117.691580641443</v>
      </c>
      <c r="F136" s="17" t="n">
        <f aca="false">F134+F135</f>
        <v>99.1878611908376</v>
      </c>
      <c r="G136" s="17" t="n">
        <f aca="false">G134+G135</f>
        <v>84.2280680683723</v>
      </c>
      <c r="H136" s="17" t="n">
        <f aca="false">H134+H135</f>
        <v>131.826741429863</v>
      </c>
      <c r="I136" s="17" t="n">
        <f aca="false">I134+I135</f>
        <v>227.958201246033</v>
      </c>
      <c r="K136" s="2"/>
    </row>
    <row r="137" customFormat="false" ht="15" hidden="false" customHeight="false" outlineLevel="0" collapsed="false">
      <c r="A137" s="9" t="s">
        <v>5783</v>
      </c>
      <c r="B137" s="11" t="s">
        <v>5784</v>
      </c>
      <c r="C137" s="9" t="s">
        <v>480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5785</v>
      </c>
      <c r="B138" s="11" t="s">
        <v>5786</v>
      </c>
      <c r="C138" s="9" t="s">
        <v>480</v>
      </c>
      <c r="E138" s="17" t="n">
        <f aca="false">SRC_ANT_305+E14+E133</f>
        <v>117.691580641443</v>
      </c>
      <c r="F138" s="17" t="n">
        <f aca="false">E138+F14+F133</f>
        <v>99.1878611908376</v>
      </c>
      <c r="G138" s="17" t="n">
        <f aca="false">F138+G14+G133</f>
        <v>84.2280680683723</v>
      </c>
      <c r="H138" s="17" t="n">
        <f aca="false">G138+H14+H133</f>
        <v>131.826741429863</v>
      </c>
      <c r="I138" s="17" t="n">
        <f aca="false">H138+I14+I133</f>
        <v>227.958201246033</v>
      </c>
      <c r="K138" s="2" t="s">
        <v>5765</v>
      </c>
    </row>
    <row r="139" customFormat="false" ht="15" hidden="false" customHeight="false" outlineLevel="0" collapsed="false">
      <c r="A139" s="9" t="s">
        <v>5787</v>
      </c>
      <c r="B139" s="11" t="s">
        <v>5788</v>
      </c>
      <c r="C139" s="11" t="s">
        <v>2187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5789</v>
      </c>
      <c r="B140" s="11" t="s">
        <v>5790</v>
      </c>
      <c r="C140" s="11" t="s">
        <v>2187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5791</v>
      </c>
      <c r="B141" s="11" t="s">
        <v>5792</v>
      </c>
      <c r="C141" s="9" t="s">
        <v>480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5793</v>
      </c>
      <c r="B142" s="11" t="s">
        <v>5794</v>
      </c>
      <c r="C142" s="9" t="s">
        <v>480</v>
      </c>
      <c r="D142" s="17" t="n">
        <f aca="false">MIN($D$138:$I$138)</f>
        <v>84.2280680683723</v>
      </c>
      <c r="K142" s="2" t="s">
        <v>5774</v>
      </c>
    </row>
    <row r="143" customFormat="false" ht="15" hidden="false" customHeight="false" outlineLevel="0" collapsed="false">
      <c r="A143" s="9" t="s">
        <v>5795</v>
      </c>
      <c r="B143" s="11" t="s">
        <v>5796</v>
      </c>
      <c r="C143" s="9" t="s">
        <v>480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5797</v>
      </c>
      <c r="B144" s="11" t="s">
        <v>5798</v>
      </c>
      <c r="C144" s="9" t="s">
        <v>480</v>
      </c>
      <c r="E144" s="17" t="n">
        <f aca="false">SRC_ANT_305+E14+E143</f>
        <v>227.691580641443</v>
      </c>
      <c r="F144" s="17" t="n">
        <f aca="false">E146+F14+F143</f>
        <v>259.187861190838</v>
      </c>
      <c r="G144" s="17" t="n">
        <f aca="false">F146+G14+G143</f>
        <v>244.228068068372</v>
      </c>
      <c r="H144" s="17" t="n">
        <f aca="false">G146+H14+H143</f>
        <v>291.826741429863</v>
      </c>
      <c r="I144" s="17" t="n">
        <f aca="false">H146+I14+I143</f>
        <v>387.958201246033</v>
      </c>
      <c r="K144" s="2"/>
    </row>
    <row r="145" customFormat="false" ht="15" hidden="false" customHeight="false" outlineLevel="0" collapsed="false">
      <c r="A145" s="9" t="s">
        <v>5799</v>
      </c>
      <c r="B145" s="11" t="s">
        <v>5800</v>
      </c>
      <c r="C145" s="9" t="s">
        <v>480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5801</v>
      </c>
      <c r="B146" s="11" t="s">
        <v>5802</v>
      </c>
      <c r="C146" s="9" t="s">
        <v>480</v>
      </c>
      <c r="D146" s="17" t="n">
        <f aca="false">SRC_ANT_305</f>
        <v>20.28</v>
      </c>
      <c r="E146" s="17" t="n">
        <f aca="false">E144+E145</f>
        <v>227.691580641443</v>
      </c>
      <c r="F146" s="17" t="n">
        <f aca="false">F144+F145</f>
        <v>259.187861190838</v>
      </c>
      <c r="G146" s="17" t="n">
        <f aca="false">G144+G145</f>
        <v>244.228068068372</v>
      </c>
      <c r="H146" s="17" t="n">
        <f aca="false">H144+H145</f>
        <v>291.826741429863</v>
      </c>
      <c r="I146" s="17" t="n">
        <f aca="false">I144+I145</f>
        <v>387.958201246033</v>
      </c>
      <c r="K146" s="2"/>
    </row>
    <row r="147" customFormat="false" ht="15" hidden="false" customHeight="false" outlineLevel="0" collapsed="false">
      <c r="A147" s="9" t="s">
        <v>5803</v>
      </c>
      <c r="B147" s="11" t="s">
        <v>5804</v>
      </c>
      <c r="C147" s="9" t="s">
        <v>480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5805</v>
      </c>
      <c r="B148" s="11" t="s">
        <v>5806</v>
      </c>
      <c r="C148" s="9" t="s">
        <v>480</v>
      </c>
      <c r="E148" s="17" t="n">
        <f aca="false">SRC_ANT_305+E14+E143</f>
        <v>227.691580641443</v>
      </c>
      <c r="F148" s="17" t="n">
        <f aca="false">E148+F14+F143</f>
        <v>259.187861190838</v>
      </c>
      <c r="G148" s="17" t="n">
        <f aca="false">F148+G14+G143</f>
        <v>244.228068068372</v>
      </c>
      <c r="H148" s="17" t="n">
        <f aca="false">G148+H14+H143</f>
        <v>291.826741429863</v>
      </c>
      <c r="I148" s="17" t="n">
        <f aca="false">H148+I14+I143</f>
        <v>387.958201246033</v>
      </c>
      <c r="K148" s="2" t="s">
        <v>5765</v>
      </c>
    </row>
    <row r="149" customFormat="false" ht="15" hidden="false" customHeight="false" outlineLevel="0" collapsed="false">
      <c r="A149" s="9" t="s">
        <v>5807</v>
      </c>
      <c r="B149" s="11" t="s">
        <v>5808</v>
      </c>
      <c r="C149" s="11" t="s">
        <v>2187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5809</v>
      </c>
      <c r="B150" s="11" t="s">
        <v>5810</v>
      </c>
      <c r="C150" s="11" t="s">
        <v>2187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5811</v>
      </c>
      <c r="B151" s="11" t="s">
        <v>5812</v>
      </c>
      <c r="C151" s="9" t="s">
        <v>480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5813</v>
      </c>
      <c r="B152" s="11" t="s">
        <v>5814</v>
      </c>
      <c r="C152" s="9" t="s">
        <v>480</v>
      </c>
      <c r="D152" s="17" t="n">
        <f aca="false">MIN($D$148:$I$148)</f>
        <v>227.691580641443</v>
      </c>
      <c r="K152" s="2" t="s">
        <v>5774</v>
      </c>
    </row>
    <row r="153" customFormat="false" ht="15" hidden="false" customHeight="false" outlineLevel="0" collapsed="false">
      <c r="A153" s="15" t="s">
        <v>5815</v>
      </c>
    </row>
    <row r="154" customFormat="false" ht="15" hidden="false" customHeight="false" outlineLevel="0" collapsed="false">
      <c r="A154" s="9" t="s">
        <v>5816</v>
      </c>
      <c r="B154" s="11" t="s">
        <v>5817</v>
      </c>
      <c r="C154" s="11" t="s">
        <v>2187</v>
      </c>
      <c r="E154" s="23" t="str">
        <f aca="false">IF(Cost!E105+Cost!E296&gt;Cost!E53+Cost!E292+Cost!E89,E$6,"")</f>
        <v/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n">
        <f aca="false">IF(Cost!H105+Cost!H296&gt;Cost!H53+Cost!H292+Cost!H89,H$6,"")</f>
        <v>2029</v>
      </c>
      <c r="I154" s="23" t="n">
        <f aca="false">IF(Cost!I105+Cost!I296&gt;Cost!I53+Cost!I292+Cost!I89,I$6,"")</f>
        <v>2030</v>
      </c>
      <c r="K154" s="2"/>
    </row>
    <row r="155" customFormat="false" ht="15" hidden="false" customHeight="false" outlineLevel="0" collapsed="false">
      <c r="A155" s="9" t="s">
        <v>5818</v>
      </c>
      <c r="B155" s="11" t="s">
        <v>5819</v>
      </c>
      <c r="C155" s="11" t="s">
        <v>2187</v>
      </c>
      <c r="D155" s="23" t="n">
        <f aca="false">IF(COUNT($D$154:$I$154),MIN($D$154:$I$154),"無")</f>
        <v>2029</v>
      </c>
      <c r="K155" s="2" t="s">
        <v>5754</v>
      </c>
    </row>
    <row r="156" customFormat="false" ht="15" hidden="false" customHeight="false" outlineLevel="0" collapsed="false">
      <c r="A156" s="9" t="s">
        <v>5820</v>
      </c>
      <c r="B156" s="11" t="s">
        <v>5821</v>
      </c>
      <c r="C156" s="9" t="s">
        <v>480</v>
      </c>
      <c r="E156" s="17" t="n">
        <f aca="false">$D$120+Cost!E300</f>
        <v>-2.58841935855733</v>
      </c>
      <c r="F156" s="17" t="n">
        <f aca="false">E158+Cost!F300</f>
        <v>-14.5269930892051</v>
      </c>
      <c r="G156" s="17" t="n">
        <f aca="false">F158+Cost!G300</f>
        <v>-10.0445593397749</v>
      </c>
      <c r="H156" s="17" t="n">
        <f aca="false">G158+Cost!H300</f>
        <v>38.8325148110802</v>
      </c>
      <c r="I156" s="17" t="n">
        <f aca="false">H158+Cost!I300</f>
        <v>91.9492157292283</v>
      </c>
      <c r="K156" s="2"/>
    </row>
    <row r="157" customFormat="false" ht="15" hidden="false" customHeight="false" outlineLevel="0" collapsed="false">
      <c r="A157" s="9" t="s">
        <v>5822</v>
      </c>
      <c r="B157" s="11" t="s">
        <v>5823</v>
      </c>
      <c r="C157" s="9" t="s">
        <v>480</v>
      </c>
      <c r="E157" s="17" t="n">
        <f aca="false">(E38-E156)*(E38&gt;E156)</f>
        <v>6.56514571995733</v>
      </c>
      <c r="F157" s="17" t="n">
        <f aca="false">(F38-F156)*(F38&gt;F156)</f>
        <v>19.4422268718955</v>
      </c>
      <c r="G157" s="17" t="n">
        <f aca="false">(G38-G156)*(G38&gt;G156)</f>
        <v>15.8666537553717</v>
      </c>
      <c r="H157" s="17" t="n">
        <f aca="false">(H38-H156)*(H38&gt;H156)</f>
        <v>-0</v>
      </c>
      <c r="I157" s="17" t="n">
        <f aca="false">(I38-I156)*(I38&gt;I156)</f>
        <v>-0</v>
      </c>
      <c r="K157" s="2"/>
    </row>
    <row r="158" customFormat="false" ht="15" hidden="false" customHeight="false" outlineLevel="0" collapsed="false">
      <c r="A158" s="9" t="s">
        <v>5824</v>
      </c>
      <c r="B158" s="11" t="s">
        <v>5825</v>
      </c>
      <c r="C158" s="9" t="s">
        <v>480</v>
      </c>
      <c r="D158" s="17" t="n">
        <f aca="false">$D$120</f>
        <v>0</v>
      </c>
      <c r="E158" s="17" t="n">
        <f aca="false">E156+E157</f>
        <v>3.9767263614</v>
      </c>
      <c r="F158" s="17" t="n">
        <f aca="false">F156+F157</f>
        <v>4.9152337826904</v>
      </c>
      <c r="G158" s="17" t="n">
        <f aca="false">G156+G157</f>
        <v>5.82209441559678</v>
      </c>
      <c r="H158" s="17" t="n">
        <f aca="false">H156+H157</f>
        <v>38.8325148110802</v>
      </c>
      <c r="I158" s="17" t="n">
        <f aca="false">I156+I157</f>
        <v>91.9492157292283</v>
      </c>
      <c r="K158" s="2"/>
    </row>
    <row r="159" customFormat="false" ht="15" hidden="false" customHeight="false" outlineLevel="0" collapsed="false">
      <c r="A159" s="9" t="s">
        <v>5826</v>
      </c>
      <c r="B159" s="11" t="s">
        <v>5827</v>
      </c>
      <c r="C159" s="9" t="s">
        <v>480</v>
      </c>
      <c r="E159" s="17" t="n">
        <f aca="false">E157</f>
        <v>6.56514571995733</v>
      </c>
      <c r="F159" s="17" t="n">
        <f aca="false">E159+F157</f>
        <v>26.0073725918528</v>
      </c>
      <c r="G159" s="17" t="n">
        <f aca="false">F159+G157</f>
        <v>41.8740263472245</v>
      </c>
      <c r="H159" s="17" t="n">
        <f aca="false">G159+H157</f>
        <v>41.8740263472245</v>
      </c>
      <c r="I159" s="17" t="n">
        <f aca="false">H159+I157</f>
        <v>41.8740263472245</v>
      </c>
      <c r="K159" s="2"/>
    </row>
    <row r="160" customFormat="false" ht="15" hidden="false" customHeight="false" outlineLevel="0" collapsed="false">
      <c r="A160" s="9" t="s">
        <v>5828</v>
      </c>
      <c r="B160" s="11" t="s">
        <v>5829</v>
      </c>
      <c r="C160" s="9" t="s">
        <v>480</v>
      </c>
      <c r="E160" s="17" t="n">
        <f aca="false">$D$120+Cost!E300</f>
        <v>-2.58841935855733</v>
      </c>
      <c r="F160" s="17" t="n">
        <f aca="false">E160+Cost!F300</f>
        <v>-21.0921388091624</v>
      </c>
      <c r="G160" s="17" t="n">
        <f aca="false">F160+Cost!G300</f>
        <v>-36.0519319316277</v>
      </c>
      <c r="H160" s="17" t="n">
        <f aca="false">G160+Cost!H300</f>
        <v>-3.04151153614433</v>
      </c>
      <c r="I160" s="17" t="n">
        <f aca="false">H160+Cost!I300</f>
        <v>50.0751893820038</v>
      </c>
      <c r="K160" s="2" t="s">
        <v>5765</v>
      </c>
    </row>
    <row r="161" customFormat="false" ht="15" hidden="false" customHeight="false" outlineLevel="0" collapsed="false">
      <c r="A161" s="9" t="s">
        <v>5830</v>
      </c>
      <c r="B161" s="11" t="s">
        <v>5831</v>
      </c>
      <c r="C161" s="11" t="s">
        <v>2187</v>
      </c>
      <c r="E161" s="23" t="n">
        <f aca="false">IF(SIGN(E157),E$6,"")</f>
        <v>2026</v>
      </c>
      <c r="F161" s="23" t="n">
        <f aca="false">IF(SIGN(F157),F$6,"")</f>
        <v>2027</v>
      </c>
      <c r="G161" s="23" t="n">
        <f aca="false">IF(SIGN(G157),G$6,"")</f>
        <v>2028</v>
      </c>
      <c r="H161" s="23" t="str">
        <f aca="false">IF(SIGN(H157),H$6,"")</f>
        <v/>
      </c>
      <c r="I161" s="23" t="str">
        <f aca="false">IF(SIGN(I157),I$6,"")</f>
        <v/>
      </c>
      <c r="K161" s="2"/>
    </row>
    <row r="162" customFormat="false" ht="15" hidden="false" customHeight="false" outlineLevel="0" collapsed="false">
      <c r="A162" s="9" t="s">
        <v>5832</v>
      </c>
      <c r="B162" s="11" t="s">
        <v>5833</v>
      </c>
      <c r="C162" s="11" t="s">
        <v>2187</v>
      </c>
      <c r="D162" s="23" t="n">
        <f aca="false">IF(COUNT($D$161:$I$161),MIN($D$161:$I$161),"無")</f>
        <v>2026</v>
      </c>
      <c r="K162" s="2"/>
    </row>
    <row r="163" customFormat="false" ht="15" hidden="false" customHeight="false" outlineLevel="0" collapsed="false">
      <c r="A163" s="9" t="s">
        <v>5834</v>
      </c>
      <c r="B163" s="11" t="s">
        <v>5835</v>
      </c>
      <c r="C163" s="9" t="s">
        <v>480</v>
      </c>
      <c r="D163" s="17" t="n">
        <f aca="false">I159</f>
        <v>41.8740263472245</v>
      </c>
      <c r="K163" s="2"/>
    </row>
    <row r="164" customFormat="false" ht="15" hidden="false" customHeight="false" outlineLevel="0" collapsed="false">
      <c r="A164" s="9" t="s">
        <v>5836</v>
      </c>
      <c r="B164" s="11" t="s">
        <v>5837</v>
      </c>
      <c r="C164" s="9" t="s">
        <v>480</v>
      </c>
      <c r="D164" s="17" t="n">
        <f aca="false">MIN($D$160:$I$160)</f>
        <v>-36.0519319316277</v>
      </c>
      <c r="K164" s="2" t="s">
        <v>5774</v>
      </c>
    </row>
    <row r="165" customFormat="false" ht="15" hidden="false" customHeight="false" outlineLevel="0" collapsed="false">
      <c r="A165" s="9" t="s">
        <v>5838</v>
      </c>
      <c r="B165" s="11" t="s">
        <v>5839</v>
      </c>
      <c r="C165" s="9" t="s">
        <v>480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5840</v>
      </c>
      <c r="B166" s="11" t="s">
        <v>5841</v>
      </c>
      <c r="C166" s="9" t="s">
        <v>480</v>
      </c>
      <c r="E166" s="17" t="n">
        <f aca="false">SRC_ANT_305+Cost!E300+E165</f>
        <v>117.691580641443</v>
      </c>
      <c r="F166" s="17" t="n">
        <f aca="false">E168+Cost!F300+F165</f>
        <v>99.1878611908376</v>
      </c>
      <c r="G166" s="17" t="n">
        <f aca="false">F168+Cost!G300+G165</f>
        <v>84.2280680683723</v>
      </c>
      <c r="H166" s="17" t="n">
        <f aca="false">G168+Cost!H300+H165</f>
        <v>117.238488463856</v>
      </c>
      <c r="I166" s="17" t="n">
        <f aca="false">H168+Cost!I300+I165</f>
        <v>170.355189382004</v>
      </c>
      <c r="K166" s="2"/>
    </row>
    <row r="167" customFormat="false" ht="15" hidden="false" customHeight="false" outlineLevel="0" collapsed="false">
      <c r="A167" s="9" t="s">
        <v>5842</v>
      </c>
      <c r="B167" s="11" t="s">
        <v>5843</v>
      </c>
      <c r="C167" s="9" t="s">
        <v>480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-0</v>
      </c>
      <c r="I167" s="17" t="n">
        <f aca="false">(I38-I166)*(I38&gt;I166)</f>
        <v>-0</v>
      </c>
      <c r="K167" s="2"/>
    </row>
    <row r="168" customFormat="false" ht="15" hidden="false" customHeight="false" outlineLevel="0" collapsed="false">
      <c r="A168" s="9" t="s">
        <v>5844</v>
      </c>
      <c r="B168" s="11" t="s">
        <v>5845</v>
      </c>
      <c r="C168" s="9" t="s">
        <v>480</v>
      </c>
      <c r="D168" s="17" t="n">
        <f aca="false">SRC_ANT_305</f>
        <v>20.28</v>
      </c>
      <c r="E168" s="17" t="n">
        <f aca="false">E166+E167</f>
        <v>117.691580641443</v>
      </c>
      <c r="F168" s="17" t="n">
        <f aca="false">F166+F167</f>
        <v>99.1878611908376</v>
      </c>
      <c r="G168" s="17" t="n">
        <f aca="false">G166+G167</f>
        <v>84.2280680683723</v>
      </c>
      <c r="H168" s="17" t="n">
        <f aca="false">H166+H167</f>
        <v>117.238488463856</v>
      </c>
      <c r="I168" s="17" t="n">
        <f aca="false">I166+I167</f>
        <v>170.355189382004</v>
      </c>
      <c r="K168" s="2"/>
    </row>
    <row r="169" customFormat="false" ht="15" hidden="false" customHeight="false" outlineLevel="0" collapsed="false">
      <c r="A169" s="9" t="s">
        <v>5846</v>
      </c>
      <c r="B169" s="11" t="s">
        <v>5847</v>
      </c>
      <c r="C169" s="9" t="s">
        <v>480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-0</v>
      </c>
      <c r="I169" s="17" t="n">
        <f aca="false">H169+I167</f>
        <v>-0</v>
      </c>
      <c r="K169" s="2"/>
    </row>
    <row r="170" customFormat="false" ht="15" hidden="false" customHeight="false" outlineLevel="0" collapsed="false">
      <c r="A170" s="9" t="s">
        <v>5848</v>
      </c>
      <c r="B170" s="11" t="s">
        <v>5849</v>
      </c>
      <c r="C170" s="9" t="s">
        <v>480</v>
      </c>
      <c r="E170" s="17" t="n">
        <f aca="false">SRC_ANT_305+Cost!E300+E165</f>
        <v>117.691580641443</v>
      </c>
      <c r="F170" s="17" t="n">
        <f aca="false">E170+Cost!F300+F165</f>
        <v>99.1878611908376</v>
      </c>
      <c r="G170" s="17" t="n">
        <f aca="false">F170+Cost!G300+G165</f>
        <v>84.2280680683723</v>
      </c>
      <c r="H170" s="17" t="n">
        <f aca="false">G170+Cost!H300+H165</f>
        <v>117.238488463856</v>
      </c>
      <c r="I170" s="17" t="n">
        <f aca="false">H170+Cost!I300+I165</f>
        <v>170.355189382004</v>
      </c>
      <c r="K170" s="2" t="s">
        <v>5765</v>
      </c>
    </row>
    <row r="171" customFormat="false" ht="15" hidden="false" customHeight="false" outlineLevel="0" collapsed="false">
      <c r="A171" s="9" t="s">
        <v>5850</v>
      </c>
      <c r="B171" s="11" t="s">
        <v>5851</v>
      </c>
      <c r="C171" s="11" t="s">
        <v>2187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str">
        <f aca="false">IF(SIGN(H167),H$6,"")</f>
        <v/>
      </c>
      <c r="I171" s="23" t="str">
        <f aca="false">IF(SIGN(I167),I$6,"")</f>
        <v/>
      </c>
      <c r="K171" s="2"/>
    </row>
    <row r="172" customFormat="false" ht="15" hidden="false" customHeight="false" outlineLevel="0" collapsed="false">
      <c r="A172" s="9" t="s">
        <v>5852</v>
      </c>
      <c r="B172" s="11" t="s">
        <v>5853</v>
      </c>
      <c r="C172" s="11" t="s">
        <v>2187</v>
      </c>
      <c r="D172" s="23" t="str">
        <f aca="false">IF(COUNT($D$171:$I$171),MIN($D$171:$I$171),"無")</f>
        <v>無</v>
      </c>
      <c r="K172" s="2"/>
    </row>
    <row r="173" customFormat="false" ht="15" hidden="false" customHeight="false" outlineLevel="0" collapsed="false">
      <c r="A173" s="9" t="s">
        <v>5854</v>
      </c>
      <c r="B173" s="11" t="s">
        <v>5855</v>
      </c>
      <c r="C173" s="9" t="s">
        <v>480</v>
      </c>
      <c r="D173" s="17" t="n">
        <f aca="false">I169</f>
        <v>-0</v>
      </c>
      <c r="K173" s="2"/>
    </row>
    <row r="174" customFormat="false" ht="15" hidden="false" customHeight="false" outlineLevel="0" collapsed="false">
      <c r="A174" s="9" t="s">
        <v>5856</v>
      </c>
      <c r="B174" s="11" t="s">
        <v>5857</v>
      </c>
      <c r="C174" s="9" t="s">
        <v>480</v>
      </c>
      <c r="D174" s="17" t="n">
        <f aca="false">MIN($D$170:$I$170)</f>
        <v>84.2280680683723</v>
      </c>
      <c r="K174" s="2" t="s">
        <v>5774</v>
      </c>
    </row>
    <row r="175" customFormat="false" ht="15" hidden="false" customHeight="false" outlineLevel="0" collapsed="false">
      <c r="A175" s="9" t="s">
        <v>5858</v>
      </c>
      <c r="B175" s="11" t="s">
        <v>5859</v>
      </c>
      <c r="C175" s="9" t="s">
        <v>480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5860</v>
      </c>
      <c r="B176" s="11" t="s">
        <v>5861</v>
      </c>
      <c r="C176" s="9" t="s">
        <v>480</v>
      </c>
      <c r="E176" s="17" t="n">
        <f aca="false">SRC_ANT_305+Cost!E300+E175</f>
        <v>227.691580641443</v>
      </c>
      <c r="F176" s="17" t="n">
        <f aca="false">E178+Cost!F300+F175</f>
        <v>259.187861190838</v>
      </c>
      <c r="G176" s="17" t="n">
        <f aca="false">F178+Cost!G300+G175</f>
        <v>244.228068068372</v>
      </c>
      <c r="H176" s="17" t="n">
        <f aca="false">G178+Cost!H300+H175</f>
        <v>277.238488463856</v>
      </c>
      <c r="I176" s="17" t="n">
        <f aca="false">H178+Cost!I300+I175</f>
        <v>330.355189382004</v>
      </c>
      <c r="K176" s="2"/>
    </row>
    <row r="177" customFormat="false" ht="15" hidden="false" customHeight="false" outlineLevel="0" collapsed="false">
      <c r="A177" s="9" t="s">
        <v>5862</v>
      </c>
      <c r="B177" s="11" t="s">
        <v>5863</v>
      </c>
      <c r="C177" s="9" t="s">
        <v>480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5864</v>
      </c>
      <c r="B178" s="11" t="s">
        <v>5865</v>
      </c>
      <c r="C178" s="9" t="s">
        <v>480</v>
      </c>
      <c r="D178" s="17" t="n">
        <f aca="false">SRC_ANT_305</f>
        <v>20.28</v>
      </c>
      <c r="E178" s="17" t="n">
        <f aca="false">E176+E177</f>
        <v>227.691580641443</v>
      </c>
      <c r="F178" s="17" t="n">
        <f aca="false">F176+F177</f>
        <v>259.187861190838</v>
      </c>
      <c r="G178" s="17" t="n">
        <f aca="false">G176+G177</f>
        <v>244.228068068372</v>
      </c>
      <c r="H178" s="17" t="n">
        <f aca="false">H176+H177</f>
        <v>277.238488463856</v>
      </c>
      <c r="I178" s="17" t="n">
        <f aca="false">I176+I177</f>
        <v>330.355189382004</v>
      </c>
      <c r="K178" s="2"/>
    </row>
    <row r="179" customFormat="false" ht="15" hidden="false" customHeight="false" outlineLevel="0" collapsed="false">
      <c r="A179" s="9" t="s">
        <v>5866</v>
      </c>
      <c r="B179" s="11" t="s">
        <v>5867</v>
      </c>
      <c r="C179" s="9" t="s">
        <v>480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5868</v>
      </c>
      <c r="B180" s="11" t="s">
        <v>5869</v>
      </c>
      <c r="C180" s="9" t="s">
        <v>480</v>
      </c>
      <c r="E180" s="17" t="n">
        <f aca="false">SRC_ANT_305+Cost!E300+E175</f>
        <v>227.691580641443</v>
      </c>
      <c r="F180" s="17" t="n">
        <f aca="false">E180+Cost!F300+F175</f>
        <v>259.187861190838</v>
      </c>
      <c r="G180" s="17" t="n">
        <f aca="false">F180+Cost!G300+G175</f>
        <v>244.228068068372</v>
      </c>
      <c r="H180" s="17" t="n">
        <f aca="false">G180+Cost!H300+H175</f>
        <v>277.238488463856</v>
      </c>
      <c r="I180" s="17" t="n">
        <f aca="false">H180+Cost!I300+I175</f>
        <v>330.355189382004</v>
      </c>
      <c r="K180" s="2" t="s">
        <v>5765</v>
      </c>
    </row>
    <row r="181" customFormat="false" ht="15" hidden="false" customHeight="false" outlineLevel="0" collapsed="false">
      <c r="A181" s="9" t="s">
        <v>5870</v>
      </c>
      <c r="B181" s="11" t="s">
        <v>5871</v>
      </c>
      <c r="C181" s="11" t="s">
        <v>2187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5872</v>
      </c>
      <c r="B182" s="11" t="s">
        <v>5873</v>
      </c>
      <c r="C182" s="11" t="s">
        <v>2187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5874</v>
      </c>
      <c r="B183" s="11" t="s">
        <v>5875</v>
      </c>
      <c r="C183" s="9" t="s">
        <v>480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5876</v>
      </c>
      <c r="B184" s="11" t="s">
        <v>5877</v>
      </c>
      <c r="C184" s="9" t="s">
        <v>480</v>
      </c>
      <c r="D184" s="17" t="n">
        <f aca="false">MIN($D$180:$I$180)</f>
        <v>227.691580641443</v>
      </c>
      <c r="K184" s="2" t="s">
        <v>5774</v>
      </c>
    </row>
    <row r="185" customFormat="false" ht="15" hidden="false" customHeight="false" outlineLevel="0" collapsed="false">
      <c r="A185" s="9" t="s">
        <v>5878</v>
      </c>
      <c r="B185" s="11" t="s">
        <v>5879</v>
      </c>
      <c r="C185" s="11" t="s">
        <v>2187</v>
      </c>
      <c r="E185" s="23" t="str">
        <f aca="false">IF(Cost!E105+Cost!E301&gt;Cost!E53+Cost!E292+Cost!E89,E$6,"")</f>
        <v/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n">
        <f aca="false">IF(Cost!H105+Cost!H301&gt;Cost!H53+Cost!H292+Cost!H89,H$6,"")</f>
        <v>2029</v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5880</v>
      </c>
      <c r="B186" s="11" t="s">
        <v>5881</v>
      </c>
      <c r="C186" s="11" t="s">
        <v>2187</v>
      </c>
      <c r="D186" s="23" t="n">
        <f aca="false">IF(COUNT($D$185:$I$185),MIN($D$185:$I$185),"無")</f>
        <v>2029</v>
      </c>
      <c r="K186" s="2" t="s">
        <v>5754</v>
      </c>
    </row>
    <row r="187" customFormat="false" ht="15" hidden="false" customHeight="false" outlineLevel="0" collapsed="false">
      <c r="A187" s="9" t="s">
        <v>5882</v>
      </c>
      <c r="B187" s="11" t="s">
        <v>5883</v>
      </c>
      <c r="C187" s="9" t="s">
        <v>480</v>
      </c>
      <c r="E187" s="17" t="n">
        <f aca="false">$D$120+Cost!E305</f>
        <v>-2.58841935855733</v>
      </c>
      <c r="F187" s="17" t="n">
        <f aca="false">E189+Cost!F305</f>
        <v>-14.5269930892051</v>
      </c>
      <c r="G187" s="17" t="n">
        <f aca="false">F189+Cost!G305</f>
        <v>-10.0445593397749</v>
      </c>
      <c r="H187" s="17" t="n">
        <f aca="false">G189+Cost!H305</f>
        <v>51.0449214802628</v>
      </c>
      <c r="I187" s="17" t="n">
        <f aca="false">H189+Cost!I305</f>
        <v>150.807101690618</v>
      </c>
      <c r="K187" s="2"/>
    </row>
    <row r="188" customFormat="false" ht="15" hidden="false" customHeight="false" outlineLevel="0" collapsed="false">
      <c r="A188" s="9" t="s">
        <v>5884</v>
      </c>
      <c r="B188" s="11" t="s">
        <v>5885</v>
      </c>
      <c r="C188" s="9" t="s">
        <v>480</v>
      </c>
      <c r="E188" s="17" t="n">
        <f aca="false">(E38-E187)*(E38&gt;E187)</f>
        <v>6.56514571995733</v>
      </c>
      <c r="F188" s="17" t="n">
        <f aca="false">(F38-F187)*(F38&gt;F187)</f>
        <v>19.4422268718955</v>
      </c>
      <c r="G188" s="17" t="n">
        <f aca="false">(G38-G187)*(G38&gt;G187)</f>
        <v>15.8666537553717</v>
      </c>
      <c r="H188" s="17" t="n">
        <f aca="false">(H38-H187)*(H38&gt;H187)</f>
        <v>-0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5886</v>
      </c>
      <c r="B189" s="11" t="s">
        <v>5887</v>
      </c>
      <c r="C189" s="9" t="s">
        <v>480</v>
      </c>
      <c r="D189" s="17" t="n">
        <f aca="false">$D$120</f>
        <v>0</v>
      </c>
      <c r="E189" s="17" t="n">
        <f aca="false">E187+E188</f>
        <v>3.9767263614</v>
      </c>
      <c r="F189" s="17" t="n">
        <f aca="false">F187+F188</f>
        <v>4.9152337826904</v>
      </c>
      <c r="G189" s="17" t="n">
        <f aca="false">G187+G188</f>
        <v>5.82209441559678</v>
      </c>
      <c r="H189" s="17" t="n">
        <f aca="false">H187+H188</f>
        <v>51.0449214802628</v>
      </c>
      <c r="I189" s="17" t="n">
        <f aca="false">I187+I188</f>
        <v>150.807101690618</v>
      </c>
      <c r="K189" s="2"/>
    </row>
    <row r="190" customFormat="false" ht="15" hidden="false" customHeight="false" outlineLevel="0" collapsed="false">
      <c r="A190" s="9" t="s">
        <v>5888</v>
      </c>
      <c r="B190" s="11" t="s">
        <v>5889</v>
      </c>
      <c r="C190" s="9" t="s">
        <v>480</v>
      </c>
      <c r="E190" s="17" t="n">
        <f aca="false">E188</f>
        <v>6.56514571995733</v>
      </c>
      <c r="F190" s="17" t="n">
        <f aca="false">E190+F188</f>
        <v>26.0073725918528</v>
      </c>
      <c r="G190" s="17" t="n">
        <f aca="false">F190+G188</f>
        <v>41.8740263472245</v>
      </c>
      <c r="H190" s="17" t="n">
        <f aca="false">G190+H188</f>
        <v>41.8740263472245</v>
      </c>
      <c r="I190" s="17" t="n">
        <f aca="false">H190+I188</f>
        <v>41.8740263472245</v>
      </c>
      <c r="K190" s="2"/>
    </row>
    <row r="191" customFormat="false" ht="15" hidden="false" customHeight="false" outlineLevel="0" collapsed="false">
      <c r="A191" s="9" t="s">
        <v>5890</v>
      </c>
      <c r="B191" s="11" t="s">
        <v>5891</v>
      </c>
      <c r="C191" s="9" t="s">
        <v>480</v>
      </c>
      <c r="E191" s="17" t="n">
        <f aca="false">$D$120+Cost!E305</f>
        <v>-2.58841935855733</v>
      </c>
      <c r="F191" s="17" t="n">
        <f aca="false">E191+Cost!F305</f>
        <v>-21.0921388091624</v>
      </c>
      <c r="G191" s="17" t="n">
        <f aca="false">F191+Cost!G305</f>
        <v>-36.0519319316277</v>
      </c>
      <c r="H191" s="17" t="n">
        <f aca="false">G191+Cost!H305</f>
        <v>9.17089513303833</v>
      </c>
      <c r="I191" s="17" t="n">
        <f aca="false">H191+Cost!I305</f>
        <v>108.933075343393</v>
      </c>
      <c r="K191" s="2" t="s">
        <v>5765</v>
      </c>
    </row>
    <row r="192" customFormat="false" ht="15" hidden="false" customHeight="false" outlineLevel="0" collapsed="false">
      <c r="A192" s="9" t="s">
        <v>5892</v>
      </c>
      <c r="B192" s="11" t="s">
        <v>5893</v>
      </c>
      <c r="C192" s="11" t="s">
        <v>2187</v>
      </c>
      <c r="E192" s="23" t="n">
        <f aca="false">IF(SIGN(E188),E$6,"")</f>
        <v>2026</v>
      </c>
      <c r="F192" s="23" t="n">
        <f aca="false">IF(SIGN(F188),F$6,"")</f>
        <v>2027</v>
      </c>
      <c r="G192" s="23" t="n">
        <f aca="false">IF(SIGN(G188),G$6,"")</f>
        <v>2028</v>
      </c>
      <c r="H192" s="23" t="str">
        <f aca="false">IF(SIGN(H188),H$6,"")</f>
        <v/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5894</v>
      </c>
      <c r="B193" s="11" t="s">
        <v>5895</v>
      </c>
      <c r="C193" s="11" t="s">
        <v>2187</v>
      </c>
      <c r="D193" s="23" t="n">
        <f aca="false">IF(COUNT($D$192:$I$192),MIN($D$192:$I$192),"無")</f>
        <v>2026</v>
      </c>
      <c r="K193" s="2"/>
    </row>
    <row r="194" customFormat="false" ht="15" hidden="false" customHeight="false" outlineLevel="0" collapsed="false">
      <c r="A194" s="9" t="s">
        <v>5896</v>
      </c>
      <c r="B194" s="11" t="s">
        <v>5897</v>
      </c>
      <c r="C194" s="9" t="s">
        <v>480</v>
      </c>
      <c r="D194" s="17" t="n">
        <f aca="false">I190</f>
        <v>41.8740263472245</v>
      </c>
      <c r="K194" s="2"/>
    </row>
    <row r="195" customFormat="false" ht="15" hidden="false" customHeight="false" outlineLevel="0" collapsed="false">
      <c r="A195" s="9" t="s">
        <v>5898</v>
      </c>
      <c r="B195" s="11" t="s">
        <v>5899</v>
      </c>
      <c r="C195" s="9" t="s">
        <v>480</v>
      </c>
      <c r="D195" s="17" t="n">
        <f aca="false">MIN($D$191:$I$191)</f>
        <v>-36.0519319316277</v>
      </c>
      <c r="K195" s="2" t="s">
        <v>5774</v>
      </c>
    </row>
    <row r="196" customFormat="false" ht="15" hidden="false" customHeight="false" outlineLevel="0" collapsed="false">
      <c r="A196" s="9" t="s">
        <v>5900</v>
      </c>
      <c r="B196" s="11" t="s">
        <v>5901</v>
      </c>
      <c r="C196" s="9" t="s">
        <v>480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5902</v>
      </c>
      <c r="B197" s="11" t="s">
        <v>5903</v>
      </c>
      <c r="C197" s="9" t="s">
        <v>480</v>
      </c>
      <c r="E197" s="17" t="n">
        <f aca="false">SRC_ANT_305+Cost!E305+E196</f>
        <v>117.691580641443</v>
      </c>
      <c r="F197" s="17" t="n">
        <f aca="false">E199+Cost!F305+F196</f>
        <v>99.1878611908376</v>
      </c>
      <c r="G197" s="17" t="n">
        <f aca="false">F199+Cost!G305+G196</f>
        <v>84.2280680683723</v>
      </c>
      <c r="H197" s="17" t="n">
        <f aca="false">G199+Cost!H305+H196</f>
        <v>129.450895133038</v>
      </c>
      <c r="I197" s="17" t="n">
        <f aca="false">H199+Cost!I305+I196</f>
        <v>229.213075343393</v>
      </c>
      <c r="K197" s="2"/>
    </row>
    <row r="198" customFormat="false" ht="15" hidden="false" customHeight="false" outlineLevel="0" collapsed="false">
      <c r="A198" s="9" t="s">
        <v>5904</v>
      </c>
      <c r="B198" s="11" t="s">
        <v>5905</v>
      </c>
      <c r="C198" s="9" t="s">
        <v>480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-0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5906</v>
      </c>
      <c r="B199" s="11" t="s">
        <v>5907</v>
      </c>
      <c r="C199" s="9" t="s">
        <v>480</v>
      </c>
      <c r="D199" s="17" t="n">
        <f aca="false">SRC_ANT_305</f>
        <v>20.28</v>
      </c>
      <c r="E199" s="17" t="n">
        <f aca="false">E197+E198</f>
        <v>117.691580641443</v>
      </c>
      <c r="F199" s="17" t="n">
        <f aca="false">F197+F198</f>
        <v>99.1878611908376</v>
      </c>
      <c r="G199" s="17" t="n">
        <f aca="false">G197+G198</f>
        <v>84.2280680683723</v>
      </c>
      <c r="H199" s="17" t="n">
        <f aca="false">H197+H198</f>
        <v>129.450895133038</v>
      </c>
      <c r="I199" s="17" t="n">
        <f aca="false">I197+I198</f>
        <v>229.213075343393</v>
      </c>
      <c r="K199" s="2"/>
    </row>
    <row r="200" customFormat="false" ht="15" hidden="false" customHeight="false" outlineLevel="0" collapsed="false">
      <c r="A200" s="9" t="s">
        <v>5908</v>
      </c>
      <c r="B200" s="11" t="s">
        <v>5909</v>
      </c>
      <c r="C200" s="9" t="s">
        <v>480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-0</v>
      </c>
      <c r="I200" s="17" t="n">
        <f aca="false">H200+I198</f>
        <v>-0</v>
      </c>
      <c r="K200" s="2"/>
    </row>
    <row r="201" customFormat="false" ht="15" hidden="false" customHeight="false" outlineLevel="0" collapsed="false">
      <c r="A201" s="9" t="s">
        <v>5910</v>
      </c>
      <c r="B201" s="11" t="s">
        <v>5911</v>
      </c>
      <c r="C201" s="9" t="s">
        <v>480</v>
      </c>
      <c r="E201" s="17" t="n">
        <f aca="false">SRC_ANT_305+Cost!E305+E196</f>
        <v>117.691580641443</v>
      </c>
      <c r="F201" s="17" t="n">
        <f aca="false">E201+Cost!F305+F196</f>
        <v>99.1878611908376</v>
      </c>
      <c r="G201" s="17" t="n">
        <f aca="false">F201+Cost!G305+G196</f>
        <v>84.2280680683723</v>
      </c>
      <c r="H201" s="17" t="n">
        <f aca="false">G201+Cost!H305+H196</f>
        <v>129.450895133038</v>
      </c>
      <c r="I201" s="17" t="n">
        <f aca="false">H201+Cost!I305+I196</f>
        <v>229.213075343393</v>
      </c>
      <c r="K201" s="2" t="s">
        <v>5765</v>
      </c>
    </row>
    <row r="202" customFormat="false" ht="15" hidden="false" customHeight="false" outlineLevel="0" collapsed="false">
      <c r="A202" s="9" t="s">
        <v>5912</v>
      </c>
      <c r="B202" s="11" t="s">
        <v>5913</v>
      </c>
      <c r="C202" s="11" t="s">
        <v>2187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str">
        <f aca="false">IF(SIGN(H198),H$6,"")</f>
        <v/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5914</v>
      </c>
      <c r="B203" s="11" t="s">
        <v>5915</v>
      </c>
      <c r="C203" s="11" t="s">
        <v>2187</v>
      </c>
      <c r="D203" s="23" t="str">
        <f aca="false">IF(COUNT($D$202:$I$202),MIN($D$202:$I$202),"無")</f>
        <v>無</v>
      </c>
      <c r="K203" s="2"/>
    </row>
    <row r="204" customFormat="false" ht="15" hidden="false" customHeight="false" outlineLevel="0" collapsed="false">
      <c r="A204" s="9" t="s">
        <v>5916</v>
      </c>
      <c r="B204" s="11" t="s">
        <v>5917</v>
      </c>
      <c r="C204" s="9" t="s">
        <v>480</v>
      </c>
      <c r="D204" s="17" t="n">
        <f aca="false">I200</f>
        <v>-0</v>
      </c>
      <c r="K204" s="2"/>
    </row>
    <row r="205" customFormat="false" ht="15" hidden="false" customHeight="false" outlineLevel="0" collapsed="false">
      <c r="A205" s="9" t="s">
        <v>5918</v>
      </c>
      <c r="B205" s="11" t="s">
        <v>5919</v>
      </c>
      <c r="C205" s="9" t="s">
        <v>480</v>
      </c>
      <c r="D205" s="17" t="n">
        <f aca="false">MIN($D$201:$I$201)</f>
        <v>84.2280680683723</v>
      </c>
      <c r="K205" s="2" t="s">
        <v>5774</v>
      </c>
    </row>
    <row r="206" customFormat="false" ht="15" hidden="false" customHeight="false" outlineLevel="0" collapsed="false">
      <c r="A206" s="9" t="s">
        <v>5920</v>
      </c>
      <c r="B206" s="11" t="s">
        <v>5921</v>
      </c>
      <c r="C206" s="9" t="s">
        <v>480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5922</v>
      </c>
      <c r="B207" s="11" t="s">
        <v>5923</v>
      </c>
      <c r="C207" s="9" t="s">
        <v>480</v>
      </c>
      <c r="E207" s="17" t="n">
        <f aca="false">SRC_ANT_305+Cost!E305+E206</f>
        <v>227.691580641443</v>
      </c>
      <c r="F207" s="17" t="n">
        <f aca="false">E209+Cost!F305+F206</f>
        <v>259.187861190838</v>
      </c>
      <c r="G207" s="17" t="n">
        <f aca="false">F209+Cost!G305+G206</f>
        <v>244.228068068372</v>
      </c>
      <c r="H207" s="17" t="n">
        <f aca="false">G209+Cost!H305+H206</f>
        <v>289.450895133038</v>
      </c>
      <c r="I207" s="17" t="n">
        <f aca="false">H209+Cost!I305+I206</f>
        <v>389.213075343393</v>
      </c>
      <c r="K207" s="2"/>
    </row>
    <row r="208" customFormat="false" ht="15" hidden="false" customHeight="false" outlineLevel="0" collapsed="false">
      <c r="A208" s="9" t="s">
        <v>5924</v>
      </c>
      <c r="B208" s="11" t="s">
        <v>5925</v>
      </c>
      <c r="C208" s="9" t="s">
        <v>480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5926</v>
      </c>
      <c r="B209" s="11" t="s">
        <v>5927</v>
      </c>
      <c r="C209" s="9" t="s">
        <v>480</v>
      </c>
      <c r="D209" s="17" t="n">
        <f aca="false">SRC_ANT_305</f>
        <v>20.28</v>
      </c>
      <c r="E209" s="17" t="n">
        <f aca="false">E207+E208</f>
        <v>227.691580641443</v>
      </c>
      <c r="F209" s="17" t="n">
        <f aca="false">F207+F208</f>
        <v>259.187861190838</v>
      </c>
      <c r="G209" s="17" t="n">
        <f aca="false">G207+G208</f>
        <v>244.228068068372</v>
      </c>
      <c r="H209" s="17" t="n">
        <f aca="false">H207+H208</f>
        <v>289.450895133038</v>
      </c>
      <c r="I209" s="17" t="n">
        <f aca="false">I207+I208</f>
        <v>389.213075343393</v>
      </c>
      <c r="K209" s="2"/>
    </row>
    <row r="210" customFormat="false" ht="15" hidden="false" customHeight="false" outlineLevel="0" collapsed="false">
      <c r="A210" s="9" t="s">
        <v>5928</v>
      </c>
      <c r="B210" s="11" t="s">
        <v>5929</v>
      </c>
      <c r="C210" s="9" t="s">
        <v>480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5930</v>
      </c>
      <c r="B211" s="11" t="s">
        <v>5931</v>
      </c>
      <c r="C211" s="9" t="s">
        <v>480</v>
      </c>
      <c r="E211" s="17" t="n">
        <f aca="false">SRC_ANT_305+Cost!E305+E206</f>
        <v>227.691580641443</v>
      </c>
      <c r="F211" s="17" t="n">
        <f aca="false">E211+Cost!F305+F206</f>
        <v>259.187861190838</v>
      </c>
      <c r="G211" s="17" t="n">
        <f aca="false">F211+Cost!G305+G206</f>
        <v>244.228068068372</v>
      </c>
      <c r="H211" s="17" t="n">
        <f aca="false">G211+Cost!H305+H206</f>
        <v>289.450895133038</v>
      </c>
      <c r="I211" s="17" t="n">
        <f aca="false">H211+Cost!I305+I206</f>
        <v>389.213075343393</v>
      </c>
      <c r="K211" s="2" t="s">
        <v>5765</v>
      </c>
    </row>
    <row r="212" customFormat="false" ht="15" hidden="false" customHeight="false" outlineLevel="0" collapsed="false">
      <c r="A212" s="9" t="s">
        <v>5932</v>
      </c>
      <c r="B212" s="11" t="s">
        <v>5933</v>
      </c>
      <c r="C212" s="11" t="s">
        <v>2187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5934</v>
      </c>
      <c r="B213" s="11" t="s">
        <v>5935</v>
      </c>
      <c r="C213" s="11" t="s">
        <v>2187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5936</v>
      </c>
      <c r="B214" s="11" t="s">
        <v>5937</v>
      </c>
      <c r="C214" s="9" t="s">
        <v>480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5938</v>
      </c>
      <c r="B215" s="11" t="s">
        <v>5939</v>
      </c>
      <c r="C215" s="9" t="s">
        <v>480</v>
      </c>
      <c r="D215" s="17" t="n">
        <f aca="false">MIN($D$211:$I$211)</f>
        <v>227.691580641443</v>
      </c>
      <c r="K215" s="2" t="s">
        <v>5774</v>
      </c>
    </row>
    <row r="216" customFormat="false" ht="15" hidden="false" customHeight="false" outlineLevel="0" collapsed="false">
      <c r="A216" s="9" t="s">
        <v>5940</v>
      </c>
      <c r="B216" s="11" t="s">
        <v>5941</v>
      </c>
      <c r="C216" s="11" t="s">
        <v>2187</v>
      </c>
      <c r="E216" s="23" t="str">
        <f aca="false">IF(Cost!E105+Cost!E306&gt;Cost!E53+Cost!E292+Cost!E89,E$6,"")</f>
        <v/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n">
        <f aca="false">IF(Cost!H105+Cost!H306&gt;Cost!H53+Cost!H292+Cost!H89,H$6,"")</f>
        <v>2029</v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5942</v>
      </c>
      <c r="B217" s="11" t="s">
        <v>5943</v>
      </c>
      <c r="C217" s="11" t="s">
        <v>2187</v>
      </c>
      <c r="D217" s="23" t="n">
        <f aca="false">IF(COUNT($D$216:$I$216),MIN($D$216:$I$216),"無")</f>
        <v>2029</v>
      </c>
      <c r="K217" s="2" t="s">
        <v>5754</v>
      </c>
    </row>
    <row r="218" customFormat="false" ht="15" hidden="false" customHeight="false" outlineLevel="0" collapsed="false">
      <c r="A218" s="9" t="s">
        <v>5944</v>
      </c>
      <c r="B218" s="11" t="s">
        <v>5945</v>
      </c>
      <c r="C218" s="9" t="s">
        <v>480</v>
      </c>
      <c r="E218" s="17" t="n">
        <f aca="false">$D$120+Cost!E310</f>
        <v>-2.58841935855733</v>
      </c>
      <c r="F218" s="17" t="n">
        <f aca="false">E220+Cost!F310</f>
        <v>-14.5269930892051</v>
      </c>
      <c r="G218" s="17" t="n">
        <f aca="false">F220+Cost!G310</f>
        <v>-10.0445593397749</v>
      </c>
      <c r="H218" s="17" t="n">
        <f aca="false">G220+Cost!H310</f>
        <v>63.2573281494455</v>
      </c>
      <c r="I218" s="17" t="n">
        <f aca="false">H220+Cost!I310</f>
        <v>209.664987652008</v>
      </c>
      <c r="K218" s="2"/>
    </row>
    <row r="219" customFormat="false" ht="15" hidden="false" customHeight="false" outlineLevel="0" collapsed="false">
      <c r="A219" s="9" t="s">
        <v>5946</v>
      </c>
      <c r="B219" s="11" t="s">
        <v>5947</v>
      </c>
      <c r="C219" s="9" t="s">
        <v>480</v>
      </c>
      <c r="E219" s="17" t="n">
        <f aca="false">(E38-E218)*(E38&gt;E218)</f>
        <v>6.56514571995733</v>
      </c>
      <c r="F219" s="17" t="n">
        <f aca="false">(F38-F218)*(F38&gt;F218)</f>
        <v>19.4422268718955</v>
      </c>
      <c r="G219" s="17" t="n">
        <f aca="false">(G38-G218)*(G38&gt;G218)</f>
        <v>15.8666537553717</v>
      </c>
      <c r="H219" s="17" t="n">
        <f aca="false">(H38-H218)*(H38&gt;H218)</f>
        <v>-0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5948</v>
      </c>
      <c r="B220" s="11" t="s">
        <v>5949</v>
      </c>
      <c r="C220" s="9" t="s">
        <v>480</v>
      </c>
      <c r="D220" s="17" t="n">
        <f aca="false">$D$120</f>
        <v>0</v>
      </c>
      <c r="E220" s="17" t="n">
        <f aca="false">E218+E219</f>
        <v>3.9767263614</v>
      </c>
      <c r="F220" s="17" t="n">
        <f aca="false">F218+F219</f>
        <v>4.9152337826904</v>
      </c>
      <c r="G220" s="17" t="n">
        <f aca="false">G218+G219</f>
        <v>5.82209441559678</v>
      </c>
      <c r="H220" s="17" t="n">
        <f aca="false">H218+H219</f>
        <v>63.2573281494455</v>
      </c>
      <c r="I220" s="17" t="n">
        <f aca="false">I218+I219</f>
        <v>209.664987652008</v>
      </c>
      <c r="K220" s="2"/>
    </row>
    <row r="221" customFormat="false" ht="15" hidden="false" customHeight="false" outlineLevel="0" collapsed="false">
      <c r="A221" s="9" t="s">
        <v>5950</v>
      </c>
      <c r="B221" s="11" t="s">
        <v>5951</v>
      </c>
      <c r="C221" s="9" t="s">
        <v>480</v>
      </c>
      <c r="E221" s="17" t="n">
        <f aca="false">E219</f>
        <v>6.56514571995733</v>
      </c>
      <c r="F221" s="17" t="n">
        <f aca="false">E221+F219</f>
        <v>26.0073725918528</v>
      </c>
      <c r="G221" s="17" t="n">
        <f aca="false">F221+G219</f>
        <v>41.8740263472245</v>
      </c>
      <c r="H221" s="17" t="n">
        <f aca="false">G221+H219</f>
        <v>41.8740263472245</v>
      </c>
      <c r="I221" s="17" t="n">
        <f aca="false">H221+I219</f>
        <v>41.8740263472245</v>
      </c>
      <c r="K221" s="2"/>
    </row>
    <row r="222" customFormat="false" ht="15" hidden="false" customHeight="false" outlineLevel="0" collapsed="false">
      <c r="A222" s="9" t="s">
        <v>5952</v>
      </c>
      <c r="B222" s="11" t="s">
        <v>5953</v>
      </c>
      <c r="C222" s="9" t="s">
        <v>480</v>
      </c>
      <c r="E222" s="17" t="n">
        <f aca="false">$D$120+Cost!E310</f>
        <v>-2.58841935855733</v>
      </c>
      <c r="F222" s="17" t="n">
        <f aca="false">E222+Cost!F310</f>
        <v>-21.0921388091624</v>
      </c>
      <c r="G222" s="17" t="n">
        <f aca="false">F222+Cost!G310</f>
        <v>-36.0519319316277</v>
      </c>
      <c r="H222" s="17" t="n">
        <f aca="false">G222+Cost!H310</f>
        <v>21.383301802221</v>
      </c>
      <c r="I222" s="17" t="n">
        <f aca="false">H222+Cost!I310</f>
        <v>167.790961304783</v>
      </c>
      <c r="K222" s="2" t="s">
        <v>5765</v>
      </c>
    </row>
    <row r="223" customFormat="false" ht="15" hidden="false" customHeight="false" outlineLevel="0" collapsed="false">
      <c r="A223" s="9" t="s">
        <v>5954</v>
      </c>
      <c r="B223" s="11" t="s">
        <v>5955</v>
      </c>
      <c r="C223" s="11" t="s">
        <v>2187</v>
      </c>
      <c r="E223" s="23" t="n">
        <f aca="false">IF(SIGN(E219),E$6,"")</f>
        <v>2026</v>
      </c>
      <c r="F223" s="23" t="n">
        <f aca="false">IF(SIGN(F219),F$6,"")</f>
        <v>2027</v>
      </c>
      <c r="G223" s="23" t="n">
        <f aca="false">IF(SIGN(G219),G$6,"")</f>
        <v>2028</v>
      </c>
      <c r="H223" s="23" t="str">
        <f aca="false">IF(SIGN(H219),H$6,"")</f>
        <v/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5956</v>
      </c>
      <c r="B224" s="11" t="s">
        <v>5957</v>
      </c>
      <c r="C224" s="11" t="s">
        <v>2187</v>
      </c>
      <c r="D224" s="23" t="n">
        <f aca="false">IF(COUNT($D$223:$I$223),MIN($D$223:$I$223),"無")</f>
        <v>2026</v>
      </c>
      <c r="K224" s="2"/>
    </row>
    <row r="225" customFormat="false" ht="15" hidden="false" customHeight="false" outlineLevel="0" collapsed="false">
      <c r="A225" s="9" t="s">
        <v>5958</v>
      </c>
      <c r="B225" s="11" t="s">
        <v>5959</v>
      </c>
      <c r="C225" s="9" t="s">
        <v>480</v>
      </c>
      <c r="D225" s="17" t="n">
        <f aca="false">I221</f>
        <v>41.8740263472245</v>
      </c>
      <c r="K225" s="2"/>
    </row>
    <row r="226" customFormat="false" ht="15" hidden="false" customHeight="false" outlineLevel="0" collapsed="false">
      <c r="A226" s="9" t="s">
        <v>5960</v>
      </c>
      <c r="B226" s="11" t="s">
        <v>5961</v>
      </c>
      <c r="C226" s="9" t="s">
        <v>480</v>
      </c>
      <c r="D226" s="17" t="n">
        <f aca="false">MIN($D$222:$I$222)</f>
        <v>-36.0519319316277</v>
      </c>
      <c r="K226" s="2" t="s">
        <v>5774</v>
      </c>
    </row>
    <row r="227" customFormat="false" ht="15" hidden="false" customHeight="false" outlineLevel="0" collapsed="false">
      <c r="A227" s="9" t="s">
        <v>5962</v>
      </c>
      <c r="B227" s="11" t="s">
        <v>5963</v>
      </c>
      <c r="C227" s="9" t="s">
        <v>480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5964</v>
      </c>
      <c r="B228" s="11" t="s">
        <v>5965</v>
      </c>
      <c r="C228" s="9" t="s">
        <v>480</v>
      </c>
      <c r="E228" s="17" t="n">
        <f aca="false">SRC_ANT_305+Cost!E310+E227</f>
        <v>117.691580641443</v>
      </c>
      <c r="F228" s="17" t="n">
        <f aca="false">E230+Cost!F310+F227</f>
        <v>99.1878611908376</v>
      </c>
      <c r="G228" s="17" t="n">
        <f aca="false">F230+Cost!G310+G227</f>
        <v>84.2280680683723</v>
      </c>
      <c r="H228" s="17" t="n">
        <f aca="false">G230+Cost!H310+H227</f>
        <v>141.663301802221</v>
      </c>
      <c r="I228" s="17" t="n">
        <f aca="false">H230+Cost!I310+I227</f>
        <v>288.070961304783</v>
      </c>
      <c r="K228" s="2"/>
    </row>
    <row r="229" customFormat="false" ht="15" hidden="false" customHeight="false" outlineLevel="0" collapsed="false">
      <c r="A229" s="9" t="s">
        <v>5966</v>
      </c>
      <c r="B229" s="11" t="s">
        <v>5967</v>
      </c>
      <c r="C229" s="9" t="s">
        <v>480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5968</v>
      </c>
      <c r="B230" s="11" t="s">
        <v>5969</v>
      </c>
      <c r="C230" s="9" t="s">
        <v>480</v>
      </c>
      <c r="D230" s="17" t="n">
        <f aca="false">SRC_ANT_305</f>
        <v>20.28</v>
      </c>
      <c r="E230" s="17" t="n">
        <f aca="false">E228+E229</f>
        <v>117.691580641443</v>
      </c>
      <c r="F230" s="17" t="n">
        <f aca="false">F228+F229</f>
        <v>99.1878611908376</v>
      </c>
      <c r="G230" s="17" t="n">
        <f aca="false">G228+G229</f>
        <v>84.2280680683723</v>
      </c>
      <c r="H230" s="17" t="n">
        <f aca="false">H228+H229</f>
        <v>141.663301802221</v>
      </c>
      <c r="I230" s="17" t="n">
        <f aca="false">I228+I229</f>
        <v>288.070961304783</v>
      </c>
      <c r="K230" s="2"/>
    </row>
    <row r="231" customFormat="false" ht="15" hidden="false" customHeight="false" outlineLevel="0" collapsed="false">
      <c r="A231" s="9" t="s">
        <v>5970</v>
      </c>
      <c r="B231" s="11" t="s">
        <v>5971</v>
      </c>
      <c r="C231" s="9" t="s">
        <v>480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5972</v>
      </c>
      <c r="B232" s="11" t="s">
        <v>5973</v>
      </c>
      <c r="C232" s="9" t="s">
        <v>480</v>
      </c>
      <c r="E232" s="17" t="n">
        <f aca="false">SRC_ANT_305+Cost!E310+E227</f>
        <v>117.691580641443</v>
      </c>
      <c r="F232" s="17" t="n">
        <f aca="false">E232+Cost!F310+F227</f>
        <v>99.1878611908376</v>
      </c>
      <c r="G232" s="17" t="n">
        <f aca="false">F232+Cost!G310+G227</f>
        <v>84.2280680683723</v>
      </c>
      <c r="H232" s="17" t="n">
        <f aca="false">G232+Cost!H310+H227</f>
        <v>141.663301802221</v>
      </c>
      <c r="I232" s="17" t="n">
        <f aca="false">H232+Cost!I310+I227</f>
        <v>288.070961304783</v>
      </c>
      <c r="K232" s="2" t="s">
        <v>5765</v>
      </c>
    </row>
    <row r="233" customFormat="false" ht="15" hidden="false" customHeight="false" outlineLevel="0" collapsed="false">
      <c r="A233" s="9" t="s">
        <v>5974</v>
      </c>
      <c r="B233" s="11" t="s">
        <v>5975</v>
      </c>
      <c r="C233" s="11" t="s">
        <v>2187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5976</v>
      </c>
      <c r="B234" s="11" t="s">
        <v>5977</v>
      </c>
      <c r="C234" s="11" t="s">
        <v>2187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5978</v>
      </c>
      <c r="B235" s="11" t="s">
        <v>5979</v>
      </c>
      <c r="C235" s="9" t="s">
        <v>480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5980</v>
      </c>
      <c r="B236" s="11" t="s">
        <v>5981</v>
      </c>
      <c r="C236" s="9" t="s">
        <v>480</v>
      </c>
      <c r="D236" s="17" t="n">
        <f aca="false">MIN($D$232:$I$232)</f>
        <v>84.2280680683723</v>
      </c>
      <c r="K236" s="2" t="s">
        <v>5774</v>
      </c>
    </row>
    <row r="237" customFormat="false" ht="15" hidden="false" customHeight="false" outlineLevel="0" collapsed="false">
      <c r="A237" s="9" t="s">
        <v>5982</v>
      </c>
      <c r="B237" s="11" t="s">
        <v>5983</v>
      </c>
      <c r="C237" s="9" t="s">
        <v>480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5984</v>
      </c>
      <c r="B238" s="11" t="s">
        <v>5985</v>
      </c>
      <c r="C238" s="9" t="s">
        <v>480</v>
      </c>
      <c r="E238" s="17" t="n">
        <f aca="false">SRC_ANT_305+Cost!E310+E237</f>
        <v>227.691580641443</v>
      </c>
      <c r="F238" s="17" t="n">
        <f aca="false">E240+Cost!F310+F237</f>
        <v>259.187861190838</v>
      </c>
      <c r="G238" s="17" t="n">
        <f aca="false">F240+Cost!G310+G237</f>
        <v>244.228068068372</v>
      </c>
      <c r="H238" s="17" t="n">
        <f aca="false">G240+Cost!H310+H237</f>
        <v>301.663301802221</v>
      </c>
      <c r="I238" s="17" t="n">
        <f aca="false">H240+Cost!I310+I237</f>
        <v>448.070961304783</v>
      </c>
      <c r="K238" s="2"/>
    </row>
    <row r="239" customFormat="false" ht="15" hidden="false" customHeight="false" outlineLevel="0" collapsed="false">
      <c r="A239" s="9" t="s">
        <v>5986</v>
      </c>
      <c r="B239" s="11" t="s">
        <v>5987</v>
      </c>
      <c r="C239" s="9" t="s">
        <v>480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5988</v>
      </c>
      <c r="B240" s="11" t="s">
        <v>5989</v>
      </c>
      <c r="C240" s="9" t="s">
        <v>480</v>
      </c>
      <c r="D240" s="17" t="n">
        <f aca="false">SRC_ANT_305</f>
        <v>20.28</v>
      </c>
      <c r="E240" s="17" t="n">
        <f aca="false">E238+E239</f>
        <v>227.691580641443</v>
      </c>
      <c r="F240" s="17" t="n">
        <f aca="false">F238+F239</f>
        <v>259.187861190838</v>
      </c>
      <c r="G240" s="17" t="n">
        <f aca="false">G238+G239</f>
        <v>244.228068068372</v>
      </c>
      <c r="H240" s="17" t="n">
        <f aca="false">H238+H239</f>
        <v>301.663301802221</v>
      </c>
      <c r="I240" s="17" t="n">
        <f aca="false">I238+I239</f>
        <v>448.070961304783</v>
      </c>
      <c r="K240" s="2"/>
    </row>
    <row r="241" customFormat="false" ht="15" hidden="false" customHeight="false" outlineLevel="0" collapsed="false">
      <c r="A241" s="9" t="s">
        <v>5990</v>
      </c>
      <c r="B241" s="11" t="s">
        <v>5991</v>
      </c>
      <c r="C241" s="9" t="s">
        <v>480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5992</v>
      </c>
      <c r="B242" s="11" t="s">
        <v>5993</v>
      </c>
      <c r="C242" s="9" t="s">
        <v>480</v>
      </c>
      <c r="E242" s="17" t="n">
        <f aca="false">SRC_ANT_305+Cost!E310+E237</f>
        <v>227.691580641443</v>
      </c>
      <c r="F242" s="17" t="n">
        <f aca="false">E242+Cost!F310+F237</f>
        <v>259.187861190838</v>
      </c>
      <c r="G242" s="17" t="n">
        <f aca="false">F242+Cost!G310+G237</f>
        <v>244.228068068372</v>
      </c>
      <c r="H242" s="17" t="n">
        <f aca="false">G242+Cost!H310+H237</f>
        <v>301.663301802221</v>
      </c>
      <c r="I242" s="17" t="n">
        <f aca="false">H242+Cost!I310+I237</f>
        <v>448.070961304783</v>
      </c>
      <c r="K242" s="2" t="s">
        <v>5765</v>
      </c>
    </row>
    <row r="243" customFormat="false" ht="15" hidden="false" customHeight="false" outlineLevel="0" collapsed="false">
      <c r="A243" s="9" t="s">
        <v>5994</v>
      </c>
      <c r="B243" s="11" t="s">
        <v>5995</v>
      </c>
      <c r="C243" s="11" t="s">
        <v>2187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5996</v>
      </c>
      <c r="B244" s="11" t="s">
        <v>5997</v>
      </c>
      <c r="C244" s="11" t="s">
        <v>2187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5998</v>
      </c>
      <c r="B245" s="11" t="s">
        <v>5999</v>
      </c>
      <c r="C245" s="9" t="s">
        <v>480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6000</v>
      </c>
      <c r="B246" s="11" t="s">
        <v>6001</v>
      </c>
      <c r="C246" s="9" t="s">
        <v>480</v>
      </c>
      <c r="D246" s="17" t="n">
        <f aca="false">MIN($D$242:$I$242)</f>
        <v>227.691580641443</v>
      </c>
      <c r="K246" s="2" t="s">
        <v>5774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6002</v>
      </c>
    </row>
    <row r="2" customFormat="false" ht="15" hidden="false" customHeight="false" outlineLevel="0" collapsed="false">
      <c r="A2" s="2" t="s">
        <v>6003</v>
      </c>
    </row>
    <row r="3" customFormat="false" ht="15" hidden="false" customHeight="false" outlineLevel="0" collapsed="false">
      <c r="A3" s="2" t="s">
        <v>6004</v>
      </c>
    </row>
    <row r="5" customFormat="false" ht="15" hidden="false" customHeight="false" outlineLevel="0" collapsed="false">
      <c r="A5" s="8" t="s">
        <v>3789</v>
      </c>
      <c r="B5" s="8" t="s">
        <v>46</v>
      </c>
      <c r="C5" s="8" t="s">
        <v>50</v>
      </c>
      <c r="D5" s="7" t="s">
        <v>75</v>
      </c>
      <c r="E5" s="7" t="s">
        <v>304</v>
      </c>
      <c r="F5" s="7" t="s">
        <v>2855</v>
      </c>
      <c r="G5" s="7" t="s">
        <v>1658</v>
      </c>
      <c r="H5" s="7" t="s">
        <v>2856</v>
      </c>
      <c r="I5" s="7" t="s">
        <v>2857</v>
      </c>
      <c r="J5" s="8"/>
      <c r="K5" s="8" t="s">
        <v>2517</v>
      </c>
    </row>
    <row r="6" customFormat="false" ht="15" hidden="false" customHeight="false" outlineLevel="0" collapsed="false">
      <c r="B6" s="3" t="s">
        <v>3790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6005</v>
      </c>
    </row>
    <row r="8" customFormat="false" ht="15" hidden="false" customHeight="false" outlineLevel="0" collapsed="false">
      <c r="A8" s="9" t="s">
        <v>6006</v>
      </c>
      <c r="B8" s="11" t="s">
        <v>6007</v>
      </c>
      <c r="C8" s="9" t="s">
        <v>480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6008</v>
      </c>
    </row>
    <row r="9" customFormat="false" ht="15" hidden="false" customHeight="false" outlineLevel="0" collapsed="false">
      <c r="A9" s="9" t="s">
        <v>6009</v>
      </c>
      <c r="B9" s="11" t="s">
        <v>6010</v>
      </c>
      <c r="C9" s="11" t="s">
        <v>267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6011</v>
      </c>
      <c r="B10" s="11" t="s">
        <v>6012</v>
      </c>
      <c r="C10" s="9" t="s">
        <v>480</v>
      </c>
      <c r="F10" s="17" t="n">
        <f aca="false">SRC_ANT_359</f>
        <v>12</v>
      </c>
      <c r="K10" s="12" t="s">
        <v>6013</v>
      </c>
    </row>
    <row r="11" customFormat="false" ht="15" hidden="false" customHeight="false" outlineLevel="0" collapsed="false">
      <c r="A11" s="9" t="s">
        <v>6014</v>
      </c>
      <c r="B11" s="11" t="s">
        <v>6015</v>
      </c>
      <c r="C11" s="9" t="s">
        <v>74</v>
      </c>
      <c r="E11" s="17" t="n">
        <f aca="false">SRC_ANT_364_Hi</f>
        <v>26</v>
      </c>
      <c r="F11" s="17" t="n">
        <f aca="false">SRC_ANT_373_Lo</f>
        <v>100</v>
      </c>
      <c r="K11" s="12" t="s">
        <v>6016</v>
      </c>
    </row>
    <row r="12" customFormat="false" ht="15" hidden="false" customHeight="false" outlineLevel="0" collapsed="false">
      <c r="A12" s="15" t="s">
        <v>6017</v>
      </c>
    </row>
    <row r="13" customFormat="false" ht="15" hidden="false" customHeight="false" outlineLevel="0" collapsed="false">
      <c r="A13" s="9" t="s">
        <v>6018</v>
      </c>
      <c r="B13" s="11" t="s">
        <v>6019</v>
      </c>
      <c r="C13" s="9" t="s">
        <v>480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6020</v>
      </c>
    </row>
    <row r="14" customFormat="false" ht="15" hidden="false" customHeight="false" outlineLevel="0" collapsed="false">
      <c r="A14" s="9" t="s">
        <v>6021</v>
      </c>
      <c r="B14" s="11" t="s">
        <v>6022</v>
      </c>
      <c r="C14" s="9" t="s">
        <v>480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6023</v>
      </c>
    </row>
    <row r="15" customFormat="false" ht="15" hidden="false" customHeight="false" outlineLevel="0" collapsed="false">
      <c r="A15" s="9" t="s">
        <v>6024</v>
      </c>
      <c r="B15" s="11" t="s">
        <v>6025</v>
      </c>
      <c r="C15" s="9" t="s">
        <v>480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6023</v>
      </c>
    </row>
    <row r="16" customFormat="false" ht="15" hidden="false" customHeight="false" outlineLevel="0" collapsed="false">
      <c r="A16" s="9" t="s">
        <v>6026</v>
      </c>
      <c r="B16" s="11" t="s">
        <v>6027</v>
      </c>
      <c r="C16" s="9" t="s">
        <v>480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6023</v>
      </c>
    </row>
    <row r="17" customFormat="false" ht="15" hidden="false" customHeight="false" outlineLevel="0" collapsed="false">
      <c r="A17" s="9" t="s">
        <v>6028</v>
      </c>
      <c r="B17" s="11" t="s">
        <v>6029</v>
      </c>
      <c r="C17" s="9" t="s">
        <v>480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6030</v>
      </c>
    </row>
    <row r="18" customFormat="false" ht="15" hidden="false" customHeight="false" outlineLevel="0" collapsed="false">
      <c r="A18" s="15" t="s">
        <v>6031</v>
      </c>
    </row>
    <row r="19" customFormat="false" ht="15" hidden="false" customHeight="false" outlineLevel="0" collapsed="false">
      <c r="A19" s="9" t="s">
        <v>6032</v>
      </c>
      <c r="B19" s="11" t="s">
        <v>6033</v>
      </c>
      <c r="C19" s="11" t="s">
        <v>745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6034</v>
      </c>
      <c r="B20" s="11" t="s">
        <v>6035</v>
      </c>
      <c r="C20" s="11" t="s">
        <v>745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6036</v>
      </c>
      <c r="B21" s="11" t="s">
        <v>6037</v>
      </c>
      <c r="C21" s="11" t="s">
        <v>745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6038</v>
      </c>
    </row>
    <row r="23" customFormat="false" ht="15" hidden="false" customHeight="false" outlineLevel="0" collapsed="false">
      <c r="A23" s="9" t="s">
        <v>6039</v>
      </c>
      <c r="B23" s="11" t="s">
        <v>6040</v>
      </c>
      <c r="C23" s="9" t="s">
        <v>480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6041</v>
      </c>
      <c r="B24" s="11" t="s">
        <v>6042</v>
      </c>
      <c r="C24" s="9" t="s">
        <v>480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2892</v>
      </c>
    </row>
    <row r="25" customFormat="false" ht="15" hidden="false" customHeight="false" outlineLevel="0" collapsed="false">
      <c r="A25" s="9" t="s">
        <v>6043</v>
      </c>
      <c r="B25" s="11" t="s">
        <v>6044</v>
      </c>
      <c r="C25" s="9" t="s">
        <v>480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6045</v>
      </c>
    </row>
    <row r="26" customFormat="false" ht="15" hidden="false" customHeight="false" outlineLevel="0" collapsed="false">
      <c r="A26" s="9" t="s">
        <v>6046</v>
      </c>
      <c r="B26" s="11" t="s">
        <v>6047</v>
      </c>
      <c r="C26" s="9" t="s">
        <v>480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6048</v>
      </c>
      <c r="B27" s="11" t="s">
        <v>6049</v>
      </c>
      <c r="C27" s="9" t="s">
        <v>480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6050</v>
      </c>
    </row>
    <row r="28" customFormat="false" ht="15" hidden="false" customHeight="false" outlineLevel="0" collapsed="false">
      <c r="A28" s="9" t="s">
        <v>6051</v>
      </c>
      <c r="B28" s="11" t="s">
        <v>6052</v>
      </c>
      <c r="C28" s="9" t="s">
        <v>480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6053</v>
      </c>
      <c r="B29" s="11" t="s">
        <v>6054</v>
      </c>
      <c r="C29" s="9" t="s">
        <v>480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6055</v>
      </c>
      <c r="B30" s="11" t="s">
        <v>6056</v>
      </c>
      <c r="C30" s="9" t="s">
        <v>480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6057</v>
      </c>
      <c r="B31" s="11" t="s">
        <v>6058</v>
      </c>
      <c r="C31" s="9" t="s">
        <v>480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6059</v>
      </c>
    </row>
    <row r="33" customFormat="false" ht="15" hidden="false" customHeight="false" outlineLevel="0" collapsed="false">
      <c r="A33" s="9" t="s">
        <v>6060</v>
      </c>
      <c r="B33" s="11" t="s">
        <v>6061</v>
      </c>
      <c r="C33" s="11" t="s">
        <v>2187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6062</v>
      </c>
      <c r="B34" s="11" t="s">
        <v>6063</v>
      </c>
      <c r="C34" s="11" t="s">
        <v>2187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6064</v>
      </c>
      <c r="B35" s="11" t="s">
        <v>6065</v>
      </c>
      <c r="C35" s="11" t="s">
        <v>2187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6066</v>
      </c>
    </row>
    <row r="36" customFormat="false" ht="15" hidden="false" customHeight="false" outlineLevel="0" collapsed="false">
      <c r="A36" s="9" t="s">
        <v>6067</v>
      </c>
      <c r="B36" s="9" t="s">
        <v>6068</v>
      </c>
      <c r="C36" s="9" t="s">
        <v>480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6069</v>
      </c>
    </row>
    <row r="37" customFormat="false" ht="15" hidden="false" customHeight="false" outlineLevel="0" collapsed="false">
      <c r="A37" s="9" t="s">
        <v>6070</v>
      </c>
      <c r="B37" s="11" t="s">
        <v>6071</v>
      </c>
      <c r="C37" s="11" t="s">
        <v>267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6072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1" t="s">
        <v>6073</v>
      </c>
    </row>
    <row r="2" customFormat="false" ht="15" hidden="false" customHeight="false" outlineLevel="0" collapsed="false">
      <c r="A2" s="12" t="s">
        <v>6074</v>
      </c>
    </row>
    <row r="4" customFormat="false" ht="15" hidden="false" customHeight="false" outlineLevel="0" collapsed="false">
      <c r="A4" s="8" t="s">
        <v>3789</v>
      </c>
      <c r="B4" s="8" t="s">
        <v>6075</v>
      </c>
      <c r="C4" s="8" t="s">
        <v>6076</v>
      </c>
      <c r="D4" s="8" t="s">
        <v>6077</v>
      </c>
      <c r="E4" s="8" t="s">
        <v>6078</v>
      </c>
      <c r="F4" s="8" t="s">
        <v>2517</v>
      </c>
    </row>
    <row r="5" customFormat="false" ht="15" hidden="false" customHeight="false" outlineLevel="0" collapsed="false">
      <c r="A5" s="9" t="s">
        <v>4239</v>
      </c>
      <c r="B5" s="9" t="s">
        <v>6079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6080</v>
      </c>
    </row>
    <row r="6" customFormat="false" ht="15" hidden="false" customHeight="false" outlineLevel="0" collapsed="false">
      <c r="A6" s="9" t="s">
        <v>4242</v>
      </c>
      <c r="B6" s="9" t="s">
        <v>6081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6082</v>
      </c>
    </row>
    <row r="7" customFormat="false" ht="15" hidden="false" customHeight="false" outlineLevel="0" collapsed="false">
      <c r="A7" s="9" t="s">
        <v>4244</v>
      </c>
      <c r="B7" s="9" t="s">
        <v>6083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4246</v>
      </c>
      <c r="B8" s="9" t="s">
        <v>6084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6085</v>
      </c>
    </row>
    <row r="9" customFormat="false" ht="15" hidden="false" customHeight="false" outlineLevel="0" collapsed="false">
      <c r="A9" s="9" t="s">
        <v>4248</v>
      </c>
      <c r="B9" s="9" t="s">
        <v>6086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6087</v>
      </c>
    </row>
    <row r="10" customFormat="false" ht="15" hidden="false" customHeight="false" outlineLevel="0" collapsed="false">
      <c r="A10" s="9" t="s">
        <v>4251</v>
      </c>
      <c r="B10" s="9" t="s">
        <v>6088</v>
      </c>
      <c r="C10" s="9" t="n">
        <f aca="false">SUMPRODUCT(--(LEN(Inputs!$A$5:$A$600)&gt;0))</f>
        <v>190</v>
      </c>
      <c r="D10" s="9" t="n">
        <v>190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4255</v>
      </c>
      <c r="B11" s="9" t="s">
        <v>6089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6090</v>
      </c>
    </row>
    <row r="12" customFormat="false" ht="15" hidden="false" customHeight="false" outlineLevel="0" collapsed="false">
      <c r="A12" s="9" t="s">
        <v>4258</v>
      </c>
      <c r="B12" s="9" t="s">
        <v>6091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6092</v>
      </c>
    </row>
    <row r="13" customFormat="false" ht="15" hidden="false" customHeight="false" outlineLevel="0" collapsed="false">
      <c r="A13" s="9" t="s">
        <v>4261</v>
      </c>
      <c r="B13" s="9" t="s">
        <v>6093</v>
      </c>
      <c r="C13" s="9" t="n">
        <f aca="false">COUNTIF(TK_Link!$F$10:$F$200,"OK")</f>
        <v>82</v>
      </c>
      <c r="D13" s="9" t="n">
        <v>82</v>
      </c>
      <c r="E13" s="9" t="str">
        <f aca="false">IF(C13=D13,"OK","ERR")</f>
        <v>OK</v>
      </c>
      <c r="F13" s="12" t="s">
        <v>6094</v>
      </c>
    </row>
    <row r="14" customFormat="false" ht="15" hidden="false" customHeight="false" outlineLevel="0" collapsed="false">
      <c r="A14" s="9" t="s">
        <v>4263</v>
      </c>
      <c r="B14" s="9" t="s">
        <v>6095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6096</v>
      </c>
    </row>
    <row r="15" customFormat="false" ht="15" hidden="false" customHeight="false" outlineLevel="0" collapsed="false">
      <c r="A15" s="9" t="s">
        <v>4265</v>
      </c>
      <c r="B15" s="9" t="s">
        <v>6097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4267</v>
      </c>
      <c r="B16" s="9" t="s">
        <v>6098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4269</v>
      </c>
      <c r="B17" s="9" t="s">
        <v>6099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6100</v>
      </c>
    </row>
    <row r="18" customFormat="false" ht="15" hidden="false" customHeight="false" outlineLevel="0" collapsed="false">
      <c r="A18" s="9" t="s">
        <v>4271</v>
      </c>
      <c r="B18" s="9" t="s">
        <v>6101</v>
      </c>
      <c r="C18" s="9" t="str">
        <f aca="false">TK_Version</f>
        <v>v19.0</v>
      </c>
      <c r="E18" s="9" t="s">
        <v>6102</v>
      </c>
      <c r="F18" s="12" t="s">
        <v>6103</v>
      </c>
    </row>
    <row r="19" customFormat="false" ht="15" hidden="false" customHeight="false" outlineLevel="0" collapsed="false">
      <c r="A19" s="9" t="s">
        <v>4273</v>
      </c>
      <c r="B19" s="9" t="s">
        <v>6104</v>
      </c>
      <c r="C19" s="9" t="str">
        <f aca="false">TK_Commit</f>
        <v>1916a06465bb0c7efed21383075f2ae098508e24</v>
      </c>
      <c r="E19" s="9" t="s">
        <v>6102</v>
      </c>
      <c r="F19" s="2"/>
    </row>
    <row r="20" customFormat="false" ht="15" hidden="false" customHeight="false" outlineLevel="0" collapsed="false">
      <c r="A20" s="9" t="s">
        <v>4275</v>
      </c>
      <c r="B20" s="9" t="s">
        <v>6105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6106</v>
      </c>
    </row>
    <row r="21" customFormat="false" ht="15" hidden="false" customHeight="false" outlineLevel="0" collapsed="false">
      <c r="A21" s="9" t="s">
        <v>4277</v>
      </c>
      <c r="B21" s="9" t="s">
        <v>6107</v>
      </c>
      <c r="C21" s="9" t="str">
        <f aca="false">OAI_SHA256</f>
        <v>34fc34a7ea2c18e8f608356ca462d8bd208496ca61780589b559fd2efc6597fe</v>
      </c>
      <c r="E21" s="9" t="s">
        <v>6102</v>
      </c>
      <c r="F21" s="2"/>
    </row>
    <row r="22" customFormat="false" ht="15" hidden="false" customHeight="false" outlineLevel="0" collapsed="false">
      <c r="A22" s="9" t="s">
        <v>4280</v>
      </c>
      <c r="B22" s="9" t="s">
        <v>6108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6109</v>
      </c>
    </row>
    <row r="23" customFormat="false" ht="15" hidden="false" customHeight="false" outlineLevel="0" collapsed="false">
      <c r="A23" s="9" t="s">
        <v>4283</v>
      </c>
      <c r="B23" s="9" t="s">
        <v>6110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6111</v>
      </c>
    </row>
    <row r="24" customFormat="false" ht="15" hidden="false" customHeight="false" outlineLevel="0" collapsed="false">
      <c r="A24" s="9" t="s">
        <v>4286</v>
      </c>
      <c r="B24" s="9" t="s">
        <v>6112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6113</v>
      </c>
    </row>
    <row r="25" customFormat="false" ht="15" hidden="false" customHeight="false" outlineLevel="0" collapsed="false">
      <c r="A25" s="9" t="s">
        <v>4289</v>
      </c>
      <c r="B25" s="9" t="s">
        <v>6114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6115</v>
      </c>
    </row>
    <row r="26" customFormat="false" ht="15" hidden="false" customHeight="false" outlineLevel="0" collapsed="false">
      <c r="A26" s="9" t="s">
        <v>4292</v>
      </c>
      <c r="B26" s="9" t="s">
        <v>6116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6117</v>
      </c>
    </row>
    <row r="27" customFormat="false" ht="15" hidden="false" customHeight="false" outlineLevel="0" collapsed="false">
      <c r="A27" s="9" t="s">
        <v>4294</v>
      </c>
      <c r="B27" s="9" t="s">
        <v>6118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6119</v>
      </c>
    </row>
    <row r="28" customFormat="false" ht="15" hidden="false" customHeight="false" outlineLevel="0" collapsed="false">
      <c r="A28" s="9" t="s">
        <v>4296</v>
      </c>
      <c r="B28" s="9" t="s">
        <v>6120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6121</v>
      </c>
    </row>
    <row r="29" customFormat="false" ht="15" hidden="false" customHeight="false" outlineLevel="0" collapsed="false">
      <c r="A29" s="9" t="s">
        <v>4298</v>
      </c>
      <c r="B29" s="11" t="s">
        <v>6122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4300</v>
      </c>
      <c r="B30" s="9" t="s">
        <v>6123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4302</v>
      </c>
      <c r="B31" s="9" t="s">
        <v>6124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6125</v>
      </c>
    </row>
    <row r="32" customFormat="false" ht="15" hidden="false" customHeight="false" outlineLevel="0" collapsed="false">
      <c r="A32" s="9" t="s">
        <v>4304</v>
      </c>
      <c r="B32" s="11" t="s">
        <v>6126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6127</v>
      </c>
    </row>
    <row r="33" customFormat="false" ht="15" hidden="false" customHeight="false" outlineLevel="0" collapsed="false">
      <c r="A33" s="9" t="s">
        <v>4306</v>
      </c>
      <c r="B33" s="11" t="s">
        <v>6128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6129</v>
      </c>
    </row>
    <row r="34" customFormat="false" ht="15" hidden="false" customHeight="false" outlineLevel="0" collapsed="false">
      <c r="A34" s="9" t="s">
        <v>4308</v>
      </c>
      <c r="B34" s="9" t="s">
        <v>6130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6131</v>
      </c>
    </row>
    <row r="35" customFormat="false" ht="15" hidden="false" customHeight="false" outlineLevel="0" collapsed="false">
      <c r="A35" s="9" t="s">
        <v>4310</v>
      </c>
      <c r="B35" s="9" t="s">
        <v>6132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4312</v>
      </c>
      <c r="B36" s="11" t="s">
        <v>6133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6134</v>
      </c>
    </row>
    <row r="37" customFormat="false" ht="15" hidden="false" customHeight="false" outlineLevel="0" collapsed="false">
      <c r="A37" s="9" t="s">
        <v>4314</v>
      </c>
      <c r="B37" s="11" t="s">
        <v>6135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6136</v>
      </c>
    </row>
    <row r="38" customFormat="false" ht="15" hidden="false" customHeight="false" outlineLevel="0" collapsed="false">
      <c r="A38" s="9" t="s">
        <v>4316</v>
      </c>
      <c r="B38" s="11" t="s">
        <v>6137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6138</v>
      </c>
    </row>
    <row r="39" customFormat="false" ht="15" hidden="false" customHeight="false" outlineLevel="0" collapsed="false">
      <c r="A39" s="9" t="s">
        <v>4318</v>
      </c>
      <c r="B39" s="11" t="s">
        <v>6139</v>
      </c>
      <c r="C39" s="9" t="n">
        <f aca="false">SRC_ANT_001-SRC_ANT_002</f>
        <v>0.00999999999999979</v>
      </c>
      <c r="E39" s="9" t="s">
        <v>6102</v>
      </c>
      <c r="F39" s="2" t="s">
        <v>6140</v>
      </c>
    </row>
    <row r="40" customFormat="false" ht="15" hidden="false" customHeight="false" outlineLevel="0" collapsed="false">
      <c r="A40" s="9" t="s">
        <v>4320</v>
      </c>
      <c r="B40" s="11" t="s">
        <v>6141</v>
      </c>
      <c r="C40" s="17" t="n">
        <f aca="false">REV_GapUncal2025</f>
        <v>-0.2790951</v>
      </c>
      <c r="E40" s="9" t="s">
        <v>6102</v>
      </c>
      <c r="F40" s="2" t="s">
        <v>6142</v>
      </c>
    </row>
    <row r="41" customFormat="false" ht="15" hidden="false" customHeight="false" outlineLevel="0" collapsed="false">
      <c r="A41" s="9" t="s">
        <v>4322</v>
      </c>
      <c r="B41" s="11" t="s">
        <v>6143</v>
      </c>
      <c r="C41" s="16" t="n">
        <f aca="false">Revenue!$D$90</f>
        <v>0.263404131968326</v>
      </c>
      <c r="E41" s="9" t="s">
        <v>6102</v>
      </c>
      <c r="F41" s="12" t="s">
        <v>6144</v>
      </c>
    </row>
    <row r="42" customFormat="false" ht="15" hidden="false" customHeight="false" outlineLevel="0" collapsed="false">
      <c r="A42" s="9" t="s">
        <v>4324</v>
      </c>
      <c r="B42" s="11" t="s">
        <v>6145</v>
      </c>
      <c r="C42" s="16" t="n">
        <f aca="false">Revenue!$D$70</f>
        <v>0.162349676225717</v>
      </c>
      <c r="E42" s="9" t="s">
        <v>6102</v>
      </c>
      <c r="F42" s="12" t="s">
        <v>6146</v>
      </c>
    </row>
    <row r="43" customFormat="false" ht="15" hidden="false" customHeight="false" outlineLevel="0" collapsed="false">
      <c r="A43" s="9" t="s">
        <v>4326</v>
      </c>
      <c r="B43" s="11" t="s">
        <v>6147</v>
      </c>
      <c r="C43" s="16" t="n">
        <f aca="false">Revenue!$E$96</f>
        <v>0.248037644209916</v>
      </c>
      <c r="E43" s="9" t="s">
        <v>6102</v>
      </c>
      <c r="F43" s="12" t="s">
        <v>6148</v>
      </c>
    </row>
    <row r="44" customFormat="false" ht="15" hidden="false" customHeight="false" outlineLevel="0" collapsed="false">
      <c r="A44" s="9" t="s">
        <v>4328</v>
      </c>
      <c r="B44" s="11" t="s">
        <v>6149</v>
      </c>
      <c r="C44" s="16" t="n">
        <f aca="false">Revenue!$E$78</f>
        <v>0.0909347366276627</v>
      </c>
      <c r="E44" s="9" t="s">
        <v>6102</v>
      </c>
      <c r="F44" s="12" t="s">
        <v>6150</v>
      </c>
    </row>
    <row r="45" customFormat="false" ht="15" hidden="false" customHeight="false" outlineLevel="0" collapsed="false">
      <c r="A45" s="9" t="s">
        <v>4330</v>
      </c>
      <c r="B45" s="11" t="s">
        <v>6151</v>
      </c>
      <c r="C45" s="16" t="n">
        <f aca="false">Demand!$E$55</f>
        <v>12.881805079077</v>
      </c>
      <c r="E45" s="9" t="s">
        <v>6102</v>
      </c>
      <c r="F45" s="12" t="s">
        <v>6152</v>
      </c>
    </row>
    <row r="46" customFormat="false" ht="15" hidden="false" customHeight="false" outlineLevel="0" collapsed="false">
      <c r="A46" s="9" t="s">
        <v>4332</v>
      </c>
      <c r="B46" s="11" t="s">
        <v>6153</v>
      </c>
      <c r="C46" s="17" t="n">
        <f aca="false">Revenue!$F$95</f>
        <v>28.0226729505251</v>
      </c>
      <c r="E46" s="9" t="s">
        <v>6102</v>
      </c>
      <c r="F46" s="12" t="s">
        <v>6154</v>
      </c>
    </row>
    <row r="47" customFormat="false" ht="15" hidden="false" customHeight="false" outlineLevel="0" collapsed="false">
      <c r="A47" s="9" t="s">
        <v>4334</v>
      </c>
      <c r="B47" s="11" t="s">
        <v>6155</v>
      </c>
      <c r="C47" s="17" t="n">
        <f aca="false">INDEX(REV_Net,1,6)</f>
        <v>201.579345535295</v>
      </c>
      <c r="E47" s="9" t="s">
        <v>6102</v>
      </c>
      <c r="F47" s="2" t="s">
        <v>6156</v>
      </c>
    </row>
    <row r="48" customFormat="false" ht="15" hidden="false" customHeight="false" outlineLevel="0" collapsed="false">
      <c r="A48" s="9" t="s">
        <v>4336</v>
      </c>
      <c r="B48" s="9" t="s">
        <v>6157</v>
      </c>
      <c r="C48" s="9" t="n">
        <f aca="false">INDEX(REV_Gross,1,1)/INDEX(OAI_REV_Gross,1,1)</f>
        <v>0.35195103289977</v>
      </c>
      <c r="E48" s="9" t="s">
        <v>6102</v>
      </c>
      <c r="F48" s="12" t="s">
        <v>6158</v>
      </c>
    </row>
    <row r="49" customFormat="false" ht="15" hidden="false" customHeight="false" outlineLevel="0" collapsed="false">
      <c r="A49" s="9" t="s">
        <v>4338</v>
      </c>
      <c r="B49" s="9" t="s">
        <v>6159</v>
      </c>
      <c r="C49" s="9" t="n">
        <f aca="false">INDEX(REV_Net,1,6)/INDEX(OAI_REV_Net,1,6)</f>
        <v>1.59498664911641</v>
      </c>
      <c r="E49" s="9" t="s">
        <v>6102</v>
      </c>
      <c r="F49" s="2"/>
    </row>
    <row r="50" customFormat="false" ht="15" hidden="false" customHeight="false" outlineLevel="0" collapsed="false">
      <c r="A50" s="9" t="s">
        <v>4340</v>
      </c>
      <c r="B50" s="9" t="s">
        <v>6160</v>
      </c>
      <c r="C50" s="9" t="n">
        <f aca="false">INDEX(DEM_Tok_Total,1,6)/INDEX(OAI_DEM_Tok_Total,1,6)</f>
        <v>1.03471353489404</v>
      </c>
      <c r="E50" s="9" t="s">
        <v>6102</v>
      </c>
      <c r="F50" s="2" t="s">
        <v>6161</v>
      </c>
    </row>
    <row r="51" customFormat="false" ht="15" hidden="false" customHeight="false" outlineLevel="0" collapsed="false">
      <c r="A51" s="9" t="s">
        <v>4342</v>
      </c>
      <c r="B51" s="11" t="s">
        <v>6162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6163</v>
      </c>
    </row>
    <row r="52" customFormat="false" ht="15" hidden="false" customHeight="false" outlineLevel="0" collapsed="false">
      <c r="A52" s="9" t="s">
        <v>4344</v>
      </c>
      <c r="B52" s="11" t="s">
        <v>6164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6102</v>
      </c>
      <c r="F52" s="12" t="s">
        <v>6165</v>
      </c>
    </row>
    <row r="53" customFormat="false" ht="15" hidden="false" customHeight="false" outlineLevel="0" collapsed="false">
      <c r="A53" s="9" t="s">
        <v>4346</v>
      </c>
      <c r="B53" s="9" t="s">
        <v>6166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6167</v>
      </c>
    </row>
    <row r="54" customFormat="false" ht="15" hidden="false" customHeight="false" outlineLevel="0" collapsed="false">
      <c r="A54" s="9" t="s">
        <v>4348</v>
      </c>
      <c r="B54" s="9" t="s">
        <v>6168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6169</v>
      </c>
    </row>
    <row r="55" customFormat="false" ht="15" hidden="false" customHeight="false" outlineLevel="0" collapsed="false">
      <c r="A55" s="9" t="s">
        <v>4350</v>
      </c>
      <c r="B55" s="9" t="s">
        <v>6170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6171</v>
      </c>
    </row>
    <row r="56" customFormat="false" ht="15" hidden="false" customHeight="false" outlineLevel="0" collapsed="false">
      <c r="A56" s="9" t="s">
        <v>4352</v>
      </c>
      <c r="B56" s="11" t="s">
        <v>6172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6173</v>
      </c>
    </row>
    <row r="57" customFormat="false" ht="15" hidden="false" customHeight="false" outlineLevel="0" collapsed="false">
      <c r="A57" s="9" t="s">
        <v>4354</v>
      </c>
      <c r="B57" s="11" t="s">
        <v>6174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6175</v>
      </c>
    </row>
    <row r="58" customFormat="false" ht="15" hidden="false" customHeight="false" outlineLevel="0" collapsed="false">
      <c r="A58" s="9" t="s">
        <v>4356</v>
      </c>
      <c r="B58" s="9" t="s">
        <v>6176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6177</v>
      </c>
    </row>
    <row r="59" customFormat="false" ht="15" hidden="false" customHeight="false" outlineLevel="0" collapsed="false">
      <c r="A59" s="9" t="s">
        <v>4360</v>
      </c>
      <c r="B59" s="11" t="s">
        <v>6178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6179</v>
      </c>
    </row>
    <row r="60" customFormat="false" ht="15" hidden="false" customHeight="false" outlineLevel="0" collapsed="false">
      <c r="A60" s="9" t="s">
        <v>4363</v>
      </c>
      <c r="B60" s="11" t="s">
        <v>6180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4365</v>
      </c>
      <c r="B61" s="11" t="s">
        <v>6181</v>
      </c>
      <c r="C61" s="9" t="n">
        <f aca="false">MAX(MAX(Compute!$D$111:$I$111),-MIN(Compute!$D$111:$I$111))-Compute!$D$62</f>
        <v>0</v>
      </c>
      <c r="E61" s="9" t="s">
        <v>6102</v>
      </c>
      <c r="F61" s="2" t="s">
        <v>6182</v>
      </c>
    </row>
    <row r="62" customFormat="false" ht="15" hidden="false" customHeight="false" outlineLevel="0" collapsed="false">
      <c r="A62" s="9" t="s">
        <v>4368</v>
      </c>
      <c r="B62" s="11" t="s">
        <v>6183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6184</v>
      </c>
    </row>
    <row r="63" customFormat="false" ht="15" hidden="false" customHeight="false" outlineLevel="0" collapsed="false">
      <c r="A63" s="9" t="s">
        <v>4371</v>
      </c>
      <c r="B63" s="11" t="s">
        <v>6185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6186</v>
      </c>
    </row>
    <row r="64" customFormat="false" ht="15" hidden="false" customHeight="false" outlineLevel="0" collapsed="false">
      <c r="A64" s="9" t="s">
        <v>4375</v>
      </c>
      <c r="B64" s="11" t="s">
        <v>6187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6188</v>
      </c>
    </row>
    <row r="65" customFormat="false" ht="15" hidden="false" customHeight="false" outlineLevel="0" collapsed="false">
      <c r="A65" s="9" t="s">
        <v>4378</v>
      </c>
      <c r="B65" s="9" t="s">
        <v>6189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4381</v>
      </c>
      <c r="B66" s="11" t="s">
        <v>6190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4383</v>
      </c>
      <c r="B67" s="11" t="s">
        <v>6191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3815</v>
      </c>
    </row>
    <row r="68" customFormat="false" ht="15" hidden="false" customHeight="false" outlineLevel="0" collapsed="false">
      <c r="A68" s="9" t="s">
        <v>4386</v>
      </c>
      <c r="B68" s="11" t="s">
        <v>6192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4389</v>
      </c>
      <c r="B69" s="11" t="s">
        <v>6193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4392</v>
      </c>
      <c r="B70" s="11" t="s">
        <v>6194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4395</v>
      </c>
      <c r="B71" s="9" t="s">
        <v>6195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6196</v>
      </c>
    </row>
    <row r="72" customFormat="false" ht="15" hidden="false" customHeight="false" outlineLevel="0" collapsed="false">
      <c r="A72" s="9" t="s">
        <v>4398</v>
      </c>
      <c r="B72" s="11" t="s">
        <v>6197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6198</v>
      </c>
    </row>
    <row r="73" customFormat="false" ht="15" hidden="false" customHeight="false" outlineLevel="0" collapsed="false">
      <c r="A73" s="9" t="s">
        <v>4401</v>
      </c>
      <c r="B73" s="9" t="s">
        <v>6199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6200</v>
      </c>
    </row>
    <row r="74" customFormat="false" ht="15" hidden="false" customHeight="false" outlineLevel="0" collapsed="false">
      <c r="A74" s="9" t="s">
        <v>4404</v>
      </c>
      <c r="B74" s="9" t="s">
        <v>6201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6200</v>
      </c>
    </row>
    <row r="75" customFormat="false" ht="15" hidden="false" customHeight="false" outlineLevel="0" collapsed="false">
      <c r="A75" s="9" t="s">
        <v>4407</v>
      </c>
      <c r="B75" s="11" t="s">
        <v>6202</v>
      </c>
      <c r="C75" s="16" t="n">
        <f aca="false">INDEX(CMP_YEGap,1,3)</f>
        <v>-0.0703798772928984</v>
      </c>
      <c r="E75" s="9" t="s">
        <v>6102</v>
      </c>
      <c r="F75" s="12" t="s">
        <v>6203</v>
      </c>
    </row>
    <row r="76" customFormat="false" ht="15" hidden="false" customHeight="false" outlineLevel="0" collapsed="false">
      <c r="A76" s="9" t="s">
        <v>4410</v>
      </c>
      <c r="B76" s="11" t="s">
        <v>6204</v>
      </c>
      <c r="C76" s="17" t="n">
        <f aca="false">COST_OpLossGap2025</f>
        <v>0.00999999999999979</v>
      </c>
      <c r="E76" s="9" t="s">
        <v>6102</v>
      </c>
      <c r="F76" s="12" t="s">
        <v>6205</v>
      </c>
    </row>
    <row r="77" customFormat="false" ht="15" hidden="false" customHeight="false" outlineLevel="0" collapsed="false">
      <c r="A77" s="9" t="s">
        <v>4413</v>
      </c>
      <c r="B77" s="9" t="s">
        <v>6206</v>
      </c>
      <c r="C77" s="16" t="n">
        <f aca="false">COST_AdjOIM2026</f>
        <v>0.307576074057281</v>
      </c>
      <c r="E77" s="9" t="s">
        <v>6102</v>
      </c>
      <c r="F77" s="2" t="s">
        <v>6207</v>
      </c>
    </row>
    <row r="78" customFormat="false" ht="15" hidden="false" customHeight="false" outlineLevel="0" collapsed="false">
      <c r="A78" s="9" t="s">
        <v>4417</v>
      </c>
      <c r="B78" s="9" t="s">
        <v>6208</v>
      </c>
      <c r="C78" s="16" t="n">
        <f aca="false">COST_AdjOIMRep2026Q2</f>
        <v>0.0512844036697248</v>
      </c>
      <c r="E78" s="9" t="s">
        <v>6102</v>
      </c>
      <c r="F78" s="12" t="s">
        <v>6209</v>
      </c>
    </row>
    <row r="79" customFormat="false" ht="15" hidden="false" customHeight="false" outlineLevel="0" collapsed="false">
      <c r="A79" s="9" t="s">
        <v>4420</v>
      </c>
      <c r="B79" s="11" t="s">
        <v>6210</v>
      </c>
      <c r="C79" s="17" t="n">
        <f aca="false">COST_H1Compute2026</f>
        <v>9.7983</v>
      </c>
      <c r="E79" s="9" t="s">
        <v>6102</v>
      </c>
      <c r="F79" s="2" t="s">
        <v>6211</v>
      </c>
    </row>
    <row r="80" customFormat="false" ht="15" hidden="false" customHeight="false" outlineLevel="0" collapsed="false">
      <c r="A80" s="9" t="s">
        <v>4423</v>
      </c>
      <c r="B80" s="11" t="s">
        <v>6212</v>
      </c>
      <c r="C80" s="21" t="n">
        <f aca="false">CMP_Eta2025</f>
        <v>0.52729641508883</v>
      </c>
      <c r="E80" s="9" t="s">
        <v>6102</v>
      </c>
      <c r="F80" s="12" t="s">
        <v>6213</v>
      </c>
    </row>
    <row r="81" customFormat="false" ht="15" hidden="false" customHeight="false" outlineLevel="0" collapsed="false">
      <c r="A81" s="9" t="s">
        <v>4427</v>
      </c>
      <c r="B81" s="11" t="s">
        <v>6214</v>
      </c>
      <c r="C81" s="18" t="n">
        <f aca="false">INDEX(COST_PropGap_VR,1,6)</f>
        <v>11.6019174208063</v>
      </c>
      <c r="E81" s="9" t="s">
        <v>6102</v>
      </c>
      <c r="F81" s="2" t="s">
        <v>6215</v>
      </c>
    </row>
    <row r="82" customFormat="false" ht="15" hidden="false" customHeight="false" outlineLevel="0" collapsed="false">
      <c r="A82" s="9" t="s">
        <v>4431</v>
      </c>
      <c r="B82" s="11" t="s">
        <v>6216</v>
      </c>
      <c r="C82" s="21" t="n">
        <f aca="false">INDEX(COST_Coverage,1,6)</f>
        <v>1.80435728221484</v>
      </c>
      <c r="E82" s="9" t="s">
        <v>6102</v>
      </c>
      <c r="F82" s="2"/>
    </row>
    <row r="83" customFormat="false" ht="15" hidden="false" customHeight="false" outlineLevel="0" collapsed="false">
      <c r="A83" s="9" t="s">
        <v>4434</v>
      </c>
      <c r="B83" s="9" t="s">
        <v>6217</v>
      </c>
      <c r="C83" s="9" t="n">
        <f aca="false">INDEX(COST_PropGap_VR,1,6)-INDEX(OAI_COST_PropGap_VR,1,6)</f>
        <v>21.6563961974449</v>
      </c>
      <c r="E83" s="9" t="s">
        <v>6102</v>
      </c>
      <c r="F83" s="12" t="s">
        <v>6158</v>
      </c>
    </row>
    <row r="84" customFormat="false" ht="15" hidden="false" customHeight="false" outlineLevel="0" collapsed="false">
      <c r="A84" s="9" t="s">
        <v>4437</v>
      </c>
      <c r="B84" s="9" t="s">
        <v>6218</v>
      </c>
      <c r="C84" s="9" t="n">
        <f aca="false">INDEX(COST_Coverage,1,6)/INDEX(OAI_COST_Coverage,1,6)</f>
        <v>3.94962290058408</v>
      </c>
      <c r="E84" s="9" t="s">
        <v>6102</v>
      </c>
      <c r="F84" s="2"/>
    </row>
    <row r="85" customFormat="false" ht="15" hidden="false" customHeight="false" outlineLevel="0" collapsed="false">
      <c r="A85" s="9" t="s">
        <v>4440</v>
      </c>
      <c r="B85" s="9" t="s">
        <v>6219</v>
      </c>
      <c r="C85" s="9" t="n">
        <f aca="false">INDEX(CMP_Supply_VReq,1,6)/INDEX(OAI_CMP_Supply_VReq,1,6)</f>
        <v>0.518268447406009</v>
      </c>
      <c r="E85" s="9" t="s">
        <v>6102</v>
      </c>
      <c r="F85" s="2"/>
    </row>
    <row r="86" customFormat="false" ht="15" hidden="false" customHeight="false" outlineLevel="0" collapsed="false">
      <c r="A86" s="9" t="s">
        <v>4442</v>
      </c>
      <c r="B86" s="9" t="s">
        <v>6220</v>
      </c>
      <c r="C86" s="9" t="n">
        <f aca="false">INDEX(COST_Compute,1,6)/INDEX(OAI_COST_Compute,1,6)</f>
        <v>0.404233290146272</v>
      </c>
      <c r="E86" s="9" t="s">
        <v>6102</v>
      </c>
      <c r="F86" s="2"/>
    </row>
    <row r="87" customFormat="false" ht="15" hidden="false" customHeight="false" outlineLevel="0" collapsed="false">
      <c r="A87" s="9" t="s">
        <v>4444</v>
      </c>
      <c r="B87" s="11" t="s">
        <v>6221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6222</v>
      </c>
    </row>
    <row r="88" customFormat="false" ht="15" hidden="false" customHeight="false" outlineLevel="0" collapsed="false">
      <c r="A88" s="9" t="s">
        <v>4446</v>
      </c>
      <c r="B88" s="11" t="s">
        <v>6223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6224</v>
      </c>
    </row>
    <row r="89" customFormat="false" ht="15" hidden="false" customHeight="false" outlineLevel="0" collapsed="false">
      <c r="A89" s="9" t="s">
        <v>4448</v>
      </c>
      <c r="B89" s="11" t="s">
        <v>6225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4450</v>
      </c>
      <c r="B90" s="11" t="s">
        <v>6226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6227</v>
      </c>
    </row>
    <row r="91" customFormat="false" ht="15" hidden="false" customHeight="false" outlineLevel="0" collapsed="false">
      <c r="A91" s="9" t="s">
        <v>4452</v>
      </c>
      <c r="B91" s="11" t="s">
        <v>6228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4454</v>
      </c>
      <c r="B92" s="9" t="s">
        <v>6229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6230</v>
      </c>
    </row>
    <row r="93" customFormat="false" ht="15" hidden="false" customHeight="false" outlineLevel="0" collapsed="false">
      <c r="A93" s="9" t="s">
        <v>4456</v>
      </c>
      <c r="B93" s="11" t="s">
        <v>6231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6232</v>
      </c>
    </row>
    <row r="94" customFormat="false" ht="15" hidden="false" customHeight="false" outlineLevel="0" collapsed="false">
      <c r="A94" s="9" t="s">
        <v>4458</v>
      </c>
      <c r="B94" s="11" t="s">
        <v>6233</v>
      </c>
      <c r="C94" s="17" t="n">
        <f aca="false">Funding!$E$26</f>
        <v>100</v>
      </c>
      <c r="E94" s="9" t="s">
        <v>6102</v>
      </c>
      <c r="F94" s="12" t="s">
        <v>6234</v>
      </c>
    </row>
    <row r="95" customFormat="false" ht="15" hidden="false" customHeight="false" outlineLevel="0" collapsed="false">
      <c r="A95" s="9" t="s">
        <v>4460</v>
      </c>
      <c r="B95" s="11" t="s">
        <v>6235</v>
      </c>
      <c r="C95" s="9" t="str">
        <f aca="false">FND_FirstGapYear</f>
        <v>無</v>
      </c>
      <c r="E95" s="9" t="s">
        <v>6102</v>
      </c>
      <c r="F95" s="2" t="s">
        <v>6236</v>
      </c>
    </row>
    <row r="96" customFormat="false" ht="15" hidden="false" customHeight="false" outlineLevel="0" collapsed="false">
      <c r="A96" s="9" t="s">
        <v>4462</v>
      </c>
      <c r="B96" s="11" t="s">
        <v>6237</v>
      </c>
      <c r="C96" s="17" t="n">
        <f aca="false">FND_ExtNeedPeak</f>
        <v>-0</v>
      </c>
      <c r="E96" s="9" t="s">
        <v>6102</v>
      </c>
      <c r="F96" s="2"/>
    </row>
    <row r="97" customFormat="false" ht="15" hidden="false" customHeight="false" outlineLevel="0" collapsed="false">
      <c r="A97" s="9" t="s">
        <v>4464</v>
      </c>
      <c r="B97" s="11" t="s">
        <v>6238</v>
      </c>
      <c r="C97" s="9" t="str">
        <f aca="false">FND_PeakYear</f>
        <v>無</v>
      </c>
      <c r="E97" s="9" t="s">
        <v>6102</v>
      </c>
      <c r="F97" s="2"/>
    </row>
    <row r="98" customFormat="false" ht="15" hidden="false" customHeight="false" outlineLevel="0" collapsed="false">
      <c r="A98" s="9" t="s">
        <v>4466</v>
      </c>
      <c r="B98" s="11" t="s">
        <v>6239</v>
      </c>
      <c r="C98" s="17" t="n">
        <f aca="false">Funding!$I$43</f>
        <v>-0</v>
      </c>
      <c r="E98" s="9" t="s">
        <v>6102</v>
      </c>
      <c r="F98" s="2"/>
    </row>
    <row r="99" customFormat="false" ht="15" hidden="false" customHeight="false" outlineLevel="0" collapsed="false">
      <c r="A99" s="9" t="s">
        <v>4468</v>
      </c>
      <c r="B99" s="11" t="s">
        <v>6240</v>
      </c>
      <c r="C99" s="17" t="n">
        <f aca="false">Funding!$I$42</f>
        <v>227.958201246033</v>
      </c>
      <c r="E99" s="9" t="s">
        <v>6102</v>
      </c>
      <c r="F99" s="2"/>
    </row>
    <row r="100" customFormat="false" ht="15" hidden="false" customHeight="false" outlineLevel="0" collapsed="false">
      <c r="A100" s="9" t="s">
        <v>4470</v>
      </c>
      <c r="B100" s="11" t="s">
        <v>6241</v>
      </c>
      <c r="C100" s="17" t="n">
        <f aca="false">FND_CashNoExtTrough</f>
        <v>84.2280680683723</v>
      </c>
      <c r="E100" s="9" t="s">
        <v>6102</v>
      </c>
      <c r="F100" s="2"/>
    </row>
    <row r="101" customFormat="false" ht="15" hidden="false" customHeight="false" outlineLevel="0" collapsed="false">
      <c r="A101" s="9" t="s">
        <v>4472</v>
      </c>
      <c r="B101" s="11" t="s">
        <v>6242</v>
      </c>
      <c r="C101" s="9" t="n">
        <f aca="false">INDEX(FND_ExtNeedCumAnchor,1,6)-Funding!$I$43</f>
        <v>0</v>
      </c>
      <c r="E101" s="9" t="s">
        <v>6102</v>
      </c>
      <c r="F101" s="2"/>
    </row>
    <row r="102" customFormat="false" ht="15" hidden="false" customHeight="false" outlineLevel="0" collapsed="false">
      <c r="A102" s="9" t="s">
        <v>4474</v>
      </c>
      <c r="B102" s="9" t="s">
        <v>6243</v>
      </c>
      <c r="C102" s="17" t="n">
        <f aca="false">COST_D22Under</f>
        <v>6.87974919744806</v>
      </c>
      <c r="E102" s="9" t="s">
        <v>6102</v>
      </c>
      <c r="F102" s="2" t="s">
        <v>6207</v>
      </c>
    </row>
    <row r="103" customFormat="false" ht="15" hidden="false" customHeight="false" outlineLevel="0" collapsed="false">
      <c r="A103" s="9" t="s">
        <v>4476</v>
      </c>
      <c r="B103" s="11" t="s">
        <v>6244</v>
      </c>
      <c r="C103" s="17" t="n">
        <f aca="false">INDEX(COST_LeaseRent,1,6)</f>
        <v>1.87166666666667</v>
      </c>
      <c r="E103" s="9" t="s">
        <v>6102</v>
      </c>
      <c r="F103" s="12" t="s">
        <v>6245</v>
      </c>
    </row>
    <row r="104" customFormat="false" ht="15" hidden="false" customHeight="false" outlineLevel="0" collapsed="false">
      <c r="A104" s="9" t="s">
        <v>4479</v>
      </c>
      <c r="B104" s="9" t="s">
        <v>6246</v>
      </c>
      <c r="C104" s="22" t="n">
        <f aca="false">Funding!$H$107</f>
        <v>0.122644738430686</v>
      </c>
      <c r="E104" s="9" t="s">
        <v>6102</v>
      </c>
      <c r="F104" s="2" t="s">
        <v>6247</v>
      </c>
    </row>
    <row r="105" customFormat="false" ht="15" hidden="false" customHeight="false" outlineLevel="0" collapsed="false">
      <c r="A105" s="9" t="s">
        <v>4481</v>
      </c>
      <c r="B105" s="11" t="s">
        <v>6248</v>
      </c>
      <c r="C105" s="9" t="n">
        <f aca="false">Funding!$E$28-Funding!$D$28</f>
        <v>7.5</v>
      </c>
      <c r="E105" s="9" t="s">
        <v>6102</v>
      </c>
      <c r="F105" s="2" t="s">
        <v>6249</v>
      </c>
    </row>
    <row r="106" customFormat="false" ht="15" hidden="false" customHeight="false" outlineLevel="0" collapsed="false">
      <c r="A106" s="9" t="s">
        <v>4483</v>
      </c>
      <c r="B106" s="9" t="s">
        <v>6250</v>
      </c>
      <c r="C106" s="17" t="n">
        <f aca="false">INDEX(RVS_ExtNeedCum,1,6)</f>
        <v>26.7463819614183</v>
      </c>
      <c r="E106" s="9" t="s">
        <v>6102</v>
      </c>
      <c r="F106" s="2" t="s">
        <v>6251</v>
      </c>
    </row>
    <row r="107" customFormat="false" ht="15" hidden="false" customHeight="false" outlineLevel="0" collapsed="false">
      <c r="A107" s="9" t="s">
        <v>4485</v>
      </c>
      <c r="B107" s="9" t="s">
        <v>6252</v>
      </c>
      <c r="C107" s="21" t="n">
        <f aca="false">INDEX(RVS_MultProp,1,5)</f>
        <v>0.866451412451413</v>
      </c>
      <c r="E107" s="9" t="s">
        <v>6102</v>
      </c>
      <c r="F107" s="12" t="s">
        <v>6253</v>
      </c>
    </row>
    <row r="108" customFormat="false" ht="15" hidden="false" customHeight="false" outlineLevel="0" collapsed="false">
      <c r="A108" s="9" t="s">
        <v>4487</v>
      </c>
      <c r="B108" s="9" t="s">
        <v>6254</v>
      </c>
      <c r="C108" s="9" t="n">
        <f aca="false">Funding!$I$43-INDEX(OAI_FND_ExtNeedCum,1,6)</f>
        <v>-442.844811653528</v>
      </c>
      <c r="E108" s="9" t="s">
        <v>6102</v>
      </c>
      <c r="F108" s="12" t="s">
        <v>6158</v>
      </c>
    </row>
    <row r="109" customFormat="false" ht="15" hidden="false" customHeight="false" outlineLevel="0" collapsed="false">
      <c r="A109" s="9" t="s">
        <v>4489</v>
      </c>
      <c r="B109" s="9" t="s">
        <v>6255</v>
      </c>
      <c r="C109" s="9" t="n">
        <f aca="false">Funding!$I$42-INDEX(OAI_FND_CashEnd,1,6)</f>
        <v>217.958201246033</v>
      </c>
      <c r="E109" s="9" t="s">
        <v>6102</v>
      </c>
      <c r="F109" s="2"/>
    </row>
    <row r="110" customFormat="false" ht="15" hidden="false" customHeight="false" outlineLevel="0" collapsed="false">
      <c r="A110" s="9" t="s">
        <v>4492</v>
      </c>
      <c r="B110" s="9" t="s">
        <v>6256</v>
      </c>
      <c r="C110" s="17" t="n">
        <f aca="false">INDEX(REV_Target,1,2)</f>
        <v>49.9</v>
      </c>
      <c r="E110" s="9" t="s">
        <v>6102</v>
      </c>
      <c r="F110" s="12" t="s">
        <v>6257</v>
      </c>
    </row>
    <row r="111" customFormat="false" ht="15" hidden="false" customHeight="false" outlineLevel="0" collapsed="false">
      <c r="A111" s="9" t="s">
        <v>4494</v>
      </c>
      <c r="B111" s="9" t="s">
        <v>6258</v>
      </c>
      <c r="C111" s="9" t="n">
        <f aca="false">SRC_ANT_004+SRC_ANT_382-SRC_ANT_380</f>
        <v>0.0299999999999976</v>
      </c>
      <c r="E111" s="9" t="s">
        <v>6102</v>
      </c>
      <c r="F111" s="2" t="s">
        <v>6259</v>
      </c>
    </row>
    <row r="112" customFormat="false" ht="15" hidden="false" customHeight="false" outlineLevel="0" collapsed="false">
      <c r="A112" s="9" t="s">
        <v>4496</v>
      </c>
      <c r="B112" s="9" t="s">
        <v>6260</v>
      </c>
      <c r="C112" s="9" t="n">
        <f aca="false">SRC_ANT_382-SRC_ANT_383</f>
        <v>0.0999999999999996</v>
      </c>
      <c r="E112" s="9" t="s">
        <v>6102</v>
      </c>
      <c r="F112" s="2" t="s">
        <v>6261</v>
      </c>
    </row>
    <row r="113" customFormat="false" ht="15" hidden="false" customHeight="false" outlineLevel="0" collapsed="false">
      <c r="A113" s="9" t="s">
        <v>4498</v>
      </c>
      <c r="B113" s="9" t="s">
        <v>6262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6263</v>
      </c>
    </row>
    <row r="114" customFormat="false" ht="15" hidden="false" customHeight="false" outlineLevel="0" collapsed="false">
      <c r="A114" s="9" t="s">
        <v>4500</v>
      </c>
      <c r="B114" s="9" t="s">
        <v>6264</v>
      </c>
      <c r="C114" s="21" t="n">
        <f aca="false">CMP_U2GWRatio_Nscale</f>
        <v>1</v>
      </c>
      <c r="E114" s="9" t="s">
        <v>6102</v>
      </c>
      <c r="F114" s="12" t="s">
        <v>6265</v>
      </c>
    </row>
    <row r="115" customFormat="false" ht="15" hidden="false" customHeight="false" outlineLevel="0" collapsed="false">
      <c r="A115" s="9" t="s">
        <v>4503</v>
      </c>
      <c r="B115" s="9" t="s">
        <v>6266</v>
      </c>
      <c r="C115" s="21" t="n">
        <f aca="false">CMP_U2GWRatio_Lambda</f>
        <v>1</v>
      </c>
      <c r="E115" s="9" t="s">
        <v>6102</v>
      </c>
      <c r="F115" s="2"/>
    </row>
    <row r="116" customFormat="false" ht="15" hidden="false" customHeight="false" outlineLevel="0" collapsed="false">
      <c r="A116" s="9" t="s">
        <v>4505</v>
      </c>
      <c r="B116" s="9" t="s">
        <v>6267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6268</v>
      </c>
    </row>
    <row r="117" customFormat="false" ht="15" hidden="false" customHeight="false" outlineLevel="0" collapsed="false">
      <c r="A117" s="9" t="s">
        <v>4507</v>
      </c>
      <c r="B117" s="9" t="s">
        <v>6269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6270</v>
      </c>
    </row>
    <row r="118" customFormat="false" ht="15" hidden="false" customHeight="false" outlineLevel="0" collapsed="false">
      <c r="A118" s="9" t="s">
        <v>4509</v>
      </c>
      <c r="B118" s="9" t="s">
        <v>6271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6272</v>
      </c>
    </row>
    <row r="119" customFormat="false" ht="15" hidden="false" customHeight="false" outlineLevel="0" collapsed="false">
      <c r="A119" s="9" t="s">
        <v>4511</v>
      </c>
      <c r="B119" s="9" t="s">
        <v>6273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6274</v>
      </c>
    </row>
    <row r="120" customFormat="false" ht="15" hidden="false" customHeight="false" outlineLevel="0" collapsed="false">
      <c r="A120" s="9" t="s">
        <v>4514</v>
      </c>
      <c r="B120" s="9" t="s">
        <v>6275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6276</v>
      </c>
    </row>
    <row r="121" customFormat="false" ht="15" hidden="false" customHeight="false" outlineLevel="0" collapsed="false">
      <c r="A121" s="9" t="s">
        <v>4516</v>
      </c>
      <c r="B121" s="9" t="s">
        <v>6277</v>
      </c>
      <c r="C121" s="16" t="n">
        <f aca="false">COST_AdjOIMGapQ3</f>
        <v>0.197576074057281</v>
      </c>
      <c r="E121" s="9" t="s">
        <v>6102</v>
      </c>
      <c r="F121" s="12" t="s">
        <v>6278</v>
      </c>
    </row>
    <row r="122" customFormat="false" ht="15" hidden="false" customHeight="false" outlineLevel="0" collapsed="false">
      <c r="A122" s="9" t="s">
        <v>4518</v>
      </c>
      <c r="B122" s="9" t="s">
        <v>6279</v>
      </c>
      <c r="C122" s="17" t="n">
        <f aca="false">COST_D22UnderQ3</f>
        <v>10.2103374327422</v>
      </c>
      <c r="E122" s="9" t="s">
        <v>6102</v>
      </c>
      <c r="F122" s="2" t="s">
        <v>6280</v>
      </c>
    </row>
    <row r="123" customFormat="false" ht="15" hidden="false" customHeight="false" outlineLevel="0" collapsed="false">
      <c r="A123" s="9" t="s">
        <v>4520</v>
      </c>
      <c r="B123" s="9" t="s">
        <v>6281</v>
      </c>
      <c r="C123" s="17" t="n">
        <f aca="false">COST_D22UnderQ3Ratio</f>
        <v>4.98980802097747</v>
      </c>
      <c r="E123" s="9" t="s">
        <v>6102</v>
      </c>
      <c r="F123" s="2" t="s">
        <v>6282</v>
      </c>
    </row>
    <row r="124" customFormat="false" ht="15" hidden="false" customHeight="false" outlineLevel="0" collapsed="false">
      <c r="A124" s="9" t="s">
        <v>4522</v>
      </c>
      <c r="B124" s="9" t="s">
        <v>6283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4524</v>
      </c>
      <c r="B125" s="9" t="s">
        <v>6284</v>
      </c>
      <c r="C125" s="18" t="n">
        <f aca="false">INDEX(COST_PropGap_VR_Neg,1,6)</f>
        <v>6.9074451048106</v>
      </c>
      <c r="E125" s="9" t="s">
        <v>6102</v>
      </c>
      <c r="F125" s="2" t="s">
        <v>6285</v>
      </c>
    </row>
    <row r="126" customFormat="false" ht="15" hidden="false" customHeight="false" outlineLevel="0" collapsed="false">
      <c r="A126" s="9" t="s">
        <v>4526</v>
      </c>
      <c r="B126" s="9" t="s">
        <v>6286</v>
      </c>
      <c r="C126" s="17" t="n">
        <f aca="false">Funding!$I$118</f>
        <v>-0</v>
      </c>
      <c r="E126" s="9" t="s">
        <v>6102</v>
      </c>
      <c r="F126" s="2" t="s">
        <v>6287</v>
      </c>
    </row>
    <row r="127" customFormat="false" ht="15" hidden="false" customHeight="false" outlineLevel="0" collapsed="false">
      <c r="A127" s="9" t="s">
        <v>4528</v>
      </c>
      <c r="B127" s="9" t="s">
        <v>6288</v>
      </c>
      <c r="C127" s="17" t="n">
        <f aca="false">Funding!$E$109</f>
        <v>72</v>
      </c>
      <c r="E127" s="9" t="s">
        <v>6102</v>
      </c>
      <c r="F127" s="12" t="s">
        <v>6289</v>
      </c>
    </row>
    <row r="128" customFormat="false" ht="15" hidden="false" customHeight="false" outlineLevel="0" collapsed="false">
      <c r="A128" s="9" t="s">
        <v>4530</v>
      </c>
      <c r="B128" s="9" t="s">
        <v>6290</v>
      </c>
      <c r="C128" s="18" t="n">
        <f aca="false">COST_TKPQ</f>
        <v>48.7876810461932</v>
      </c>
      <c r="E128" s="9" t="s">
        <v>6102</v>
      </c>
      <c r="F128" s="2" t="s">
        <v>6291</v>
      </c>
    </row>
    <row r="129" customFormat="false" ht="15" hidden="false" customHeight="false" outlineLevel="0" collapsed="false">
      <c r="A129" s="9" t="s">
        <v>4532</v>
      </c>
      <c r="B129" s="9" t="s">
        <v>6292</v>
      </c>
      <c r="C129" s="21" t="n">
        <f aca="false">COST_TKPQRatio</f>
        <v>0.365309913788772</v>
      </c>
      <c r="E129" s="9" t="s">
        <v>6102</v>
      </c>
      <c r="F129" s="12" t="s">
        <v>6293</v>
      </c>
    </row>
    <row r="130" customFormat="false" ht="15" hidden="false" customHeight="false" outlineLevel="0" collapsed="false">
      <c r="A130" s="9" t="s">
        <v>4535</v>
      </c>
      <c r="B130" s="9" t="s">
        <v>6294</v>
      </c>
      <c r="C130" s="21" t="n">
        <f aca="false">COST_TKTokLedger</f>
        <v>6.25811015798616</v>
      </c>
      <c r="E130" s="9" t="s">
        <v>6102</v>
      </c>
      <c r="F130" s="2" t="s">
        <v>6295</v>
      </c>
    </row>
    <row r="131" customFormat="false" ht="15" hidden="false" customHeight="false" outlineLevel="0" collapsed="false">
      <c r="A131" s="9" t="s">
        <v>4538</v>
      </c>
      <c r="B131" s="9" t="s">
        <v>6296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6297</v>
      </c>
    </row>
    <row r="132" customFormat="false" ht="15" hidden="false" customHeight="false" outlineLevel="0" collapsed="false">
      <c r="A132" s="9" t="s">
        <v>4542</v>
      </c>
      <c r="B132" s="9" t="s">
        <v>6298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6299</v>
      </c>
    </row>
    <row r="133" customFormat="false" ht="15" hidden="false" customHeight="false" outlineLevel="0" collapsed="false">
      <c r="A133" s="9" t="s">
        <v>4544</v>
      </c>
      <c r="B133" s="9" t="s">
        <v>6300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6301</v>
      </c>
    </row>
    <row r="134" customFormat="false" ht="15" hidden="false" customHeight="false" outlineLevel="0" collapsed="false">
      <c r="A134" s="9" t="s">
        <v>4547</v>
      </c>
      <c r="B134" s="9" t="s">
        <v>6302</v>
      </c>
      <c r="C134" s="23" t="n">
        <f aca="false">FND_FCFFirstPos</f>
        <v>2029</v>
      </c>
      <c r="E134" s="9" t="s">
        <v>6102</v>
      </c>
      <c r="F134" s="2" t="s">
        <v>6303</v>
      </c>
    </row>
    <row r="135" customFormat="false" ht="15" hidden="false" customHeight="false" outlineLevel="0" collapsed="false">
      <c r="A135" s="9" t="s">
        <v>4550</v>
      </c>
      <c r="B135" s="9" t="s">
        <v>6304</v>
      </c>
      <c r="C135" s="17" t="n">
        <f aca="false">FND_L1_ExtTotal</f>
        <v>41.8740263472245</v>
      </c>
      <c r="E135" s="9" t="s">
        <v>6102</v>
      </c>
      <c r="F135" s="2" t="s">
        <v>6305</v>
      </c>
    </row>
    <row r="136" customFormat="false" ht="15" hidden="false" customHeight="false" outlineLevel="0" collapsed="false">
      <c r="A136" s="9" t="s">
        <v>4552</v>
      </c>
      <c r="B136" s="9" t="s">
        <v>6306</v>
      </c>
      <c r="C136" s="17" t="n">
        <f aca="false">FND_L1_Trough</f>
        <v>-36.0519319316277</v>
      </c>
      <c r="E136" s="9" t="s">
        <v>6102</v>
      </c>
      <c r="F136" s="2"/>
    </row>
    <row r="137" customFormat="false" ht="15" hidden="false" customHeight="false" outlineLevel="0" collapsed="false">
      <c r="A137" s="9" t="s">
        <v>4555</v>
      </c>
      <c r="B137" s="9" t="s">
        <v>6307</v>
      </c>
      <c r="C137" s="17" t="n">
        <f aca="false">FND_L2_Trough</f>
        <v>84.2280680683723</v>
      </c>
      <c r="E137" s="9" t="s">
        <v>6102</v>
      </c>
      <c r="F137" s="2" t="s">
        <v>6308</v>
      </c>
    </row>
    <row r="138" customFormat="false" ht="15" hidden="false" customHeight="false" outlineLevel="0" collapsed="false">
      <c r="A138" s="9" t="s">
        <v>4558</v>
      </c>
      <c r="B138" s="9" t="s">
        <v>6309</v>
      </c>
      <c r="C138" s="17" t="n">
        <f aca="false">FND_L3_Trough</f>
        <v>227.691580641443</v>
      </c>
      <c r="E138" s="9" t="s">
        <v>6102</v>
      </c>
      <c r="F138" s="2" t="s">
        <v>6310</v>
      </c>
    </row>
    <row r="139" customFormat="false" ht="15" hidden="false" customHeight="false" outlineLevel="0" collapsed="false">
      <c r="A139" s="9" t="s">
        <v>4560</v>
      </c>
      <c r="B139" s="9" t="s">
        <v>6311</v>
      </c>
      <c r="C139" s="18" t="n">
        <f aca="false">INDEX(COST_PropGap_VR_ExpNone,1,6)</f>
        <v>4.13475145036218</v>
      </c>
      <c r="E139" s="9" t="s">
        <v>6102</v>
      </c>
      <c r="F139" s="2" t="s">
        <v>6285</v>
      </c>
    </row>
    <row r="140" customFormat="false" ht="15" hidden="false" customHeight="false" outlineLevel="0" collapsed="false">
      <c r="A140" s="9" t="s">
        <v>4562</v>
      </c>
      <c r="B140" s="9" t="s">
        <v>6312</v>
      </c>
      <c r="C140" s="18" t="n">
        <f aca="false">INDEX(COST_PropGap_VR_ExpHalf,1,6)</f>
        <v>8.25176058727734</v>
      </c>
      <c r="E140" s="9" t="s">
        <v>6102</v>
      </c>
      <c r="F140" s="2"/>
    </row>
    <row r="141" customFormat="false" ht="15" hidden="false" customHeight="false" outlineLevel="0" collapsed="false">
      <c r="A141" s="9" t="s">
        <v>4566</v>
      </c>
      <c r="B141" s="9" t="s">
        <v>6313</v>
      </c>
      <c r="C141" s="18" t="n">
        <f aca="false">INDEX(COST_PropGap_VR_ExpFull,1,6)</f>
        <v>12.3687697241925</v>
      </c>
      <c r="E141" s="9" t="s">
        <v>6102</v>
      </c>
      <c r="F141" s="2"/>
    </row>
    <row r="142" customFormat="false" ht="15" hidden="false" customHeight="false" outlineLevel="0" collapsed="false">
      <c r="A142" s="9" t="s">
        <v>4569</v>
      </c>
      <c r="B142" s="9" t="s">
        <v>6314</v>
      </c>
      <c r="C142" s="17" t="n">
        <f aca="false">FND_L2_ExtTotal_ExpNone</f>
        <v>-0</v>
      </c>
      <c r="E142" s="9" t="s">
        <v>6102</v>
      </c>
      <c r="F142" s="2" t="s">
        <v>6315</v>
      </c>
    </row>
    <row r="143" customFormat="false" ht="15" hidden="false" customHeight="false" outlineLevel="0" collapsed="false">
      <c r="A143" s="9" t="s">
        <v>4572</v>
      </c>
      <c r="B143" s="9" t="s">
        <v>6316</v>
      </c>
      <c r="C143" s="18" t="n">
        <f aca="false">COST_U2PayPerGW_Nscale</f>
        <v>19.304152637486</v>
      </c>
      <c r="E143" s="9" t="s">
        <v>6102</v>
      </c>
      <c r="F143" s="12" t="s">
        <v>6317</v>
      </c>
    </row>
    <row r="144" customFormat="false" ht="15" hidden="false" customHeight="false" outlineLevel="0" collapsed="false">
      <c r="A144" s="9" t="s">
        <v>4574</v>
      </c>
      <c r="B144" s="9" t="s">
        <v>6318</v>
      </c>
      <c r="C144" s="18" t="n">
        <f aca="false">COST_U2PayPerGW_Lambda</f>
        <v>14.156378600823</v>
      </c>
      <c r="E144" s="9" t="s">
        <v>6102</v>
      </c>
      <c r="F144" s="2"/>
    </row>
    <row r="145" customFormat="false" ht="15" hidden="false" customHeight="false" outlineLevel="0" collapsed="false">
      <c r="A145" s="9" t="s">
        <v>4577</v>
      </c>
      <c r="B145" s="9" t="s">
        <v>6319</v>
      </c>
      <c r="C145" s="18" t="n">
        <f aca="false">COST_U2PayPerGW_Both</f>
        <v>17.0798058315205</v>
      </c>
      <c r="E145" s="9" t="s">
        <v>6102</v>
      </c>
      <c r="F145" s="2"/>
    </row>
    <row r="147" customFormat="false" ht="15" hidden="false" customHeight="false" outlineLevel="0" collapsed="false">
      <c r="A147" s="5" t="s">
        <v>6320</v>
      </c>
      <c r="C147" s="9" t="n">
        <f aca="false">COUNTIF($E$5:$E$145,"ERR")</f>
        <v>0</v>
      </c>
    </row>
    <row r="148" customFormat="false" ht="15" hidden="false" customHeight="false" outlineLevel="0" collapsed="false">
      <c r="A148" s="5" t="s">
        <v>6321</v>
      </c>
      <c r="C148" s="9" t="n">
        <f aca="false">COUNTIF($E$5:$E$145,"WARN")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6322</v>
      </c>
      <c r="B1" s="0" t="s">
        <v>6323</v>
      </c>
      <c r="C1" s="0" t="s">
        <v>6324</v>
      </c>
      <c r="D1" s="0" t="s">
        <v>6325</v>
      </c>
    </row>
    <row r="2" customFormat="false" ht="15" hidden="false" customHeight="false" outlineLevel="0" collapsed="false">
      <c r="A2" s="0" t="s">
        <v>20</v>
      </c>
      <c r="B2" s="0" t="s">
        <v>70</v>
      </c>
      <c r="C2" s="0" t="s">
        <v>1744</v>
      </c>
      <c r="D2" s="0" t="n">
        <v>4.6</v>
      </c>
    </row>
    <row r="3" customFormat="false" ht="15" hidden="false" customHeight="false" outlineLevel="0" collapsed="false">
      <c r="A3" s="0" t="s">
        <v>20</v>
      </c>
      <c r="B3" s="0" t="s">
        <v>70</v>
      </c>
      <c r="C3" s="0" t="s">
        <v>1880</v>
      </c>
    </row>
    <row r="4" customFormat="false" ht="15" hidden="false" customHeight="false" outlineLevel="0" collapsed="false">
      <c r="A4" s="0" t="s">
        <v>20</v>
      </c>
      <c r="B4" s="0" t="s">
        <v>70</v>
      </c>
      <c r="C4" s="0" t="s">
        <v>2173</v>
      </c>
    </row>
    <row r="5" customFormat="false" ht="15" hidden="false" customHeight="false" outlineLevel="0" collapsed="false">
      <c r="A5" s="0" t="s">
        <v>20</v>
      </c>
      <c r="B5" s="0" t="s">
        <v>89</v>
      </c>
      <c r="C5" s="0" t="s">
        <v>1744</v>
      </c>
      <c r="D5" s="0" t="n">
        <v>4.59</v>
      </c>
    </row>
    <row r="6" customFormat="false" ht="15" hidden="false" customHeight="false" outlineLevel="0" collapsed="false">
      <c r="A6" s="0" t="s">
        <v>20</v>
      </c>
      <c r="B6" s="0" t="s">
        <v>89</v>
      </c>
      <c r="C6" s="0" t="s">
        <v>1880</v>
      </c>
    </row>
    <row r="7" customFormat="false" ht="15" hidden="false" customHeight="false" outlineLevel="0" collapsed="false">
      <c r="A7" s="0" t="s">
        <v>20</v>
      </c>
      <c r="B7" s="0" t="s">
        <v>89</v>
      </c>
      <c r="C7" s="0" t="s">
        <v>2173</v>
      </c>
    </row>
    <row r="8" customFormat="false" ht="15" hidden="false" customHeight="false" outlineLevel="0" collapsed="false">
      <c r="A8" s="0" t="s">
        <v>20</v>
      </c>
      <c r="B8" s="0" t="s">
        <v>95</v>
      </c>
      <c r="C8" s="0" t="s">
        <v>1744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20</v>
      </c>
      <c r="B9" s="0" t="s">
        <v>95</v>
      </c>
      <c r="C9" s="0" t="s">
        <v>1880</v>
      </c>
    </row>
    <row r="10" customFormat="false" ht="15" hidden="false" customHeight="false" outlineLevel="0" collapsed="false">
      <c r="A10" s="0" t="s">
        <v>20</v>
      </c>
      <c r="B10" s="0" t="s">
        <v>95</v>
      </c>
      <c r="C10" s="0" t="s">
        <v>2173</v>
      </c>
    </row>
    <row r="11" customFormat="false" ht="15" hidden="false" customHeight="false" outlineLevel="0" collapsed="false">
      <c r="A11" s="0" t="s">
        <v>20</v>
      </c>
      <c r="B11" s="0" t="s">
        <v>106</v>
      </c>
      <c r="C11" s="0" t="s">
        <v>1744</v>
      </c>
      <c r="D11" s="0" t="n">
        <v>4.73</v>
      </c>
    </row>
    <row r="12" customFormat="false" ht="15" hidden="false" customHeight="false" outlineLevel="0" collapsed="false">
      <c r="A12" s="0" t="s">
        <v>20</v>
      </c>
      <c r="B12" s="0" t="s">
        <v>106</v>
      </c>
      <c r="C12" s="0" t="s">
        <v>1880</v>
      </c>
    </row>
    <row r="13" customFormat="false" ht="15" hidden="false" customHeight="false" outlineLevel="0" collapsed="false">
      <c r="A13" s="0" t="s">
        <v>20</v>
      </c>
      <c r="B13" s="0" t="s">
        <v>106</v>
      </c>
      <c r="C13" s="0" t="s">
        <v>2173</v>
      </c>
    </row>
    <row r="14" customFormat="false" ht="15" hidden="false" customHeight="false" outlineLevel="0" collapsed="false">
      <c r="A14" s="0" t="s">
        <v>20</v>
      </c>
      <c r="B14" s="0" t="s">
        <v>116</v>
      </c>
      <c r="C14" s="0" t="s">
        <v>1744</v>
      </c>
      <c r="D14" s="0" t="n">
        <v>11.5</v>
      </c>
    </row>
    <row r="15" customFormat="false" ht="15" hidden="false" customHeight="false" outlineLevel="0" collapsed="false">
      <c r="A15" s="0" t="s">
        <v>20</v>
      </c>
      <c r="B15" s="0" t="s">
        <v>116</v>
      </c>
      <c r="C15" s="0" t="s">
        <v>1880</v>
      </c>
    </row>
    <row r="16" customFormat="false" ht="15" hidden="false" customHeight="false" outlineLevel="0" collapsed="false">
      <c r="A16" s="0" t="s">
        <v>20</v>
      </c>
      <c r="B16" s="0" t="s">
        <v>116</v>
      </c>
      <c r="C16" s="0" t="s">
        <v>2173</v>
      </c>
    </row>
    <row r="17" customFormat="false" ht="15" hidden="false" customHeight="false" outlineLevel="0" collapsed="false">
      <c r="A17" s="0" t="s">
        <v>20</v>
      </c>
      <c r="B17" s="0" t="s">
        <v>123</v>
      </c>
      <c r="C17" s="0" t="s">
        <v>1744</v>
      </c>
      <c r="D17" s="0" t="n">
        <v>0.787</v>
      </c>
    </row>
    <row r="18" customFormat="false" ht="15" hidden="false" customHeight="false" outlineLevel="0" collapsed="false">
      <c r="A18" s="0" t="s">
        <v>20</v>
      </c>
      <c r="B18" s="0" t="s">
        <v>123</v>
      </c>
      <c r="C18" s="0" t="s">
        <v>1880</v>
      </c>
    </row>
    <row r="19" customFormat="false" ht="15" hidden="false" customHeight="false" outlineLevel="0" collapsed="false">
      <c r="A19" s="0" t="s">
        <v>20</v>
      </c>
      <c r="B19" s="0" t="s">
        <v>123</v>
      </c>
      <c r="C19" s="0" t="s">
        <v>2173</v>
      </c>
    </row>
    <row r="20" customFormat="false" ht="15" hidden="false" customHeight="false" outlineLevel="0" collapsed="false">
      <c r="A20" s="0" t="s">
        <v>20</v>
      </c>
      <c r="B20" s="0" t="s">
        <v>132</v>
      </c>
      <c r="C20" s="0" t="s">
        <v>1744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20</v>
      </c>
      <c r="B21" s="0" t="s">
        <v>132</v>
      </c>
      <c r="C21" s="0" t="s">
        <v>1880</v>
      </c>
    </row>
    <row r="22" customFormat="false" ht="15" hidden="false" customHeight="false" outlineLevel="0" collapsed="false">
      <c r="A22" s="0" t="s">
        <v>20</v>
      </c>
      <c r="B22" s="0" t="s">
        <v>132</v>
      </c>
      <c r="C22" s="0" t="s">
        <v>2173</v>
      </c>
    </row>
    <row r="23" customFormat="false" ht="15" hidden="false" customHeight="false" outlineLevel="0" collapsed="false">
      <c r="A23" s="0" t="s">
        <v>20</v>
      </c>
      <c r="B23" s="0" t="s">
        <v>140</v>
      </c>
      <c r="C23" s="0" t="s">
        <v>1744</v>
      </c>
      <c r="D23" s="0" t="n">
        <v>1</v>
      </c>
    </row>
    <row r="24" customFormat="false" ht="15" hidden="false" customHeight="false" outlineLevel="0" collapsed="false">
      <c r="A24" s="0" t="s">
        <v>20</v>
      </c>
      <c r="B24" s="0" t="s">
        <v>140</v>
      </c>
      <c r="C24" s="0" t="s">
        <v>1880</v>
      </c>
    </row>
    <row r="25" customFormat="false" ht="15" hidden="false" customHeight="false" outlineLevel="0" collapsed="false">
      <c r="A25" s="0" t="s">
        <v>20</v>
      </c>
      <c r="B25" s="0" t="s">
        <v>140</v>
      </c>
      <c r="C25" s="0" t="s">
        <v>2173</v>
      </c>
    </row>
    <row r="26" customFormat="false" ht="15" hidden="false" customHeight="false" outlineLevel="0" collapsed="false">
      <c r="A26" s="0" t="s">
        <v>20</v>
      </c>
      <c r="B26" s="0" t="s">
        <v>152</v>
      </c>
      <c r="C26" s="0" t="s">
        <v>1744</v>
      </c>
      <c r="D26" s="0" t="n">
        <v>1</v>
      </c>
    </row>
    <row r="27" customFormat="false" ht="15" hidden="false" customHeight="false" outlineLevel="0" collapsed="false">
      <c r="A27" s="0" t="s">
        <v>20</v>
      </c>
      <c r="B27" s="0" t="s">
        <v>152</v>
      </c>
      <c r="C27" s="0" t="s">
        <v>1880</v>
      </c>
    </row>
    <row r="28" customFormat="false" ht="15" hidden="false" customHeight="false" outlineLevel="0" collapsed="false">
      <c r="A28" s="0" t="s">
        <v>20</v>
      </c>
      <c r="B28" s="0" t="s">
        <v>152</v>
      </c>
      <c r="C28" s="0" t="s">
        <v>2173</v>
      </c>
    </row>
    <row r="29" customFormat="false" ht="15" hidden="false" customHeight="false" outlineLevel="0" collapsed="false">
      <c r="A29" s="0" t="s">
        <v>20</v>
      </c>
      <c r="B29" s="0" t="s">
        <v>159</v>
      </c>
      <c r="C29" s="0" t="s">
        <v>1744</v>
      </c>
      <c r="D29" s="0" t="n">
        <v>1.4</v>
      </c>
    </row>
    <row r="30" customFormat="false" ht="15" hidden="false" customHeight="false" outlineLevel="0" collapsed="false">
      <c r="A30" s="0" t="s">
        <v>20</v>
      </c>
      <c r="B30" s="0" t="s">
        <v>159</v>
      </c>
      <c r="C30" s="0" t="s">
        <v>1880</v>
      </c>
    </row>
    <row r="31" customFormat="false" ht="15" hidden="false" customHeight="false" outlineLevel="0" collapsed="false">
      <c r="A31" s="0" t="s">
        <v>20</v>
      </c>
      <c r="B31" s="0" t="s">
        <v>159</v>
      </c>
      <c r="C31" s="0" t="s">
        <v>2173</v>
      </c>
    </row>
    <row r="32" customFormat="false" ht="15" hidden="false" customHeight="false" outlineLevel="0" collapsed="false">
      <c r="A32" s="0" t="s">
        <v>20</v>
      </c>
      <c r="B32" s="0" t="s">
        <v>166</v>
      </c>
      <c r="C32" s="0" t="s">
        <v>1744</v>
      </c>
      <c r="D32" s="0" t="n">
        <v>2</v>
      </c>
    </row>
    <row r="33" customFormat="false" ht="15" hidden="false" customHeight="false" outlineLevel="0" collapsed="false">
      <c r="A33" s="0" t="s">
        <v>20</v>
      </c>
      <c r="B33" s="0" t="s">
        <v>166</v>
      </c>
      <c r="C33" s="0" t="s">
        <v>1880</v>
      </c>
    </row>
    <row r="34" customFormat="false" ht="15" hidden="false" customHeight="false" outlineLevel="0" collapsed="false">
      <c r="A34" s="0" t="s">
        <v>20</v>
      </c>
      <c r="B34" s="0" t="s">
        <v>166</v>
      </c>
      <c r="C34" s="0" t="s">
        <v>2173</v>
      </c>
    </row>
    <row r="35" customFormat="false" ht="15" hidden="false" customHeight="false" outlineLevel="0" collapsed="false">
      <c r="A35" s="0" t="s">
        <v>20</v>
      </c>
      <c r="B35" s="0" t="s">
        <v>170</v>
      </c>
      <c r="C35" s="0" t="s">
        <v>1744</v>
      </c>
      <c r="D35" s="0" t="n">
        <v>3</v>
      </c>
    </row>
    <row r="36" customFormat="false" ht="15" hidden="false" customHeight="false" outlineLevel="0" collapsed="false">
      <c r="A36" s="0" t="s">
        <v>20</v>
      </c>
      <c r="B36" s="0" t="s">
        <v>170</v>
      </c>
      <c r="C36" s="0" t="s">
        <v>1880</v>
      </c>
    </row>
    <row r="37" customFormat="false" ht="15" hidden="false" customHeight="false" outlineLevel="0" collapsed="false">
      <c r="A37" s="0" t="s">
        <v>20</v>
      </c>
      <c r="B37" s="0" t="s">
        <v>170</v>
      </c>
      <c r="C37" s="0" t="s">
        <v>2173</v>
      </c>
    </row>
    <row r="38" customFormat="false" ht="15" hidden="false" customHeight="false" outlineLevel="0" collapsed="false">
      <c r="A38" s="0" t="s">
        <v>20</v>
      </c>
      <c r="B38" s="0" t="s">
        <v>175</v>
      </c>
      <c r="C38" s="0" t="s">
        <v>1744</v>
      </c>
      <c r="D38" s="0" t="n">
        <v>4</v>
      </c>
    </row>
    <row r="39" customFormat="false" ht="15" hidden="false" customHeight="false" outlineLevel="0" collapsed="false">
      <c r="A39" s="0" t="s">
        <v>20</v>
      </c>
      <c r="B39" s="0" t="s">
        <v>175</v>
      </c>
      <c r="C39" s="0" t="s">
        <v>1880</v>
      </c>
    </row>
    <row r="40" customFormat="false" ht="15" hidden="false" customHeight="false" outlineLevel="0" collapsed="false">
      <c r="A40" s="0" t="s">
        <v>20</v>
      </c>
      <c r="B40" s="0" t="s">
        <v>175</v>
      </c>
      <c r="C40" s="0" t="s">
        <v>2173</v>
      </c>
    </row>
    <row r="41" customFormat="false" ht="15" hidden="false" customHeight="false" outlineLevel="0" collapsed="false">
      <c r="A41" s="0" t="s">
        <v>20</v>
      </c>
      <c r="B41" s="0" t="s">
        <v>181</v>
      </c>
      <c r="C41" s="0" t="s">
        <v>1744</v>
      </c>
      <c r="D41" s="0" t="n">
        <v>4</v>
      </c>
    </row>
    <row r="42" customFormat="false" ht="15" hidden="false" customHeight="false" outlineLevel="0" collapsed="false">
      <c r="A42" s="0" t="s">
        <v>20</v>
      </c>
      <c r="B42" s="0" t="s">
        <v>181</v>
      </c>
      <c r="C42" s="0" t="s">
        <v>1880</v>
      </c>
    </row>
    <row r="43" customFormat="false" ht="15" hidden="false" customHeight="false" outlineLevel="0" collapsed="false">
      <c r="A43" s="0" t="s">
        <v>20</v>
      </c>
      <c r="B43" s="0" t="s">
        <v>181</v>
      </c>
      <c r="C43" s="0" t="s">
        <v>2173</v>
      </c>
    </row>
    <row r="44" customFormat="false" ht="15" hidden="false" customHeight="false" outlineLevel="0" collapsed="false">
      <c r="A44" s="0" t="s">
        <v>20</v>
      </c>
      <c r="B44" s="0" t="s">
        <v>188</v>
      </c>
      <c r="C44" s="0" t="s">
        <v>1744</v>
      </c>
      <c r="D44" s="0" t="n">
        <v>5</v>
      </c>
    </row>
    <row r="45" customFormat="false" ht="15" hidden="false" customHeight="false" outlineLevel="0" collapsed="false">
      <c r="A45" s="0" t="s">
        <v>20</v>
      </c>
      <c r="B45" s="0" t="s">
        <v>188</v>
      </c>
      <c r="C45" s="0" t="s">
        <v>1880</v>
      </c>
    </row>
    <row r="46" customFormat="false" ht="15" hidden="false" customHeight="false" outlineLevel="0" collapsed="false">
      <c r="A46" s="0" t="s">
        <v>20</v>
      </c>
      <c r="B46" s="0" t="s">
        <v>188</v>
      </c>
      <c r="C46" s="0" t="s">
        <v>2173</v>
      </c>
    </row>
    <row r="47" customFormat="false" ht="15" hidden="false" customHeight="false" outlineLevel="0" collapsed="false">
      <c r="A47" s="0" t="s">
        <v>20</v>
      </c>
      <c r="B47" s="0" t="s">
        <v>192</v>
      </c>
      <c r="C47" s="0" t="s">
        <v>1744</v>
      </c>
      <c r="D47" s="0" t="n">
        <v>7</v>
      </c>
    </row>
    <row r="48" customFormat="false" ht="15" hidden="false" customHeight="false" outlineLevel="0" collapsed="false">
      <c r="A48" s="0" t="s">
        <v>20</v>
      </c>
      <c r="B48" s="0" t="s">
        <v>192</v>
      </c>
      <c r="C48" s="0" t="s">
        <v>1880</v>
      </c>
    </row>
    <row r="49" customFormat="false" ht="15" hidden="false" customHeight="false" outlineLevel="0" collapsed="false">
      <c r="A49" s="0" t="s">
        <v>20</v>
      </c>
      <c r="B49" s="0" t="s">
        <v>192</v>
      </c>
      <c r="C49" s="0" t="s">
        <v>2173</v>
      </c>
      <c r="D49" s="0" t="n">
        <v>7</v>
      </c>
    </row>
    <row r="50" customFormat="false" ht="15" hidden="false" customHeight="false" outlineLevel="0" collapsed="false">
      <c r="A50" s="0" t="s">
        <v>20</v>
      </c>
      <c r="B50" s="0" t="s">
        <v>200</v>
      </c>
      <c r="C50" s="0" t="s">
        <v>1744</v>
      </c>
      <c r="D50" s="0" t="n">
        <v>9</v>
      </c>
    </row>
    <row r="51" customFormat="false" ht="15" hidden="false" customHeight="false" outlineLevel="0" collapsed="false">
      <c r="A51" s="0" t="s">
        <v>20</v>
      </c>
      <c r="B51" s="0" t="s">
        <v>200</v>
      </c>
      <c r="C51" s="0" t="s">
        <v>1880</v>
      </c>
    </row>
    <row r="52" customFormat="false" ht="15" hidden="false" customHeight="false" outlineLevel="0" collapsed="false">
      <c r="A52" s="0" t="s">
        <v>20</v>
      </c>
      <c r="B52" s="0" t="s">
        <v>200</v>
      </c>
      <c r="C52" s="0" t="s">
        <v>2173</v>
      </c>
    </row>
    <row r="53" customFormat="false" ht="15" hidden="false" customHeight="false" outlineLevel="0" collapsed="false">
      <c r="A53" s="0" t="s">
        <v>20</v>
      </c>
      <c r="B53" s="0" t="s">
        <v>208</v>
      </c>
      <c r="C53" s="0" t="s">
        <v>1744</v>
      </c>
      <c r="D53" s="0" t="n">
        <v>9</v>
      </c>
    </row>
    <row r="54" customFormat="false" ht="15" hidden="false" customHeight="false" outlineLevel="0" collapsed="false">
      <c r="A54" s="0" t="s">
        <v>20</v>
      </c>
      <c r="B54" s="0" t="s">
        <v>208</v>
      </c>
      <c r="C54" s="0" t="s">
        <v>1880</v>
      </c>
    </row>
    <row r="55" customFormat="false" ht="15" hidden="false" customHeight="false" outlineLevel="0" collapsed="false">
      <c r="A55" s="0" t="s">
        <v>20</v>
      </c>
      <c r="B55" s="0" t="s">
        <v>208</v>
      </c>
      <c r="C55" s="0" t="s">
        <v>2173</v>
      </c>
    </row>
    <row r="56" customFormat="false" ht="15" hidden="false" customHeight="false" outlineLevel="0" collapsed="false">
      <c r="A56" s="0" t="s">
        <v>20</v>
      </c>
      <c r="B56" s="0" t="s">
        <v>211</v>
      </c>
      <c r="C56" s="0" t="s">
        <v>1744</v>
      </c>
      <c r="D56" s="0" t="n">
        <v>14</v>
      </c>
    </row>
    <row r="57" customFormat="false" ht="15" hidden="false" customHeight="false" outlineLevel="0" collapsed="false">
      <c r="A57" s="0" t="s">
        <v>20</v>
      </c>
      <c r="B57" s="0" t="s">
        <v>211</v>
      </c>
      <c r="C57" s="0" t="s">
        <v>1880</v>
      </c>
    </row>
    <row r="58" customFormat="false" ht="15" hidden="false" customHeight="false" outlineLevel="0" collapsed="false">
      <c r="A58" s="0" t="s">
        <v>20</v>
      </c>
      <c r="B58" s="0" t="s">
        <v>211</v>
      </c>
      <c r="C58" s="0" t="s">
        <v>2173</v>
      </c>
    </row>
    <row r="59" customFormat="false" ht="15" hidden="false" customHeight="false" outlineLevel="0" collapsed="false">
      <c r="A59" s="0" t="s">
        <v>20</v>
      </c>
      <c r="B59" s="0" t="s">
        <v>218</v>
      </c>
      <c r="C59" s="0" t="s">
        <v>1744</v>
      </c>
      <c r="D59" s="0" t="n">
        <v>19</v>
      </c>
    </row>
    <row r="60" customFormat="false" ht="15" hidden="false" customHeight="false" outlineLevel="0" collapsed="false">
      <c r="A60" s="0" t="s">
        <v>20</v>
      </c>
      <c r="B60" s="0" t="s">
        <v>218</v>
      </c>
      <c r="C60" s="0" t="s">
        <v>1880</v>
      </c>
    </row>
    <row r="61" customFormat="false" ht="15" hidden="false" customHeight="false" outlineLevel="0" collapsed="false">
      <c r="A61" s="0" t="s">
        <v>20</v>
      </c>
      <c r="B61" s="0" t="s">
        <v>218</v>
      </c>
      <c r="C61" s="0" t="s">
        <v>2173</v>
      </c>
    </row>
    <row r="62" customFormat="false" ht="15" hidden="false" customHeight="false" outlineLevel="0" collapsed="false">
      <c r="A62" s="0" t="s">
        <v>20</v>
      </c>
      <c r="B62" s="0" t="s">
        <v>225</v>
      </c>
      <c r="C62" s="0" t="s">
        <v>1744</v>
      </c>
      <c r="D62" s="0" t="n">
        <v>30</v>
      </c>
    </row>
    <row r="63" customFormat="false" ht="15" hidden="false" customHeight="false" outlineLevel="0" collapsed="false">
      <c r="A63" s="0" t="s">
        <v>20</v>
      </c>
      <c r="B63" s="0" t="s">
        <v>225</v>
      </c>
      <c r="C63" s="0" t="s">
        <v>1880</v>
      </c>
    </row>
    <row r="64" customFormat="false" ht="15" hidden="false" customHeight="false" outlineLevel="0" collapsed="false">
      <c r="A64" s="0" t="s">
        <v>20</v>
      </c>
      <c r="B64" s="0" t="s">
        <v>225</v>
      </c>
      <c r="C64" s="0" t="s">
        <v>2173</v>
      </c>
    </row>
    <row r="65" customFormat="false" ht="15" hidden="false" customHeight="false" outlineLevel="0" collapsed="false">
      <c r="A65" s="0" t="s">
        <v>20</v>
      </c>
      <c r="B65" s="0" t="s">
        <v>229</v>
      </c>
      <c r="C65" s="0" t="s">
        <v>1744</v>
      </c>
      <c r="D65" s="0" t="n">
        <v>47</v>
      </c>
    </row>
    <row r="66" customFormat="false" ht="15" hidden="false" customHeight="false" outlineLevel="0" collapsed="false">
      <c r="A66" s="0" t="s">
        <v>20</v>
      </c>
      <c r="B66" s="0" t="s">
        <v>229</v>
      </c>
      <c r="C66" s="0" t="s">
        <v>1880</v>
      </c>
    </row>
    <row r="67" customFormat="false" ht="15" hidden="false" customHeight="false" outlineLevel="0" collapsed="false">
      <c r="A67" s="0" t="s">
        <v>20</v>
      </c>
      <c r="B67" s="0" t="s">
        <v>229</v>
      </c>
      <c r="C67" s="0" t="s">
        <v>2173</v>
      </c>
    </row>
    <row r="68" customFormat="false" ht="15" hidden="false" customHeight="false" outlineLevel="0" collapsed="false">
      <c r="A68" s="0" t="s">
        <v>20</v>
      </c>
      <c r="B68" s="0" t="s">
        <v>236</v>
      </c>
      <c r="C68" s="0" t="s">
        <v>1744</v>
      </c>
      <c r="D68" s="0" t="n">
        <v>65</v>
      </c>
    </row>
    <row r="69" customFormat="false" ht="15" hidden="false" customHeight="false" outlineLevel="0" collapsed="false">
      <c r="A69" s="0" t="s">
        <v>20</v>
      </c>
      <c r="B69" s="0" t="s">
        <v>236</v>
      </c>
      <c r="C69" s="0" t="s">
        <v>1880</v>
      </c>
    </row>
    <row r="70" customFormat="false" ht="15" hidden="false" customHeight="false" outlineLevel="0" collapsed="false">
      <c r="A70" s="0" t="s">
        <v>20</v>
      </c>
      <c r="B70" s="0" t="s">
        <v>236</v>
      </c>
      <c r="C70" s="0" t="s">
        <v>2173</v>
      </c>
    </row>
    <row r="71" customFormat="false" ht="15" hidden="false" customHeight="false" outlineLevel="0" collapsed="false">
      <c r="A71" s="0" t="s">
        <v>20</v>
      </c>
      <c r="B71" s="0" t="s">
        <v>243</v>
      </c>
      <c r="C71" s="0" t="s">
        <v>1744</v>
      </c>
      <c r="D71" s="0" t="n">
        <v>65</v>
      </c>
    </row>
    <row r="72" customFormat="false" ht="15" hidden="false" customHeight="false" outlineLevel="0" collapsed="false">
      <c r="A72" s="0" t="s">
        <v>20</v>
      </c>
      <c r="B72" s="0" t="s">
        <v>243</v>
      </c>
      <c r="C72" s="0" t="s">
        <v>1880</v>
      </c>
    </row>
    <row r="73" customFormat="false" ht="15" hidden="false" customHeight="false" outlineLevel="0" collapsed="false">
      <c r="A73" s="0" t="s">
        <v>20</v>
      </c>
      <c r="B73" s="0" t="s">
        <v>243</v>
      </c>
      <c r="C73" s="0" t="s">
        <v>2173</v>
      </c>
    </row>
    <row r="74" customFormat="false" ht="15" hidden="false" customHeight="false" outlineLevel="0" collapsed="false">
      <c r="A74" s="0" t="s">
        <v>20</v>
      </c>
      <c r="B74" s="0" t="s">
        <v>251</v>
      </c>
      <c r="C74" s="0" t="s">
        <v>1744</v>
      </c>
      <c r="D74" s="0" t="n">
        <v>0.789</v>
      </c>
    </row>
    <row r="75" customFormat="false" ht="15" hidden="false" customHeight="false" outlineLevel="0" collapsed="false">
      <c r="A75" s="0" t="s">
        <v>20</v>
      </c>
      <c r="B75" s="0" t="s">
        <v>251</v>
      </c>
      <c r="C75" s="0" t="s">
        <v>1880</v>
      </c>
    </row>
    <row r="76" customFormat="false" ht="15" hidden="false" customHeight="false" outlineLevel="0" collapsed="false">
      <c r="A76" s="0" t="s">
        <v>20</v>
      </c>
      <c r="B76" s="0" t="s">
        <v>251</v>
      </c>
      <c r="C76" s="0" t="s">
        <v>2173</v>
      </c>
    </row>
    <row r="77" customFormat="false" ht="15" hidden="false" customHeight="false" outlineLevel="0" collapsed="false">
      <c r="A77" s="0" t="s">
        <v>20</v>
      </c>
      <c r="B77" s="0" t="s">
        <v>259</v>
      </c>
      <c r="C77" s="0" t="s">
        <v>1744</v>
      </c>
      <c r="D77" s="0" t="n">
        <v>3.8</v>
      </c>
    </row>
    <row r="78" customFormat="false" ht="15" hidden="false" customHeight="false" outlineLevel="0" collapsed="false">
      <c r="A78" s="0" t="s">
        <v>20</v>
      </c>
      <c r="B78" s="0" t="s">
        <v>259</v>
      </c>
      <c r="C78" s="0" t="s">
        <v>1880</v>
      </c>
    </row>
    <row r="79" customFormat="false" ht="15" hidden="false" customHeight="false" outlineLevel="0" collapsed="false">
      <c r="A79" s="0" t="s">
        <v>20</v>
      </c>
      <c r="B79" s="0" t="s">
        <v>259</v>
      </c>
      <c r="C79" s="0" t="s">
        <v>2173</v>
      </c>
    </row>
    <row r="80" customFormat="false" ht="15" hidden="false" customHeight="false" outlineLevel="0" collapsed="false">
      <c r="A80" s="0" t="s">
        <v>20</v>
      </c>
      <c r="B80" s="0" t="s">
        <v>264</v>
      </c>
      <c r="C80" s="0" t="s">
        <v>1744</v>
      </c>
      <c r="D80" s="0" t="n">
        <v>0.47</v>
      </c>
    </row>
    <row r="81" customFormat="false" ht="15" hidden="false" customHeight="false" outlineLevel="0" collapsed="false">
      <c r="A81" s="0" t="s">
        <v>20</v>
      </c>
      <c r="B81" s="0" t="s">
        <v>264</v>
      </c>
      <c r="C81" s="0" t="s">
        <v>1880</v>
      </c>
    </row>
    <row r="82" customFormat="false" ht="15" hidden="false" customHeight="false" outlineLevel="0" collapsed="false">
      <c r="A82" s="0" t="s">
        <v>20</v>
      </c>
      <c r="B82" s="0" t="s">
        <v>264</v>
      </c>
      <c r="C82" s="0" t="s">
        <v>2173</v>
      </c>
    </row>
    <row r="83" customFormat="false" ht="15" hidden="false" customHeight="false" outlineLevel="0" collapsed="false">
      <c r="A83" s="0" t="s">
        <v>20</v>
      </c>
      <c r="B83" s="0" t="s">
        <v>269</v>
      </c>
      <c r="C83" s="0" t="s">
        <v>1744</v>
      </c>
      <c r="D83" s="0" t="n">
        <v>0.32</v>
      </c>
    </row>
    <row r="84" customFormat="false" ht="15" hidden="false" customHeight="false" outlineLevel="0" collapsed="false">
      <c r="A84" s="0" t="s">
        <v>20</v>
      </c>
      <c r="B84" s="0" t="s">
        <v>269</v>
      </c>
      <c r="C84" s="0" t="s">
        <v>1880</v>
      </c>
    </row>
    <row r="85" customFormat="false" ht="15" hidden="false" customHeight="false" outlineLevel="0" collapsed="false">
      <c r="A85" s="0" t="s">
        <v>20</v>
      </c>
      <c r="B85" s="0" t="s">
        <v>269</v>
      </c>
      <c r="C85" s="0" t="s">
        <v>2173</v>
      </c>
    </row>
    <row r="86" customFormat="false" ht="15" hidden="false" customHeight="false" outlineLevel="0" collapsed="false">
      <c r="A86" s="0" t="s">
        <v>20</v>
      </c>
      <c r="B86" s="0" t="s">
        <v>272</v>
      </c>
      <c r="C86" s="0" t="s">
        <v>1744</v>
      </c>
      <c r="D86" s="0" t="n">
        <v>0.11</v>
      </c>
    </row>
    <row r="87" customFormat="false" ht="15" hidden="false" customHeight="false" outlineLevel="0" collapsed="false">
      <c r="A87" s="0" t="s">
        <v>20</v>
      </c>
      <c r="B87" s="0" t="s">
        <v>272</v>
      </c>
      <c r="C87" s="0" t="s">
        <v>1880</v>
      </c>
    </row>
    <row r="88" customFormat="false" ht="15" hidden="false" customHeight="false" outlineLevel="0" collapsed="false">
      <c r="A88" s="0" t="s">
        <v>20</v>
      </c>
      <c r="B88" s="0" t="s">
        <v>272</v>
      </c>
      <c r="C88" s="0" t="s">
        <v>2173</v>
      </c>
    </row>
    <row r="89" customFormat="false" ht="15" hidden="false" customHeight="false" outlineLevel="0" collapsed="false">
      <c r="A89" s="0" t="s">
        <v>20</v>
      </c>
      <c r="B89" s="0" t="s">
        <v>276</v>
      </c>
      <c r="C89" s="0" t="s">
        <v>1744</v>
      </c>
    </row>
    <row r="90" customFormat="false" ht="15" hidden="false" customHeight="false" outlineLevel="0" collapsed="false">
      <c r="A90" s="0" t="s">
        <v>20</v>
      </c>
      <c r="B90" s="0" t="s">
        <v>276</v>
      </c>
      <c r="C90" s="0" t="s">
        <v>1880</v>
      </c>
    </row>
    <row r="91" customFormat="false" ht="15" hidden="false" customHeight="false" outlineLevel="0" collapsed="false">
      <c r="A91" s="0" t="s">
        <v>20</v>
      </c>
      <c r="B91" s="0" t="s">
        <v>276</v>
      </c>
      <c r="C91" s="0" t="s">
        <v>2173</v>
      </c>
    </row>
    <row r="92" customFormat="false" ht="15" hidden="false" customHeight="false" outlineLevel="0" collapsed="false">
      <c r="A92" s="0" t="s">
        <v>20</v>
      </c>
      <c r="B92" s="0" t="s">
        <v>281</v>
      </c>
      <c r="C92" s="0" t="s">
        <v>1744</v>
      </c>
      <c r="D92" s="0" t="n">
        <v>0.351</v>
      </c>
    </row>
    <row r="93" customFormat="false" ht="15" hidden="false" customHeight="false" outlineLevel="0" collapsed="false">
      <c r="A93" s="0" t="s">
        <v>20</v>
      </c>
      <c r="B93" s="0" t="s">
        <v>281</v>
      </c>
      <c r="C93" s="0" t="s">
        <v>1880</v>
      </c>
    </row>
    <row r="94" customFormat="false" ht="15" hidden="false" customHeight="false" outlineLevel="0" collapsed="false">
      <c r="A94" s="0" t="s">
        <v>20</v>
      </c>
      <c r="B94" s="0" t="s">
        <v>281</v>
      </c>
      <c r="C94" s="0" t="s">
        <v>2173</v>
      </c>
    </row>
    <row r="95" customFormat="false" ht="15" hidden="false" customHeight="false" outlineLevel="0" collapsed="false">
      <c r="A95" s="0" t="s">
        <v>20</v>
      </c>
      <c r="B95" s="0" t="s">
        <v>287</v>
      </c>
      <c r="C95" s="0" t="s">
        <v>1744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20</v>
      </c>
      <c r="B96" s="0" t="s">
        <v>287</v>
      </c>
      <c r="C96" s="0" t="s">
        <v>1880</v>
      </c>
    </row>
    <row r="97" customFormat="false" ht="15" hidden="false" customHeight="false" outlineLevel="0" collapsed="false">
      <c r="A97" s="0" t="s">
        <v>20</v>
      </c>
      <c r="B97" s="0" t="s">
        <v>287</v>
      </c>
      <c r="C97" s="0" t="s">
        <v>2173</v>
      </c>
    </row>
    <row r="98" customFormat="false" ht="15" hidden="false" customHeight="false" outlineLevel="0" collapsed="false">
      <c r="A98" s="0" t="s">
        <v>20</v>
      </c>
      <c r="B98" s="0" t="s">
        <v>291</v>
      </c>
      <c r="C98" s="0" t="s">
        <v>1744</v>
      </c>
      <c r="D98" s="0" t="n">
        <v>1.9</v>
      </c>
    </row>
    <row r="99" customFormat="false" ht="15" hidden="false" customHeight="false" outlineLevel="0" collapsed="false">
      <c r="A99" s="0" t="s">
        <v>20</v>
      </c>
      <c r="B99" s="0" t="s">
        <v>291</v>
      </c>
      <c r="C99" s="0" t="s">
        <v>1880</v>
      </c>
    </row>
    <row r="100" customFormat="false" ht="15" hidden="false" customHeight="false" outlineLevel="0" collapsed="false">
      <c r="A100" s="0" t="s">
        <v>20</v>
      </c>
      <c r="B100" s="0" t="s">
        <v>291</v>
      </c>
      <c r="C100" s="0" t="s">
        <v>2173</v>
      </c>
    </row>
    <row r="101" customFormat="false" ht="15" hidden="false" customHeight="false" outlineLevel="0" collapsed="false">
      <c r="A101" s="0" t="s">
        <v>20</v>
      </c>
      <c r="B101" s="0" t="s">
        <v>301</v>
      </c>
      <c r="C101" s="0" t="s">
        <v>1744</v>
      </c>
      <c r="D101" s="0" t="n">
        <v>6.4</v>
      </c>
    </row>
    <row r="102" customFormat="false" ht="15" hidden="false" customHeight="false" outlineLevel="0" collapsed="false">
      <c r="A102" s="0" t="s">
        <v>20</v>
      </c>
      <c r="B102" s="0" t="s">
        <v>301</v>
      </c>
      <c r="C102" s="0" t="s">
        <v>1880</v>
      </c>
    </row>
    <row r="103" customFormat="false" ht="15" hidden="false" customHeight="false" outlineLevel="0" collapsed="false">
      <c r="A103" s="0" t="s">
        <v>20</v>
      </c>
      <c r="B103" s="0" t="s">
        <v>301</v>
      </c>
      <c r="C103" s="0" t="s">
        <v>2173</v>
      </c>
      <c r="D103" s="0" t="n">
        <v>6.4</v>
      </c>
    </row>
    <row r="104" customFormat="false" ht="15" hidden="false" customHeight="false" outlineLevel="0" collapsed="false">
      <c r="A104" s="0" t="s">
        <v>20</v>
      </c>
      <c r="B104" s="0" t="s">
        <v>307</v>
      </c>
      <c r="C104" s="0" t="s">
        <v>1744</v>
      </c>
      <c r="D104" s="0" t="n">
        <v>22</v>
      </c>
    </row>
    <row r="105" customFormat="false" ht="15" hidden="false" customHeight="false" outlineLevel="0" collapsed="false">
      <c r="A105" s="0" t="s">
        <v>20</v>
      </c>
      <c r="B105" s="0" t="s">
        <v>307</v>
      </c>
      <c r="C105" s="0" t="s">
        <v>1880</v>
      </c>
    </row>
    <row r="106" customFormat="false" ht="15" hidden="false" customHeight="false" outlineLevel="0" collapsed="false">
      <c r="A106" s="0" t="s">
        <v>20</v>
      </c>
      <c r="B106" s="0" t="s">
        <v>307</v>
      </c>
      <c r="C106" s="0" t="s">
        <v>2173</v>
      </c>
    </row>
    <row r="107" customFormat="false" ht="15" hidden="false" customHeight="false" outlineLevel="0" collapsed="false">
      <c r="A107" s="0" t="s">
        <v>20</v>
      </c>
      <c r="B107" s="0" t="s">
        <v>316</v>
      </c>
      <c r="C107" s="0" t="s">
        <v>1744</v>
      </c>
      <c r="D107" s="0" t="n">
        <v>0.8</v>
      </c>
    </row>
    <row r="108" customFormat="false" ht="15" hidden="false" customHeight="false" outlineLevel="0" collapsed="false">
      <c r="A108" s="0" t="s">
        <v>20</v>
      </c>
      <c r="B108" s="0" t="s">
        <v>316</v>
      </c>
      <c r="C108" s="0" t="s">
        <v>1880</v>
      </c>
    </row>
    <row r="109" customFormat="false" ht="15" hidden="false" customHeight="false" outlineLevel="0" collapsed="false">
      <c r="A109" s="0" t="s">
        <v>20</v>
      </c>
      <c r="B109" s="0" t="s">
        <v>316</v>
      </c>
      <c r="C109" s="0" t="s">
        <v>2173</v>
      </c>
    </row>
    <row r="110" customFormat="false" ht="15" hidden="false" customHeight="false" outlineLevel="0" collapsed="false">
      <c r="A110" s="0" t="s">
        <v>20</v>
      </c>
      <c r="B110" s="0" t="s">
        <v>321</v>
      </c>
      <c r="C110" s="0" t="s">
        <v>1744</v>
      </c>
      <c r="D110" s="0" t="n">
        <v>0.65</v>
      </c>
    </row>
    <row r="111" customFormat="false" ht="15" hidden="false" customHeight="false" outlineLevel="0" collapsed="false">
      <c r="A111" s="0" t="s">
        <v>20</v>
      </c>
      <c r="B111" s="0" t="s">
        <v>321</v>
      </c>
      <c r="C111" s="0" t="s">
        <v>1880</v>
      </c>
      <c r="D111" s="0" t="n">
        <v>0.6</v>
      </c>
    </row>
    <row r="112" customFormat="false" ht="15" hidden="false" customHeight="false" outlineLevel="0" collapsed="false">
      <c r="A112" s="0" t="s">
        <v>20</v>
      </c>
      <c r="B112" s="0" t="s">
        <v>321</v>
      </c>
      <c r="C112" s="0" t="s">
        <v>2173</v>
      </c>
      <c r="D112" s="0" t="n">
        <v>0.67</v>
      </c>
    </row>
    <row r="113" customFormat="false" ht="15" hidden="false" customHeight="false" outlineLevel="0" collapsed="false">
      <c r="A113" s="0" t="s">
        <v>20</v>
      </c>
      <c r="B113" s="0" t="s">
        <v>326</v>
      </c>
      <c r="C113" s="0" t="s">
        <v>1744</v>
      </c>
      <c r="D113" s="0" t="n">
        <v>0.24</v>
      </c>
    </row>
    <row r="114" customFormat="false" ht="15" hidden="false" customHeight="false" outlineLevel="0" collapsed="false">
      <c r="A114" s="0" t="s">
        <v>20</v>
      </c>
      <c r="B114" s="0" t="s">
        <v>326</v>
      </c>
      <c r="C114" s="0" t="s">
        <v>1880</v>
      </c>
    </row>
    <row r="115" customFormat="false" ht="15" hidden="false" customHeight="false" outlineLevel="0" collapsed="false">
      <c r="A115" s="0" t="s">
        <v>20</v>
      </c>
      <c r="B115" s="0" t="s">
        <v>326</v>
      </c>
      <c r="C115" s="0" t="s">
        <v>2173</v>
      </c>
    </row>
    <row r="116" customFormat="false" ht="15" hidden="false" customHeight="false" outlineLevel="0" collapsed="false">
      <c r="A116" s="0" t="s">
        <v>20</v>
      </c>
      <c r="B116" s="0" t="s">
        <v>330</v>
      </c>
      <c r="C116" s="0" t="s">
        <v>1744</v>
      </c>
      <c r="D116" s="0" t="n">
        <v>0.24</v>
      </c>
    </row>
    <row r="117" customFormat="false" ht="15" hidden="false" customHeight="false" outlineLevel="0" collapsed="false">
      <c r="A117" s="0" t="s">
        <v>20</v>
      </c>
      <c r="B117" s="0" t="s">
        <v>330</v>
      </c>
      <c r="C117" s="0" t="s">
        <v>1880</v>
      </c>
    </row>
    <row r="118" customFormat="false" ht="15" hidden="false" customHeight="false" outlineLevel="0" collapsed="false">
      <c r="A118" s="0" t="s">
        <v>20</v>
      </c>
      <c r="B118" s="0" t="s">
        <v>330</v>
      </c>
      <c r="C118" s="0" t="s">
        <v>2173</v>
      </c>
    </row>
    <row r="119" customFormat="false" ht="15" hidden="false" customHeight="false" outlineLevel="0" collapsed="false">
      <c r="A119" s="0" t="s">
        <v>20</v>
      </c>
      <c r="B119" s="0" t="s">
        <v>337</v>
      </c>
      <c r="C119" s="0" t="s">
        <v>1744</v>
      </c>
      <c r="D119" s="0" t="n">
        <v>1.2</v>
      </c>
    </row>
    <row r="120" customFormat="false" ht="15" hidden="false" customHeight="false" outlineLevel="0" collapsed="false">
      <c r="A120" s="0" t="s">
        <v>20</v>
      </c>
      <c r="B120" s="0" t="s">
        <v>337</v>
      </c>
      <c r="C120" s="0" t="s">
        <v>1880</v>
      </c>
    </row>
    <row r="121" customFormat="false" ht="15" hidden="false" customHeight="false" outlineLevel="0" collapsed="false">
      <c r="A121" s="0" t="s">
        <v>20</v>
      </c>
      <c r="B121" s="0" t="s">
        <v>337</v>
      </c>
      <c r="C121" s="0" t="s">
        <v>2173</v>
      </c>
    </row>
    <row r="122" customFormat="false" ht="15" hidden="false" customHeight="false" outlineLevel="0" collapsed="false">
      <c r="A122" s="0" t="s">
        <v>20</v>
      </c>
      <c r="B122" s="0" t="s">
        <v>345</v>
      </c>
      <c r="C122" s="0" t="s">
        <v>1744</v>
      </c>
      <c r="D122" s="0" t="n">
        <v>0.5</v>
      </c>
    </row>
    <row r="123" customFormat="false" ht="15" hidden="false" customHeight="false" outlineLevel="0" collapsed="false">
      <c r="A123" s="0" t="s">
        <v>20</v>
      </c>
      <c r="B123" s="0" t="s">
        <v>345</v>
      </c>
      <c r="C123" s="0" t="s">
        <v>1880</v>
      </c>
    </row>
    <row r="124" customFormat="false" ht="15" hidden="false" customHeight="false" outlineLevel="0" collapsed="false">
      <c r="A124" s="0" t="s">
        <v>20</v>
      </c>
      <c r="B124" s="0" t="s">
        <v>345</v>
      </c>
      <c r="C124" s="0" t="s">
        <v>2173</v>
      </c>
      <c r="D124" s="0" t="n">
        <v>0.5</v>
      </c>
    </row>
    <row r="125" customFormat="false" ht="15" hidden="false" customHeight="false" outlineLevel="0" collapsed="false">
      <c r="A125" s="0" t="s">
        <v>20</v>
      </c>
      <c r="B125" s="0" t="s">
        <v>352</v>
      </c>
      <c r="C125" s="0" t="s">
        <v>1744</v>
      </c>
      <c r="D125" s="0" t="n">
        <v>0.5</v>
      </c>
    </row>
    <row r="126" customFormat="false" ht="15" hidden="false" customHeight="false" outlineLevel="0" collapsed="false">
      <c r="A126" s="0" t="s">
        <v>20</v>
      </c>
      <c r="B126" s="0" t="s">
        <v>352</v>
      </c>
      <c r="C126" s="0" t="s">
        <v>1880</v>
      </c>
    </row>
    <row r="127" customFormat="false" ht="15" hidden="false" customHeight="false" outlineLevel="0" collapsed="false">
      <c r="A127" s="0" t="s">
        <v>20</v>
      </c>
      <c r="B127" s="0" t="s">
        <v>352</v>
      </c>
      <c r="C127" s="0" t="s">
        <v>2173</v>
      </c>
    </row>
    <row r="128" customFormat="false" ht="15" hidden="false" customHeight="false" outlineLevel="0" collapsed="false">
      <c r="A128" s="0" t="s">
        <v>20</v>
      </c>
      <c r="B128" s="0" t="s">
        <v>358</v>
      </c>
      <c r="C128" s="0" t="s">
        <v>1744</v>
      </c>
      <c r="D128" s="0" t="n">
        <v>0.4</v>
      </c>
    </row>
    <row r="129" customFormat="false" ht="15" hidden="false" customHeight="false" outlineLevel="0" collapsed="false">
      <c r="A129" s="0" t="s">
        <v>20</v>
      </c>
      <c r="B129" s="0" t="s">
        <v>358</v>
      </c>
      <c r="C129" s="0" t="s">
        <v>1880</v>
      </c>
    </row>
    <row r="130" customFormat="false" ht="15" hidden="false" customHeight="false" outlineLevel="0" collapsed="false">
      <c r="A130" s="0" t="s">
        <v>20</v>
      </c>
      <c r="B130" s="0" t="s">
        <v>358</v>
      </c>
      <c r="C130" s="0" t="s">
        <v>2173</v>
      </c>
    </row>
    <row r="131" customFormat="false" ht="15" hidden="false" customHeight="false" outlineLevel="0" collapsed="false">
      <c r="A131" s="0" t="s">
        <v>20</v>
      </c>
      <c r="B131" s="0" t="s">
        <v>365</v>
      </c>
      <c r="C131" s="0" t="s">
        <v>1744</v>
      </c>
      <c r="D131" s="0" t="n">
        <v>0.38</v>
      </c>
    </row>
    <row r="132" customFormat="false" ht="15" hidden="false" customHeight="false" outlineLevel="0" collapsed="false">
      <c r="A132" s="0" t="s">
        <v>20</v>
      </c>
      <c r="B132" s="0" t="s">
        <v>365</v>
      </c>
      <c r="C132" s="0" t="s">
        <v>1880</v>
      </c>
    </row>
    <row r="133" customFormat="false" ht="15" hidden="false" customHeight="false" outlineLevel="0" collapsed="false">
      <c r="A133" s="0" t="s">
        <v>20</v>
      </c>
      <c r="B133" s="0" t="s">
        <v>365</v>
      </c>
      <c r="C133" s="0" t="s">
        <v>2173</v>
      </c>
    </row>
    <row r="134" customFormat="false" ht="15" hidden="false" customHeight="false" outlineLevel="0" collapsed="false">
      <c r="A134" s="0" t="s">
        <v>20</v>
      </c>
      <c r="B134" s="0" t="s">
        <v>372</v>
      </c>
      <c r="C134" s="0" t="s">
        <v>1744</v>
      </c>
      <c r="D134" s="0" t="n">
        <v>0.23</v>
      </c>
    </row>
    <row r="135" customFormat="false" ht="15" hidden="false" customHeight="false" outlineLevel="0" collapsed="false">
      <c r="A135" s="0" t="s">
        <v>20</v>
      </c>
      <c r="B135" s="0" t="s">
        <v>372</v>
      </c>
      <c r="C135" s="0" t="s">
        <v>1880</v>
      </c>
    </row>
    <row r="136" customFormat="false" ht="15" hidden="false" customHeight="false" outlineLevel="0" collapsed="false">
      <c r="A136" s="0" t="s">
        <v>20</v>
      </c>
      <c r="B136" s="0" t="s">
        <v>372</v>
      </c>
      <c r="C136" s="0" t="s">
        <v>2173</v>
      </c>
    </row>
    <row r="137" customFormat="false" ht="15" hidden="false" customHeight="false" outlineLevel="0" collapsed="false">
      <c r="A137" s="0" t="s">
        <v>20</v>
      </c>
      <c r="B137" s="0" t="s">
        <v>376</v>
      </c>
      <c r="C137" s="0" t="s">
        <v>1744</v>
      </c>
      <c r="D137" s="0" t="n">
        <v>4.1</v>
      </c>
    </row>
    <row r="138" customFormat="false" ht="15" hidden="false" customHeight="false" outlineLevel="0" collapsed="false">
      <c r="A138" s="0" t="s">
        <v>20</v>
      </c>
      <c r="B138" s="0" t="s">
        <v>376</v>
      </c>
      <c r="C138" s="0" t="s">
        <v>1880</v>
      </c>
    </row>
    <row r="139" customFormat="false" ht="15" hidden="false" customHeight="false" outlineLevel="0" collapsed="false">
      <c r="A139" s="0" t="s">
        <v>20</v>
      </c>
      <c r="B139" s="0" t="s">
        <v>376</v>
      </c>
      <c r="C139" s="0" t="s">
        <v>2173</v>
      </c>
    </row>
    <row r="140" customFormat="false" ht="15" hidden="false" customHeight="false" outlineLevel="0" collapsed="false">
      <c r="A140" s="0" t="s">
        <v>20</v>
      </c>
      <c r="B140" s="0" t="s">
        <v>380</v>
      </c>
      <c r="C140" s="0" t="s">
        <v>1744</v>
      </c>
      <c r="D140" s="0" t="n">
        <v>4.5</v>
      </c>
    </row>
    <row r="141" customFormat="false" ht="15" hidden="false" customHeight="false" outlineLevel="0" collapsed="false">
      <c r="A141" s="0" t="s">
        <v>20</v>
      </c>
      <c r="B141" s="0" t="s">
        <v>380</v>
      </c>
      <c r="C141" s="0" t="s">
        <v>1880</v>
      </c>
    </row>
    <row r="142" customFormat="false" ht="15" hidden="false" customHeight="false" outlineLevel="0" collapsed="false">
      <c r="A142" s="0" t="s">
        <v>20</v>
      </c>
      <c r="B142" s="0" t="s">
        <v>380</v>
      </c>
      <c r="C142" s="0" t="s">
        <v>2173</v>
      </c>
    </row>
    <row r="143" customFormat="false" ht="15" hidden="false" customHeight="false" outlineLevel="0" collapsed="false">
      <c r="A143" s="0" t="s">
        <v>20</v>
      </c>
      <c r="B143" s="0" t="s">
        <v>384</v>
      </c>
      <c r="C143" s="0" t="s">
        <v>1744</v>
      </c>
      <c r="D143" s="0" t="n">
        <v>10</v>
      </c>
    </row>
    <row r="144" customFormat="false" ht="15" hidden="false" customHeight="false" outlineLevel="0" collapsed="false">
      <c r="A144" s="0" t="s">
        <v>20</v>
      </c>
      <c r="B144" s="0" t="s">
        <v>384</v>
      </c>
      <c r="C144" s="0" t="s">
        <v>1880</v>
      </c>
    </row>
    <row r="145" customFormat="false" ht="15" hidden="false" customHeight="false" outlineLevel="0" collapsed="false">
      <c r="A145" s="0" t="s">
        <v>20</v>
      </c>
      <c r="B145" s="0" t="s">
        <v>384</v>
      </c>
      <c r="C145" s="0" t="s">
        <v>2173</v>
      </c>
    </row>
    <row r="146" customFormat="false" ht="15" hidden="false" customHeight="false" outlineLevel="0" collapsed="false">
      <c r="A146" s="0" t="s">
        <v>20</v>
      </c>
      <c r="B146" s="0" t="s">
        <v>391</v>
      </c>
      <c r="C146" s="0" t="s">
        <v>1744</v>
      </c>
      <c r="D146" s="0" t="n">
        <v>0.8</v>
      </c>
    </row>
    <row r="147" customFormat="false" ht="15" hidden="false" customHeight="false" outlineLevel="0" collapsed="false">
      <c r="A147" s="0" t="s">
        <v>20</v>
      </c>
      <c r="B147" s="0" t="s">
        <v>391</v>
      </c>
      <c r="C147" s="0" t="s">
        <v>1880</v>
      </c>
      <c r="D147" s="0" t="n">
        <v>0.8</v>
      </c>
    </row>
    <row r="148" customFormat="false" ht="15" hidden="false" customHeight="false" outlineLevel="0" collapsed="false">
      <c r="A148" s="0" t="s">
        <v>20</v>
      </c>
      <c r="B148" s="0" t="s">
        <v>391</v>
      </c>
      <c r="C148" s="0" t="s">
        <v>2173</v>
      </c>
    </row>
    <row r="149" customFormat="false" ht="15" hidden="false" customHeight="false" outlineLevel="0" collapsed="false">
      <c r="A149" s="0" t="s">
        <v>20</v>
      </c>
      <c r="B149" s="0" t="s">
        <v>399</v>
      </c>
      <c r="C149" s="0" t="s">
        <v>1744</v>
      </c>
      <c r="D149" s="0" t="n">
        <v>0.44</v>
      </c>
    </row>
    <row r="150" customFormat="false" ht="15" hidden="false" customHeight="false" outlineLevel="0" collapsed="false">
      <c r="A150" s="0" t="s">
        <v>20</v>
      </c>
      <c r="B150" s="0" t="s">
        <v>399</v>
      </c>
      <c r="C150" s="0" t="s">
        <v>1880</v>
      </c>
      <c r="D150" s="0" t="n">
        <v>0.4</v>
      </c>
    </row>
    <row r="151" customFormat="false" ht="15" hidden="false" customHeight="false" outlineLevel="0" collapsed="false">
      <c r="A151" s="0" t="s">
        <v>20</v>
      </c>
      <c r="B151" s="0" t="s">
        <v>399</v>
      </c>
      <c r="C151" s="0" t="s">
        <v>2173</v>
      </c>
      <c r="D151" s="0" t="n">
        <v>0.5</v>
      </c>
    </row>
    <row r="152" customFormat="false" ht="15" hidden="false" customHeight="false" outlineLevel="0" collapsed="false">
      <c r="A152" s="0" t="s">
        <v>20</v>
      </c>
      <c r="B152" s="0" t="s">
        <v>406</v>
      </c>
      <c r="C152" s="0" t="s">
        <v>1744</v>
      </c>
      <c r="D152" s="0" t="n">
        <v>0.71</v>
      </c>
    </row>
    <row r="153" customFormat="false" ht="15" hidden="false" customHeight="false" outlineLevel="0" collapsed="false">
      <c r="A153" s="0" t="s">
        <v>20</v>
      </c>
      <c r="B153" s="0" t="s">
        <v>406</v>
      </c>
      <c r="C153" s="0" t="s">
        <v>1880</v>
      </c>
    </row>
    <row r="154" customFormat="false" ht="15" hidden="false" customHeight="false" outlineLevel="0" collapsed="false">
      <c r="A154" s="0" t="s">
        <v>20</v>
      </c>
      <c r="B154" s="0" t="s">
        <v>406</v>
      </c>
      <c r="C154" s="0" t="s">
        <v>2173</v>
      </c>
    </row>
    <row r="155" customFormat="false" ht="15" hidden="false" customHeight="false" outlineLevel="0" collapsed="false">
      <c r="A155" s="0" t="s">
        <v>20</v>
      </c>
      <c r="B155" s="0" t="s">
        <v>415</v>
      </c>
      <c r="C155" s="0" t="s">
        <v>1744</v>
      </c>
      <c r="D155" s="0" t="n">
        <v>0.56</v>
      </c>
    </row>
    <row r="156" customFormat="false" ht="15" hidden="false" customHeight="false" outlineLevel="0" collapsed="false">
      <c r="A156" s="0" t="s">
        <v>20</v>
      </c>
      <c r="B156" s="0" t="s">
        <v>415</v>
      </c>
      <c r="C156" s="0" t="s">
        <v>1880</v>
      </c>
    </row>
    <row r="157" customFormat="false" ht="15" hidden="false" customHeight="false" outlineLevel="0" collapsed="false">
      <c r="A157" s="0" t="s">
        <v>20</v>
      </c>
      <c r="B157" s="0" t="s">
        <v>415</v>
      </c>
      <c r="C157" s="0" t="s">
        <v>2173</v>
      </c>
    </row>
    <row r="158" customFormat="false" ht="15" hidden="false" customHeight="false" outlineLevel="0" collapsed="false">
      <c r="A158" s="0" t="s">
        <v>20</v>
      </c>
      <c r="B158" s="0" t="s">
        <v>421</v>
      </c>
      <c r="C158" s="0" t="s">
        <v>1744</v>
      </c>
      <c r="D158" s="0" t="n">
        <v>4.8</v>
      </c>
    </row>
    <row r="159" customFormat="false" ht="15" hidden="false" customHeight="false" outlineLevel="0" collapsed="false">
      <c r="A159" s="0" t="s">
        <v>20</v>
      </c>
      <c r="B159" s="0" t="s">
        <v>421</v>
      </c>
      <c r="C159" s="0" t="s">
        <v>1880</v>
      </c>
    </row>
    <row r="160" customFormat="false" ht="15" hidden="false" customHeight="false" outlineLevel="0" collapsed="false">
      <c r="A160" s="0" t="s">
        <v>20</v>
      </c>
      <c r="B160" s="0" t="s">
        <v>421</v>
      </c>
      <c r="C160" s="0" t="s">
        <v>2173</v>
      </c>
    </row>
    <row r="161" customFormat="false" ht="15" hidden="false" customHeight="false" outlineLevel="0" collapsed="false">
      <c r="A161" s="0" t="s">
        <v>20</v>
      </c>
      <c r="B161" s="0" t="s">
        <v>424</v>
      </c>
      <c r="C161" s="0" t="s">
        <v>1744</v>
      </c>
      <c r="D161" s="0" t="n">
        <v>10.9</v>
      </c>
    </row>
    <row r="162" customFormat="false" ht="15" hidden="false" customHeight="false" outlineLevel="0" collapsed="false">
      <c r="A162" s="0" t="s">
        <v>20</v>
      </c>
      <c r="B162" s="0" t="s">
        <v>424</v>
      </c>
      <c r="C162" s="0" t="s">
        <v>1880</v>
      </c>
    </row>
    <row r="163" customFormat="false" ht="15" hidden="false" customHeight="false" outlineLevel="0" collapsed="false">
      <c r="A163" s="0" t="s">
        <v>20</v>
      </c>
      <c r="B163" s="0" t="s">
        <v>424</v>
      </c>
      <c r="C163" s="0" t="s">
        <v>2173</v>
      </c>
    </row>
    <row r="164" customFormat="false" ht="15" hidden="false" customHeight="false" outlineLevel="0" collapsed="false">
      <c r="A164" s="0" t="s">
        <v>20</v>
      </c>
      <c r="B164" s="0" t="s">
        <v>428</v>
      </c>
      <c r="C164" s="0" t="s">
        <v>1744</v>
      </c>
      <c r="D164" s="0" t="n">
        <v>0.5</v>
      </c>
    </row>
    <row r="165" customFormat="false" ht="15" hidden="false" customHeight="false" outlineLevel="0" collapsed="false">
      <c r="A165" s="0" t="s">
        <v>20</v>
      </c>
      <c r="B165" s="0" t="s">
        <v>428</v>
      </c>
      <c r="C165" s="0" t="s">
        <v>1880</v>
      </c>
    </row>
    <row r="166" customFormat="false" ht="15" hidden="false" customHeight="false" outlineLevel="0" collapsed="false">
      <c r="A166" s="0" t="s">
        <v>20</v>
      </c>
      <c r="B166" s="0" t="s">
        <v>428</v>
      </c>
      <c r="C166" s="0" t="s">
        <v>2173</v>
      </c>
    </row>
    <row r="167" customFormat="false" ht="15" hidden="false" customHeight="false" outlineLevel="0" collapsed="false">
      <c r="A167" s="0" t="s">
        <v>20</v>
      </c>
      <c r="B167" s="0" t="s">
        <v>434</v>
      </c>
      <c r="C167" s="0" t="s">
        <v>1744</v>
      </c>
      <c r="D167" s="0" t="n">
        <v>1</v>
      </c>
    </row>
    <row r="168" customFormat="false" ht="15" hidden="false" customHeight="false" outlineLevel="0" collapsed="false">
      <c r="A168" s="0" t="s">
        <v>20</v>
      </c>
      <c r="B168" s="0" t="s">
        <v>434</v>
      </c>
      <c r="C168" s="0" t="s">
        <v>1880</v>
      </c>
    </row>
    <row r="169" customFormat="false" ht="15" hidden="false" customHeight="false" outlineLevel="0" collapsed="false">
      <c r="A169" s="0" t="s">
        <v>20</v>
      </c>
      <c r="B169" s="0" t="s">
        <v>434</v>
      </c>
      <c r="C169" s="0" t="s">
        <v>2173</v>
      </c>
      <c r="D169" s="0" t="n">
        <v>1</v>
      </c>
    </row>
    <row r="170" customFormat="false" ht="15" hidden="false" customHeight="false" outlineLevel="0" collapsed="false">
      <c r="A170" s="0" t="s">
        <v>20</v>
      </c>
      <c r="B170" s="0" t="s">
        <v>437</v>
      </c>
      <c r="C170" s="0" t="s">
        <v>1744</v>
      </c>
      <c r="D170" s="0" t="n">
        <v>1</v>
      </c>
    </row>
    <row r="171" customFormat="false" ht="15" hidden="false" customHeight="false" outlineLevel="0" collapsed="false">
      <c r="A171" s="0" t="s">
        <v>20</v>
      </c>
      <c r="B171" s="0" t="s">
        <v>437</v>
      </c>
      <c r="C171" s="0" t="s">
        <v>1880</v>
      </c>
    </row>
    <row r="172" customFormat="false" ht="15" hidden="false" customHeight="false" outlineLevel="0" collapsed="false">
      <c r="A172" s="0" t="s">
        <v>20</v>
      </c>
      <c r="B172" s="0" t="s">
        <v>437</v>
      </c>
      <c r="C172" s="0" t="s">
        <v>2173</v>
      </c>
    </row>
    <row r="173" customFormat="false" ht="15" hidden="false" customHeight="false" outlineLevel="0" collapsed="false">
      <c r="A173" s="0" t="s">
        <v>20</v>
      </c>
      <c r="B173" s="0" t="s">
        <v>444</v>
      </c>
      <c r="C173" s="0" t="s">
        <v>1744</v>
      </c>
      <c r="D173" s="0" t="n">
        <v>2.5</v>
      </c>
    </row>
    <row r="174" customFormat="false" ht="15" hidden="false" customHeight="false" outlineLevel="0" collapsed="false">
      <c r="A174" s="0" t="s">
        <v>20</v>
      </c>
      <c r="B174" s="0" t="s">
        <v>444</v>
      </c>
      <c r="C174" s="0" t="s">
        <v>1880</v>
      </c>
    </row>
    <row r="175" customFormat="false" ht="15" hidden="false" customHeight="false" outlineLevel="0" collapsed="false">
      <c r="A175" s="0" t="s">
        <v>20</v>
      </c>
      <c r="B175" s="0" t="s">
        <v>444</v>
      </c>
      <c r="C175" s="0" t="s">
        <v>2173</v>
      </c>
    </row>
    <row r="176" customFormat="false" ht="15" hidden="false" customHeight="false" outlineLevel="0" collapsed="false">
      <c r="A176" s="0" t="s">
        <v>20</v>
      </c>
      <c r="B176" s="0" t="s">
        <v>448</v>
      </c>
      <c r="C176" s="0" t="s">
        <v>1744</v>
      </c>
      <c r="D176" s="0" t="n">
        <v>0.5</v>
      </c>
    </row>
    <row r="177" customFormat="false" ht="15" hidden="false" customHeight="false" outlineLevel="0" collapsed="false">
      <c r="A177" s="0" t="s">
        <v>20</v>
      </c>
      <c r="B177" s="0" t="s">
        <v>448</v>
      </c>
      <c r="C177" s="0" t="s">
        <v>1880</v>
      </c>
      <c r="D177" s="0" t="n">
        <v>0.5</v>
      </c>
    </row>
    <row r="178" customFormat="false" ht="15" hidden="false" customHeight="false" outlineLevel="0" collapsed="false">
      <c r="A178" s="0" t="s">
        <v>20</v>
      </c>
      <c r="B178" s="0" t="s">
        <v>448</v>
      </c>
      <c r="C178" s="0" t="s">
        <v>2173</v>
      </c>
    </row>
    <row r="179" customFormat="false" ht="15" hidden="false" customHeight="false" outlineLevel="0" collapsed="false">
      <c r="A179" s="0" t="s">
        <v>20</v>
      </c>
      <c r="B179" s="0" t="s">
        <v>452</v>
      </c>
      <c r="C179" s="0" t="s">
        <v>1744</v>
      </c>
      <c r="D179" s="0" t="n">
        <v>8</v>
      </c>
    </row>
    <row r="180" customFormat="false" ht="15" hidden="false" customHeight="false" outlineLevel="0" collapsed="false">
      <c r="A180" s="0" t="s">
        <v>20</v>
      </c>
      <c r="B180" s="0" t="s">
        <v>452</v>
      </c>
      <c r="C180" s="0" t="s">
        <v>1880</v>
      </c>
      <c r="D180" s="0" t="n">
        <v>5</v>
      </c>
    </row>
    <row r="181" customFormat="false" ht="15" hidden="false" customHeight="false" outlineLevel="0" collapsed="false">
      <c r="A181" s="0" t="s">
        <v>20</v>
      </c>
      <c r="B181" s="0" t="s">
        <v>452</v>
      </c>
      <c r="C181" s="0" t="s">
        <v>2173</v>
      </c>
      <c r="D181" s="0" t="n">
        <v>10</v>
      </c>
    </row>
    <row r="182" customFormat="false" ht="15" hidden="false" customHeight="false" outlineLevel="0" collapsed="false">
      <c r="A182" s="0" t="s">
        <v>20</v>
      </c>
      <c r="B182" s="0" t="s">
        <v>458</v>
      </c>
      <c r="C182" s="0" t="s">
        <v>1744</v>
      </c>
      <c r="D182" s="0" t="n">
        <v>0.725</v>
      </c>
    </row>
    <row r="183" customFormat="false" ht="15" hidden="false" customHeight="false" outlineLevel="0" collapsed="false">
      <c r="A183" s="0" t="s">
        <v>20</v>
      </c>
      <c r="B183" s="0" t="s">
        <v>458</v>
      </c>
      <c r="C183" s="0" t="s">
        <v>1880</v>
      </c>
      <c r="D183" s="0" t="n">
        <v>0.7</v>
      </c>
    </row>
    <row r="184" customFormat="false" ht="15" hidden="false" customHeight="false" outlineLevel="0" collapsed="false">
      <c r="A184" s="0" t="s">
        <v>20</v>
      </c>
      <c r="B184" s="0" t="s">
        <v>458</v>
      </c>
      <c r="C184" s="0" t="s">
        <v>2173</v>
      </c>
      <c r="D184" s="0" t="n">
        <v>0.75</v>
      </c>
    </row>
    <row r="185" customFormat="false" ht="15" hidden="false" customHeight="false" outlineLevel="0" collapsed="false">
      <c r="A185" s="0" t="s">
        <v>20</v>
      </c>
      <c r="B185" s="0" t="s">
        <v>465</v>
      </c>
      <c r="C185" s="0" t="s">
        <v>1744</v>
      </c>
      <c r="D185" s="0" t="n">
        <v>0.125</v>
      </c>
    </row>
    <row r="186" customFormat="false" ht="15" hidden="false" customHeight="false" outlineLevel="0" collapsed="false">
      <c r="A186" s="0" t="s">
        <v>20</v>
      </c>
      <c r="B186" s="0" t="s">
        <v>465</v>
      </c>
      <c r="C186" s="0" t="s">
        <v>1880</v>
      </c>
      <c r="D186" s="0" t="n">
        <v>0.1</v>
      </c>
    </row>
    <row r="187" customFormat="false" ht="15" hidden="false" customHeight="false" outlineLevel="0" collapsed="false">
      <c r="A187" s="0" t="s">
        <v>20</v>
      </c>
      <c r="B187" s="0" t="s">
        <v>465</v>
      </c>
      <c r="C187" s="0" t="s">
        <v>2173</v>
      </c>
      <c r="D187" s="0" t="n">
        <v>0.15</v>
      </c>
    </row>
    <row r="188" customFormat="false" ht="15" hidden="false" customHeight="false" outlineLevel="0" collapsed="false">
      <c r="A188" s="0" t="s">
        <v>20</v>
      </c>
      <c r="B188" s="0" t="s">
        <v>470</v>
      </c>
      <c r="C188" s="0" t="s">
        <v>1744</v>
      </c>
      <c r="D188" s="0" t="n">
        <v>0.15</v>
      </c>
    </row>
    <row r="189" customFormat="false" ht="15" hidden="false" customHeight="false" outlineLevel="0" collapsed="false">
      <c r="A189" s="0" t="s">
        <v>20</v>
      </c>
      <c r="B189" s="0" t="s">
        <v>470</v>
      </c>
      <c r="C189" s="0" t="s">
        <v>1880</v>
      </c>
      <c r="D189" s="0" t="n">
        <v>0.1</v>
      </c>
    </row>
    <row r="190" customFormat="false" ht="15" hidden="false" customHeight="false" outlineLevel="0" collapsed="false">
      <c r="A190" s="0" t="s">
        <v>20</v>
      </c>
      <c r="B190" s="0" t="s">
        <v>470</v>
      </c>
      <c r="C190" s="0" t="s">
        <v>2173</v>
      </c>
      <c r="D190" s="0" t="n">
        <v>0.2</v>
      </c>
    </row>
    <row r="191" customFormat="false" ht="15" hidden="false" customHeight="false" outlineLevel="0" collapsed="false">
      <c r="A191" s="0" t="s">
        <v>20</v>
      </c>
      <c r="B191" s="0" t="s">
        <v>477</v>
      </c>
      <c r="C191" s="0" t="s">
        <v>1744</v>
      </c>
      <c r="D191" s="0" t="n">
        <v>0.909</v>
      </c>
    </row>
    <row r="192" customFormat="false" ht="15" hidden="false" customHeight="false" outlineLevel="0" collapsed="false">
      <c r="A192" s="0" t="s">
        <v>20</v>
      </c>
      <c r="B192" s="0" t="s">
        <v>477</v>
      </c>
      <c r="C192" s="0" t="s">
        <v>1880</v>
      </c>
    </row>
    <row r="193" customFormat="false" ht="15" hidden="false" customHeight="false" outlineLevel="0" collapsed="false">
      <c r="A193" s="0" t="s">
        <v>20</v>
      </c>
      <c r="B193" s="0" t="s">
        <v>477</v>
      </c>
      <c r="C193" s="0" t="s">
        <v>2173</v>
      </c>
    </row>
    <row r="194" customFormat="false" ht="15" hidden="false" customHeight="false" outlineLevel="0" collapsed="false">
      <c r="A194" s="0" t="s">
        <v>20</v>
      </c>
      <c r="B194" s="0" t="s">
        <v>483</v>
      </c>
      <c r="C194" s="0" t="s">
        <v>1744</v>
      </c>
      <c r="D194" s="0" t="n">
        <v>15</v>
      </c>
    </row>
    <row r="195" customFormat="false" ht="15" hidden="false" customHeight="false" outlineLevel="0" collapsed="false">
      <c r="A195" s="0" t="s">
        <v>20</v>
      </c>
      <c r="B195" s="0" t="s">
        <v>483</v>
      </c>
      <c r="C195" s="0" t="s">
        <v>1880</v>
      </c>
    </row>
    <row r="196" customFormat="false" ht="15" hidden="false" customHeight="false" outlineLevel="0" collapsed="false">
      <c r="A196" s="0" t="s">
        <v>20</v>
      </c>
      <c r="B196" s="0" t="s">
        <v>483</v>
      </c>
      <c r="C196" s="0" t="s">
        <v>2173</v>
      </c>
    </row>
    <row r="197" customFormat="false" ht="15" hidden="false" customHeight="false" outlineLevel="0" collapsed="false">
      <c r="A197" s="0" t="s">
        <v>20</v>
      </c>
      <c r="B197" s="0" t="s">
        <v>493</v>
      </c>
      <c r="C197" s="0" t="s">
        <v>1744</v>
      </c>
      <c r="D197" s="0" t="n">
        <v>75</v>
      </c>
    </row>
    <row r="198" customFormat="false" ht="15" hidden="false" customHeight="false" outlineLevel="0" collapsed="false">
      <c r="A198" s="0" t="s">
        <v>20</v>
      </c>
      <c r="B198" s="0" t="s">
        <v>493</v>
      </c>
      <c r="C198" s="0" t="s">
        <v>1880</v>
      </c>
    </row>
    <row r="199" customFormat="false" ht="15" hidden="false" customHeight="false" outlineLevel="0" collapsed="false">
      <c r="A199" s="0" t="s">
        <v>20</v>
      </c>
      <c r="B199" s="0" t="s">
        <v>493</v>
      </c>
      <c r="C199" s="0" t="s">
        <v>2173</v>
      </c>
    </row>
    <row r="200" customFormat="false" ht="15" hidden="false" customHeight="false" outlineLevel="0" collapsed="false">
      <c r="A200" s="0" t="s">
        <v>20</v>
      </c>
      <c r="B200" s="0" t="s">
        <v>496</v>
      </c>
      <c r="C200" s="0" t="s">
        <v>1744</v>
      </c>
      <c r="D200" s="0" t="n">
        <v>3</v>
      </c>
    </row>
    <row r="201" customFormat="false" ht="15" hidden="false" customHeight="false" outlineLevel="0" collapsed="false">
      <c r="A201" s="0" t="s">
        <v>20</v>
      </c>
      <c r="B201" s="0" t="s">
        <v>496</v>
      </c>
      <c r="C201" s="0" t="s">
        <v>1880</v>
      </c>
    </row>
    <row r="202" customFormat="false" ht="15" hidden="false" customHeight="false" outlineLevel="0" collapsed="false">
      <c r="A202" s="0" t="s">
        <v>20</v>
      </c>
      <c r="B202" s="0" t="s">
        <v>496</v>
      </c>
      <c r="C202" s="0" t="s">
        <v>2173</v>
      </c>
    </row>
    <row r="203" customFormat="false" ht="15" hidden="false" customHeight="false" outlineLevel="0" collapsed="false">
      <c r="A203" s="0" t="s">
        <v>20</v>
      </c>
      <c r="B203" s="0" t="s">
        <v>500</v>
      </c>
      <c r="C203" s="0" t="s">
        <v>1744</v>
      </c>
      <c r="D203" s="0" t="n">
        <v>15</v>
      </c>
    </row>
    <row r="204" customFormat="false" ht="15" hidden="false" customHeight="false" outlineLevel="0" collapsed="false">
      <c r="A204" s="0" t="s">
        <v>20</v>
      </c>
      <c r="B204" s="0" t="s">
        <v>500</v>
      </c>
      <c r="C204" s="0" t="s">
        <v>1880</v>
      </c>
    </row>
    <row r="205" customFormat="false" ht="15" hidden="false" customHeight="false" outlineLevel="0" collapsed="false">
      <c r="A205" s="0" t="s">
        <v>20</v>
      </c>
      <c r="B205" s="0" t="s">
        <v>500</v>
      </c>
      <c r="C205" s="0" t="s">
        <v>2173</v>
      </c>
    </row>
    <row r="206" customFormat="false" ht="15" hidden="false" customHeight="false" outlineLevel="0" collapsed="false">
      <c r="A206" s="0" t="s">
        <v>20</v>
      </c>
      <c r="B206" s="0" t="s">
        <v>503</v>
      </c>
      <c r="C206" s="0" t="s">
        <v>1744</v>
      </c>
      <c r="D206" s="0" t="n">
        <v>0.25</v>
      </c>
    </row>
    <row r="207" customFormat="false" ht="15" hidden="false" customHeight="false" outlineLevel="0" collapsed="false">
      <c r="A207" s="0" t="s">
        <v>20</v>
      </c>
      <c r="B207" s="0" t="s">
        <v>503</v>
      </c>
      <c r="C207" s="0" t="s">
        <v>1880</v>
      </c>
    </row>
    <row r="208" customFormat="false" ht="15" hidden="false" customHeight="false" outlineLevel="0" collapsed="false">
      <c r="A208" s="0" t="s">
        <v>20</v>
      </c>
      <c r="B208" s="0" t="s">
        <v>503</v>
      </c>
      <c r="C208" s="0" t="s">
        <v>2173</v>
      </c>
    </row>
    <row r="209" customFormat="false" ht="15" hidden="false" customHeight="false" outlineLevel="0" collapsed="false">
      <c r="A209" s="0" t="s">
        <v>20</v>
      </c>
      <c r="B209" s="0" t="s">
        <v>507</v>
      </c>
      <c r="C209" s="0" t="s">
        <v>1744</v>
      </c>
      <c r="D209" s="0" t="n">
        <v>1.25</v>
      </c>
    </row>
    <row r="210" customFormat="false" ht="15" hidden="false" customHeight="false" outlineLevel="0" collapsed="false">
      <c r="A210" s="0" t="s">
        <v>20</v>
      </c>
      <c r="B210" s="0" t="s">
        <v>507</v>
      </c>
      <c r="C210" s="0" t="s">
        <v>1880</v>
      </c>
    </row>
    <row r="211" customFormat="false" ht="15" hidden="false" customHeight="false" outlineLevel="0" collapsed="false">
      <c r="A211" s="0" t="s">
        <v>20</v>
      </c>
      <c r="B211" s="0" t="s">
        <v>507</v>
      </c>
      <c r="C211" s="0" t="s">
        <v>2173</v>
      </c>
    </row>
    <row r="212" customFormat="false" ht="15" hidden="false" customHeight="false" outlineLevel="0" collapsed="false">
      <c r="A212" s="0" t="s">
        <v>20</v>
      </c>
      <c r="B212" s="0" t="s">
        <v>510</v>
      </c>
      <c r="C212" s="0" t="s">
        <v>1744</v>
      </c>
      <c r="D212" s="0" t="n">
        <v>3</v>
      </c>
    </row>
    <row r="213" customFormat="false" ht="15" hidden="false" customHeight="false" outlineLevel="0" collapsed="false">
      <c r="A213" s="0" t="s">
        <v>20</v>
      </c>
      <c r="B213" s="0" t="s">
        <v>510</v>
      </c>
      <c r="C213" s="0" t="s">
        <v>1880</v>
      </c>
    </row>
    <row r="214" customFormat="false" ht="15" hidden="false" customHeight="false" outlineLevel="0" collapsed="false">
      <c r="A214" s="0" t="s">
        <v>20</v>
      </c>
      <c r="B214" s="0" t="s">
        <v>510</v>
      </c>
      <c r="C214" s="0" t="s">
        <v>2173</v>
      </c>
    </row>
    <row r="215" customFormat="false" ht="15" hidden="false" customHeight="false" outlineLevel="0" collapsed="false">
      <c r="A215" s="0" t="s">
        <v>20</v>
      </c>
      <c r="B215" s="0" t="s">
        <v>518</v>
      </c>
      <c r="C215" s="0" t="s">
        <v>1744</v>
      </c>
      <c r="D215" s="0" t="n">
        <v>15</v>
      </c>
    </row>
    <row r="216" customFormat="false" ht="15" hidden="false" customHeight="false" outlineLevel="0" collapsed="false">
      <c r="A216" s="0" t="s">
        <v>20</v>
      </c>
      <c r="B216" s="0" t="s">
        <v>518</v>
      </c>
      <c r="C216" s="0" t="s">
        <v>1880</v>
      </c>
    </row>
    <row r="217" customFormat="false" ht="15" hidden="false" customHeight="false" outlineLevel="0" collapsed="false">
      <c r="A217" s="0" t="s">
        <v>20</v>
      </c>
      <c r="B217" s="0" t="s">
        <v>518</v>
      </c>
      <c r="C217" s="0" t="s">
        <v>2173</v>
      </c>
    </row>
    <row r="218" customFormat="false" ht="15" hidden="false" customHeight="false" outlineLevel="0" collapsed="false">
      <c r="A218" s="0" t="s">
        <v>20</v>
      </c>
      <c r="B218" s="0" t="s">
        <v>521</v>
      </c>
      <c r="C218" s="0" t="s">
        <v>1744</v>
      </c>
      <c r="D218" s="0" t="n">
        <v>1</v>
      </c>
    </row>
    <row r="219" customFormat="false" ht="15" hidden="false" customHeight="false" outlineLevel="0" collapsed="false">
      <c r="A219" s="0" t="s">
        <v>20</v>
      </c>
      <c r="B219" s="0" t="s">
        <v>521</v>
      </c>
      <c r="C219" s="0" t="s">
        <v>1880</v>
      </c>
    </row>
    <row r="220" customFormat="false" ht="15" hidden="false" customHeight="false" outlineLevel="0" collapsed="false">
      <c r="A220" s="0" t="s">
        <v>20</v>
      </c>
      <c r="B220" s="0" t="s">
        <v>521</v>
      </c>
      <c r="C220" s="0" t="s">
        <v>2173</v>
      </c>
    </row>
    <row r="221" customFormat="false" ht="15" hidden="false" customHeight="false" outlineLevel="0" collapsed="false">
      <c r="A221" s="0" t="s">
        <v>20</v>
      </c>
      <c r="B221" s="0" t="s">
        <v>529</v>
      </c>
      <c r="C221" s="0" t="s">
        <v>1744</v>
      </c>
      <c r="D221" s="0" t="n">
        <v>5</v>
      </c>
    </row>
    <row r="222" customFormat="false" ht="15" hidden="false" customHeight="false" outlineLevel="0" collapsed="false">
      <c r="A222" s="0" t="s">
        <v>20</v>
      </c>
      <c r="B222" s="0" t="s">
        <v>529</v>
      </c>
      <c r="C222" s="0" t="s">
        <v>1880</v>
      </c>
    </row>
    <row r="223" customFormat="false" ht="15" hidden="false" customHeight="false" outlineLevel="0" collapsed="false">
      <c r="A223" s="0" t="s">
        <v>20</v>
      </c>
      <c r="B223" s="0" t="s">
        <v>529</v>
      </c>
      <c r="C223" s="0" t="s">
        <v>2173</v>
      </c>
    </row>
    <row r="224" customFormat="false" ht="15" hidden="false" customHeight="false" outlineLevel="0" collapsed="false">
      <c r="A224" s="0" t="s">
        <v>20</v>
      </c>
      <c r="B224" s="0" t="s">
        <v>532</v>
      </c>
      <c r="C224" s="0" t="s">
        <v>1744</v>
      </c>
      <c r="D224" s="0" t="n">
        <v>0.8</v>
      </c>
    </row>
    <row r="225" customFormat="false" ht="15" hidden="false" customHeight="false" outlineLevel="0" collapsed="false">
      <c r="A225" s="0" t="s">
        <v>20</v>
      </c>
      <c r="B225" s="0" t="s">
        <v>532</v>
      </c>
      <c r="C225" s="0" t="s">
        <v>1880</v>
      </c>
    </row>
    <row r="226" customFormat="false" ht="15" hidden="false" customHeight="false" outlineLevel="0" collapsed="false">
      <c r="A226" s="0" t="s">
        <v>20</v>
      </c>
      <c r="B226" s="0" t="s">
        <v>532</v>
      </c>
      <c r="C226" s="0" t="s">
        <v>2173</v>
      </c>
    </row>
    <row r="227" customFormat="false" ht="15" hidden="false" customHeight="false" outlineLevel="0" collapsed="false">
      <c r="A227" s="0" t="s">
        <v>20</v>
      </c>
      <c r="B227" s="0" t="s">
        <v>539</v>
      </c>
      <c r="C227" s="0" t="s">
        <v>1744</v>
      </c>
      <c r="D227" s="0" t="n">
        <v>4</v>
      </c>
    </row>
    <row r="228" customFormat="false" ht="15" hidden="false" customHeight="false" outlineLevel="0" collapsed="false">
      <c r="A228" s="0" t="s">
        <v>20</v>
      </c>
      <c r="B228" s="0" t="s">
        <v>539</v>
      </c>
      <c r="C228" s="0" t="s">
        <v>1880</v>
      </c>
    </row>
    <row r="229" customFormat="false" ht="15" hidden="false" customHeight="false" outlineLevel="0" collapsed="false">
      <c r="A229" s="0" t="s">
        <v>20</v>
      </c>
      <c r="B229" s="0" t="s">
        <v>539</v>
      </c>
      <c r="C229" s="0" t="s">
        <v>2173</v>
      </c>
    </row>
    <row r="230" customFormat="false" ht="15" hidden="false" customHeight="false" outlineLevel="0" collapsed="false">
      <c r="A230" s="0" t="s">
        <v>20</v>
      </c>
      <c r="B230" s="0" t="s">
        <v>542</v>
      </c>
      <c r="C230" s="0" t="s">
        <v>1744</v>
      </c>
      <c r="D230" s="0" t="n">
        <v>3</v>
      </c>
    </row>
    <row r="231" customFormat="false" ht="15" hidden="false" customHeight="false" outlineLevel="0" collapsed="false">
      <c r="A231" s="0" t="s">
        <v>20</v>
      </c>
      <c r="B231" s="0" t="s">
        <v>542</v>
      </c>
      <c r="C231" s="0" t="s">
        <v>1880</v>
      </c>
    </row>
    <row r="232" customFormat="false" ht="15" hidden="false" customHeight="false" outlineLevel="0" collapsed="false">
      <c r="A232" s="0" t="s">
        <v>20</v>
      </c>
      <c r="B232" s="0" t="s">
        <v>542</v>
      </c>
      <c r="C232" s="0" t="s">
        <v>2173</v>
      </c>
    </row>
    <row r="233" customFormat="false" ht="15" hidden="false" customHeight="false" outlineLevel="0" collapsed="false">
      <c r="A233" s="0" t="s">
        <v>20</v>
      </c>
      <c r="B233" s="0" t="s">
        <v>549</v>
      </c>
      <c r="C233" s="0" t="s">
        <v>1744</v>
      </c>
      <c r="D233" s="0" t="n">
        <v>15</v>
      </c>
    </row>
    <row r="234" customFormat="false" ht="15" hidden="false" customHeight="false" outlineLevel="0" collapsed="false">
      <c r="A234" s="0" t="s">
        <v>20</v>
      </c>
      <c r="B234" s="0" t="s">
        <v>549</v>
      </c>
      <c r="C234" s="0" t="s">
        <v>1880</v>
      </c>
    </row>
    <row r="235" customFormat="false" ht="15" hidden="false" customHeight="false" outlineLevel="0" collapsed="false">
      <c r="A235" s="0" t="s">
        <v>20</v>
      </c>
      <c r="B235" s="0" t="s">
        <v>549</v>
      </c>
      <c r="C235" s="0" t="s">
        <v>2173</v>
      </c>
    </row>
    <row r="236" customFormat="false" ht="15" hidden="false" customHeight="false" outlineLevel="0" collapsed="false">
      <c r="A236" s="0" t="s">
        <v>20</v>
      </c>
      <c r="B236" s="0" t="s">
        <v>552</v>
      </c>
      <c r="C236" s="0" t="s">
        <v>1744</v>
      </c>
      <c r="D236" s="0" t="n">
        <v>15</v>
      </c>
    </row>
    <row r="237" customFormat="false" ht="15" hidden="false" customHeight="false" outlineLevel="0" collapsed="false">
      <c r="A237" s="0" t="s">
        <v>20</v>
      </c>
      <c r="B237" s="0" t="s">
        <v>552</v>
      </c>
      <c r="C237" s="0" t="s">
        <v>1880</v>
      </c>
    </row>
    <row r="238" customFormat="false" ht="15" hidden="false" customHeight="false" outlineLevel="0" collapsed="false">
      <c r="A238" s="0" t="s">
        <v>20</v>
      </c>
      <c r="B238" s="0" t="s">
        <v>552</v>
      </c>
      <c r="C238" s="0" t="s">
        <v>2173</v>
      </c>
    </row>
    <row r="239" customFormat="false" ht="15" hidden="false" customHeight="false" outlineLevel="0" collapsed="false">
      <c r="A239" s="0" t="s">
        <v>20</v>
      </c>
      <c r="B239" s="0" t="s">
        <v>559</v>
      </c>
      <c r="C239" s="0" t="s">
        <v>1744</v>
      </c>
      <c r="D239" s="0" t="n">
        <v>75</v>
      </c>
    </row>
    <row r="240" customFormat="false" ht="15" hidden="false" customHeight="false" outlineLevel="0" collapsed="false">
      <c r="A240" s="0" t="s">
        <v>20</v>
      </c>
      <c r="B240" s="0" t="s">
        <v>559</v>
      </c>
      <c r="C240" s="0" t="s">
        <v>1880</v>
      </c>
    </row>
    <row r="241" customFormat="false" ht="15" hidden="false" customHeight="false" outlineLevel="0" collapsed="false">
      <c r="A241" s="0" t="s">
        <v>20</v>
      </c>
      <c r="B241" s="0" t="s">
        <v>559</v>
      </c>
      <c r="C241" s="0" t="s">
        <v>2173</v>
      </c>
    </row>
    <row r="242" customFormat="false" ht="15" hidden="false" customHeight="false" outlineLevel="0" collapsed="false">
      <c r="A242" s="0" t="s">
        <v>20</v>
      </c>
      <c r="B242" s="0" t="s">
        <v>562</v>
      </c>
      <c r="C242" s="0" t="s">
        <v>1744</v>
      </c>
      <c r="D242" s="0" t="n">
        <v>3</v>
      </c>
    </row>
    <row r="243" customFormat="false" ht="15" hidden="false" customHeight="false" outlineLevel="0" collapsed="false">
      <c r="A243" s="0" t="s">
        <v>20</v>
      </c>
      <c r="B243" s="0" t="s">
        <v>562</v>
      </c>
      <c r="C243" s="0" t="s">
        <v>1880</v>
      </c>
    </row>
    <row r="244" customFormat="false" ht="15" hidden="false" customHeight="false" outlineLevel="0" collapsed="false">
      <c r="A244" s="0" t="s">
        <v>20</v>
      </c>
      <c r="B244" s="0" t="s">
        <v>562</v>
      </c>
      <c r="C244" s="0" t="s">
        <v>2173</v>
      </c>
    </row>
    <row r="245" customFormat="false" ht="15" hidden="false" customHeight="false" outlineLevel="0" collapsed="false">
      <c r="A245" s="0" t="s">
        <v>20</v>
      </c>
      <c r="B245" s="0" t="s">
        <v>566</v>
      </c>
      <c r="C245" s="0" t="s">
        <v>1744</v>
      </c>
      <c r="D245" s="0" t="n">
        <v>15</v>
      </c>
    </row>
    <row r="246" customFormat="false" ht="15" hidden="false" customHeight="false" outlineLevel="0" collapsed="false">
      <c r="A246" s="0" t="s">
        <v>20</v>
      </c>
      <c r="B246" s="0" t="s">
        <v>566</v>
      </c>
      <c r="C246" s="0" t="s">
        <v>1880</v>
      </c>
    </row>
    <row r="247" customFormat="false" ht="15" hidden="false" customHeight="false" outlineLevel="0" collapsed="false">
      <c r="A247" s="0" t="s">
        <v>20</v>
      </c>
      <c r="B247" s="0" t="s">
        <v>566</v>
      </c>
      <c r="C247" s="0" t="s">
        <v>2173</v>
      </c>
    </row>
    <row r="248" customFormat="false" ht="15" hidden="false" customHeight="false" outlineLevel="0" collapsed="false">
      <c r="A248" s="0" t="s">
        <v>20</v>
      </c>
      <c r="B248" s="0" t="s">
        <v>569</v>
      </c>
      <c r="C248" s="0" t="s">
        <v>1744</v>
      </c>
      <c r="D248" s="0" t="n">
        <v>15</v>
      </c>
    </row>
    <row r="249" customFormat="false" ht="15" hidden="false" customHeight="false" outlineLevel="0" collapsed="false">
      <c r="A249" s="0" t="s">
        <v>20</v>
      </c>
      <c r="B249" s="0" t="s">
        <v>569</v>
      </c>
      <c r="C249" s="0" t="s">
        <v>1880</v>
      </c>
    </row>
    <row r="250" customFormat="false" ht="15" hidden="false" customHeight="false" outlineLevel="0" collapsed="false">
      <c r="A250" s="0" t="s">
        <v>20</v>
      </c>
      <c r="B250" s="0" t="s">
        <v>569</v>
      </c>
      <c r="C250" s="0" t="s">
        <v>2173</v>
      </c>
    </row>
    <row r="251" customFormat="false" ht="15" hidden="false" customHeight="false" outlineLevel="0" collapsed="false">
      <c r="A251" s="0" t="s">
        <v>20</v>
      </c>
      <c r="B251" s="0" t="s">
        <v>576</v>
      </c>
      <c r="C251" s="0" t="s">
        <v>1744</v>
      </c>
      <c r="D251" s="0" t="n">
        <v>75</v>
      </c>
    </row>
    <row r="252" customFormat="false" ht="15" hidden="false" customHeight="false" outlineLevel="0" collapsed="false">
      <c r="A252" s="0" t="s">
        <v>20</v>
      </c>
      <c r="B252" s="0" t="s">
        <v>576</v>
      </c>
      <c r="C252" s="0" t="s">
        <v>1880</v>
      </c>
    </row>
    <row r="253" customFormat="false" ht="15" hidden="false" customHeight="false" outlineLevel="0" collapsed="false">
      <c r="A253" s="0" t="s">
        <v>20</v>
      </c>
      <c r="B253" s="0" t="s">
        <v>576</v>
      </c>
      <c r="C253" s="0" t="s">
        <v>2173</v>
      </c>
    </row>
    <row r="254" customFormat="false" ht="15" hidden="false" customHeight="false" outlineLevel="0" collapsed="false">
      <c r="A254" s="0" t="s">
        <v>20</v>
      </c>
      <c r="B254" s="0" t="s">
        <v>579</v>
      </c>
      <c r="C254" s="0" t="s">
        <v>1744</v>
      </c>
      <c r="D254" s="0" t="n">
        <v>3</v>
      </c>
    </row>
    <row r="255" customFormat="false" ht="15" hidden="false" customHeight="false" outlineLevel="0" collapsed="false">
      <c r="A255" s="0" t="s">
        <v>20</v>
      </c>
      <c r="B255" s="0" t="s">
        <v>579</v>
      </c>
      <c r="C255" s="0" t="s">
        <v>1880</v>
      </c>
    </row>
    <row r="256" customFormat="false" ht="15" hidden="false" customHeight="false" outlineLevel="0" collapsed="false">
      <c r="A256" s="0" t="s">
        <v>20</v>
      </c>
      <c r="B256" s="0" t="s">
        <v>579</v>
      </c>
      <c r="C256" s="0" t="s">
        <v>2173</v>
      </c>
    </row>
    <row r="257" customFormat="false" ht="15" hidden="false" customHeight="false" outlineLevel="0" collapsed="false">
      <c r="A257" s="0" t="s">
        <v>20</v>
      </c>
      <c r="B257" s="0" t="s">
        <v>586</v>
      </c>
      <c r="C257" s="0" t="s">
        <v>1744</v>
      </c>
      <c r="D257" s="0" t="n">
        <v>15</v>
      </c>
    </row>
    <row r="258" customFormat="false" ht="15" hidden="false" customHeight="false" outlineLevel="0" collapsed="false">
      <c r="A258" s="0" t="s">
        <v>20</v>
      </c>
      <c r="B258" s="0" t="s">
        <v>586</v>
      </c>
      <c r="C258" s="0" t="s">
        <v>1880</v>
      </c>
    </row>
    <row r="259" customFormat="false" ht="15" hidden="false" customHeight="false" outlineLevel="0" collapsed="false">
      <c r="A259" s="0" t="s">
        <v>20</v>
      </c>
      <c r="B259" s="0" t="s">
        <v>586</v>
      </c>
      <c r="C259" s="0" t="s">
        <v>2173</v>
      </c>
    </row>
    <row r="260" customFormat="false" ht="15" hidden="false" customHeight="false" outlineLevel="0" collapsed="false">
      <c r="A260" s="0" t="s">
        <v>20</v>
      </c>
      <c r="B260" s="0" t="s">
        <v>589</v>
      </c>
      <c r="C260" s="0" t="s">
        <v>1744</v>
      </c>
      <c r="D260" s="0" t="n">
        <v>1</v>
      </c>
    </row>
    <row r="261" customFormat="false" ht="15" hidden="false" customHeight="false" outlineLevel="0" collapsed="false">
      <c r="A261" s="0" t="s">
        <v>20</v>
      </c>
      <c r="B261" s="0" t="s">
        <v>589</v>
      </c>
      <c r="C261" s="0" t="s">
        <v>1880</v>
      </c>
    </row>
    <row r="262" customFormat="false" ht="15" hidden="false" customHeight="false" outlineLevel="0" collapsed="false">
      <c r="A262" s="0" t="s">
        <v>20</v>
      </c>
      <c r="B262" s="0" t="s">
        <v>589</v>
      </c>
      <c r="C262" s="0" t="s">
        <v>2173</v>
      </c>
    </row>
    <row r="263" customFormat="false" ht="15" hidden="false" customHeight="false" outlineLevel="0" collapsed="false">
      <c r="A263" s="0" t="s">
        <v>20</v>
      </c>
      <c r="B263" s="0" t="s">
        <v>595</v>
      </c>
      <c r="C263" s="0" t="s">
        <v>1744</v>
      </c>
      <c r="D263" s="0" t="n">
        <v>5</v>
      </c>
    </row>
    <row r="264" customFormat="false" ht="15" hidden="false" customHeight="false" outlineLevel="0" collapsed="false">
      <c r="A264" s="0" t="s">
        <v>20</v>
      </c>
      <c r="B264" s="0" t="s">
        <v>595</v>
      </c>
      <c r="C264" s="0" t="s">
        <v>1880</v>
      </c>
    </row>
    <row r="265" customFormat="false" ht="15" hidden="false" customHeight="false" outlineLevel="0" collapsed="false">
      <c r="A265" s="0" t="s">
        <v>20</v>
      </c>
      <c r="B265" s="0" t="s">
        <v>595</v>
      </c>
      <c r="C265" s="0" t="s">
        <v>2173</v>
      </c>
    </row>
    <row r="266" customFormat="false" ht="15" hidden="false" customHeight="false" outlineLevel="0" collapsed="false">
      <c r="A266" s="0" t="s">
        <v>20</v>
      </c>
      <c r="B266" s="0" t="s">
        <v>598</v>
      </c>
      <c r="C266" s="0" t="s">
        <v>1744</v>
      </c>
      <c r="D266" s="0" t="n">
        <v>5</v>
      </c>
    </row>
    <row r="267" customFormat="false" ht="15" hidden="false" customHeight="false" outlineLevel="0" collapsed="false">
      <c r="A267" s="0" t="s">
        <v>20</v>
      </c>
      <c r="B267" s="0" t="s">
        <v>598</v>
      </c>
      <c r="C267" s="0" t="s">
        <v>1880</v>
      </c>
    </row>
    <row r="268" customFormat="false" ht="15" hidden="false" customHeight="false" outlineLevel="0" collapsed="false">
      <c r="A268" s="0" t="s">
        <v>20</v>
      </c>
      <c r="B268" s="0" t="s">
        <v>598</v>
      </c>
      <c r="C268" s="0" t="s">
        <v>2173</v>
      </c>
    </row>
    <row r="269" customFormat="false" ht="15" hidden="false" customHeight="false" outlineLevel="0" collapsed="false">
      <c r="A269" s="0" t="s">
        <v>20</v>
      </c>
      <c r="B269" s="0" t="s">
        <v>605</v>
      </c>
      <c r="C269" s="0" t="s">
        <v>1744</v>
      </c>
      <c r="D269" s="0" t="n">
        <v>25</v>
      </c>
    </row>
    <row r="270" customFormat="false" ht="15" hidden="false" customHeight="false" outlineLevel="0" collapsed="false">
      <c r="A270" s="0" t="s">
        <v>20</v>
      </c>
      <c r="B270" s="0" t="s">
        <v>605</v>
      </c>
      <c r="C270" s="0" t="s">
        <v>1880</v>
      </c>
    </row>
    <row r="271" customFormat="false" ht="15" hidden="false" customHeight="false" outlineLevel="0" collapsed="false">
      <c r="A271" s="0" t="s">
        <v>20</v>
      </c>
      <c r="B271" s="0" t="s">
        <v>605</v>
      </c>
      <c r="C271" s="0" t="s">
        <v>2173</v>
      </c>
    </row>
    <row r="272" customFormat="false" ht="15" hidden="false" customHeight="false" outlineLevel="0" collapsed="false">
      <c r="A272" s="0" t="s">
        <v>20</v>
      </c>
      <c r="B272" s="0" t="s">
        <v>608</v>
      </c>
      <c r="C272" s="0" t="s">
        <v>1744</v>
      </c>
      <c r="D272" s="0" t="n">
        <v>5</v>
      </c>
    </row>
    <row r="273" customFormat="false" ht="15" hidden="false" customHeight="false" outlineLevel="0" collapsed="false">
      <c r="A273" s="0" t="s">
        <v>20</v>
      </c>
      <c r="B273" s="0" t="s">
        <v>608</v>
      </c>
      <c r="C273" s="0" t="s">
        <v>1880</v>
      </c>
    </row>
    <row r="274" customFormat="false" ht="15" hidden="false" customHeight="false" outlineLevel="0" collapsed="false">
      <c r="A274" s="0" t="s">
        <v>20</v>
      </c>
      <c r="B274" s="0" t="s">
        <v>608</v>
      </c>
      <c r="C274" s="0" t="s">
        <v>2173</v>
      </c>
    </row>
    <row r="275" customFormat="false" ht="15" hidden="false" customHeight="false" outlineLevel="0" collapsed="false">
      <c r="A275" s="0" t="s">
        <v>20</v>
      </c>
      <c r="B275" s="0" t="s">
        <v>615</v>
      </c>
      <c r="C275" s="0" t="s">
        <v>1744</v>
      </c>
      <c r="D275" s="0" t="n">
        <v>25</v>
      </c>
    </row>
    <row r="276" customFormat="false" ht="15" hidden="false" customHeight="false" outlineLevel="0" collapsed="false">
      <c r="A276" s="0" t="s">
        <v>20</v>
      </c>
      <c r="B276" s="0" t="s">
        <v>615</v>
      </c>
      <c r="C276" s="0" t="s">
        <v>1880</v>
      </c>
    </row>
    <row r="277" customFormat="false" ht="15" hidden="false" customHeight="false" outlineLevel="0" collapsed="false">
      <c r="A277" s="0" t="s">
        <v>20</v>
      </c>
      <c r="B277" s="0" t="s">
        <v>615</v>
      </c>
      <c r="C277" s="0" t="s">
        <v>2173</v>
      </c>
    </row>
    <row r="278" customFormat="false" ht="15" hidden="false" customHeight="false" outlineLevel="0" collapsed="false">
      <c r="A278" s="0" t="s">
        <v>20</v>
      </c>
      <c r="B278" s="0" t="s">
        <v>618</v>
      </c>
      <c r="C278" s="0" t="s">
        <v>1744</v>
      </c>
      <c r="D278" s="0" t="n">
        <v>3</v>
      </c>
    </row>
    <row r="279" customFormat="false" ht="15" hidden="false" customHeight="false" outlineLevel="0" collapsed="false">
      <c r="A279" s="0" t="s">
        <v>20</v>
      </c>
      <c r="B279" s="0" t="s">
        <v>618</v>
      </c>
      <c r="C279" s="0" t="s">
        <v>1880</v>
      </c>
    </row>
    <row r="280" customFormat="false" ht="15" hidden="false" customHeight="false" outlineLevel="0" collapsed="false">
      <c r="A280" s="0" t="s">
        <v>20</v>
      </c>
      <c r="B280" s="0" t="s">
        <v>618</v>
      </c>
      <c r="C280" s="0" t="s">
        <v>2173</v>
      </c>
    </row>
    <row r="281" customFormat="false" ht="15" hidden="false" customHeight="false" outlineLevel="0" collapsed="false">
      <c r="A281" s="0" t="s">
        <v>20</v>
      </c>
      <c r="B281" s="0" t="s">
        <v>625</v>
      </c>
      <c r="C281" s="0" t="s">
        <v>1744</v>
      </c>
      <c r="D281" s="0" t="n">
        <v>15</v>
      </c>
    </row>
    <row r="282" customFormat="false" ht="15" hidden="false" customHeight="false" outlineLevel="0" collapsed="false">
      <c r="A282" s="0" t="s">
        <v>20</v>
      </c>
      <c r="B282" s="0" t="s">
        <v>625</v>
      </c>
      <c r="C282" s="0" t="s">
        <v>1880</v>
      </c>
    </row>
    <row r="283" customFormat="false" ht="15" hidden="false" customHeight="false" outlineLevel="0" collapsed="false">
      <c r="A283" s="0" t="s">
        <v>20</v>
      </c>
      <c r="B283" s="0" t="s">
        <v>625</v>
      </c>
      <c r="C283" s="0" t="s">
        <v>2173</v>
      </c>
    </row>
    <row r="284" customFormat="false" ht="15" hidden="false" customHeight="false" outlineLevel="0" collapsed="false">
      <c r="A284" s="0" t="s">
        <v>20</v>
      </c>
      <c r="B284" s="0" t="s">
        <v>628</v>
      </c>
      <c r="C284" s="0" t="s">
        <v>1744</v>
      </c>
      <c r="D284" s="0" t="n">
        <v>25</v>
      </c>
    </row>
    <row r="285" customFormat="false" ht="15" hidden="false" customHeight="false" outlineLevel="0" collapsed="false">
      <c r="A285" s="0" t="s">
        <v>20</v>
      </c>
      <c r="B285" s="0" t="s">
        <v>628</v>
      </c>
      <c r="C285" s="0" t="s">
        <v>1880</v>
      </c>
    </row>
    <row r="286" customFormat="false" ht="15" hidden="false" customHeight="false" outlineLevel="0" collapsed="false">
      <c r="A286" s="0" t="s">
        <v>20</v>
      </c>
      <c r="B286" s="0" t="s">
        <v>628</v>
      </c>
      <c r="C286" s="0" t="s">
        <v>2173</v>
      </c>
    </row>
    <row r="287" customFormat="false" ht="15" hidden="false" customHeight="false" outlineLevel="0" collapsed="false">
      <c r="A287" s="0" t="s">
        <v>20</v>
      </c>
      <c r="B287" s="0" t="s">
        <v>635</v>
      </c>
      <c r="C287" s="0" t="s">
        <v>1744</v>
      </c>
      <c r="D287" s="0" t="n">
        <v>125</v>
      </c>
    </row>
    <row r="288" customFormat="false" ht="15" hidden="false" customHeight="false" outlineLevel="0" collapsed="false">
      <c r="A288" s="0" t="s">
        <v>20</v>
      </c>
      <c r="B288" s="0" t="s">
        <v>635</v>
      </c>
      <c r="C288" s="0" t="s">
        <v>1880</v>
      </c>
    </row>
    <row r="289" customFormat="false" ht="15" hidden="false" customHeight="false" outlineLevel="0" collapsed="false">
      <c r="A289" s="0" t="s">
        <v>20</v>
      </c>
      <c r="B289" s="0" t="s">
        <v>635</v>
      </c>
      <c r="C289" s="0" t="s">
        <v>2173</v>
      </c>
    </row>
    <row r="290" customFormat="false" ht="15" hidden="false" customHeight="false" outlineLevel="0" collapsed="false">
      <c r="A290" s="0" t="s">
        <v>20</v>
      </c>
      <c r="B290" s="0" t="s">
        <v>638</v>
      </c>
      <c r="C290" s="0" t="s">
        <v>1744</v>
      </c>
      <c r="D290" s="0" t="n">
        <v>5</v>
      </c>
    </row>
    <row r="291" customFormat="false" ht="15" hidden="false" customHeight="false" outlineLevel="0" collapsed="false">
      <c r="A291" s="0" t="s">
        <v>20</v>
      </c>
      <c r="B291" s="0" t="s">
        <v>638</v>
      </c>
      <c r="C291" s="0" t="s">
        <v>1880</v>
      </c>
    </row>
    <row r="292" customFormat="false" ht="15" hidden="false" customHeight="false" outlineLevel="0" collapsed="false">
      <c r="A292" s="0" t="s">
        <v>20</v>
      </c>
      <c r="B292" s="0" t="s">
        <v>638</v>
      </c>
      <c r="C292" s="0" t="s">
        <v>2173</v>
      </c>
    </row>
    <row r="293" customFormat="false" ht="15" hidden="false" customHeight="false" outlineLevel="0" collapsed="false">
      <c r="A293" s="0" t="s">
        <v>20</v>
      </c>
      <c r="B293" s="0" t="s">
        <v>645</v>
      </c>
      <c r="C293" s="0" t="s">
        <v>1744</v>
      </c>
      <c r="D293" s="0" t="n">
        <v>25</v>
      </c>
    </row>
    <row r="294" customFormat="false" ht="15" hidden="false" customHeight="false" outlineLevel="0" collapsed="false">
      <c r="A294" s="0" t="s">
        <v>20</v>
      </c>
      <c r="B294" s="0" t="s">
        <v>645</v>
      </c>
      <c r="C294" s="0" t="s">
        <v>1880</v>
      </c>
    </row>
    <row r="295" customFormat="false" ht="15" hidden="false" customHeight="false" outlineLevel="0" collapsed="false">
      <c r="A295" s="0" t="s">
        <v>20</v>
      </c>
      <c r="B295" s="0" t="s">
        <v>645</v>
      </c>
      <c r="C295" s="0" t="s">
        <v>2173</v>
      </c>
    </row>
    <row r="296" customFormat="false" ht="15" hidden="false" customHeight="false" outlineLevel="0" collapsed="false">
      <c r="A296" s="0" t="s">
        <v>20</v>
      </c>
      <c r="B296" s="0" t="s">
        <v>648</v>
      </c>
      <c r="C296" s="0" t="s">
        <v>1744</v>
      </c>
      <c r="D296" s="0" t="n">
        <v>5</v>
      </c>
    </row>
    <row r="297" customFormat="false" ht="15" hidden="false" customHeight="false" outlineLevel="0" collapsed="false">
      <c r="A297" s="0" t="s">
        <v>20</v>
      </c>
      <c r="B297" s="0" t="s">
        <v>648</v>
      </c>
      <c r="C297" s="0" t="s">
        <v>1880</v>
      </c>
    </row>
    <row r="298" customFormat="false" ht="15" hidden="false" customHeight="false" outlineLevel="0" collapsed="false">
      <c r="A298" s="0" t="s">
        <v>20</v>
      </c>
      <c r="B298" s="0" t="s">
        <v>648</v>
      </c>
      <c r="C298" s="0" t="s">
        <v>2173</v>
      </c>
    </row>
    <row r="299" customFormat="false" ht="15" hidden="false" customHeight="false" outlineLevel="0" collapsed="false">
      <c r="A299" s="0" t="s">
        <v>20</v>
      </c>
      <c r="B299" s="0" t="s">
        <v>654</v>
      </c>
      <c r="C299" s="0" t="s">
        <v>1744</v>
      </c>
      <c r="D299" s="0" t="n">
        <v>25</v>
      </c>
    </row>
    <row r="300" customFormat="false" ht="15" hidden="false" customHeight="false" outlineLevel="0" collapsed="false">
      <c r="A300" s="0" t="s">
        <v>20</v>
      </c>
      <c r="B300" s="0" t="s">
        <v>654</v>
      </c>
      <c r="C300" s="0" t="s">
        <v>1880</v>
      </c>
    </row>
    <row r="301" customFormat="false" ht="15" hidden="false" customHeight="false" outlineLevel="0" collapsed="false">
      <c r="A301" s="0" t="s">
        <v>20</v>
      </c>
      <c r="B301" s="0" t="s">
        <v>654</v>
      </c>
      <c r="C301" s="0" t="s">
        <v>2173</v>
      </c>
    </row>
    <row r="302" customFormat="false" ht="15" hidden="false" customHeight="false" outlineLevel="0" collapsed="false">
      <c r="A302" s="0" t="s">
        <v>20</v>
      </c>
      <c r="B302" s="0" t="s">
        <v>657</v>
      </c>
      <c r="C302" s="0" t="s">
        <v>1744</v>
      </c>
      <c r="D302" s="0" t="n">
        <v>10</v>
      </c>
    </row>
    <row r="303" customFormat="false" ht="15" hidden="false" customHeight="false" outlineLevel="0" collapsed="false">
      <c r="A303" s="0" t="s">
        <v>20</v>
      </c>
      <c r="B303" s="0" t="s">
        <v>657</v>
      </c>
      <c r="C303" s="0" t="s">
        <v>1880</v>
      </c>
    </row>
    <row r="304" customFormat="false" ht="15" hidden="false" customHeight="false" outlineLevel="0" collapsed="false">
      <c r="A304" s="0" t="s">
        <v>20</v>
      </c>
      <c r="B304" s="0" t="s">
        <v>657</v>
      </c>
      <c r="C304" s="0" t="s">
        <v>2173</v>
      </c>
    </row>
    <row r="305" customFormat="false" ht="15" hidden="false" customHeight="false" outlineLevel="0" collapsed="false">
      <c r="A305" s="0" t="s">
        <v>20</v>
      </c>
      <c r="B305" s="0" t="s">
        <v>664</v>
      </c>
      <c r="C305" s="0" t="s">
        <v>1744</v>
      </c>
      <c r="D305" s="0" t="n">
        <v>50</v>
      </c>
    </row>
    <row r="306" customFormat="false" ht="15" hidden="false" customHeight="false" outlineLevel="0" collapsed="false">
      <c r="A306" s="0" t="s">
        <v>20</v>
      </c>
      <c r="B306" s="0" t="s">
        <v>664</v>
      </c>
      <c r="C306" s="0" t="s">
        <v>1880</v>
      </c>
    </row>
    <row r="307" customFormat="false" ht="15" hidden="false" customHeight="false" outlineLevel="0" collapsed="false">
      <c r="A307" s="0" t="s">
        <v>20</v>
      </c>
      <c r="B307" s="0" t="s">
        <v>664</v>
      </c>
      <c r="C307" s="0" t="s">
        <v>2173</v>
      </c>
    </row>
    <row r="308" customFormat="false" ht="15" hidden="false" customHeight="false" outlineLevel="0" collapsed="false">
      <c r="A308" s="0" t="s">
        <v>20</v>
      </c>
      <c r="B308" s="0" t="s">
        <v>667</v>
      </c>
      <c r="C308" s="0" t="s">
        <v>1744</v>
      </c>
      <c r="D308" s="0" t="n">
        <v>10</v>
      </c>
    </row>
    <row r="309" customFormat="false" ht="15" hidden="false" customHeight="false" outlineLevel="0" collapsed="false">
      <c r="A309" s="0" t="s">
        <v>20</v>
      </c>
      <c r="B309" s="0" t="s">
        <v>667</v>
      </c>
      <c r="C309" s="0" t="s">
        <v>1880</v>
      </c>
    </row>
    <row r="310" customFormat="false" ht="15" hidden="false" customHeight="false" outlineLevel="0" collapsed="false">
      <c r="A310" s="0" t="s">
        <v>20</v>
      </c>
      <c r="B310" s="0" t="s">
        <v>667</v>
      </c>
      <c r="C310" s="0" t="s">
        <v>2173</v>
      </c>
    </row>
    <row r="311" customFormat="false" ht="15" hidden="false" customHeight="false" outlineLevel="0" collapsed="false">
      <c r="A311" s="0" t="s">
        <v>20</v>
      </c>
      <c r="B311" s="0" t="s">
        <v>671</v>
      </c>
      <c r="C311" s="0" t="s">
        <v>1744</v>
      </c>
      <c r="D311" s="0" t="n">
        <v>50</v>
      </c>
    </row>
    <row r="312" customFormat="false" ht="15" hidden="false" customHeight="false" outlineLevel="0" collapsed="false">
      <c r="A312" s="0" t="s">
        <v>20</v>
      </c>
      <c r="B312" s="0" t="s">
        <v>671</v>
      </c>
      <c r="C312" s="0" t="s">
        <v>1880</v>
      </c>
    </row>
    <row r="313" customFormat="false" ht="15" hidden="false" customHeight="false" outlineLevel="0" collapsed="false">
      <c r="A313" s="0" t="s">
        <v>20</v>
      </c>
      <c r="B313" s="0" t="s">
        <v>671</v>
      </c>
      <c r="C313" s="0" t="s">
        <v>2173</v>
      </c>
    </row>
    <row r="314" customFormat="false" ht="15" hidden="false" customHeight="false" outlineLevel="0" collapsed="false">
      <c r="A314" s="0" t="s">
        <v>20</v>
      </c>
      <c r="B314" s="0" t="s">
        <v>674</v>
      </c>
      <c r="C314" s="0" t="s">
        <v>1744</v>
      </c>
      <c r="D314" s="0" t="n">
        <v>2</v>
      </c>
    </row>
    <row r="315" customFormat="false" ht="15" hidden="false" customHeight="false" outlineLevel="0" collapsed="false">
      <c r="A315" s="0" t="s">
        <v>20</v>
      </c>
      <c r="B315" s="0" t="s">
        <v>674</v>
      </c>
      <c r="C315" s="0" t="s">
        <v>1880</v>
      </c>
    </row>
    <row r="316" customFormat="false" ht="15" hidden="false" customHeight="false" outlineLevel="0" collapsed="false">
      <c r="A316" s="0" t="s">
        <v>20</v>
      </c>
      <c r="B316" s="0" t="s">
        <v>674</v>
      </c>
      <c r="C316" s="0" t="s">
        <v>2173</v>
      </c>
    </row>
    <row r="317" customFormat="false" ht="15" hidden="false" customHeight="false" outlineLevel="0" collapsed="false">
      <c r="A317" s="0" t="s">
        <v>20</v>
      </c>
      <c r="B317" s="0" t="s">
        <v>681</v>
      </c>
      <c r="C317" s="0" t="s">
        <v>1744</v>
      </c>
      <c r="D317" s="0" t="n">
        <v>10</v>
      </c>
    </row>
    <row r="318" customFormat="false" ht="15" hidden="false" customHeight="false" outlineLevel="0" collapsed="false">
      <c r="A318" s="0" t="s">
        <v>20</v>
      </c>
      <c r="B318" s="0" t="s">
        <v>681</v>
      </c>
      <c r="C318" s="0" t="s">
        <v>1880</v>
      </c>
    </row>
    <row r="319" customFormat="false" ht="15" hidden="false" customHeight="false" outlineLevel="0" collapsed="false">
      <c r="A319" s="0" t="s">
        <v>20</v>
      </c>
      <c r="B319" s="0" t="s">
        <v>681</v>
      </c>
      <c r="C319" s="0" t="s">
        <v>2173</v>
      </c>
    </row>
    <row r="320" customFormat="false" ht="15" hidden="false" customHeight="false" outlineLevel="0" collapsed="false">
      <c r="A320" s="0" t="s">
        <v>20</v>
      </c>
      <c r="B320" s="0" t="s">
        <v>684</v>
      </c>
      <c r="C320" s="0" t="s">
        <v>1744</v>
      </c>
      <c r="D320" s="0" t="n">
        <v>5</v>
      </c>
    </row>
    <row r="321" customFormat="false" ht="15" hidden="false" customHeight="false" outlineLevel="0" collapsed="false">
      <c r="A321" s="0" t="s">
        <v>20</v>
      </c>
      <c r="B321" s="0" t="s">
        <v>684</v>
      </c>
      <c r="C321" s="0" t="s">
        <v>1880</v>
      </c>
    </row>
    <row r="322" customFormat="false" ht="15" hidden="false" customHeight="false" outlineLevel="0" collapsed="false">
      <c r="A322" s="0" t="s">
        <v>20</v>
      </c>
      <c r="B322" s="0" t="s">
        <v>684</v>
      </c>
      <c r="C322" s="0" t="s">
        <v>2173</v>
      </c>
    </row>
    <row r="323" customFormat="false" ht="15" hidden="false" customHeight="false" outlineLevel="0" collapsed="false">
      <c r="A323" s="0" t="s">
        <v>20</v>
      </c>
      <c r="B323" s="0" t="s">
        <v>691</v>
      </c>
      <c r="C323" s="0" t="s">
        <v>1744</v>
      </c>
      <c r="D323" s="0" t="n">
        <v>25</v>
      </c>
    </row>
    <row r="324" customFormat="false" ht="15" hidden="false" customHeight="false" outlineLevel="0" collapsed="false">
      <c r="A324" s="0" t="s">
        <v>20</v>
      </c>
      <c r="B324" s="0" t="s">
        <v>691</v>
      </c>
      <c r="C324" s="0" t="s">
        <v>1880</v>
      </c>
    </row>
    <row r="325" customFormat="false" ht="15" hidden="false" customHeight="false" outlineLevel="0" collapsed="false">
      <c r="A325" s="0" t="s">
        <v>20</v>
      </c>
      <c r="B325" s="0" t="s">
        <v>691</v>
      </c>
      <c r="C325" s="0" t="s">
        <v>2173</v>
      </c>
    </row>
    <row r="326" customFormat="false" ht="15" hidden="false" customHeight="false" outlineLevel="0" collapsed="false">
      <c r="A326" s="0" t="s">
        <v>20</v>
      </c>
      <c r="B326" s="0" t="s">
        <v>694</v>
      </c>
      <c r="C326" s="0" t="s">
        <v>1744</v>
      </c>
      <c r="D326" s="0" t="n">
        <v>10</v>
      </c>
    </row>
    <row r="327" customFormat="false" ht="15" hidden="false" customHeight="false" outlineLevel="0" collapsed="false">
      <c r="A327" s="0" t="s">
        <v>20</v>
      </c>
      <c r="B327" s="0" t="s">
        <v>694</v>
      </c>
      <c r="C327" s="0" t="s">
        <v>1880</v>
      </c>
    </row>
    <row r="328" customFormat="false" ht="15" hidden="false" customHeight="false" outlineLevel="0" collapsed="false">
      <c r="A328" s="0" t="s">
        <v>20</v>
      </c>
      <c r="B328" s="0" t="s">
        <v>694</v>
      </c>
      <c r="C328" s="0" t="s">
        <v>2173</v>
      </c>
    </row>
    <row r="329" customFormat="false" ht="15" hidden="false" customHeight="false" outlineLevel="0" collapsed="false">
      <c r="A329" s="0" t="s">
        <v>20</v>
      </c>
      <c r="B329" s="0" t="s">
        <v>701</v>
      </c>
      <c r="C329" s="0" t="s">
        <v>1744</v>
      </c>
      <c r="D329" s="0" t="n">
        <v>50</v>
      </c>
    </row>
    <row r="330" customFormat="false" ht="15" hidden="false" customHeight="false" outlineLevel="0" collapsed="false">
      <c r="A330" s="0" t="s">
        <v>20</v>
      </c>
      <c r="B330" s="0" t="s">
        <v>701</v>
      </c>
      <c r="C330" s="0" t="s">
        <v>1880</v>
      </c>
    </row>
    <row r="331" customFormat="false" ht="15" hidden="false" customHeight="false" outlineLevel="0" collapsed="false">
      <c r="A331" s="0" t="s">
        <v>20</v>
      </c>
      <c r="B331" s="0" t="s">
        <v>701</v>
      </c>
      <c r="C331" s="0" t="s">
        <v>2173</v>
      </c>
    </row>
    <row r="332" customFormat="false" ht="15" hidden="false" customHeight="false" outlineLevel="0" collapsed="false">
      <c r="A332" s="0" t="s">
        <v>20</v>
      </c>
      <c r="B332" s="0" t="s">
        <v>704</v>
      </c>
      <c r="C332" s="0" t="s">
        <v>1744</v>
      </c>
      <c r="D332" s="0" t="n">
        <v>4</v>
      </c>
    </row>
    <row r="333" customFormat="false" ht="15" hidden="false" customHeight="false" outlineLevel="0" collapsed="false">
      <c r="A333" s="0" t="s">
        <v>20</v>
      </c>
      <c r="B333" s="0" t="s">
        <v>704</v>
      </c>
      <c r="C333" s="0" t="s">
        <v>1880</v>
      </c>
    </row>
    <row r="334" customFormat="false" ht="15" hidden="false" customHeight="false" outlineLevel="0" collapsed="false">
      <c r="A334" s="0" t="s">
        <v>20</v>
      </c>
      <c r="B334" s="0" t="s">
        <v>704</v>
      </c>
      <c r="C334" s="0" t="s">
        <v>2173</v>
      </c>
    </row>
    <row r="335" customFormat="false" ht="15" hidden="false" customHeight="false" outlineLevel="0" collapsed="false">
      <c r="A335" s="0" t="s">
        <v>20</v>
      </c>
      <c r="B335" s="0" t="s">
        <v>711</v>
      </c>
      <c r="C335" s="0" t="s">
        <v>1744</v>
      </c>
      <c r="D335" s="0" t="n">
        <v>20</v>
      </c>
    </row>
    <row r="336" customFormat="false" ht="15" hidden="false" customHeight="false" outlineLevel="0" collapsed="false">
      <c r="A336" s="0" t="s">
        <v>20</v>
      </c>
      <c r="B336" s="0" t="s">
        <v>711</v>
      </c>
      <c r="C336" s="0" t="s">
        <v>1880</v>
      </c>
    </row>
    <row r="337" customFormat="false" ht="15" hidden="false" customHeight="false" outlineLevel="0" collapsed="false">
      <c r="A337" s="0" t="s">
        <v>20</v>
      </c>
      <c r="B337" s="0" t="s">
        <v>711</v>
      </c>
      <c r="C337" s="0" t="s">
        <v>2173</v>
      </c>
    </row>
    <row r="338" customFormat="false" ht="15" hidden="false" customHeight="false" outlineLevel="0" collapsed="false">
      <c r="A338" s="0" t="s">
        <v>20</v>
      </c>
      <c r="B338" s="0" t="s">
        <v>714</v>
      </c>
      <c r="C338" s="0" t="s">
        <v>1744</v>
      </c>
      <c r="D338" s="0" t="n">
        <v>2</v>
      </c>
    </row>
    <row r="339" customFormat="false" ht="15" hidden="false" customHeight="false" outlineLevel="0" collapsed="false">
      <c r="A339" s="0" t="s">
        <v>20</v>
      </c>
      <c r="B339" s="0" t="s">
        <v>714</v>
      </c>
      <c r="C339" s="0" t="s">
        <v>1880</v>
      </c>
    </row>
    <row r="340" customFormat="false" ht="15" hidden="false" customHeight="false" outlineLevel="0" collapsed="false">
      <c r="A340" s="0" t="s">
        <v>20</v>
      </c>
      <c r="B340" s="0" t="s">
        <v>714</v>
      </c>
      <c r="C340" s="0" t="s">
        <v>2173</v>
      </c>
    </row>
    <row r="341" customFormat="false" ht="15" hidden="false" customHeight="false" outlineLevel="0" collapsed="false">
      <c r="A341" s="0" t="s">
        <v>20</v>
      </c>
      <c r="B341" s="0" t="s">
        <v>721</v>
      </c>
      <c r="C341" s="0" t="s">
        <v>1744</v>
      </c>
      <c r="D341" s="0" t="n">
        <v>10</v>
      </c>
    </row>
    <row r="342" customFormat="false" ht="15" hidden="false" customHeight="false" outlineLevel="0" collapsed="false">
      <c r="A342" s="0" t="s">
        <v>20</v>
      </c>
      <c r="B342" s="0" t="s">
        <v>721</v>
      </c>
      <c r="C342" s="0" t="s">
        <v>1880</v>
      </c>
    </row>
    <row r="343" customFormat="false" ht="15" hidden="false" customHeight="false" outlineLevel="0" collapsed="false">
      <c r="A343" s="0" t="s">
        <v>20</v>
      </c>
      <c r="B343" s="0" t="s">
        <v>721</v>
      </c>
      <c r="C343" s="0" t="s">
        <v>2173</v>
      </c>
    </row>
    <row r="344" customFormat="false" ht="15" hidden="false" customHeight="false" outlineLevel="0" collapsed="false">
      <c r="A344" s="0" t="s">
        <v>20</v>
      </c>
      <c r="B344" s="0" t="s">
        <v>724</v>
      </c>
      <c r="C344" s="0" t="s">
        <v>1744</v>
      </c>
      <c r="D344" s="0" t="n">
        <v>0.1</v>
      </c>
    </row>
    <row r="345" customFormat="false" ht="15" hidden="false" customHeight="false" outlineLevel="0" collapsed="false">
      <c r="A345" s="0" t="s">
        <v>20</v>
      </c>
      <c r="B345" s="0" t="s">
        <v>724</v>
      </c>
      <c r="C345" s="0" t="s">
        <v>1880</v>
      </c>
    </row>
    <row r="346" customFormat="false" ht="15" hidden="false" customHeight="false" outlineLevel="0" collapsed="false">
      <c r="A346" s="0" t="s">
        <v>20</v>
      </c>
      <c r="B346" s="0" t="s">
        <v>724</v>
      </c>
      <c r="C346" s="0" t="s">
        <v>2173</v>
      </c>
    </row>
    <row r="347" customFormat="false" ht="15" hidden="false" customHeight="false" outlineLevel="0" collapsed="false">
      <c r="A347" s="0" t="s">
        <v>20</v>
      </c>
      <c r="B347" s="0" t="s">
        <v>731</v>
      </c>
      <c r="C347" s="0" t="s">
        <v>1744</v>
      </c>
      <c r="D347" s="0" t="n">
        <v>0.5</v>
      </c>
    </row>
    <row r="348" customFormat="false" ht="15" hidden="false" customHeight="false" outlineLevel="0" collapsed="false">
      <c r="A348" s="0" t="s">
        <v>20</v>
      </c>
      <c r="B348" s="0" t="s">
        <v>731</v>
      </c>
      <c r="C348" s="0" t="s">
        <v>1880</v>
      </c>
    </row>
    <row r="349" customFormat="false" ht="15" hidden="false" customHeight="false" outlineLevel="0" collapsed="false">
      <c r="A349" s="0" t="s">
        <v>20</v>
      </c>
      <c r="B349" s="0" t="s">
        <v>731</v>
      </c>
      <c r="C349" s="0" t="s">
        <v>2173</v>
      </c>
    </row>
    <row r="350" customFormat="false" ht="15" hidden="false" customHeight="false" outlineLevel="0" collapsed="false">
      <c r="A350" s="0" t="s">
        <v>20</v>
      </c>
      <c r="B350" s="0" t="s">
        <v>734</v>
      </c>
      <c r="C350" s="0" t="s">
        <v>1744</v>
      </c>
      <c r="D350" s="0" t="n">
        <v>10</v>
      </c>
    </row>
    <row r="351" customFormat="false" ht="15" hidden="false" customHeight="false" outlineLevel="0" collapsed="false">
      <c r="A351" s="0" t="s">
        <v>20</v>
      </c>
      <c r="B351" s="0" t="s">
        <v>734</v>
      </c>
      <c r="C351" s="0" t="s">
        <v>1880</v>
      </c>
    </row>
    <row r="352" customFormat="false" ht="15" hidden="false" customHeight="false" outlineLevel="0" collapsed="false">
      <c r="A352" s="0" t="s">
        <v>20</v>
      </c>
      <c r="B352" s="0" t="s">
        <v>734</v>
      </c>
      <c r="C352" s="0" t="s">
        <v>2173</v>
      </c>
    </row>
    <row r="353" customFormat="false" ht="15" hidden="false" customHeight="false" outlineLevel="0" collapsed="false">
      <c r="A353" s="0" t="s">
        <v>20</v>
      </c>
      <c r="B353" s="0" t="s">
        <v>738</v>
      </c>
      <c r="C353" s="0" t="s">
        <v>1744</v>
      </c>
      <c r="D353" s="0" t="n">
        <v>37.5</v>
      </c>
    </row>
    <row r="354" customFormat="false" ht="15" hidden="false" customHeight="false" outlineLevel="0" collapsed="false">
      <c r="A354" s="0" t="s">
        <v>20</v>
      </c>
      <c r="B354" s="0" t="s">
        <v>738</v>
      </c>
      <c r="C354" s="0" t="s">
        <v>1880</v>
      </c>
    </row>
    <row r="355" customFormat="false" ht="15" hidden="false" customHeight="false" outlineLevel="0" collapsed="false">
      <c r="A355" s="0" t="s">
        <v>20</v>
      </c>
      <c r="B355" s="0" t="s">
        <v>738</v>
      </c>
      <c r="C355" s="0" t="s">
        <v>2173</v>
      </c>
    </row>
    <row r="356" customFormat="false" ht="15" hidden="false" customHeight="false" outlineLevel="0" collapsed="false">
      <c r="A356" s="0" t="s">
        <v>20</v>
      </c>
      <c r="B356" s="0" t="s">
        <v>742</v>
      </c>
      <c r="C356" s="0" t="s">
        <v>1744</v>
      </c>
      <c r="D356" s="0" t="n">
        <v>1.1</v>
      </c>
    </row>
    <row r="357" customFormat="false" ht="15" hidden="false" customHeight="false" outlineLevel="0" collapsed="false">
      <c r="A357" s="0" t="s">
        <v>20</v>
      </c>
      <c r="B357" s="0" t="s">
        <v>742</v>
      </c>
      <c r="C357" s="0" t="s">
        <v>1880</v>
      </c>
    </row>
    <row r="358" customFormat="false" ht="15" hidden="false" customHeight="false" outlineLevel="0" collapsed="false">
      <c r="A358" s="0" t="s">
        <v>20</v>
      </c>
      <c r="B358" s="0" t="s">
        <v>742</v>
      </c>
      <c r="C358" s="0" t="s">
        <v>2173</v>
      </c>
    </row>
    <row r="359" customFormat="false" ht="15" hidden="false" customHeight="false" outlineLevel="0" collapsed="false">
      <c r="A359" s="0" t="s">
        <v>20</v>
      </c>
      <c r="B359" s="0" t="s">
        <v>747</v>
      </c>
      <c r="C359" s="0" t="s">
        <v>1744</v>
      </c>
      <c r="D359" s="0" t="n">
        <v>10</v>
      </c>
    </row>
    <row r="360" customFormat="false" ht="15" hidden="false" customHeight="false" outlineLevel="0" collapsed="false">
      <c r="A360" s="0" t="s">
        <v>20</v>
      </c>
      <c r="B360" s="0" t="s">
        <v>747</v>
      </c>
      <c r="C360" s="0" t="s">
        <v>1880</v>
      </c>
    </row>
    <row r="361" customFormat="false" ht="15" hidden="false" customHeight="false" outlineLevel="0" collapsed="false">
      <c r="A361" s="0" t="s">
        <v>20</v>
      </c>
      <c r="B361" s="0" t="s">
        <v>747</v>
      </c>
      <c r="C361" s="0" t="s">
        <v>2173</v>
      </c>
    </row>
    <row r="362" customFormat="false" ht="15" hidden="false" customHeight="false" outlineLevel="0" collapsed="false">
      <c r="A362" s="0" t="s">
        <v>20</v>
      </c>
      <c r="B362" s="0" t="s">
        <v>751</v>
      </c>
      <c r="C362" s="0" t="s">
        <v>1744</v>
      </c>
      <c r="D362" s="0" t="n">
        <v>50</v>
      </c>
    </row>
    <row r="363" customFormat="false" ht="15" hidden="false" customHeight="false" outlineLevel="0" collapsed="false">
      <c r="A363" s="0" t="s">
        <v>20</v>
      </c>
      <c r="B363" s="0" t="s">
        <v>751</v>
      </c>
      <c r="C363" s="0" t="s">
        <v>1880</v>
      </c>
    </row>
    <row r="364" customFormat="false" ht="15" hidden="false" customHeight="false" outlineLevel="0" collapsed="false">
      <c r="A364" s="0" t="s">
        <v>20</v>
      </c>
      <c r="B364" s="0" t="s">
        <v>751</v>
      </c>
      <c r="C364" s="0" t="s">
        <v>2173</v>
      </c>
    </row>
    <row r="365" customFormat="false" ht="15" hidden="false" customHeight="false" outlineLevel="0" collapsed="false">
      <c r="A365" s="0" t="s">
        <v>20</v>
      </c>
      <c r="B365" s="0" t="s">
        <v>755</v>
      </c>
      <c r="C365" s="0" t="s">
        <v>1744</v>
      </c>
      <c r="D365" s="0" t="n">
        <v>2</v>
      </c>
    </row>
    <row r="366" customFormat="false" ht="15" hidden="false" customHeight="false" outlineLevel="0" collapsed="false">
      <c r="A366" s="0" t="s">
        <v>20</v>
      </c>
      <c r="B366" s="0" t="s">
        <v>755</v>
      </c>
      <c r="C366" s="0" t="s">
        <v>1880</v>
      </c>
    </row>
    <row r="367" customFormat="false" ht="15" hidden="false" customHeight="false" outlineLevel="0" collapsed="false">
      <c r="A367" s="0" t="s">
        <v>20</v>
      </c>
      <c r="B367" s="0" t="s">
        <v>755</v>
      </c>
      <c r="C367" s="0" t="s">
        <v>2173</v>
      </c>
    </row>
    <row r="368" customFormat="false" ht="15" hidden="false" customHeight="false" outlineLevel="0" collapsed="false">
      <c r="A368" s="0" t="s">
        <v>20</v>
      </c>
      <c r="B368" s="0" t="s">
        <v>759</v>
      </c>
      <c r="C368" s="0" t="s">
        <v>1744</v>
      </c>
      <c r="D368" s="0" t="n">
        <v>8</v>
      </c>
    </row>
    <row r="369" customFormat="false" ht="15" hidden="false" customHeight="false" outlineLevel="0" collapsed="false">
      <c r="A369" s="0" t="s">
        <v>20</v>
      </c>
      <c r="B369" s="0" t="s">
        <v>759</v>
      </c>
      <c r="C369" s="0" t="s">
        <v>1880</v>
      </c>
    </row>
    <row r="370" customFormat="false" ht="15" hidden="false" customHeight="false" outlineLevel="0" collapsed="false">
      <c r="A370" s="0" t="s">
        <v>20</v>
      </c>
      <c r="B370" s="0" t="s">
        <v>759</v>
      </c>
      <c r="C370" s="0" t="s">
        <v>2173</v>
      </c>
    </row>
    <row r="371" customFormat="false" ht="15" hidden="false" customHeight="false" outlineLevel="0" collapsed="false">
      <c r="A371" s="0" t="s">
        <v>20</v>
      </c>
      <c r="B371" s="0" t="s">
        <v>763</v>
      </c>
      <c r="C371" s="0" t="s">
        <v>1744</v>
      </c>
      <c r="D371" s="0" t="n">
        <v>40</v>
      </c>
    </row>
    <row r="372" customFormat="false" ht="15" hidden="false" customHeight="false" outlineLevel="0" collapsed="false">
      <c r="A372" s="0" t="s">
        <v>20</v>
      </c>
      <c r="B372" s="0" t="s">
        <v>763</v>
      </c>
      <c r="C372" s="0" t="s">
        <v>1880</v>
      </c>
    </row>
    <row r="373" customFormat="false" ht="15" hidden="false" customHeight="false" outlineLevel="0" collapsed="false">
      <c r="A373" s="0" t="s">
        <v>20</v>
      </c>
      <c r="B373" s="0" t="s">
        <v>763</v>
      </c>
      <c r="C373" s="0" t="s">
        <v>2173</v>
      </c>
    </row>
    <row r="374" customFormat="false" ht="15" hidden="false" customHeight="false" outlineLevel="0" collapsed="false">
      <c r="A374" s="0" t="s">
        <v>20</v>
      </c>
      <c r="B374" s="0" t="s">
        <v>767</v>
      </c>
      <c r="C374" s="0" t="s">
        <v>1744</v>
      </c>
      <c r="D374" s="0" t="n">
        <v>0.2</v>
      </c>
    </row>
    <row r="375" customFormat="false" ht="15" hidden="false" customHeight="false" outlineLevel="0" collapsed="false">
      <c r="A375" s="0" t="s">
        <v>20</v>
      </c>
      <c r="B375" s="0" t="s">
        <v>767</v>
      </c>
      <c r="C375" s="0" t="s">
        <v>1880</v>
      </c>
    </row>
    <row r="376" customFormat="false" ht="15" hidden="false" customHeight="false" outlineLevel="0" collapsed="false">
      <c r="A376" s="0" t="s">
        <v>20</v>
      </c>
      <c r="B376" s="0" t="s">
        <v>767</v>
      </c>
      <c r="C376" s="0" t="s">
        <v>2173</v>
      </c>
    </row>
    <row r="377" customFormat="false" ht="15" hidden="false" customHeight="false" outlineLevel="0" collapsed="false">
      <c r="A377" s="0" t="s">
        <v>20</v>
      </c>
      <c r="B377" s="0" t="s">
        <v>771</v>
      </c>
      <c r="C377" s="0" t="s">
        <v>1744</v>
      </c>
      <c r="D377" s="0" t="n">
        <v>0.25</v>
      </c>
    </row>
    <row r="378" customFormat="false" ht="15" hidden="false" customHeight="false" outlineLevel="0" collapsed="false">
      <c r="A378" s="0" t="s">
        <v>20</v>
      </c>
      <c r="B378" s="0" t="s">
        <v>771</v>
      </c>
      <c r="C378" s="0" t="s">
        <v>1880</v>
      </c>
    </row>
    <row r="379" customFormat="false" ht="15" hidden="false" customHeight="false" outlineLevel="0" collapsed="false">
      <c r="A379" s="0" t="s">
        <v>20</v>
      </c>
      <c r="B379" s="0" t="s">
        <v>771</v>
      </c>
      <c r="C379" s="0" t="s">
        <v>2173</v>
      </c>
    </row>
    <row r="380" customFormat="false" ht="15" hidden="false" customHeight="false" outlineLevel="0" collapsed="false">
      <c r="A380" s="0" t="s">
        <v>20</v>
      </c>
      <c r="B380" s="0" t="s">
        <v>775</v>
      </c>
      <c r="C380" s="0" t="s">
        <v>1744</v>
      </c>
      <c r="D380" s="0" t="n">
        <v>0.2</v>
      </c>
    </row>
    <row r="381" customFormat="false" ht="15" hidden="false" customHeight="false" outlineLevel="0" collapsed="false">
      <c r="A381" s="0" t="s">
        <v>20</v>
      </c>
      <c r="B381" s="0" t="s">
        <v>775</v>
      </c>
      <c r="C381" s="0" t="s">
        <v>1880</v>
      </c>
    </row>
    <row r="382" customFormat="false" ht="15" hidden="false" customHeight="false" outlineLevel="0" collapsed="false">
      <c r="A382" s="0" t="s">
        <v>20</v>
      </c>
      <c r="B382" s="0" t="s">
        <v>775</v>
      </c>
      <c r="C382" s="0" t="s">
        <v>2173</v>
      </c>
    </row>
    <row r="383" customFormat="false" ht="15" hidden="false" customHeight="false" outlineLevel="0" collapsed="false">
      <c r="A383" s="0" t="s">
        <v>20</v>
      </c>
      <c r="B383" s="0" t="s">
        <v>779</v>
      </c>
      <c r="C383" s="0" t="s">
        <v>1744</v>
      </c>
      <c r="D383" s="0" t="n">
        <v>0.1</v>
      </c>
    </row>
    <row r="384" customFormat="false" ht="15" hidden="false" customHeight="false" outlineLevel="0" collapsed="false">
      <c r="A384" s="0" t="s">
        <v>20</v>
      </c>
      <c r="B384" s="0" t="s">
        <v>779</v>
      </c>
      <c r="C384" s="0" t="s">
        <v>1880</v>
      </c>
    </row>
    <row r="385" customFormat="false" ht="15" hidden="false" customHeight="false" outlineLevel="0" collapsed="false">
      <c r="A385" s="0" t="s">
        <v>20</v>
      </c>
      <c r="B385" s="0" t="s">
        <v>779</v>
      </c>
      <c r="C385" s="0" t="s">
        <v>2173</v>
      </c>
    </row>
    <row r="386" customFormat="false" ht="15" hidden="false" customHeight="false" outlineLevel="0" collapsed="false">
      <c r="A386" s="0" t="s">
        <v>20</v>
      </c>
      <c r="B386" s="0" t="s">
        <v>783</v>
      </c>
      <c r="C386" s="0" t="s">
        <v>1744</v>
      </c>
      <c r="D386" s="0" t="n">
        <v>2.5</v>
      </c>
    </row>
    <row r="387" customFormat="false" ht="15" hidden="false" customHeight="false" outlineLevel="0" collapsed="false">
      <c r="A387" s="0" t="s">
        <v>20</v>
      </c>
      <c r="B387" s="0" t="s">
        <v>783</v>
      </c>
      <c r="C387" s="0" t="s">
        <v>1880</v>
      </c>
    </row>
    <row r="388" customFormat="false" ht="15" hidden="false" customHeight="false" outlineLevel="0" collapsed="false">
      <c r="A388" s="0" t="s">
        <v>20</v>
      </c>
      <c r="B388" s="0" t="s">
        <v>783</v>
      </c>
      <c r="C388" s="0" t="s">
        <v>2173</v>
      </c>
    </row>
    <row r="389" customFormat="false" ht="15" hidden="false" customHeight="false" outlineLevel="0" collapsed="false">
      <c r="A389" s="0" t="s">
        <v>20</v>
      </c>
      <c r="B389" s="0" t="s">
        <v>788</v>
      </c>
      <c r="C389" s="0" t="s">
        <v>1744</v>
      </c>
      <c r="D389" s="0" t="n">
        <v>0.5</v>
      </c>
    </row>
    <row r="390" customFormat="false" ht="15" hidden="false" customHeight="false" outlineLevel="0" collapsed="false">
      <c r="A390" s="0" t="s">
        <v>20</v>
      </c>
      <c r="B390" s="0" t="s">
        <v>788</v>
      </c>
      <c r="C390" s="0" t="s">
        <v>1880</v>
      </c>
    </row>
    <row r="391" customFormat="false" ht="15" hidden="false" customHeight="false" outlineLevel="0" collapsed="false">
      <c r="A391" s="0" t="s">
        <v>20</v>
      </c>
      <c r="B391" s="0" t="s">
        <v>788</v>
      </c>
      <c r="C391" s="0" t="s">
        <v>2173</v>
      </c>
    </row>
    <row r="392" customFormat="false" ht="15" hidden="false" customHeight="false" outlineLevel="0" collapsed="false">
      <c r="A392" s="0" t="s">
        <v>20</v>
      </c>
      <c r="B392" s="0" t="s">
        <v>792</v>
      </c>
      <c r="C392" s="0" t="s">
        <v>1744</v>
      </c>
      <c r="D392" s="0" t="n">
        <v>2.5</v>
      </c>
    </row>
    <row r="393" customFormat="false" ht="15" hidden="false" customHeight="false" outlineLevel="0" collapsed="false">
      <c r="A393" s="0" t="s">
        <v>20</v>
      </c>
      <c r="B393" s="0" t="s">
        <v>792</v>
      </c>
      <c r="C393" s="0" t="s">
        <v>1880</v>
      </c>
    </row>
    <row r="394" customFormat="false" ht="15" hidden="false" customHeight="false" outlineLevel="0" collapsed="false">
      <c r="A394" s="0" t="s">
        <v>20</v>
      </c>
      <c r="B394" s="0" t="s">
        <v>792</v>
      </c>
      <c r="C394" s="0" t="s">
        <v>2173</v>
      </c>
    </row>
    <row r="395" customFormat="false" ht="15" hidden="false" customHeight="false" outlineLevel="0" collapsed="false">
      <c r="A395" s="0" t="s">
        <v>20</v>
      </c>
      <c r="B395" s="0" t="s">
        <v>796</v>
      </c>
      <c r="C395" s="0" t="s">
        <v>1744</v>
      </c>
      <c r="D395" s="0" t="n">
        <v>0.01</v>
      </c>
    </row>
    <row r="396" customFormat="false" ht="15" hidden="false" customHeight="false" outlineLevel="0" collapsed="false">
      <c r="A396" s="0" t="s">
        <v>20</v>
      </c>
      <c r="B396" s="0" t="s">
        <v>796</v>
      </c>
      <c r="C396" s="0" t="s">
        <v>1880</v>
      </c>
    </row>
    <row r="397" customFormat="false" ht="15" hidden="false" customHeight="false" outlineLevel="0" collapsed="false">
      <c r="A397" s="0" t="s">
        <v>20</v>
      </c>
      <c r="B397" s="0" t="s">
        <v>796</v>
      </c>
      <c r="C397" s="0" t="s">
        <v>2173</v>
      </c>
    </row>
    <row r="398" customFormat="false" ht="15" hidden="false" customHeight="false" outlineLevel="0" collapsed="false">
      <c r="A398" s="0" t="s">
        <v>20</v>
      </c>
      <c r="B398" s="0" t="s">
        <v>800</v>
      </c>
      <c r="C398" s="0" t="s">
        <v>1744</v>
      </c>
      <c r="D398" s="0" t="n">
        <v>1.25</v>
      </c>
    </row>
    <row r="399" customFormat="false" ht="15" hidden="false" customHeight="false" outlineLevel="0" collapsed="false">
      <c r="A399" s="0" t="s">
        <v>20</v>
      </c>
      <c r="B399" s="0" t="s">
        <v>800</v>
      </c>
      <c r="C399" s="0" t="s">
        <v>1880</v>
      </c>
    </row>
    <row r="400" customFormat="false" ht="15" hidden="false" customHeight="false" outlineLevel="0" collapsed="false">
      <c r="A400" s="0" t="s">
        <v>20</v>
      </c>
      <c r="B400" s="0" t="s">
        <v>800</v>
      </c>
      <c r="C400" s="0" t="s">
        <v>2173</v>
      </c>
    </row>
    <row r="401" customFormat="false" ht="15" hidden="false" customHeight="false" outlineLevel="0" collapsed="false">
      <c r="A401" s="0" t="s">
        <v>20</v>
      </c>
      <c r="B401" s="0" t="s">
        <v>804</v>
      </c>
      <c r="C401" s="0" t="s">
        <v>1744</v>
      </c>
      <c r="D401" s="0" t="n">
        <v>0.1</v>
      </c>
    </row>
    <row r="402" customFormat="false" ht="15" hidden="false" customHeight="false" outlineLevel="0" collapsed="false">
      <c r="A402" s="0" t="s">
        <v>20</v>
      </c>
      <c r="B402" s="0" t="s">
        <v>804</v>
      </c>
      <c r="C402" s="0" t="s">
        <v>1880</v>
      </c>
    </row>
    <row r="403" customFormat="false" ht="15" hidden="false" customHeight="false" outlineLevel="0" collapsed="false">
      <c r="A403" s="0" t="s">
        <v>20</v>
      </c>
      <c r="B403" s="0" t="s">
        <v>804</v>
      </c>
      <c r="C403" s="0" t="s">
        <v>2173</v>
      </c>
    </row>
    <row r="404" customFormat="false" ht="15" hidden="false" customHeight="false" outlineLevel="0" collapsed="false">
      <c r="A404" s="0" t="s">
        <v>20</v>
      </c>
      <c r="B404" s="0" t="s">
        <v>808</v>
      </c>
      <c r="C404" s="0" t="s">
        <v>1744</v>
      </c>
      <c r="D404" s="0" t="n">
        <v>1.25</v>
      </c>
    </row>
    <row r="405" customFormat="false" ht="15" hidden="false" customHeight="false" outlineLevel="0" collapsed="false">
      <c r="A405" s="0" t="s">
        <v>20</v>
      </c>
      <c r="B405" s="0" t="s">
        <v>808</v>
      </c>
      <c r="C405" s="0" t="s">
        <v>1880</v>
      </c>
    </row>
    <row r="406" customFormat="false" ht="15" hidden="false" customHeight="false" outlineLevel="0" collapsed="false">
      <c r="A406" s="0" t="s">
        <v>20</v>
      </c>
      <c r="B406" s="0" t="s">
        <v>808</v>
      </c>
      <c r="C406" s="0" t="s">
        <v>2173</v>
      </c>
    </row>
    <row r="407" customFormat="false" ht="15" hidden="false" customHeight="false" outlineLevel="0" collapsed="false">
      <c r="A407" s="0" t="s">
        <v>20</v>
      </c>
      <c r="B407" s="0" t="s">
        <v>816</v>
      </c>
      <c r="C407" s="0" t="s">
        <v>1744</v>
      </c>
      <c r="D407" s="0" t="n">
        <v>2</v>
      </c>
    </row>
    <row r="408" customFormat="false" ht="15" hidden="false" customHeight="false" outlineLevel="0" collapsed="false">
      <c r="A408" s="0" t="s">
        <v>20</v>
      </c>
      <c r="B408" s="0" t="s">
        <v>816</v>
      </c>
      <c r="C408" s="0" t="s">
        <v>1880</v>
      </c>
    </row>
    <row r="409" customFormat="false" ht="15" hidden="false" customHeight="false" outlineLevel="0" collapsed="false">
      <c r="A409" s="0" t="s">
        <v>20</v>
      </c>
      <c r="B409" s="0" t="s">
        <v>816</v>
      </c>
      <c r="C409" s="0" t="s">
        <v>2173</v>
      </c>
    </row>
    <row r="410" customFormat="false" ht="15" hidden="false" customHeight="false" outlineLevel="0" collapsed="false">
      <c r="A410" s="0" t="s">
        <v>20</v>
      </c>
      <c r="B410" s="0" t="s">
        <v>821</v>
      </c>
      <c r="C410" s="0" t="s">
        <v>1744</v>
      </c>
      <c r="D410" s="0" t="n">
        <v>0.1</v>
      </c>
    </row>
    <row r="411" customFormat="false" ht="15" hidden="false" customHeight="false" outlineLevel="0" collapsed="false">
      <c r="A411" s="0" t="s">
        <v>20</v>
      </c>
      <c r="B411" s="0" t="s">
        <v>821</v>
      </c>
      <c r="C411" s="0" t="s">
        <v>1880</v>
      </c>
    </row>
    <row r="412" customFormat="false" ht="15" hidden="false" customHeight="false" outlineLevel="0" collapsed="false">
      <c r="A412" s="0" t="s">
        <v>20</v>
      </c>
      <c r="B412" s="0" t="s">
        <v>821</v>
      </c>
      <c r="C412" s="0" t="s">
        <v>2173</v>
      </c>
    </row>
    <row r="413" customFormat="false" ht="15" hidden="false" customHeight="false" outlineLevel="0" collapsed="false">
      <c r="A413" s="0" t="s">
        <v>20</v>
      </c>
      <c r="B413" s="0" t="s">
        <v>825</v>
      </c>
      <c r="C413" s="0" t="s">
        <v>1744</v>
      </c>
      <c r="D413" s="0" t="n">
        <v>0.5</v>
      </c>
    </row>
    <row r="414" customFormat="false" ht="15" hidden="false" customHeight="false" outlineLevel="0" collapsed="false">
      <c r="A414" s="0" t="s">
        <v>20</v>
      </c>
      <c r="B414" s="0" t="s">
        <v>825</v>
      </c>
      <c r="C414" s="0" t="s">
        <v>1880</v>
      </c>
    </row>
    <row r="415" customFormat="false" ht="15" hidden="false" customHeight="false" outlineLevel="0" collapsed="false">
      <c r="A415" s="0" t="s">
        <v>20</v>
      </c>
      <c r="B415" s="0" t="s">
        <v>825</v>
      </c>
      <c r="C415" s="0" t="s">
        <v>2173</v>
      </c>
    </row>
    <row r="416" customFormat="false" ht="15" hidden="false" customHeight="false" outlineLevel="0" collapsed="false">
      <c r="A416" s="0" t="s">
        <v>20</v>
      </c>
      <c r="B416" s="0" t="s">
        <v>830</v>
      </c>
      <c r="C416" s="0" t="s">
        <v>1744</v>
      </c>
      <c r="D416" s="0" t="n">
        <v>0.5</v>
      </c>
    </row>
    <row r="417" customFormat="false" ht="15" hidden="false" customHeight="false" outlineLevel="0" collapsed="false">
      <c r="A417" s="0" t="s">
        <v>20</v>
      </c>
      <c r="B417" s="0" t="s">
        <v>830</v>
      </c>
      <c r="C417" s="0" t="s">
        <v>1880</v>
      </c>
    </row>
    <row r="418" customFormat="false" ht="15" hidden="false" customHeight="false" outlineLevel="0" collapsed="false">
      <c r="A418" s="0" t="s">
        <v>20</v>
      </c>
      <c r="B418" s="0" t="s">
        <v>830</v>
      </c>
      <c r="C418" s="0" t="s">
        <v>2173</v>
      </c>
    </row>
    <row r="419" customFormat="false" ht="15" hidden="false" customHeight="false" outlineLevel="0" collapsed="false">
      <c r="A419" s="0" t="s">
        <v>20</v>
      </c>
      <c r="B419" s="0" t="s">
        <v>836</v>
      </c>
      <c r="C419" s="0" t="s">
        <v>1744</v>
      </c>
      <c r="D419" s="0" t="n">
        <v>0</v>
      </c>
    </row>
    <row r="420" customFormat="false" ht="15" hidden="false" customHeight="false" outlineLevel="0" collapsed="false">
      <c r="A420" s="0" t="s">
        <v>20</v>
      </c>
      <c r="B420" s="0" t="s">
        <v>836</v>
      </c>
      <c r="C420" s="0" t="s">
        <v>1880</v>
      </c>
    </row>
    <row r="421" customFormat="false" ht="15" hidden="false" customHeight="false" outlineLevel="0" collapsed="false">
      <c r="A421" s="0" t="s">
        <v>20</v>
      </c>
      <c r="B421" s="0" t="s">
        <v>836</v>
      </c>
      <c r="C421" s="0" t="s">
        <v>2173</v>
      </c>
    </row>
    <row r="422" customFormat="false" ht="15" hidden="false" customHeight="false" outlineLevel="0" collapsed="false">
      <c r="A422" s="0" t="s">
        <v>20</v>
      </c>
      <c r="B422" s="0" t="s">
        <v>841</v>
      </c>
      <c r="C422" s="0" t="s">
        <v>1744</v>
      </c>
      <c r="D422" s="0" t="n">
        <v>20</v>
      </c>
    </row>
    <row r="423" customFormat="false" ht="15" hidden="false" customHeight="false" outlineLevel="0" collapsed="false">
      <c r="A423" s="0" t="s">
        <v>20</v>
      </c>
      <c r="B423" s="0" t="s">
        <v>841</v>
      </c>
      <c r="C423" s="0" t="s">
        <v>1880</v>
      </c>
    </row>
    <row r="424" customFormat="false" ht="15" hidden="false" customHeight="false" outlineLevel="0" collapsed="false">
      <c r="A424" s="0" t="s">
        <v>20</v>
      </c>
      <c r="B424" s="0" t="s">
        <v>841</v>
      </c>
      <c r="C424" s="0" t="s">
        <v>2173</v>
      </c>
    </row>
    <row r="425" customFormat="false" ht="15" hidden="false" customHeight="false" outlineLevel="0" collapsed="false">
      <c r="A425" s="0" t="s">
        <v>20</v>
      </c>
      <c r="B425" s="0" t="s">
        <v>850</v>
      </c>
      <c r="C425" s="0" t="s">
        <v>1744</v>
      </c>
      <c r="D425" s="0" t="n">
        <v>17</v>
      </c>
    </row>
    <row r="426" customFormat="false" ht="15" hidden="false" customHeight="false" outlineLevel="0" collapsed="false">
      <c r="A426" s="0" t="s">
        <v>20</v>
      </c>
      <c r="B426" s="0" t="s">
        <v>850</v>
      </c>
      <c r="C426" s="0" t="s">
        <v>1880</v>
      </c>
    </row>
    <row r="427" customFormat="false" ht="15" hidden="false" customHeight="false" outlineLevel="0" collapsed="false">
      <c r="A427" s="0" t="s">
        <v>20</v>
      </c>
      <c r="B427" s="0" t="s">
        <v>850</v>
      </c>
      <c r="C427" s="0" t="s">
        <v>2173</v>
      </c>
    </row>
    <row r="428" customFormat="false" ht="15" hidden="false" customHeight="false" outlineLevel="0" collapsed="false">
      <c r="A428" s="0" t="s">
        <v>20</v>
      </c>
      <c r="B428" s="0" t="s">
        <v>855</v>
      </c>
      <c r="C428" s="0" t="s">
        <v>1744</v>
      </c>
      <c r="D428" s="0" t="n">
        <v>100</v>
      </c>
    </row>
    <row r="429" customFormat="false" ht="15" hidden="false" customHeight="false" outlineLevel="0" collapsed="false">
      <c r="A429" s="0" t="s">
        <v>20</v>
      </c>
      <c r="B429" s="0" t="s">
        <v>855</v>
      </c>
      <c r="C429" s="0" t="s">
        <v>1880</v>
      </c>
    </row>
    <row r="430" customFormat="false" ht="15" hidden="false" customHeight="false" outlineLevel="0" collapsed="false">
      <c r="A430" s="0" t="s">
        <v>20</v>
      </c>
      <c r="B430" s="0" t="s">
        <v>855</v>
      </c>
      <c r="C430" s="0" t="s">
        <v>2173</v>
      </c>
    </row>
    <row r="431" customFormat="false" ht="15" hidden="false" customHeight="false" outlineLevel="0" collapsed="false">
      <c r="A431" s="0" t="s">
        <v>20</v>
      </c>
      <c r="B431" s="0" t="s">
        <v>859</v>
      </c>
      <c r="C431" s="0" t="s">
        <v>1744</v>
      </c>
      <c r="D431" s="0" t="n">
        <v>200</v>
      </c>
    </row>
    <row r="432" customFormat="false" ht="15" hidden="false" customHeight="false" outlineLevel="0" collapsed="false">
      <c r="A432" s="0" t="s">
        <v>20</v>
      </c>
      <c r="B432" s="0" t="s">
        <v>859</v>
      </c>
      <c r="C432" s="0" t="s">
        <v>1880</v>
      </c>
    </row>
    <row r="433" customFormat="false" ht="15" hidden="false" customHeight="false" outlineLevel="0" collapsed="false">
      <c r="A433" s="0" t="s">
        <v>20</v>
      </c>
      <c r="B433" s="0" t="s">
        <v>859</v>
      </c>
      <c r="C433" s="0" t="s">
        <v>2173</v>
      </c>
    </row>
    <row r="434" customFormat="false" ht="15" hidden="false" customHeight="false" outlineLevel="0" collapsed="false">
      <c r="A434" s="0" t="s">
        <v>20</v>
      </c>
      <c r="B434" s="0" t="s">
        <v>863</v>
      </c>
      <c r="C434" s="0" t="s">
        <v>1744</v>
      </c>
      <c r="D434" s="0" t="n">
        <v>100</v>
      </c>
    </row>
    <row r="435" customFormat="false" ht="15" hidden="false" customHeight="false" outlineLevel="0" collapsed="false">
      <c r="A435" s="0" t="s">
        <v>20</v>
      </c>
      <c r="B435" s="0" t="s">
        <v>863</v>
      </c>
      <c r="C435" s="0" t="s">
        <v>1880</v>
      </c>
    </row>
    <row r="436" customFormat="false" ht="15" hidden="false" customHeight="false" outlineLevel="0" collapsed="false">
      <c r="A436" s="0" t="s">
        <v>20</v>
      </c>
      <c r="B436" s="0" t="s">
        <v>863</v>
      </c>
      <c r="C436" s="0" t="s">
        <v>2173</v>
      </c>
    </row>
    <row r="437" customFormat="false" ht="15" hidden="false" customHeight="false" outlineLevel="0" collapsed="false">
      <c r="A437" s="0" t="s">
        <v>20</v>
      </c>
      <c r="B437" s="0" t="s">
        <v>871</v>
      </c>
      <c r="C437" s="0" t="s">
        <v>1744</v>
      </c>
      <c r="D437" s="0" t="n">
        <v>20</v>
      </c>
    </row>
    <row r="438" customFormat="false" ht="15" hidden="false" customHeight="false" outlineLevel="0" collapsed="false">
      <c r="A438" s="0" t="s">
        <v>20</v>
      </c>
      <c r="B438" s="0" t="s">
        <v>871</v>
      </c>
      <c r="C438" s="0" t="s">
        <v>1880</v>
      </c>
    </row>
    <row r="439" customFormat="false" ht="15" hidden="false" customHeight="false" outlineLevel="0" collapsed="false">
      <c r="A439" s="0" t="s">
        <v>20</v>
      </c>
      <c r="B439" s="0" t="s">
        <v>871</v>
      </c>
      <c r="C439" s="0" t="s">
        <v>2173</v>
      </c>
    </row>
    <row r="440" customFormat="false" ht="15" hidden="false" customHeight="false" outlineLevel="0" collapsed="false">
      <c r="A440" s="0" t="s">
        <v>20</v>
      </c>
      <c r="B440" s="0" t="s">
        <v>880</v>
      </c>
      <c r="C440" s="0" t="s">
        <v>1744</v>
      </c>
      <c r="D440" s="0" t="n">
        <v>25</v>
      </c>
    </row>
    <row r="441" customFormat="false" ht="15" hidden="false" customHeight="false" outlineLevel="0" collapsed="false">
      <c r="A441" s="0" t="s">
        <v>20</v>
      </c>
      <c r="B441" s="0" t="s">
        <v>880</v>
      </c>
      <c r="C441" s="0" t="s">
        <v>1880</v>
      </c>
    </row>
    <row r="442" customFormat="false" ht="15" hidden="false" customHeight="false" outlineLevel="0" collapsed="false">
      <c r="A442" s="0" t="s">
        <v>20</v>
      </c>
      <c r="B442" s="0" t="s">
        <v>880</v>
      </c>
      <c r="C442" s="0" t="s">
        <v>2173</v>
      </c>
    </row>
    <row r="443" customFormat="false" ht="15" hidden="false" customHeight="false" outlineLevel="0" collapsed="false">
      <c r="A443" s="0" t="s">
        <v>20</v>
      </c>
      <c r="B443" s="0" t="s">
        <v>885</v>
      </c>
      <c r="C443" s="0" t="s">
        <v>1744</v>
      </c>
      <c r="D443" s="0" t="n">
        <v>100</v>
      </c>
    </row>
    <row r="444" customFormat="false" ht="15" hidden="false" customHeight="false" outlineLevel="0" collapsed="false">
      <c r="A444" s="0" t="s">
        <v>20</v>
      </c>
      <c r="B444" s="0" t="s">
        <v>885</v>
      </c>
      <c r="C444" s="0" t="s">
        <v>1880</v>
      </c>
    </row>
    <row r="445" customFormat="false" ht="15" hidden="false" customHeight="false" outlineLevel="0" collapsed="false">
      <c r="A445" s="0" t="s">
        <v>20</v>
      </c>
      <c r="B445" s="0" t="s">
        <v>885</v>
      </c>
      <c r="C445" s="0" t="s">
        <v>2173</v>
      </c>
    </row>
    <row r="446" customFormat="false" ht="15" hidden="false" customHeight="false" outlineLevel="0" collapsed="false">
      <c r="A446" s="0" t="s">
        <v>20</v>
      </c>
      <c r="B446" s="0" t="s">
        <v>889</v>
      </c>
      <c r="C446" s="0" t="s">
        <v>1744</v>
      </c>
      <c r="D446" s="0" t="n">
        <v>125</v>
      </c>
    </row>
    <row r="447" customFormat="false" ht="15" hidden="false" customHeight="false" outlineLevel="0" collapsed="false">
      <c r="A447" s="0" t="s">
        <v>20</v>
      </c>
      <c r="B447" s="0" t="s">
        <v>889</v>
      </c>
      <c r="C447" s="0" t="s">
        <v>1880</v>
      </c>
    </row>
    <row r="448" customFormat="false" ht="15" hidden="false" customHeight="false" outlineLevel="0" collapsed="false">
      <c r="A448" s="0" t="s">
        <v>20</v>
      </c>
      <c r="B448" s="0" t="s">
        <v>889</v>
      </c>
      <c r="C448" s="0" t="s">
        <v>2173</v>
      </c>
    </row>
    <row r="449" customFormat="false" ht="15" hidden="false" customHeight="false" outlineLevel="0" collapsed="false">
      <c r="A449" s="0" t="s">
        <v>20</v>
      </c>
      <c r="B449" s="0" t="s">
        <v>893</v>
      </c>
      <c r="C449" s="0" t="s">
        <v>1744</v>
      </c>
      <c r="D449" s="0" t="n">
        <v>25</v>
      </c>
    </row>
    <row r="450" customFormat="false" ht="15" hidden="false" customHeight="false" outlineLevel="0" collapsed="false">
      <c r="A450" s="0" t="s">
        <v>20</v>
      </c>
      <c r="B450" s="0" t="s">
        <v>893</v>
      </c>
      <c r="C450" s="0" t="s">
        <v>1880</v>
      </c>
    </row>
    <row r="451" customFormat="false" ht="15" hidden="false" customHeight="false" outlineLevel="0" collapsed="false">
      <c r="A451" s="0" t="s">
        <v>20</v>
      </c>
      <c r="B451" s="0" t="s">
        <v>893</v>
      </c>
      <c r="C451" s="0" t="s">
        <v>2173</v>
      </c>
    </row>
    <row r="452" customFormat="false" ht="15" hidden="false" customHeight="false" outlineLevel="0" collapsed="false">
      <c r="A452" s="0" t="s">
        <v>20</v>
      </c>
      <c r="B452" s="0" t="s">
        <v>897</v>
      </c>
      <c r="C452" s="0" t="s">
        <v>1744</v>
      </c>
      <c r="D452" s="0" t="n">
        <v>2</v>
      </c>
    </row>
    <row r="453" customFormat="false" ht="15" hidden="false" customHeight="false" outlineLevel="0" collapsed="false">
      <c r="A453" s="0" t="s">
        <v>20</v>
      </c>
      <c r="B453" s="0" t="s">
        <v>897</v>
      </c>
      <c r="C453" s="0" t="s">
        <v>1880</v>
      </c>
    </row>
    <row r="454" customFormat="false" ht="15" hidden="false" customHeight="false" outlineLevel="0" collapsed="false">
      <c r="A454" s="0" t="s">
        <v>20</v>
      </c>
      <c r="B454" s="0" t="s">
        <v>897</v>
      </c>
      <c r="C454" s="0" t="s">
        <v>2173</v>
      </c>
    </row>
    <row r="455" customFormat="false" ht="15" hidden="false" customHeight="false" outlineLevel="0" collapsed="false">
      <c r="A455" s="0" t="s">
        <v>20</v>
      </c>
      <c r="B455" s="0" t="s">
        <v>904</v>
      </c>
      <c r="C455" s="0" t="s">
        <v>1744</v>
      </c>
      <c r="D455" s="0" t="n">
        <v>20</v>
      </c>
    </row>
    <row r="456" customFormat="false" ht="15" hidden="false" customHeight="false" outlineLevel="0" collapsed="false">
      <c r="A456" s="0" t="s">
        <v>20</v>
      </c>
      <c r="B456" s="0" t="s">
        <v>904</v>
      </c>
      <c r="C456" s="0" t="s">
        <v>1880</v>
      </c>
    </row>
    <row r="457" customFormat="false" ht="15" hidden="false" customHeight="false" outlineLevel="0" collapsed="false">
      <c r="A457" s="0" t="s">
        <v>20</v>
      </c>
      <c r="B457" s="0" t="s">
        <v>904</v>
      </c>
      <c r="C457" s="0" t="s">
        <v>2173</v>
      </c>
    </row>
    <row r="458" customFormat="false" ht="15" hidden="false" customHeight="false" outlineLevel="0" collapsed="false">
      <c r="A458" s="0" t="s">
        <v>20</v>
      </c>
      <c r="B458" s="0" t="s">
        <v>911</v>
      </c>
      <c r="C458" s="0" t="s">
        <v>1744</v>
      </c>
      <c r="D458" s="0" t="n">
        <v>60</v>
      </c>
    </row>
    <row r="459" customFormat="false" ht="15" hidden="false" customHeight="false" outlineLevel="0" collapsed="false">
      <c r="A459" s="0" t="s">
        <v>20</v>
      </c>
      <c r="B459" s="0" t="s">
        <v>911</v>
      </c>
      <c r="C459" s="0" t="s">
        <v>1880</v>
      </c>
      <c r="D459" s="0" t="n">
        <v>40</v>
      </c>
    </row>
    <row r="460" customFormat="false" ht="15" hidden="false" customHeight="false" outlineLevel="0" collapsed="false">
      <c r="A460" s="0" t="s">
        <v>20</v>
      </c>
      <c r="B460" s="0" t="s">
        <v>911</v>
      </c>
      <c r="C460" s="0" t="s">
        <v>2173</v>
      </c>
      <c r="D460" s="0" t="n">
        <v>60</v>
      </c>
    </row>
    <row r="461" customFormat="false" ht="15" hidden="false" customHeight="false" outlineLevel="0" collapsed="false">
      <c r="A461" s="0" t="s">
        <v>20</v>
      </c>
      <c r="B461" s="0" t="s">
        <v>918</v>
      </c>
      <c r="C461" s="0" t="s">
        <v>1744</v>
      </c>
    </row>
    <row r="462" customFormat="false" ht="15" hidden="false" customHeight="false" outlineLevel="0" collapsed="false">
      <c r="A462" s="0" t="s">
        <v>20</v>
      </c>
      <c r="B462" s="0" t="s">
        <v>918</v>
      </c>
      <c r="C462" s="0" t="s">
        <v>1880</v>
      </c>
    </row>
    <row r="463" customFormat="false" ht="15" hidden="false" customHeight="false" outlineLevel="0" collapsed="false">
      <c r="A463" s="0" t="s">
        <v>20</v>
      </c>
      <c r="B463" s="0" t="s">
        <v>918</v>
      </c>
      <c r="C463" s="0" t="s">
        <v>2173</v>
      </c>
    </row>
    <row r="464" customFormat="false" ht="15" hidden="false" customHeight="false" outlineLevel="0" collapsed="false">
      <c r="A464" s="0" t="s">
        <v>20</v>
      </c>
      <c r="B464" s="0" t="s">
        <v>926</v>
      </c>
      <c r="C464" s="0" t="s">
        <v>1744</v>
      </c>
      <c r="D464" s="0" t="n">
        <v>2</v>
      </c>
    </row>
    <row r="465" customFormat="false" ht="15" hidden="false" customHeight="false" outlineLevel="0" collapsed="false">
      <c r="A465" s="0" t="s">
        <v>20</v>
      </c>
      <c r="B465" s="0" t="s">
        <v>926</v>
      </c>
      <c r="C465" s="0" t="s">
        <v>1880</v>
      </c>
    </row>
    <row r="466" customFormat="false" ht="15" hidden="false" customHeight="false" outlineLevel="0" collapsed="false">
      <c r="A466" s="0" t="s">
        <v>20</v>
      </c>
      <c r="B466" s="0" t="s">
        <v>926</v>
      </c>
      <c r="C466" s="0" t="s">
        <v>2173</v>
      </c>
    </row>
    <row r="467" customFormat="false" ht="15" hidden="false" customHeight="false" outlineLevel="0" collapsed="false">
      <c r="A467" s="0" t="s">
        <v>20</v>
      </c>
      <c r="B467" s="0" t="s">
        <v>931</v>
      </c>
      <c r="C467" s="0" t="s">
        <v>1744</v>
      </c>
    </row>
    <row r="468" customFormat="false" ht="15" hidden="false" customHeight="false" outlineLevel="0" collapsed="false">
      <c r="A468" s="0" t="s">
        <v>20</v>
      </c>
      <c r="B468" s="0" t="s">
        <v>931</v>
      </c>
      <c r="C468" s="0" t="s">
        <v>1880</v>
      </c>
    </row>
    <row r="469" customFormat="false" ht="15" hidden="false" customHeight="false" outlineLevel="0" collapsed="false">
      <c r="A469" s="0" t="s">
        <v>20</v>
      </c>
      <c r="B469" s="0" t="s">
        <v>931</v>
      </c>
      <c r="C469" s="0" t="s">
        <v>2173</v>
      </c>
    </row>
    <row r="470" customFormat="false" ht="15" hidden="false" customHeight="false" outlineLevel="0" collapsed="false">
      <c r="A470" s="0" t="s">
        <v>20</v>
      </c>
      <c r="B470" s="0" t="s">
        <v>935</v>
      </c>
      <c r="C470" s="0" t="s">
        <v>1744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20</v>
      </c>
      <c r="B471" s="0" t="s">
        <v>935</v>
      </c>
      <c r="C471" s="0" t="s">
        <v>1880</v>
      </c>
    </row>
    <row r="472" customFormat="false" ht="15" hidden="false" customHeight="false" outlineLevel="0" collapsed="false">
      <c r="A472" s="0" t="s">
        <v>20</v>
      </c>
      <c r="B472" s="0" t="s">
        <v>935</v>
      </c>
      <c r="C472" s="0" t="s">
        <v>2173</v>
      </c>
    </row>
    <row r="473" customFormat="false" ht="15" hidden="false" customHeight="false" outlineLevel="0" collapsed="false">
      <c r="A473" s="0" t="s">
        <v>20</v>
      </c>
      <c r="B473" s="0" t="s">
        <v>940</v>
      </c>
      <c r="C473" s="0" t="s">
        <v>1744</v>
      </c>
      <c r="D473" s="0" t="n">
        <v>-0.2</v>
      </c>
    </row>
    <row r="474" customFormat="false" ht="15" hidden="false" customHeight="false" outlineLevel="0" collapsed="false">
      <c r="A474" s="0" t="s">
        <v>20</v>
      </c>
      <c r="B474" s="0" t="s">
        <v>940</v>
      </c>
      <c r="C474" s="0" t="s">
        <v>1880</v>
      </c>
    </row>
    <row r="475" customFormat="false" ht="15" hidden="false" customHeight="false" outlineLevel="0" collapsed="false">
      <c r="A475" s="0" t="s">
        <v>20</v>
      </c>
      <c r="B475" s="0" t="s">
        <v>940</v>
      </c>
      <c r="C475" s="0" t="s">
        <v>2173</v>
      </c>
    </row>
    <row r="476" customFormat="false" ht="15" hidden="false" customHeight="false" outlineLevel="0" collapsed="false">
      <c r="A476" s="0" t="s">
        <v>20</v>
      </c>
      <c r="B476" s="0" t="s">
        <v>944</v>
      </c>
      <c r="C476" s="0" t="s">
        <v>1744</v>
      </c>
      <c r="D476" s="0" t="n">
        <v>-0.9</v>
      </c>
    </row>
    <row r="477" customFormat="false" ht="15" hidden="false" customHeight="false" outlineLevel="0" collapsed="false">
      <c r="A477" s="0" t="s">
        <v>20</v>
      </c>
      <c r="B477" s="0" t="s">
        <v>944</v>
      </c>
      <c r="C477" s="0" t="s">
        <v>1880</v>
      </c>
    </row>
    <row r="478" customFormat="false" ht="15" hidden="false" customHeight="false" outlineLevel="0" collapsed="false">
      <c r="A478" s="0" t="s">
        <v>20</v>
      </c>
      <c r="B478" s="0" t="s">
        <v>944</v>
      </c>
      <c r="C478" s="0" t="s">
        <v>2173</v>
      </c>
    </row>
    <row r="479" customFormat="false" ht="15" hidden="false" customHeight="false" outlineLevel="0" collapsed="false">
      <c r="A479" s="0" t="s">
        <v>20</v>
      </c>
      <c r="B479" s="0" t="s">
        <v>948</v>
      </c>
      <c r="C479" s="0" t="s">
        <v>1744</v>
      </c>
      <c r="D479" s="0" t="n">
        <v>-0.333</v>
      </c>
    </row>
    <row r="480" customFormat="false" ht="15" hidden="false" customHeight="false" outlineLevel="0" collapsed="false">
      <c r="A480" s="0" t="s">
        <v>20</v>
      </c>
      <c r="B480" s="0" t="s">
        <v>948</v>
      </c>
      <c r="C480" s="0" t="s">
        <v>1880</v>
      </c>
    </row>
    <row r="481" customFormat="false" ht="15" hidden="false" customHeight="false" outlineLevel="0" collapsed="false">
      <c r="A481" s="0" t="s">
        <v>20</v>
      </c>
      <c r="B481" s="0" t="s">
        <v>948</v>
      </c>
      <c r="C481" s="0" t="s">
        <v>2173</v>
      </c>
    </row>
    <row r="482" customFormat="false" ht="15" hidden="false" customHeight="false" outlineLevel="0" collapsed="false">
      <c r="A482" s="0" t="s">
        <v>20</v>
      </c>
      <c r="B482" s="0" t="s">
        <v>954</v>
      </c>
      <c r="C482" s="0" t="s">
        <v>1744</v>
      </c>
      <c r="D482" s="0" t="n">
        <v>300000</v>
      </c>
    </row>
    <row r="483" customFormat="false" ht="15" hidden="false" customHeight="false" outlineLevel="0" collapsed="false">
      <c r="A483" s="0" t="s">
        <v>20</v>
      </c>
      <c r="B483" s="0" t="s">
        <v>954</v>
      </c>
      <c r="C483" s="0" t="s">
        <v>1880</v>
      </c>
    </row>
    <row r="484" customFormat="false" ht="15" hidden="false" customHeight="false" outlineLevel="0" collapsed="false">
      <c r="A484" s="0" t="s">
        <v>20</v>
      </c>
      <c r="B484" s="0" t="s">
        <v>954</v>
      </c>
      <c r="C484" s="0" t="s">
        <v>2173</v>
      </c>
    </row>
    <row r="485" customFormat="false" ht="15" hidden="false" customHeight="false" outlineLevel="0" collapsed="false">
      <c r="A485" s="0" t="s">
        <v>20</v>
      </c>
      <c r="B485" s="0" t="s">
        <v>960</v>
      </c>
      <c r="C485" s="0" t="s">
        <v>1744</v>
      </c>
      <c r="D485" s="0" t="n">
        <v>300000</v>
      </c>
    </row>
    <row r="486" customFormat="false" ht="15" hidden="false" customHeight="false" outlineLevel="0" collapsed="false">
      <c r="A486" s="0" t="s">
        <v>20</v>
      </c>
      <c r="B486" s="0" t="s">
        <v>960</v>
      </c>
      <c r="C486" s="0" t="s">
        <v>1880</v>
      </c>
    </row>
    <row r="487" customFormat="false" ht="15" hidden="false" customHeight="false" outlineLevel="0" collapsed="false">
      <c r="A487" s="0" t="s">
        <v>20</v>
      </c>
      <c r="B487" s="0" t="s">
        <v>960</v>
      </c>
      <c r="C487" s="0" t="s">
        <v>2173</v>
      </c>
    </row>
    <row r="488" customFormat="false" ht="15" hidden="false" customHeight="false" outlineLevel="0" collapsed="false">
      <c r="A488" s="0" t="s">
        <v>20</v>
      </c>
      <c r="B488" s="0" t="s">
        <v>964</v>
      </c>
      <c r="C488" s="0" t="s">
        <v>1744</v>
      </c>
      <c r="D488" s="0" t="n">
        <v>7</v>
      </c>
    </row>
    <row r="489" customFormat="false" ht="15" hidden="false" customHeight="false" outlineLevel="0" collapsed="false">
      <c r="A489" s="0" t="s">
        <v>20</v>
      </c>
      <c r="B489" s="0" t="s">
        <v>964</v>
      </c>
      <c r="C489" s="0" t="s">
        <v>1880</v>
      </c>
    </row>
    <row r="490" customFormat="false" ht="15" hidden="false" customHeight="false" outlineLevel="0" collapsed="false">
      <c r="A490" s="0" t="s">
        <v>20</v>
      </c>
      <c r="B490" s="0" t="s">
        <v>964</v>
      </c>
      <c r="C490" s="0" t="s">
        <v>2173</v>
      </c>
    </row>
    <row r="491" customFormat="false" ht="15" hidden="false" customHeight="false" outlineLevel="0" collapsed="false">
      <c r="A491" s="0" t="s">
        <v>20</v>
      </c>
      <c r="B491" s="0" t="s">
        <v>969</v>
      </c>
      <c r="C491" s="0" t="s">
        <v>1744</v>
      </c>
      <c r="D491" s="0" t="n">
        <v>7</v>
      </c>
    </row>
    <row r="492" customFormat="false" ht="15" hidden="false" customHeight="false" outlineLevel="0" collapsed="false">
      <c r="A492" s="0" t="s">
        <v>20</v>
      </c>
      <c r="B492" s="0" t="s">
        <v>969</v>
      </c>
      <c r="C492" s="0" t="s">
        <v>1880</v>
      </c>
    </row>
    <row r="493" customFormat="false" ht="15" hidden="false" customHeight="false" outlineLevel="0" collapsed="false">
      <c r="A493" s="0" t="s">
        <v>20</v>
      </c>
      <c r="B493" s="0" t="s">
        <v>969</v>
      </c>
      <c r="C493" s="0" t="s">
        <v>2173</v>
      </c>
    </row>
    <row r="494" customFormat="false" ht="15" hidden="false" customHeight="false" outlineLevel="0" collapsed="false">
      <c r="A494" s="0" t="s">
        <v>20</v>
      </c>
      <c r="B494" s="0" t="s">
        <v>972</v>
      </c>
      <c r="C494" s="0" t="s">
        <v>1744</v>
      </c>
      <c r="D494" s="0" t="n">
        <v>500</v>
      </c>
    </row>
    <row r="495" customFormat="false" ht="15" hidden="false" customHeight="false" outlineLevel="0" collapsed="false">
      <c r="A495" s="0" t="s">
        <v>20</v>
      </c>
      <c r="B495" s="0" t="s">
        <v>972</v>
      </c>
      <c r="C495" s="0" t="s">
        <v>1880</v>
      </c>
    </row>
    <row r="496" customFormat="false" ht="15" hidden="false" customHeight="false" outlineLevel="0" collapsed="false">
      <c r="A496" s="0" t="s">
        <v>20</v>
      </c>
      <c r="B496" s="0" t="s">
        <v>972</v>
      </c>
      <c r="C496" s="0" t="s">
        <v>2173</v>
      </c>
    </row>
    <row r="497" customFormat="false" ht="15" hidden="false" customHeight="false" outlineLevel="0" collapsed="false">
      <c r="A497" s="0" t="s">
        <v>20</v>
      </c>
      <c r="B497" s="0" t="s">
        <v>976</v>
      </c>
      <c r="C497" s="0" t="s">
        <v>1744</v>
      </c>
      <c r="D497" s="0" t="n">
        <v>12</v>
      </c>
    </row>
    <row r="498" customFormat="false" ht="15" hidden="false" customHeight="false" outlineLevel="0" collapsed="false">
      <c r="A498" s="0" t="s">
        <v>20</v>
      </c>
      <c r="B498" s="0" t="s">
        <v>976</v>
      </c>
      <c r="C498" s="0" t="s">
        <v>1880</v>
      </c>
    </row>
    <row r="499" customFormat="false" ht="15" hidden="false" customHeight="false" outlineLevel="0" collapsed="false">
      <c r="A499" s="0" t="s">
        <v>20</v>
      </c>
      <c r="B499" s="0" t="s">
        <v>976</v>
      </c>
      <c r="C499" s="0" t="s">
        <v>2173</v>
      </c>
    </row>
    <row r="500" customFormat="false" ht="15" hidden="false" customHeight="false" outlineLevel="0" collapsed="false">
      <c r="A500" s="0" t="s">
        <v>20</v>
      </c>
      <c r="B500" s="0" t="s">
        <v>980</v>
      </c>
      <c r="C500" s="0" t="s">
        <v>1744</v>
      </c>
      <c r="D500" s="0" t="n">
        <v>1000</v>
      </c>
    </row>
    <row r="501" customFormat="false" ht="15" hidden="false" customHeight="false" outlineLevel="0" collapsed="false">
      <c r="A501" s="0" t="s">
        <v>20</v>
      </c>
      <c r="B501" s="0" t="s">
        <v>980</v>
      </c>
      <c r="C501" s="0" t="s">
        <v>1880</v>
      </c>
    </row>
    <row r="502" customFormat="false" ht="15" hidden="false" customHeight="false" outlineLevel="0" collapsed="false">
      <c r="A502" s="0" t="s">
        <v>20</v>
      </c>
      <c r="B502" s="0" t="s">
        <v>980</v>
      </c>
      <c r="C502" s="0" t="s">
        <v>2173</v>
      </c>
    </row>
    <row r="503" customFormat="false" ht="15" hidden="false" customHeight="false" outlineLevel="0" collapsed="false">
      <c r="A503" s="0" t="s">
        <v>20</v>
      </c>
      <c r="B503" s="0" t="s">
        <v>983</v>
      </c>
      <c r="C503" s="0" t="s">
        <v>1744</v>
      </c>
      <c r="D503" s="0" t="n">
        <v>100000</v>
      </c>
    </row>
    <row r="504" customFormat="false" ht="15" hidden="false" customHeight="false" outlineLevel="0" collapsed="false">
      <c r="A504" s="0" t="s">
        <v>20</v>
      </c>
      <c r="B504" s="0" t="s">
        <v>983</v>
      </c>
      <c r="C504" s="0" t="s">
        <v>1880</v>
      </c>
    </row>
    <row r="505" customFormat="false" ht="15" hidden="false" customHeight="false" outlineLevel="0" collapsed="false">
      <c r="A505" s="0" t="s">
        <v>20</v>
      </c>
      <c r="B505" s="0" t="s">
        <v>983</v>
      </c>
      <c r="C505" s="0" t="s">
        <v>2173</v>
      </c>
    </row>
    <row r="506" customFormat="false" ht="15" hidden="false" customHeight="false" outlineLevel="0" collapsed="false">
      <c r="A506" s="0" t="s">
        <v>20</v>
      </c>
      <c r="B506" s="0" t="s">
        <v>990</v>
      </c>
      <c r="C506" s="0" t="s">
        <v>1744</v>
      </c>
      <c r="D506" s="0" t="n">
        <v>2</v>
      </c>
    </row>
    <row r="507" customFormat="false" ht="15" hidden="false" customHeight="false" outlineLevel="0" collapsed="false">
      <c r="A507" s="0" t="s">
        <v>20</v>
      </c>
      <c r="B507" s="0" t="s">
        <v>990</v>
      </c>
      <c r="C507" s="0" t="s">
        <v>1880</v>
      </c>
      <c r="D507" s="0" t="n">
        <v>2</v>
      </c>
    </row>
    <row r="508" customFormat="false" ht="15" hidden="false" customHeight="false" outlineLevel="0" collapsed="false">
      <c r="A508" s="0" t="s">
        <v>20</v>
      </c>
      <c r="B508" s="0" t="s">
        <v>990</v>
      </c>
      <c r="C508" s="0" t="s">
        <v>2173</v>
      </c>
    </row>
    <row r="509" customFormat="false" ht="15" hidden="false" customHeight="false" outlineLevel="0" collapsed="false">
      <c r="A509" s="0" t="s">
        <v>20</v>
      </c>
      <c r="B509" s="0" t="s">
        <v>998</v>
      </c>
      <c r="C509" s="0" t="s">
        <v>1744</v>
      </c>
    </row>
    <row r="510" customFormat="false" ht="15" hidden="false" customHeight="false" outlineLevel="0" collapsed="false">
      <c r="A510" s="0" t="s">
        <v>20</v>
      </c>
      <c r="B510" s="0" t="s">
        <v>998</v>
      </c>
      <c r="C510" s="0" t="s">
        <v>1880</v>
      </c>
      <c r="D510" s="0" t="n">
        <v>18</v>
      </c>
    </row>
    <row r="511" customFormat="false" ht="15" hidden="false" customHeight="false" outlineLevel="0" collapsed="false">
      <c r="A511" s="0" t="s">
        <v>20</v>
      </c>
      <c r="B511" s="0" t="s">
        <v>998</v>
      </c>
      <c r="C511" s="0" t="s">
        <v>2173</v>
      </c>
      <c r="D511" s="0" t="n">
        <v>30</v>
      </c>
    </row>
    <row r="512" customFormat="false" ht="15" hidden="false" customHeight="false" outlineLevel="0" collapsed="false">
      <c r="A512" s="0" t="s">
        <v>20</v>
      </c>
      <c r="B512" s="0" t="s">
        <v>1004</v>
      </c>
      <c r="C512" s="0" t="s">
        <v>1744</v>
      </c>
      <c r="D512" s="0" t="n">
        <v>56</v>
      </c>
    </row>
    <row r="513" customFormat="false" ht="15" hidden="false" customHeight="false" outlineLevel="0" collapsed="false">
      <c r="A513" s="0" t="s">
        <v>20</v>
      </c>
      <c r="B513" s="0" t="s">
        <v>1004</v>
      </c>
      <c r="C513" s="0" t="s">
        <v>1880</v>
      </c>
      <c r="D513" s="0" t="n">
        <v>45</v>
      </c>
    </row>
    <row r="514" customFormat="false" ht="15" hidden="false" customHeight="false" outlineLevel="0" collapsed="false">
      <c r="A514" s="0" t="s">
        <v>20</v>
      </c>
      <c r="B514" s="0" t="s">
        <v>1004</v>
      </c>
      <c r="C514" s="0" t="s">
        <v>2173</v>
      </c>
      <c r="D514" s="0" t="n">
        <v>67</v>
      </c>
    </row>
    <row r="515" customFormat="false" ht="15" hidden="false" customHeight="false" outlineLevel="0" collapsed="false">
      <c r="A515" s="0" t="s">
        <v>20</v>
      </c>
      <c r="B515" s="0" t="s">
        <v>1011</v>
      </c>
      <c r="C515" s="0" t="s">
        <v>1744</v>
      </c>
      <c r="D515" s="0" t="n">
        <v>952.5</v>
      </c>
    </row>
    <row r="516" customFormat="false" ht="15" hidden="false" customHeight="false" outlineLevel="0" collapsed="false">
      <c r="A516" s="0" t="s">
        <v>20</v>
      </c>
      <c r="B516" s="0" t="s">
        <v>1011</v>
      </c>
      <c r="C516" s="0" t="s">
        <v>1880</v>
      </c>
      <c r="D516" s="0" t="n">
        <v>850</v>
      </c>
    </row>
    <row r="517" customFormat="false" ht="15" hidden="false" customHeight="false" outlineLevel="0" collapsed="false">
      <c r="A517" s="0" t="s">
        <v>20</v>
      </c>
      <c r="B517" s="0" t="s">
        <v>1011</v>
      </c>
      <c r="C517" s="0" t="s">
        <v>2173</v>
      </c>
      <c r="D517" s="0" t="n">
        <v>1050</v>
      </c>
    </row>
    <row r="518" customFormat="false" ht="15" hidden="false" customHeight="false" outlineLevel="0" collapsed="false">
      <c r="A518" s="0" t="s">
        <v>20</v>
      </c>
      <c r="B518" s="0" t="s">
        <v>1018</v>
      </c>
      <c r="C518" s="0" t="s">
        <v>1744</v>
      </c>
      <c r="D518" s="0" t="n">
        <v>18.9</v>
      </c>
    </row>
    <row r="519" customFormat="false" ht="15" hidden="false" customHeight="false" outlineLevel="0" collapsed="false">
      <c r="A519" s="0" t="s">
        <v>20</v>
      </c>
      <c r="B519" s="0" t="s">
        <v>1018</v>
      </c>
      <c r="C519" s="0" t="s">
        <v>1880</v>
      </c>
      <c r="D519" s="0" t="n">
        <v>15</v>
      </c>
    </row>
    <row r="520" customFormat="false" ht="15" hidden="false" customHeight="false" outlineLevel="0" collapsed="false">
      <c r="A520" s="0" t="s">
        <v>20</v>
      </c>
      <c r="B520" s="0" t="s">
        <v>1018</v>
      </c>
      <c r="C520" s="0" t="s">
        <v>2173</v>
      </c>
      <c r="D520" s="0" t="n">
        <v>25</v>
      </c>
    </row>
    <row r="521" customFormat="false" ht="15" hidden="false" customHeight="false" outlineLevel="0" collapsed="false">
      <c r="A521" s="0" t="s">
        <v>20</v>
      </c>
      <c r="B521" s="0" t="s">
        <v>1023</v>
      </c>
      <c r="C521" s="0" t="s">
        <v>1744</v>
      </c>
      <c r="D521" s="0" t="n">
        <v>470000</v>
      </c>
    </row>
    <row r="522" customFormat="false" ht="15" hidden="false" customHeight="false" outlineLevel="0" collapsed="false">
      <c r="A522" s="0" t="s">
        <v>20</v>
      </c>
      <c r="B522" s="0" t="s">
        <v>1023</v>
      </c>
      <c r="C522" s="0" t="s">
        <v>1880</v>
      </c>
    </row>
    <row r="523" customFormat="false" ht="15" hidden="false" customHeight="false" outlineLevel="0" collapsed="false">
      <c r="A523" s="0" t="s">
        <v>20</v>
      </c>
      <c r="B523" s="0" t="s">
        <v>1023</v>
      </c>
      <c r="C523" s="0" t="s">
        <v>2173</v>
      </c>
    </row>
    <row r="524" customFormat="false" ht="15" hidden="false" customHeight="false" outlineLevel="0" collapsed="false">
      <c r="A524" s="0" t="s">
        <v>20</v>
      </c>
      <c r="B524" s="0" t="s">
        <v>1032</v>
      </c>
      <c r="C524" s="0" t="s">
        <v>1744</v>
      </c>
      <c r="D524" s="0" t="n">
        <v>350000</v>
      </c>
    </row>
    <row r="525" customFormat="false" ht="15" hidden="false" customHeight="false" outlineLevel="0" collapsed="false">
      <c r="A525" s="0" t="s">
        <v>20</v>
      </c>
      <c r="B525" s="0" t="s">
        <v>1032</v>
      </c>
      <c r="C525" s="0" t="s">
        <v>1880</v>
      </c>
    </row>
    <row r="526" customFormat="false" ht="15" hidden="false" customHeight="false" outlineLevel="0" collapsed="false">
      <c r="A526" s="0" t="s">
        <v>20</v>
      </c>
      <c r="B526" s="0" t="s">
        <v>1032</v>
      </c>
      <c r="C526" s="0" t="s">
        <v>2173</v>
      </c>
      <c r="D526" s="0" t="n">
        <v>350000</v>
      </c>
    </row>
    <row r="527" customFormat="false" ht="15" hidden="false" customHeight="false" outlineLevel="0" collapsed="false">
      <c r="A527" s="0" t="s">
        <v>20</v>
      </c>
      <c r="B527" s="0" t="s">
        <v>1040</v>
      </c>
      <c r="C527" s="0" t="s">
        <v>1744</v>
      </c>
      <c r="D527" s="0" t="n">
        <v>30000</v>
      </c>
    </row>
    <row r="528" customFormat="false" ht="15" hidden="false" customHeight="false" outlineLevel="0" collapsed="false">
      <c r="A528" s="0" t="s">
        <v>20</v>
      </c>
      <c r="B528" s="0" t="s">
        <v>1040</v>
      </c>
      <c r="C528" s="0" t="s">
        <v>1880</v>
      </c>
    </row>
    <row r="529" customFormat="false" ht="15" hidden="false" customHeight="false" outlineLevel="0" collapsed="false">
      <c r="A529" s="0" t="s">
        <v>20</v>
      </c>
      <c r="B529" s="0" t="s">
        <v>1040</v>
      </c>
      <c r="C529" s="0" t="s">
        <v>2173</v>
      </c>
    </row>
    <row r="530" customFormat="false" ht="15" hidden="false" customHeight="false" outlineLevel="0" collapsed="false">
      <c r="A530" s="0" t="s">
        <v>20</v>
      </c>
      <c r="B530" s="0" t="s">
        <v>1048</v>
      </c>
      <c r="C530" s="0" t="s">
        <v>1744</v>
      </c>
      <c r="D530" s="0" t="n">
        <v>30000</v>
      </c>
    </row>
    <row r="531" customFormat="false" ht="15" hidden="false" customHeight="false" outlineLevel="0" collapsed="false">
      <c r="A531" s="0" t="s">
        <v>20</v>
      </c>
      <c r="B531" s="0" t="s">
        <v>1048</v>
      </c>
      <c r="C531" s="0" t="s">
        <v>1880</v>
      </c>
    </row>
    <row r="532" customFormat="false" ht="15" hidden="false" customHeight="false" outlineLevel="0" collapsed="false">
      <c r="A532" s="0" t="s">
        <v>20</v>
      </c>
      <c r="B532" s="0" t="s">
        <v>1048</v>
      </c>
      <c r="C532" s="0" t="s">
        <v>2173</v>
      </c>
    </row>
    <row r="533" customFormat="false" ht="15" hidden="false" customHeight="false" outlineLevel="0" collapsed="false">
      <c r="A533" s="0" t="s">
        <v>20</v>
      </c>
      <c r="B533" s="0" t="s">
        <v>1056</v>
      </c>
      <c r="C533" s="0" t="s">
        <v>1744</v>
      </c>
      <c r="D533" s="0" t="n">
        <v>50000</v>
      </c>
    </row>
    <row r="534" customFormat="false" ht="15" hidden="false" customHeight="false" outlineLevel="0" collapsed="false">
      <c r="A534" s="0" t="s">
        <v>20</v>
      </c>
      <c r="B534" s="0" t="s">
        <v>1056</v>
      </c>
      <c r="C534" s="0" t="s">
        <v>1880</v>
      </c>
    </row>
    <row r="535" customFormat="false" ht="15" hidden="false" customHeight="false" outlineLevel="0" collapsed="false">
      <c r="A535" s="0" t="s">
        <v>20</v>
      </c>
      <c r="B535" s="0" t="s">
        <v>1056</v>
      </c>
      <c r="C535" s="0" t="s">
        <v>2173</v>
      </c>
    </row>
    <row r="536" customFormat="false" ht="15" hidden="false" customHeight="false" outlineLevel="0" collapsed="false">
      <c r="A536" s="0" t="s">
        <v>20</v>
      </c>
      <c r="B536" s="0" t="s">
        <v>1064</v>
      </c>
      <c r="C536" s="0" t="s">
        <v>1744</v>
      </c>
      <c r="D536" s="0" t="n">
        <v>57000</v>
      </c>
    </row>
    <row r="537" customFormat="false" ht="15" hidden="false" customHeight="false" outlineLevel="0" collapsed="false">
      <c r="A537" s="0" t="s">
        <v>20</v>
      </c>
      <c r="B537" s="0" t="s">
        <v>1064</v>
      </c>
      <c r="C537" s="0" t="s">
        <v>1880</v>
      </c>
    </row>
    <row r="538" customFormat="false" ht="15" hidden="false" customHeight="false" outlineLevel="0" collapsed="false">
      <c r="A538" s="0" t="s">
        <v>20</v>
      </c>
      <c r="B538" s="0" t="s">
        <v>1064</v>
      </c>
      <c r="C538" s="0" t="s">
        <v>2173</v>
      </c>
    </row>
    <row r="539" customFormat="false" ht="15" hidden="false" customHeight="false" outlineLevel="0" collapsed="false">
      <c r="A539" s="0" t="s">
        <v>20</v>
      </c>
      <c r="B539" s="0" t="s">
        <v>1071</v>
      </c>
      <c r="C539" s="0" t="s">
        <v>1744</v>
      </c>
      <c r="D539" s="0" t="n">
        <v>16000</v>
      </c>
    </row>
    <row r="540" customFormat="false" ht="15" hidden="false" customHeight="false" outlineLevel="0" collapsed="false">
      <c r="A540" s="0" t="s">
        <v>20</v>
      </c>
      <c r="B540" s="0" t="s">
        <v>1071</v>
      </c>
      <c r="C540" s="0" t="s">
        <v>1880</v>
      </c>
    </row>
    <row r="541" customFormat="false" ht="15" hidden="false" customHeight="false" outlineLevel="0" collapsed="false">
      <c r="A541" s="0" t="s">
        <v>20</v>
      </c>
      <c r="B541" s="0" t="s">
        <v>1071</v>
      </c>
      <c r="C541" s="0" t="s">
        <v>2173</v>
      </c>
    </row>
    <row r="542" customFormat="false" ht="15" hidden="false" customHeight="false" outlineLevel="0" collapsed="false">
      <c r="A542" s="0" t="s">
        <v>20</v>
      </c>
      <c r="B542" s="0" t="s">
        <v>1079</v>
      </c>
      <c r="C542" s="0" t="s">
        <v>1744</v>
      </c>
      <c r="D542" s="0" t="n">
        <v>0.025</v>
      </c>
    </row>
    <row r="543" customFormat="false" ht="15" hidden="false" customHeight="false" outlineLevel="0" collapsed="false">
      <c r="A543" s="0" t="s">
        <v>20</v>
      </c>
      <c r="B543" s="0" t="s">
        <v>1079</v>
      </c>
      <c r="C543" s="0" t="s">
        <v>1880</v>
      </c>
      <c r="D543" s="0" t="n">
        <v>0.02</v>
      </c>
    </row>
    <row r="544" customFormat="false" ht="15" hidden="false" customHeight="false" outlineLevel="0" collapsed="false">
      <c r="A544" s="0" t="s">
        <v>20</v>
      </c>
      <c r="B544" s="0" t="s">
        <v>1079</v>
      </c>
      <c r="C544" s="0" t="s">
        <v>2173</v>
      </c>
      <c r="D544" s="0" t="n">
        <v>0.04</v>
      </c>
    </row>
    <row r="545" customFormat="false" ht="15" hidden="false" customHeight="false" outlineLevel="0" collapsed="false">
      <c r="A545" s="0" t="s">
        <v>20</v>
      </c>
      <c r="B545" s="0" t="s">
        <v>1086</v>
      </c>
      <c r="C545" s="0" t="s">
        <v>1744</v>
      </c>
      <c r="D545" s="0" t="n">
        <v>0.32</v>
      </c>
    </row>
    <row r="546" customFormat="false" ht="15" hidden="false" customHeight="false" outlineLevel="0" collapsed="false">
      <c r="A546" s="0" t="s">
        <v>20</v>
      </c>
      <c r="B546" s="0" t="s">
        <v>1086</v>
      </c>
      <c r="C546" s="0" t="s">
        <v>1880</v>
      </c>
      <c r="D546" s="0" t="n">
        <v>0.25</v>
      </c>
    </row>
    <row r="547" customFormat="false" ht="15" hidden="false" customHeight="false" outlineLevel="0" collapsed="false">
      <c r="A547" s="0" t="s">
        <v>20</v>
      </c>
      <c r="B547" s="0" t="s">
        <v>1086</v>
      </c>
      <c r="C547" s="0" t="s">
        <v>2173</v>
      </c>
      <c r="D547" s="0" t="n">
        <v>0.4</v>
      </c>
    </row>
    <row r="548" customFormat="false" ht="15" hidden="false" customHeight="false" outlineLevel="0" collapsed="false">
      <c r="A548" s="0" t="s">
        <v>20</v>
      </c>
      <c r="B548" s="0" t="s">
        <v>1091</v>
      </c>
      <c r="C548" s="0" t="s">
        <v>1744</v>
      </c>
      <c r="D548" s="0" t="n">
        <v>1000000</v>
      </c>
    </row>
    <row r="549" customFormat="false" ht="15" hidden="false" customHeight="false" outlineLevel="0" collapsed="false">
      <c r="A549" s="0" t="s">
        <v>20</v>
      </c>
      <c r="B549" s="0" t="s">
        <v>1091</v>
      </c>
      <c r="C549" s="0" t="s">
        <v>1880</v>
      </c>
    </row>
    <row r="550" customFormat="false" ht="15" hidden="false" customHeight="false" outlineLevel="0" collapsed="false">
      <c r="A550" s="0" t="s">
        <v>20</v>
      </c>
      <c r="B550" s="0" t="s">
        <v>1091</v>
      </c>
      <c r="C550" s="0" t="s">
        <v>2173</v>
      </c>
    </row>
    <row r="551" customFormat="false" ht="15" hidden="false" customHeight="false" outlineLevel="0" collapsed="false">
      <c r="A551" s="0" t="s">
        <v>20</v>
      </c>
      <c r="B551" s="0" t="s">
        <v>1101</v>
      </c>
      <c r="C551" s="0" t="s">
        <v>1744</v>
      </c>
    </row>
    <row r="552" customFormat="false" ht="15" hidden="false" customHeight="false" outlineLevel="0" collapsed="false">
      <c r="A552" s="0" t="s">
        <v>20</v>
      </c>
      <c r="B552" s="0" t="s">
        <v>1101</v>
      </c>
      <c r="C552" s="0" t="s">
        <v>1880</v>
      </c>
      <c r="D552" s="0" t="n">
        <v>1</v>
      </c>
    </row>
    <row r="553" customFormat="false" ht="15" hidden="false" customHeight="false" outlineLevel="0" collapsed="false">
      <c r="A553" s="0" t="s">
        <v>20</v>
      </c>
      <c r="B553" s="0" t="s">
        <v>1101</v>
      </c>
      <c r="C553" s="0" t="s">
        <v>2173</v>
      </c>
    </row>
    <row r="554" customFormat="false" ht="15" hidden="false" customHeight="false" outlineLevel="0" collapsed="false">
      <c r="A554" s="0" t="s">
        <v>20</v>
      </c>
      <c r="B554" s="0" t="s">
        <v>1106</v>
      </c>
      <c r="C554" s="0" t="s">
        <v>1744</v>
      </c>
    </row>
    <row r="555" customFormat="false" ht="15" hidden="false" customHeight="false" outlineLevel="0" collapsed="false">
      <c r="A555" s="0" t="s">
        <v>20</v>
      </c>
      <c r="B555" s="0" t="s">
        <v>1106</v>
      </c>
      <c r="C555" s="0" t="s">
        <v>1880</v>
      </c>
      <c r="D555" s="0" t="n">
        <v>10</v>
      </c>
    </row>
    <row r="556" customFormat="false" ht="15" hidden="false" customHeight="false" outlineLevel="0" collapsed="false">
      <c r="A556" s="0" t="s">
        <v>20</v>
      </c>
      <c r="B556" s="0" t="s">
        <v>1106</v>
      </c>
      <c r="C556" s="0" t="s">
        <v>2173</v>
      </c>
    </row>
    <row r="557" customFormat="false" ht="15" hidden="false" customHeight="false" outlineLevel="0" collapsed="false">
      <c r="A557" s="0" t="s">
        <v>20</v>
      </c>
      <c r="B557" s="0" t="s">
        <v>1111</v>
      </c>
      <c r="C557" s="0" t="s">
        <v>1744</v>
      </c>
    </row>
    <row r="558" customFormat="false" ht="15" hidden="false" customHeight="false" outlineLevel="0" collapsed="false">
      <c r="A558" s="0" t="s">
        <v>20</v>
      </c>
      <c r="B558" s="0" t="s">
        <v>1111</v>
      </c>
      <c r="C558" s="0" t="s">
        <v>1880</v>
      </c>
    </row>
    <row r="559" customFormat="false" ht="15" hidden="false" customHeight="false" outlineLevel="0" collapsed="false">
      <c r="A559" s="0" t="s">
        <v>20</v>
      </c>
      <c r="B559" s="0" t="s">
        <v>1111</v>
      </c>
      <c r="C559" s="0" t="s">
        <v>2173</v>
      </c>
    </row>
    <row r="560" customFormat="false" ht="15" hidden="false" customHeight="false" outlineLevel="0" collapsed="false">
      <c r="A560" s="0" t="s">
        <v>20</v>
      </c>
      <c r="B560" s="0" t="s">
        <v>1116</v>
      </c>
      <c r="C560" s="0" t="s">
        <v>1744</v>
      </c>
    </row>
    <row r="561" customFormat="false" ht="15" hidden="false" customHeight="false" outlineLevel="0" collapsed="false">
      <c r="A561" s="0" t="s">
        <v>20</v>
      </c>
      <c r="B561" s="0" t="s">
        <v>1116</v>
      </c>
      <c r="C561" s="0" t="s">
        <v>1880</v>
      </c>
      <c r="D561" s="0" t="n">
        <v>2</v>
      </c>
    </row>
    <row r="562" customFormat="false" ht="15" hidden="false" customHeight="false" outlineLevel="0" collapsed="false">
      <c r="A562" s="0" t="s">
        <v>20</v>
      </c>
      <c r="B562" s="0" t="s">
        <v>1116</v>
      </c>
      <c r="C562" s="0" t="s">
        <v>2173</v>
      </c>
    </row>
    <row r="563" customFormat="false" ht="15" hidden="false" customHeight="false" outlineLevel="0" collapsed="false">
      <c r="A563" s="0" t="s">
        <v>20</v>
      </c>
      <c r="B563" s="0" t="s">
        <v>1122</v>
      </c>
      <c r="C563" s="0" t="s">
        <v>1744</v>
      </c>
      <c r="D563" s="0" t="n">
        <v>3.5</v>
      </c>
    </row>
    <row r="564" customFormat="false" ht="15" hidden="false" customHeight="false" outlineLevel="0" collapsed="false">
      <c r="A564" s="0" t="s">
        <v>20</v>
      </c>
      <c r="B564" s="0" t="s">
        <v>1122</v>
      </c>
      <c r="C564" s="0" t="s">
        <v>1880</v>
      </c>
    </row>
    <row r="565" customFormat="false" ht="15" hidden="false" customHeight="false" outlineLevel="0" collapsed="false">
      <c r="A565" s="0" t="s">
        <v>20</v>
      </c>
      <c r="B565" s="0" t="s">
        <v>1122</v>
      </c>
      <c r="C565" s="0" t="s">
        <v>2173</v>
      </c>
    </row>
    <row r="566" customFormat="false" ht="15" hidden="false" customHeight="false" outlineLevel="0" collapsed="false">
      <c r="A566" s="0" t="s">
        <v>20</v>
      </c>
      <c r="B566" s="0" t="s">
        <v>1132</v>
      </c>
      <c r="C566" s="0" t="s">
        <v>1744</v>
      </c>
      <c r="D566" s="0" t="n">
        <v>5</v>
      </c>
    </row>
    <row r="567" customFormat="false" ht="15" hidden="false" customHeight="false" outlineLevel="0" collapsed="false">
      <c r="A567" s="0" t="s">
        <v>20</v>
      </c>
      <c r="B567" s="0" t="s">
        <v>1132</v>
      </c>
      <c r="C567" s="0" t="s">
        <v>1880</v>
      </c>
    </row>
    <row r="568" customFormat="false" ht="15" hidden="false" customHeight="false" outlineLevel="0" collapsed="false">
      <c r="A568" s="0" t="s">
        <v>20</v>
      </c>
      <c r="B568" s="0" t="s">
        <v>1132</v>
      </c>
      <c r="C568" s="0" t="s">
        <v>2173</v>
      </c>
    </row>
    <row r="569" customFormat="false" ht="15" hidden="false" customHeight="false" outlineLevel="0" collapsed="false">
      <c r="A569" s="0" t="s">
        <v>20</v>
      </c>
      <c r="B569" s="0" t="s">
        <v>1138</v>
      </c>
      <c r="C569" s="0" t="s">
        <v>1744</v>
      </c>
    </row>
    <row r="570" customFormat="false" ht="15" hidden="false" customHeight="false" outlineLevel="0" collapsed="false">
      <c r="A570" s="0" t="s">
        <v>20</v>
      </c>
      <c r="B570" s="0" t="s">
        <v>1138</v>
      </c>
      <c r="C570" s="0" t="s">
        <v>1880</v>
      </c>
    </row>
    <row r="571" customFormat="false" ht="15" hidden="false" customHeight="false" outlineLevel="0" collapsed="false">
      <c r="A571" s="0" t="s">
        <v>20</v>
      </c>
      <c r="B571" s="0" t="s">
        <v>1138</v>
      </c>
      <c r="C571" s="0" t="s">
        <v>2173</v>
      </c>
    </row>
    <row r="572" customFormat="false" ht="15" hidden="false" customHeight="false" outlineLevel="0" collapsed="false">
      <c r="A572" s="0" t="s">
        <v>20</v>
      </c>
      <c r="B572" s="0" t="s">
        <v>1144</v>
      </c>
      <c r="C572" s="0" t="s">
        <v>1744</v>
      </c>
      <c r="D572" s="0" t="n">
        <v>2031</v>
      </c>
    </row>
    <row r="573" customFormat="false" ht="15" hidden="false" customHeight="false" outlineLevel="0" collapsed="false">
      <c r="A573" s="0" t="s">
        <v>20</v>
      </c>
      <c r="B573" s="0" t="s">
        <v>1144</v>
      </c>
      <c r="C573" s="0" t="s">
        <v>1880</v>
      </c>
    </row>
    <row r="574" customFormat="false" ht="15" hidden="false" customHeight="false" outlineLevel="0" collapsed="false">
      <c r="A574" s="0" t="s">
        <v>20</v>
      </c>
      <c r="B574" s="0" t="s">
        <v>1144</v>
      </c>
      <c r="C574" s="0" t="s">
        <v>2173</v>
      </c>
    </row>
    <row r="575" customFormat="false" ht="15" hidden="false" customHeight="false" outlineLevel="0" collapsed="false">
      <c r="A575" s="0" t="s">
        <v>20</v>
      </c>
      <c r="B575" s="0" t="s">
        <v>1152</v>
      </c>
      <c r="C575" s="0" t="s">
        <v>1744</v>
      </c>
      <c r="D575" s="0" t="n">
        <v>1</v>
      </c>
    </row>
    <row r="576" customFormat="false" ht="15" hidden="false" customHeight="false" outlineLevel="0" collapsed="false">
      <c r="A576" s="0" t="s">
        <v>20</v>
      </c>
      <c r="B576" s="0" t="s">
        <v>1152</v>
      </c>
      <c r="C576" s="0" t="s">
        <v>1880</v>
      </c>
    </row>
    <row r="577" customFormat="false" ht="15" hidden="false" customHeight="false" outlineLevel="0" collapsed="false">
      <c r="A577" s="0" t="s">
        <v>20</v>
      </c>
      <c r="B577" s="0" t="s">
        <v>1152</v>
      </c>
      <c r="C577" s="0" t="s">
        <v>2173</v>
      </c>
    </row>
    <row r="578" customFormat="false" ht="15" hidden="false" customHeight="false" outlineLevel="0" collapsed="false">
      <c r="A578" s="0" t="s">
        <v>20</v>
      </c>
      <c r="B578" s="0" t="s">
        <v>1158</v>
      </c>
      <c r="C578" s="0" t="s">
        <v>1744</v>
      </c>
    </row>
    <row r="579" customFormat="false" ht="15" hidden="false" customHeight="false" outlineLevel="0" collapsed="false">
      <c r="A579" s="0" t="s">
        <v>20</v>
      </c>
      <c r="B579" s="0" t="s">
        <v>1158</v>
      </c>
      <c r="C579" s="0" t="s">
        <v>1880</v>
      </c>
      <c r="D579" s="0" t="n">
        <v>21</v>
      </c>
    </row>
    <row r="580" customFormat="false" ht="15" hidden="false" customHeight="false" outlineLevel="0" collapsed="false">
      <c r="A580" s="0" t="s">
        <v>20</v>
      </c>
      <c r="B580" s="0" t="s">
        <v>1158</v>
      </c>
      <c r="C580" s="0" t="s">
        <v>2173</v>
      </c>
      <c r="D580" s="0" t="n">
        <v>42</v>
      </c>
    </row>
    <row r="581" customFormat="false" ht="15" hidden="false" customHeight="false" outlineLevel="0" collapsed="false">
      <c r="A581" s="0" t="s">
        <v>20</v>
      </c>
      <c r="B581" s="0" t="s">
        <v>1165</v>
      </c>
      <c r="C581" s="0" t="s">
        <v>1744</v>
      </c>
      <c r="D581" s="0" t="n">
        <v>200</v>
      </c>
    </row>
    <row r="582" customFormat="false" ht="15" hidden="false" customHeight="false" outlineLevel="0" collapsed="false">
      <c r="A582" s="0" t="s">
        <v>20</v>
      </c>
      <c r="B582" s="0" t="s">
        <v>1165</v>
      </c>
      <c r="C582" s="0" t="s">
        <v>1880</v>
      </c>
    </row>
    <row r="583" customFormat="false" ht="15" hidden="false" customHeight="false" outlineLevel="0" collapsed="false">
      <c r="A583" s="0" t="s">
        <v>20</v>
      </c>
      <c r="B583" s="0" t="s">
        <v>1165</v>
      </c>
      <c r="C583" s="0" t="s">
        <v>2173</v>
      </c>
    </row>
    <row r="584" customFormat="false" ht="15" hidden="false" customHeight="false" outlineLevel="0" collapsed="false">
      <c r="A584" s="0" t="s">
        <v>20</v>
      </c>
      <c r="B584" s="0" t="s">
        <v>1174</v>
      </c>
      <c r="C584" s="0" t="s">
        <v>1744</v>
      </c>
      <c r="D584" s="0" t="n">
        <v>10</v>
      </c>
    </row>
    <row r="585" customFormat="false" ht="15" hidden="false" customHeight="false" outlineLevel="0" collapsed="false">
      <c r="A585" s="0" t="s">
        <v>20</v>
      </c>
      <c r="B585" s="0" t="s">
        <v>1174</v>
      </c>
      <c r="C585" s="0" t="s">
        <v>1880</v>
      </c>
    </row>
    <row r="586" customFormat="false" ht="15" hidden="false" customHeight="false" outlineLevel="0" collapsed="false">
      <c r="A586" s="0" t="s">
        <v>20</v>
      </c>
      <c r="B586" s="0" t="s">
        <v>1174</v>
      </c>
      <c r="C586" s="0" t="s">
        <v>2173</v>
      </c>
    </row>
    <row r="587" customFormat="false" ht="15" hidden="false" customHeight="false" outlineLevel="0" collapsed="false">
      <c r="A587" s="0" t="s">
        <v>20</v>
      </c>
      <c r="B587" s="0" t="s">
        <v>1184</v>
      </c>
      <c r="C587" s="0" t="s">
        <v>1744</v>
      </c>
      <c r="D587" s="0" t="n">
        <v>11</v>
      </c>
    </row>
    <row r="588" customFormat="false" ht="15" hidden="false" customHeight="false" outlineLevel="0" collapsed="false">
      <c r="A588" s="0" t="s">
        <v>20</v>
      </c>
      <c r="B588" s="0" t="s">
        <v>1184</v>
      </c>
      <c r="C588" s="0" t="s">
        <v>1880</v>
      </c>
    </row>
    <row r="589" customFormat="false" ht="15" hidden="false" customHeight="false" outlineLevel="0" collapsed="false">
      <c r="A589" s="0" t="s">
        <v>20</v>
      </c>
      <c r="B589" s="0" t="s">
        <v>1184</v>
      </c>
      <c r="C589" s="0" t="s">
        <v>2173</v>
      </c>
    </row>
    <row r="590" customFormat="false" ht="15" hidden="false" customHeight="false" outlineLevel="0" collapsed="false">
      <c r="A590" s="0" t="s">
        <v>20</v>
      </c>
      <c r="B590" s="0" t="s">
        <v>1190</v>
      </c>
      <c r="C590" s="0" t="s">
        <v>1744</v>
      </c>
      <c r="D590" s="0" t="n">
        <v>500000</v>
      </c>
    </row>
    <row r="591" customFormat="false" ht="15" hidden="false" customHeight="false" outlineLevel="0" collapsed="false">
      <c r="A591" s="0" t="s">
        <v>20</v>
      </c>
      <c r="B591" s="0" t="s">
        <v>1190</v>
      </c>
      <c r="C591" s="0" t="s">
        <v>1880</v>
      </c>
    </row>
    <row r="592" customFormat="false" ht="15" hidden="false" customHeight="false" outlineLevel="0" collapsed="false">
      <c r="A592" s="0" t="s">
        <v>20</v>
      </c>
      <c r="B592" s="0" t="s">
        <v>1190</v>
      </c>
      <c r="C592" s="0" t="s">
        <v>2173</v>
      </c>
    </row>
    <row r="593" customFormat="false" ht="15" hidden="false" customHeight="false" outlineLevel="0" collapsed="false">
      <c r="A593" s="0" t="s">
        <v>20</v>
      </c>
      <c r="B593" s="0" t="s">
        <v>1199</v>
      </c>
      <c r="C593" s="0" t="s">
        <v>1744</v>
      </c>
    </row>
    <row r="594" customFormat="false" ht="15" hidden="false" customHeight="false" outlineLevel="0" collapsed="false">
      <c r="A594" s="0" t="s">
        <v>20</v>
      </c>
      <c r="B594" s="0" t="s">
        <v>1199</v>
      </c>
      <c r="C594" s="0" t="s">
        <v>1880</v>
      </c>
      <c r="D594" s="0" t="n">
        <v>1000000</v>
      </c>
    </row>
    <row r="595" customFormat="false" ht="15" hidden="false" customHeight="false" outlineLevel="0" collapsed="false">
      <c r="A595" s="0" t="s">
        <v>20</v>
      </c>
      <c r="B595" s="0" t="s">
        <v>1199</v>
      </c>
      <c r="C595" s="0" t="s">
        <v>2173</v>
      </c>
    </row>
    <row r="596" customFormat="false" ht="15" hidden="false" customHeight="false" outlineLevel="0" collapsed="false">
      <c r="A596" s="0" t="s">
        <v>20</v>
      </c>
      <c r="B596" s="0" t="s">
        <v>1205</v>
      </c>
      <c r="C596" s="0" t="s">
        <v>1744</v>
      </c>
      <c r="D596" s="0" t="n">
        <v>2.2</v>
      </c>
    </row>
    <row r="597" customFormat="false" ht="15" hidden="false" customHeight="false" outlineLevel="0" collapsed="false">
      <c r="A597" s="0" t="s">
        <v>20</v>
      </c>
      <c r="B597" s="0" t="s">
        <v>1205</v>
      </c>
      <c r="C597" s="0" t="s">
        <v>1880</v>
      </c>
    </row>
    <row r="598" customFormat="false" ht="15" hidden="false" customHeight="false" outlineLevel="0" collapsed="false">
      <c r="A598" s="0" t="s">
        <v>20</v>
      </c>
      <c r="B598" s="0" t="s">
        <v>1205</v>
      </c>
      <c r="C598" s="0" t="s">
        <v>2173</v>
      </c>
    </row>
    <row r="599" customFormat="false" ht="15" hidden="false" customHeight="false" outlineLevel="0" collapsed="false">
      <c r="A599" s="0" t="s">
        <v>20</v>
      </c>
      <c r="B599" s="0" t="s">
        <v>1211</v>
      </c>
      <c r="C599" s="0" t="s">
        <v>1744</v>
      </c>
      <c r="D599" s="0" t="n">
        <v>11</v>
      </c>
    </row>
    <row r="600" customFormat="false" ht="15" hidden="false" customHeight="false" outlineLevel="0" collapsed="false">
      <c r="A600" s="0" t="s">
        <v>20</v>
      </c>
      <c r="B600" s="0" t="s">
        <v>1211</v>
      </c>
      <c r="C600" s="0" t="s">
        <v>1880</v>
      </c>
    </row>
    <row r="601" customFormat="false" ht="15" hidden="false" customHeight="false" outlineLevel="0" collapsed="false">
      <c r="A601" s="0" t="s">
        <v>20</v>
      </c>
      <c r="B601" s="0" t="s">
        <v>1211</v>
      </c>
      <c r="C601" s="0" t="s">
        <v>2173</v>
      </c>
    </row>
    <row r="602" customFormat="false" ht="15" hidden="false" customHeight="false" outlineLevel="0" collapsed="false">
      <c r="A602" s="0" t="s">
        <v>20</v>
      </c>
      <c r="B602" s="0" t="s">
        <v>1216</v>
      </c>
      <c r="C602" s="0" t="s">
        <v>1744</v>
      </c>
      <c r="D602" s="0" t="n">
        <v>910</v>
      </c>
    </row>
    <row r="603" customFormat="false" ht="15" hidden="false" customHeight="false" outlineLevel="0" collapsed="false">
      <c r="A603" s="0" t="s">
        <v>20</v>
      </c>
      <c r="B603" s="0" t="s">
        <v>1216</v>
      </c>
      <c r="C603" s="0" t="s">
        <v>1880</v>
      </c>
    </row>
    <row r="604" customFormat="false" ht="15" hidden="false" customHeight="false" outlineLevel="0" collapsed="false">
      <c r="A604" s="0" t="s">
        <v>20</v>
      </c>
      <c r="B604" s="0" t="s">
        <v>1216</v>
      </c>
      <c r="C604" s="0" t="s">
        <v>2173</v>
      </c>
      <c r="D604" s="0" t="n">
        <v>1037</v>
      </c>
    </row>
    <row r="605" customFormat="false" ht="15" hidden="false" customHeight="false" outlineLevel="0" collapsed="false">
      <c r="A605" s="0" t="s">
        <v>20</v>
      </c>
      <c r="B605" s="0" t="s">
        <v>1224</v>
      </c>
      <c r="C605" s="0" t="s">
        <v>1744</v>
      </c>
      <c r="D605" s="0" t="n">
        <v>1925</v>
      </c>
    </row>
    <row r="606" customFormat="false" ht="15" hidden="false" customHeight="false" outlineLevel="0" collapsed="false">
      <c r="A606" s="0" t="s">
        <v>20</v>
      </c>
      <c r="B606" s="0" t="s">
        <v>1224</v>
      </c>
      <c r="C606" s="0" t="s">
        <v>1880</v>
      </c>
    </row>
    <row r="607" customFormat="false" ht="15" hidden="false" customHeight="false" outlineLevel="0" collapsed="false">
      <c r="A607" s="0" t="s">
        <v>20</v>
      </c>
      <c r="B607" s="0" t="s">
        <v>1224</v>
      </c>
      <c r="C607" s="0" t="s">
        <v>2173</v>
      </c>
    </row>
    <row r="608" customFormat="false" ht="15" hidden="false" customHeight="false" outlineLevel="0" collapsed="false">
      <c r="A608" s="0" t="s">
        <v>20</v>
      </c>
      <c r="B608" s="0" t="s">
        <v>1230</v>
      </c>
      <c r="C608" s="0" t="s">
        <v>1744</v>
      </c>
    </row>
    <row r="609" customFormat="false" ht="15" hidden="false" customHeight="false" outlineLevel="0" collapsed="false">
      <c r="A609" s="0" t="s">
        <v>20</v>
      </c>
      <c r="B609" s="0" t="s">
        <v>1230</v>
      </c>
      <c r="C609" s="0" t="s">
        <v>1880</v>
      </c>
    </row>
    <row r="610" customFormat="false" ht="15" hidden="false" customHeight="false" outlineLevel="0" collapsed="false">
      <c r="A610" s="0" t="s">
        <v>20</v>
      </c>
      <c r="B610" s="0" t="s">
        <v>1230</v>
      </c>
      <c r="C610" s="0" t="s">
        <v>2173</v>
      </c>
      <c r="D610" s="0" t="n">
        <v>5</v>
      </c>
    </row>
    <row r="611" customFormat="false" ht="15" hidden="false" customHeight="false" outlineLevel="0" collapsed="false">
      <c r="A611" s="0" t="s">
        <v>20</v>
      </c>
      <c r="B611" s="0" t="s">
        <v>1236</v>
      </c>
      <c r="C611" s="0" t="s">
        <v>1744</v>
      </c>
    </row>
    <row r="612" customFormat="false" ht="15" hidden="false" customHeight="false" outlineLevel="0" collapsed="false">
      <c r="A612" s="0" t="s">
        <v>20</v>
      </c>
      <c r="B612" s="0" t="s">
        <v>1236</v>
      </c>
      <c r="C612" s="0" t="s">
        <v>1880</v>
      </c>
      <c r="D612" s="0" t="n">
        <v>100</v>
      </c>
    </row>
    <row r="613" customFormat="false" ht="15" hidden="false" customHeight="false" outlineLevel="0" collapsed="false">
      <c r="A613" s="0" t="s">
        <v>20</v>
      </c>
      <c r="B613" s="0" t="s">
        <v>1236</v>
      </c>
      <c r="C613" s="0" t="s">
        <v>2173</v>
      </c>
    </row>
    <row r="614" customFormat="false" ht="15" hidden="false" customHeight="false" outlineLevel="0" collapsed="false">
      <c r="A614" s="0" t="s">
        <v>20</v>
      </c>
      <c r="B614" s="0" t="s">
        <v>1241</v>
      </c>
      <c r="C614" s="0" t="s">
        <v>1744</v>
      </c>
      <c r="D614" s="0" t="n">
        <v>1</v>
      </c>
    </row>
    <row r="615" customFormat="false" ht="15" hidden="false" customHeight="false" outlineLevel="0" collapsed="false">
      <c r="A615" s="0" t="s">
        <v>20</v>
      </c>
      <c r="B615" s="0" t="s">
        <v>1241</v>
      </c>
      <c r="C615" s="0" t="s">
        <v>1880</v>
      </c>
    </row>
    <row r="616" customFormat="false" ht="15" hidden="false" customHeight="false" outlineLevel="0" collapsed="false">
      <c r="A616" s="0" t="s">
        <v>20</v>
      </c>
      <c r="B616" s="0" t="s">
        <v>1241</v>
      </c>
      <c r="C616" s="0" t="s">
        <v>2173</v>
      </c>
    </row>
    <row r="617" customFormat="false" ht="15" hidden="false" customHeight="false" outlineLevel="0" collapsed="false">
      <c r="A617" s="0" t="s">
        <v>20</v>
      </c>
      <c r="B617" s="0" t="s">
        <v>1247</v>
      </c>
      <c r="C617" s="0" t="s">
        <v>1744</v>
      </c>
    </row>
    <row r="618" customFormat="false" ht="15" hidden="false" customHeight="false" outlineLevel="0" collapsed="false">
      <c r="A618" s="0" t="s">
        <v>20</v>
      </c>
      <c r="B618" s="0" t="s">
        <v>1247</v>
      </c>
      <c r="C618" s="0" t="s">
        <v>1880</v>
      </c>
      <c r="D618" s="0" t="n">
        <v>1000000</v>
      </c>
    </row>
    <row r="619" customFormat="false" ht="15" hidden="false" customHeight="false" outlineLevel="0" collapsed="false">
      <c r="A619" s="0" t="s">
        <v>20</v>
      </c>
      <c r="B619" s="0" t="s">
        <v>1247</v>
      </c>
      <c r="C619" s="0" t="s">
        <v>2173</v>
      </c>
    </row>
    <row r="620" customFormat="false" ht="15" hidden="false" customHeight="false" outlineLevel="0" collapsed="false">
      <c r="A620" s="0" t="s">
        <v>20</v>
      </c>
      <c r="B620" s="0" t="s">
        <v>1251</v>
      </c>
      <c r="C620" s="0" t="s">
        <v>1744</v>
      </c>
    </row>
    <row r="621" customFormat="false" ht="15" hidden="false" customHeight="false" outlineLevel="0" collapsed="false">
      <c r="A621" s="0" t="s">
        <v>20</v>
      </c>
      <c r="B621" s="0" t="s">
        <v>1251</v>
      </c>
      <c r="C621" s="0" t="s">
        <v>1880</v>
      </c>
    </row>
    <row r="622" customFormat="false" ht="15" hidden="false" customHeight="false" outlineLevel="0" collapsed="false">
      <c r="A622" s="0" t="s">
        <v>20</v>
      </c>
      <c r="B622" s="0" t="s">
        <v>1251</v>
      </c>
      <c r="C622" s="0" t="s">
        <v>2173</v>
      </c>
    </row>
    <row r="623" customFormat="false" ht="15" hidden="false" customHeight="false" outlineLevel="0" collapsed="false">
      <c r="A623" s="0" t="s">
        <v>20</v>
      </c>
      <c r="B623" s="0" t="s">
        <v>1255</v>
      </c>
      <c r="C623" s="0" t="s">
        <v>1744</v>
      </c>
      <c r="D623" s="0" t="n">
        <v>5</v>
      </c>
    </row>
    <row r="624" customFormat="false" ht="15" hidden="false" customHeight="false" outlineLevel="0" collapsed="false">
      <c r="A624" s="0" t="s">
        <v>20</v>
      </c>
      <c r="B624" s="0" t="s">
        <v>1255</v>
      </c>
      <c r="C624" s="0" t="s">
        <v>1880</v>
      </c>
    </row>
    <row r="625" customFormat="false" ht="15" hidden="false" customHeight="false" outlineLevel="0" collapsed="false">
      <c r="A625" s="0" t="s">
        <v>20</v>
      </c>
      <c r="B625" s="0" t="s">
        <v>1255</v>
      </c>
      <c r="C625" s="0" t="s">
        <v>2173</v>
      </c>
    </row>
    <row r="626" customFormat="false" ht="15" hidden="false" customHeight="false" outlineLevel="0" collapsed="false">
      <c r="A626" s="0" t="s">
        <v>20</v>
      </c>
      <c r="B626" s="0" t="s">
        <v>1264</v>
      </c>
      <c r="C626" s="0" t="s">
        <v>1744</v>
      </c>
      <c r="D626" s="0" t="n">
        <v>30</v>
      </c>
    </row>
    <row r="627" customFormat="false" ht="15" hidden="false" customHeight="false" outlineLevel="0" collapsed="false">
      <c r="A627" s="0" t="s">
        <v>20</v>
      </c>
      <c r="B627" s="0" t="s">
        <v>1264</v>
      </c>
      <c r="C627" s="0" t="s">
        <v>1880</v>
      </c>
    </row>
    <row r="628" customFormat="false" ht="15" hidden="false" customHeight="false" outlineLevel="0" collapsed="false">
      <c r="A628" s="0" t="s">
        <v>20</v>
      </c>
      <c r="B628" s="0" t="s">
        <v>1264</v>
      </c>
      <c r="C628" s="0" t="s">
        <v>2173</v>
      </c>
    </row>
    <row r="629" customFormat="false" ht="15" hidden="false" customHeight="false" outlineLevel="0" collapsed="false">
      <c r="A629" s="0" t="s">
        <v>20</v>
      </c>
      <c r="B629" s="0" t="s">
        <v>1274</v>
      </c>
      <c r="C629" s="0" t="s">
        <v>1744</v>
      </c>
    </row>
    <row r="630" customFormat="false" ht="15" hidden="false" customHeight="false" outlineLevel="0" collapsed="false">
      <c r="A630" s="0" t="s">
        <v>20</v>
      </c>
      <c r="B630" s="0" t="s">
        <v>1274</v>
      </c>
      <c r="C630" s="0" t="s">
        <v>1880</v>
      </c>
    </row>
    <row r="631" customFormat="false" ht="15" hidden="false" customHeight="false" outlineLevel="0" collapsed="false">
      <c r="A631" s="0" t="s">
        <v>20</v>
      </c>
      <c r="B631" s="0" t="s">
        <v>1274</v>
      </c>
      <c r="C631" s="0" t="s">
        <v>2173</v>
      </c>
      <c r="D631" s="0" t="n">
        <v>1</v>
      </c>
    </row>
    <row r="632" customFormat="false" ht="15" hidden="false" customHeight="false" outlineLevel="0" collapsed="false">
      <c r="A632" s="0" t="s">
        <v>20</v>
      </c>
      <c r="B632" s="0" t="s">
        <v>1280</v>
      </c>
      <c r="C632" s="0" t="s">
        <v>1744</v>
      </c>
      <c r="D632" s="0" t="n">
        <v>31.4</v>
      </c>
    </row>
    <row r="633" customFormat="false" ht="15" hidden="false" customHeight="false" outlineLevel="0" collapsed="false">
      <c r="A633" s="0" t="s">
        <v>20</v>
      </c>
      <c r="B633" s="0" t="s">
        <v>1280</v>
      </c>
      <c r="C633" s="0" t="s">
        <v>1880</v>
      </c>
    </row>
    <row r="634" customFormat="false" ht="15" hidden="false" customHeight="false" outlineLevel="0" collapsed="false">
      <c r="A634" s="0" t="s">
        <v>20</v>
      </c>
      <c r="B634" s="0" t="s">
        <v>1280</v>
      </c>
      <c r="C634" s="0" t="s">
        <v>2173</v>
      </c>
    </row>
    <row r="635" customFormat="false" ht="15" hidden="false" customHeight="false" outlineLevel="0" collapsed="false">
      <c r="A635" s="0" t="s">
        <v>20</v>
      </c>
      <c r="B635" s="0" t="s">
        <v>1289</v>
      </c>
      <c r="C635" s="0" t="s">
        <v>1744</v>
      </c>
      <c r="D635" s="0" t="n">
        <v>50</v>
      </c>
    </row>
    <row r="636" customFormat="false" ht="15" hidden="false" customHeight="false" outlineLevel="0" collapsed="false">
      <c r="A636" s="0" t="s">
        <v>20</v>
      </c>
      <c r="B636" s="0" t="s">
        <v>1289</v>
      </c>
      <c r="C636" s="0" t="s">
        <v>1880</v>
      </c>
    </row>
    <row r="637" customFormat="false" ht="15" hidden="false" customHeight="false" outlineLevel="0" collapsed="false">
      <c r="A637" s="0" t="s">
        <v>20</v>
      </c>
      <c r="B637" s="0" t="s">
        <v>1289</v>
      </c>
      <c r="C637" s="0" t="s">
        <v>2173</v>
      </c>
    </row>
    <row r="638" customFormat="false" ht="15" hidden="false" customHeight="false" outlineLevel="0" collapsed="false">
      <c r="A638" s="0" t="s">
        <v>20</v>
      </c>
      <c r="B638" s="0" t="s">
        <v>1298</v>
      </c>
      <c r="C638" s="0" t="s">
        <v>1744</v>
      </c>
    </row>
    <row r="639" customFormat="false" ht="15" hidden="false" customHeight="false" outlineLevel="0" collapsed="false">
      <c r="A639" s="0" t="s">
        <v>20</v>
      </c>
      <c r="B639" s="0" t="s">
        <v>1298</v>
      </c>
      <c r="C639" s="0" t="s">
        <v>1880</v>
      </c>
      <c r="D639" s="0" t="n">
        <v>168</v>
      </c>
    </row>
    <row r="640" customFormat="false" ht="15" hidden="false" customHeight="false" outlineLevel="0" collapsed="false">
      <c r="A640" s="0" t="s">
        <v>20</v>
      </c>
      <c r="B640" s="0" t="s">
        <v>1298</v>
      </c>
      <c r="C640" s="0" t="s">
        <v>2173</v>
      </c>
      <c r="D640" s="0" t="n">
        <v>360</v>
      </c>
    </row>
    <row r="641" customFormat="false" ht="15" hidden="false" customHeight="false" outlineLevel="0" collapsed="false">
      <c r="A641" s="0" t="s">
        <v>20</v>
      </c>
      <c r="B641" s="0" t="s">
        <v>1305</v>
      </c>
      <c r="C641" s="0" t="s">
        <v>1744</v>
      </c>
      <c r="D641" s="0" t="n">
        <v>245</v>
      </c>
    </row>
    <row r="642" customFormat="false" ht="15" hidden="false" customHeight="false" outlineLevel="0" collapsed="false">
      <c r="A642" s="0" t="s">
        <v>20</v>
      </c>
      <c r="B642" s="0" t="s">
        <v>1305</v>
      </c>
      <c r="C642" s="0" t="s">
        <v>1880</v>
      </c>
    </row>
    <row r="643" customFormat="false" ht="15" hidden="false" customHeight="false" outlineLevel="0" collapsed="false">
      <c r="A643" s="0" t="s">
        <v>20</v>
      </c>
      <c r="B643" s="0" t="s">
        <v>1305</v>
      </c>
      <c r="C643" s="0" t="s">
        <v>2173</v>
      </c>
    </row>
    <row r="644" customFormat="false" ht="15" hidden="false" customHeight="false" outlineLevel="0" collapsed="false">
      <c r="A644" s="0" t="s">
        <v>20</v>
      </c>
      <c r="B644" s="0" t="s">
        <v>1314</v>
      </c>
      <c r="C644" s="0" t="s">
        <v>1744</v>
      </c>
      <c r="D644" s="0" t="n">
        <v>7</v>
      </c>
    </row>
    <row r="645" customFormat="false" ht="15" hidden="false" customHeight="false" outlineLevel="0" collapsed="false">
      <c r="A645" s="0" t="s">
        <v>20</v>
      </c>
      <c r="B645" s="0" t="s">
        <v>1314</v>
      </c>
      <c r="C645" s="0" t="s">
        <v>1880</v>
      </c>
    </row>
    <row r="646" customFormat="false" ht="15" hidden="false" customHeight="false" outlineLevel="0" collapsed="false">
      <c r="A646" s="0" t="s">
        <v>20</v>
      </c>
      <c r="B646" s="0" t="s">
        <v>1314</v>
      </c>
      <c r="C646" s="0" t="s">
        <v>2173</v>
      </c>
      <c r="D646" s="0" t="n">
        <v>17.7</v>
      </c>
    </row>
    <row r="647" customFormat="false" ht="15" hidden="false" customHeight="false" outlineLevel="0" collapsed="false">
      <c r="A647" s="0" t="s">
        <v>20</v>
      </c>
      <c r="B647" s="0" t="s">
        <v>1321</v>
      </c>
      <c r="C647" s="0" t="s">
        <v>1744</v>
      </c>
    </row>
    <row r="648" customFormat="false" ht="15" hidden="false" customHeight="false" outlineLevel="0" collapsed="false">
      <c r="A648" s="0" t="s">
        <v>20</v>
      </c>
      <c r="B648" s="0" t="s">
        <v>1321</v>
      </c>
      <c r="C648" s="0" t="s">
        <v>1880</v>
      </c>
      <c r="D648" s="0" t="n">
        <v>0.245</v>
      </c>
    </row>
    <row r="649" customFormat="false" ht="15" hidden="false" customHeight="false" outlineLevel="0" collapsed="false">
      <c r="A649" s="0" t="s">
        <v>20</v>
      </c>
      <c r="B649" s="0" t="s">
        <v>1321</v>
      </c>
      <c r="C649" s="0" t="s">
        <v>2173</v>
      </c>
      <c r="D649" s="0" t="n">
        <v>2.295</v>
      </c>
    </row>
    <row r="650" customFormat="false" ht="15" hidden="false" customHeight="false" outlineLevel="0" collapsed="false">
      <c r="A650" s="0" t="s">
        <v>20</v>
      </c>
      <c r="B650" s="0" t="s">
        <v>1326</v>
      </c>
      <c r="C650" s="0" t="s">
        <v>1744</v>
      </c>
      <c r="D650" s="0" t="n">
        <v>401</v>
      </c>
    </row>
    <row r="651" customFormat="false" ht="15" hidden="false" customHeight="false" outlineLevel="0" collapsed="false">
      <c r="A651" s="0" t="s">
        <v>20</v>
      </c>
      <c r="B651" s="0" t="s">
        <v>1326</v>
      </c>
      <c r="C651" s="0" t="s">
        <v>1880</v>
      </c>
    </row>
    <row r="652" customFormat="false" ht="15" hidden="false" customHeight="false" outlineLevel="0" collapsed="false">
      <c r="A652" s="0" t="s">
        <v>20</v>
      </c>
      <c r="B652" s="0" t="s">
        <v>1326</v>
      </c>
      <c r="C652" s="0" t="s">
        <v>2173</v>
      </c>
    </row>
    <row r="653" customFormat="false" ht="15" hidden="false" customHeight="false" outlineLevel="0" collapsed="false">
      <c r="A653" s="0" t="s">
        <v>20</v>
      </c>
      <c r="B653" s="0" t="s">
        <v>1335</v>
      </c>
      <c r="C653" s="0" t="s">
        <v>1744</v>
      </c>
      <c r="D653" s="0" t="n">
        <v>19</v>
      </c>
    </row>
    <row r="654" customFormat="false" ht="15" hidden="false" customHeight="false" outlineLevel="0" collapsed="false">
      <c r="A654" s="0" t="s">
        <v>20</v>
      </c>
      <c r="B654" s="0" t="s">
        <v>1335</v>
      </c>
      <c r="C654" s="0" t="s">
        <v>1880</v>
      </c>
    </row>
    <row r="655" customFormat="false" ht="15" hidden="false" customHeight="false" outlineLevel="0" collapsed="false">
      <c r="A655" s="0" t="s">
        <v>20</v>
      </c>
      <c r="B655" s="0" t="s">
        <v>1335</v>
      </c>
      <c r="C655" s="0" t="s">
        <v>2173</v>
      </c>
    </row>
    <row r="656" customFormat="false" ht="15" hidden="false" customHeight="false" outlineLevel="0" collapsed="false">
      <c r="A656" s="0" t="s">
        <v>20</v>
      </c>
      <c r="B656" s="0" t="s">
        <v>1341</v>
      </c>
      <c r="C656" s="0" t="s">
        <v>1744</v>
      </c>
      <c r="D656" s="0" t="n">
        <v>191</v>
      </c>
    </row>
    <row r="657" customFormat="false" ht="15" hidden="false" customHeight="false" outlineLevel="0" collapsed="false">
      <c r="A657" s="0" t="s">
        <v>20</v>
      </c>
      <c r="B657" s="0" t="s">
        <v>1341</v>
      </c>
      <c r="C657" s="0" t="s">
        <v>1880</v>
      </c>
      <c r="D657" s="0" t="n">
        <v>96</v>
      </c>
    </row>
    <row r="658" customFormat="false" ht="15" hidden="false" customHeight="false" outlineLevel="0" collapsed="false">
      <c r="A658" s="0" t="s">
        <v>20</v>
      </c>
      <c r="B658" s="0" t="s">
        <v>1341</v>
      </c>
      <c r="C658" s="0" t="s">
        <v>2173</v>
      </c>
    </row>
    <row r="659" customFormat="false" ht="15" hidden="false" customHeight="false" outlineLevel="0" collapsed="false">
      <c r="A659" s="0" t="s">
        <v>20</v>
      </c>
      <c r="B659" s="0" t="s">
        <v>1350</v>
      </c>
      <c r="C659" s="0" t="s">
        <v>1744</v>
      </c>
      <c r="D659" s="0" t="n">
        <v>9.1</v>
      </c>
    </row>
    <row r="660" customFormat="false" ht="15" hidden="false" customHeight="false" outlineLevel="0" collapsed="false">
      <c r="A660" s="0" t="s">
        <v>20</v>
      </c>
      <c r="B660" s="0" t="s">
        <v>1350</v>
      </c>
      <c r="C660" s="0" t="s">
        <v>1880</v>
      </c>
    </row>
    <row r="661" customFormat="false" ht="15" hidden="false" customHeight="false" outlineLevel="0" collapsed="false">
      <c r="A661" s="0" t="s">
        <v>20</v>
      </c>
      <c r="B661" s="0" t="s">
        <v>1350</v>
      </c>
      <c r="C661" s="0" t="s">
        <v>2173</v>
      </c>
      <c r="D661" s="0" t="n">
        <v>16.5</v>
      </c>
    </row>
    <row r="662" customFormat="false" ht="15" hidden="false" customHeight="false" outlineLevel="0" collapsed="false">
      <c r="A662" s="0" t="s">
        <v>20</v>
      </c>
      <c r="B662" s="0" t="s">
        <v>1356</v>
      </c>
      <c r="C662" s="0" t="s">
        <v>1744</v>
      </c>
      <c r="D662" s="0" t="n">
        <v>45</v>
      </c>
    </row>
    <row r="663" customFormat="false" ht="15" hidden="false" customHeight="false" outlineLevel="0" collapsed="false">
      <c r="A663" s="0" t="s">
        <v>20</v>
      </c>
      <c r="B663" s="0" t="s">
        <v>1356</v>
      </c>
      <c r="C663" s="0" t="s">
        <v>1880</v>
      </c>
    </row>
    <row r="664" customFormat="false" ht="15" hidden="false" customHeight="false" outlineLevel="0" collapsed="false">
      <c r="A664" s="0" t="s">
        <v>20</v>
      </c>
      <c r="B664" s="0" t="s">
        <v>1356</v>
      </c>
      <c r="C664" s="0" t="s">
        <v>2173</v>
      </c>
    </row>
    <row r="665" customFormat="false" ht="15" hidden="false" customHeight="false" outlineLevel="0" collapsed="false">
      <c r="A665" s="0" t="s">
        <v>20</v>
      </c>
      <c r="B665" s="0" t="s">
        <v>1366</v>
      </c>
      <c r="C665" s="0" t="s">
        <v>1744</v>
      </c>
      <c r="D665" s="0" t="n">
        <v>460</v>
      </c>
    </row>
    <row r="666" customFormat="false" ht="15" hidden="false" customHeight="false" outlineLevel="0" collapsed="false">
      <c r="A666" s="0" t="s">
        <v>20</v>
      </c>
      <c r="B666" s="0" t="s">
        <v>1366</v>
      </c>
      <c r="C666" s="0" t="s">
        <v>1880</v>
      </c>
    </row>
    <row r="667" customFormat="false" ht="15" hidden="false" customHeight="false" outlineLevel="0" collapsed="false">
      <c r="A667" s="0" t="s">
        <v>20</v>
      </c>
      <c r="B667" s="0" t="s">
        <v>1366</v>
      </c>
      <c r="C667" s="0" t="s">
        <v>2173</v>
      </c>
    </row>
    <row r="668" customFormat="false" ht="15" hidden="false" customHeight="false" outlineLevel="0" collapsed="false">
      <c r="A668" s="0" t="s">
        <v>20</v>
      </c>
      <c r="B668" s="0" t="s">
        <v>1372</v>
      </c>
      <c r="C668" s="0" t="s">
        <v>1744</v>
      </c>
      <c r="D668" s="0" t="n">
        <v>35</v>
      </c>
    </row>
    <row r="669" customFormat="false" ht="15" hidden="false" customHeight="false" outlineLevel="0" collapsed="false">
      <c r="A669" s="0" t="s">
        <v>20</v>
      </c>
      <c r="B669" s="0" t="s">
        <v>1372</v>
      </c>
      <c r="C669" s="0" t="s">
        <v>1880</v>
      </c>
    </row>
    <row r="670" customFormat="false" ht="15" hidden="false" customHeight="false" outlineLevel="0" collapsed="false">
      <c r="A670" s="0" t="s">
        <v>20</v>
      </c>
      <c r="B670" s="0" t="s">
        <v>1372</v>
      </c>
      <c r="C670" s="0" t="s">
        <v>2173</v>
      </c>
    </row>
    <row r="671" customFormat="false" ht="15" hidden="false" customHeight="false" outlineLevel="0" collapsed="false">
      <c r="A671" s="0" t="s">
        <v>20</v>
      </c>
      <c r="B671" s="0" t="s">
        <v>1381</v>
      </c>
      <c r="C671" s="0" t="s">
        <v>1744</v>
      </c>
      <c r="D671" s="0" t="n">
        <v>350</v>
      </c>
    </row>
    <row r="672" customFormat="false" ht="15" hidden="false" customHeight="false" outlineLevel="0" collapsed="false">
      <c r="A672" s="0" t="s">
        <v>20</v>
      </c>
      <c r="B672" s="0" t="s">
        <v>1381</v>
      </c>
      <c r="C672" s="0" t="s">
        <v>1880</v>
      </c>
    </row>
    <row r="673" customFormat="false" ht="15" hidden="false" customHeight="false" outlineLevel="0" collapsed="false">
      <c r="A673" s="0" t="s">
        <v>20</v>
      </c>
      <c r="B673" s="0" t="s">
        <v>1381</v>
      </c>
      <c r="C673" s="0" t="s">
        <v>2173</v>
      </c>
    </row>
    <row r="674" customFormat="false" ht="15" hidden="false" customHeight="false" outlineLevel="0" collapsed="false">
      <c r="A674" s="0" t="s">
        <v>20</v>
      </c>
      <c r="B674" s="0" t="s">
        <v>1388</v>
      </c>
      <c r="C674" s="0" t="s">
        <v>1744</v>
      </c>
    </row>
    <row r="675" customFormat="false" ht="15" hidden="false" customHeight="false" outlineLevel="0" collapsed="false">
      <c r="A675" s="0" t="s">
        <v>20</v>
      </c>
      <c r="B675" s="0" t="s">
        <v>1388</v>
      </c>
      <c r="C675" s="0" t="s">
        <v>1880</v>
      </c>
      <c r="D675" s="0" t="n">
        <v>300</v>
      </c>
    </row>
    <row r="676" customFormat="false" ht="15" hidden="false" customHeight="false" outlineLevel="0" collapsed="false">
      <c r="A676" s="0" t="s">
        <v>20</v>
      </c>
      <c r="B676" s="0" t="s">
        <v>1388</v>
      </c>
      <c r="C676" s="0" t="s">
        <v>2173</v>
      </c>
    </row>
    <row r="677" customFormat="false" ht="15" hidden="false" customHeight="false" outlineLevel="0" collapsed="false">
      <c r="A677" s="0" t="s">
        <v>20</v>
      </c>
      <c r="B677" s="0" t="s">
        <v>1394</v>
      </c>
      <c r="C677" s="0" t="s">
        <v>1744</v>
      </c>
    </row>
    <row r="678" customFormat="false" ht="15" hidden="false" customHeight="false" outlineLevel="0" collapsed="false">
      <c r="A678" s="0" t="s">
        <v>20</v>
      </c>
      <c r="B678" s="0" t="s">
        <v>1394</v>
      </c>
      <c r="C678" s="0" t="s">
        <v>1880</v>
      </c>
      <c r="D678" s="0" t="n">
        <v>220000</v>
      </c>
    </row>
    <row r="679" customFormat="false" ht="15" hidden="false" customHeight="false" outlineLevel="0" collapsed="false">
      <c r="A679" s="0" t="s">
        <v>20</v>
      </c>
      <c r="B679" s="0" t="s">
        <v>1394</v>
      </c>
      <c r="C679" s="0" t="s">
        <v>2173</v>
      </c>
    </row>
    <row r="680" customFormat="false" ht="15" hidden="false" customHeight="false" outlineLevel="0" collapsed="false">
      <c r="A680" s="0" t="s">
        <v>20</v>
      </c>
      <c r="B680" s="0" t="s">
        <v>1399</v>
      </c>
      <c r="C680" s="0" t="s">
        <v>1744</v>
      </c>
      <c r="D680" s="0" t="n">
        <v>1.25</v>
      </c>
    </row>
    <row r="681" customFormat="false" ht="15" hidden="false" customHeight="false" outlineLevel="0" collapsed="false">
      <c r="A681" s="0" t="s">
        <v>20</v>
      </c>
      <c r="B681" s="0" t="s">
        <v>1399</v>
      </c>
      <c r="C681" s="0" t="s">
        <v>1880</v>
      </c>
    </row>
    <row r="682" customFormat="false" ht="15" hidden="false" customHeight="false" outlineLevel="0" collapsed="false">
      <c r="A682" s="0" t="s">
        <v>20</v>
      </c>
      <c r="B682" s="0" t="s">
        <v>1399</v>
      </c>
      <c r="C682" s="0" t="s">
        <v>2173</v>
      </c>
    </row>
    <row r="683" customFormat="false" ht="15" hidden="false" customHeight="false" outlineLevel="0" collapsed="false">
      <c r="A683" s="0" t="s">
        <v>20</v>
      </c>
      <c r="B683" s="0" t="s">
        <v>1407</v>
      </c>
      <c r="C683" s="0" t="s">
        <v>1744</v>
      </c>
      <c r="D683" s="0" t="n">
        <v>180</v>
      </c>
    </row>
    <row r="684" customFormat="false" ht="15" hidden="false" customHeight="false" outlineLevel="0" collapsed="false">
      <c r="A684" s="0" t="s">
        <v>20</v>
      </c>
      <c r="B684" s="0" t="s">
        <v>1407</v>
      </c>
      <c r="C684" s="0" t="s">
        <v>1880</v>
      </c>
    </row>
    <row r="685" customFormat="false" ht="15" hidden="false" customHeight="false" outlineLevel="0" collapsed="false">
      <c r="A685" s="0" t="s">
        <v>20</v>
      </c>
      <c r="B685" s="0" t="s">
        <v>1407</v>
      </c>
      <c r="C685" s="0" t="s">
        <v>2173</v>
      </c>
    </row>
    <row r="686" customFormat="false" ht="15" hidden="false" customHeight="false" outlineLevel="0" collapsed="false">
      <c r="A686" s="0" t="s">
        <v>20</v>
      </c>
      <c r="B686" s="0" t="s">
        <v>1417</v>
      </c>
      <c r="C686" s="0" t="s">
        <v>1744</v>
      </c>
    </row>
    <row r="687" customFormat="false" ht="15" hidden="false" customHeight="false" outlineLevel="0" collapsed="false">
      <c r="A687" s="0" t="s">
        <v>20</v>
      </c>
      <c r="B687" s="0" t="s">
        <v>1417</v>
      </c>
      <c r="C687" s="0" t="s">
        <v>1880</v>
      </c>
    </row>
    <row r="688" customFormat="false" ht="15" hidden="false" customHeight="false" outlineLevel="0" collapsed="false">
      <c r="A688" s="0" t="s">
        <v>20</v>
      </c>
      <c r="B688" s="0" t="s">
        <v>1417</v>
      </c>
      <c r="C688" s="0" t="s">
        <v>2173</v>
      </c>
      <c r="D688" s="0" t="n">
        <v>84.5</v>
      </c>
    </row>
    <row r="689" customFormat="false" ht="15" hidden="false" customHeight="false" outlineLevel="0" collapsed="false">
      <c r="A689" s="0" t="s">
        <v>20</v>
      </c>
      <c r="B689" s="0" t="s">
        <v>1426</v>
      </c>
      <c r="C689" s="0" t="s">
        <v>1744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20</v>
      </c>
      <c r="B690" s="0" t="s">
        <v>1426</v>
      </c>
      <c r="C690" s="0" t="s">
        <v>1880</v>
      </c>
    </row>
    <row r="691" customFormat="false" ht="15" hidden="false" customHeight="false" outlineLevel="0" collapsed="false">
      <c r="A691" s="0" t="s">
        <v>20</v>
      </c>
      <c r="B691" s="0" t="s">
        <v>1426</v>
      </c>
      <c r="C691" s="0" t="s">
        <v>2173</v>
      </c>
    </row>
    <row r="692" customFormat="false" ht="15" hidden="false" customHeight="false" outlineLevel="0" collapsed="false">
      <c r="A692" s="0" t="s">
        <v>20</v>
      </c>
      <c r="B692" s="0" t="s">
        <v>1432</v>
      </c>
      <c r="C692" s="0" t="s">
        <v>1744</v>
      </c>
    </row>
    <row r="693" customFormat="false" ht="15" hidden="false" customHeight="false" outlineLevel="0" collapsed="false">
      <c r="A693" s="0" t="s">
        <v>20</v>
      </c>
      <c r="B693" s="0" t="s">
        <v>1432</v>
      </c>
      <c r="C693" s="0" t="s">
        <v>1880</v>
      </c>
    </row>
    <row r="694" customFormat="false" ht="15" hidden="false" customHeight="false" outlineLevel="0" collapsed="false">
      <c r="A694" s="0" t="s">
        <v>20</v>
      </c>
      <c r="B694" s="0" t="s">
        <v>1432</v>
      </c>
      <c r="C694" s="0" t="s">
        <v>2173</v>
      </c>
      <c r="D694" s="0" t="n">
        <v>2</v>
      </c>
    </row>
    <row r="695" customFormat="false" ht="15" hidden="false" customHeight="false" outlineLevel="0" collapsed="false">
      <c r="A695" s="0" t="s">
        <v>20</v>
      </c>
      <c r="B695" s="0" t="s">
        <v>1441</v>
      </c>
      <c r="C695" s="0" t="s">
        <v>1744</v>
      </c>
    </row>
    <row r="696" customFormat="false" ht="15" hidden="false" customHeight="false" outlineLevel="0" collapsed="false">
      <c r="A696" s="0" t="s">
        <v>20</v>
      </c>
      <c r="B696" s="0" t="s">
        <v>1441</v>
      </c>
      <c r="C696" s="0" t="s">
        <v>1880</v>
      </c>
      <c r="D696" s="0" t="n">
        <v>20</v>
      </c>
    </row>
    <row r="697" customFormat="false" ht="15" hidden="false" customHeight="false" outlineLevel="0" collapsed="false">
      <c r="A697" s="0" t="s">
        <v>20</v>
      </c>
      <c r="B697" s="0" t="s">
        <v>1441</v>
      </c>
      <c r="C697" s="0" t="s">
        <v>2173</v>
      </c>
    </row>
    <row r="698" customFormat="false" ht="15" hidden="false" customHeight="false" outlineLevel="0" collapsed="false">
      <c r="A698" s="0" t="s">
        <v>20</v>
      </c>
      <c r="B698" s="0" t="s">
        <v>1447</v>
      </c>
      <c r="C698" s="0" t="s">
        <v>1744</v>
      </c>
    </row>
    <row r="699" customFormat="false" ht="15" hidden="false" customHeight="false" outlineLevel="0" collapsed="false">
      <c r="A699" s="0" t="s">
        <v>20</v>
      </c>
      <c r="B699" s="0" t="s">
        <v>1447</v>
      </c>
      <c r="C699" s="0" t="s">
        <v>1880</v>
      </c>
    </row>
    <row r="700" customFormat="false" ht="15" hidden="false" customHeight="false" outlineLevel="0" collapsed="false">
      <c r="A700" s="0" t="s">
        <v>20</v>
      </c>
      <c r="B700" s="0" t="s">
        <v>1447</v>
      </c>
      <c r="C700" s="0" t="s">
        <v>2173</v>
      </c>
    </row>
    <row r="701" customFormat="false" ht="15" hidden="false" customHeight="false" outlineLevel="0" collapsed="false">
      <c r="A701" s="0" t="s">
        <v>20</v>
      </c>
      <c r="B701" s="0" t="s">
        <v>1456</v>
      </c>
      <c r="C701" s="0" t="s">
        <v>1744</v>
      </c>
      <c r="D701" s="0" t="n">
        <v>1.8</v>
      </c>
    </row>
    <row r="702" customFormat="false" ht="15" hidden="false" customHeight="false" outlineLevel="0" collapsed="false">
      <c r="A702" s="0" t="s">
        <v>20</v>
      </c>
      <c r="B702" s="0" t="s">
        <v>1456</v>
      </c>
      <c r="C702" s="0" t="s">
        <v>1880</v>
      </c>
    </row>
    <row r="703" customFormat="false" ht="15" hidden="false" customHeight="false" outlineLevel="0" collapsed="false">
      <c r="A703" s="0" t="s">
        <v>20</v>
      </c>
      <c r="B703" s="0" t="s">
        <v>1456</v>
      </c>
      <c r="C703" s="0" t="s">
        <v>2173</v>
      </c>
    </row>
    <row r="704" customFormat="false" ht="15" hidden="false" customHeight="false" outlineLevel="0" collapsed="false">
      <c r="A704" s="0" t="s">
        <v>20</v>
      </c>
      <c r="B704" s="0" t="s">
        <v>1466</v>
      </c>
      <c r="C704" s="0" t="s">
        <v>1744</v>
      </c>
    </row>
    <row r="705" customFormat="false" ht="15" hidden="false" customHeight="false" outlineLevel="0" collapsed="false">
      <c r="A705" s="0" t="s">
        <v>20</v>
      </c>
      <c r="B705" s="0" t="s">
        <v>1466</v>
      </c>
      <c r="C705" s="0" t="s">
        <v>1880</v>
      </c>
    </row>
    <row r="706" customFormat="false" ht="15" hidden="false" customHeight="false" outlineLevel="0" collapsed="false">
      <c r="A706" s="0" t="s">
        <v>20</v>
      </c>
      <c r="B706" s="0" t="s">
        <v>1466</v>
      </c>
      <c r="C706" s="0" t="s">
        <v>2173</v>
      </c>
    </row>
    <row r="707" customFormat="false" ht="15" hidden="false" customHeight="false" outlineLevel="0" collapsed="false">
      <c r="A707" s="0" t="s">
        <v>20</v>
      </c>
      <c r="B707" s="0" t="s">
        <v>1474</v>
      </c>
      <c r="C707" s="0" t="s">
        <v>1744</v>
      </c>
      <c r="D707" s="0" t="n">
        <v>10</v>
      </c>
    </row>
    <row r="708" customFormat="false" ht="15" hidden="false" customHeight="false" outlineLevel="0" collapsed="false">
      <c r="A708" s="0" t="s">
        <v>20</v>
      </c>
      <c r="B708" s="0" t="s">
        <v>1474</v>
      </c>
      <c r="C708" s="0" t="s">
        <v>1880</v>
      </c>
    </row>
    <row r="709" customFormat="false" ht="15" hidden="false" customHeight="false" outlineLevel="0" collapsed="false">
      <c r="A709" s="0" t="s">
        <v>20</v>
      </c>
      <c r="B709" s="0" t="s">
        <v>1474</v>
      </c>
      <c r="C709" s="0" t="s">
        <v>2173</v>
      </c>
    </row>
    <row r="710" customFormat="false" ht="15" hidden="false" customHeight="false" outlineLevel="0" collapsed="false">
      <c r="A710" s="0" t="s">
        <v>20</v>
      </c>
      <c r="B710" s="0" t="s">
        <v>1482</v>
      </c>
      <c r="C710" s="0" t="s">
        <v>1744</v>
      </c>
      <c r="D710" s="0" t="n">
        <v>133</v>
      </c>
    </row>
    <row r="711" customFormat="false" ht="15" hidden="false" customHeight="false" outlineLevel="0" collapsed="false">
      <c r="A711" s="0" t="s">
        <v>20</v>
      </c>
      <c r="B711" s="0" t="s">
        <v>1482</v>
      </c>
      <c r="C711" s="0" t="s">
        <v>1880</v>
      </c>
    </row>
    <row r="712" customFormat="false" ht="15" hidden="false" customHeight="false" outlineLevel="0" collapsed="false">
      <c r="A712" s="0" t="s">
        <v>20</v>
      </c>
      <c r="B712" s="0" t="s">
        <v>1482</v>
      </c>
      <c r="C712" s="0" t="s">
        <v>2173</v>
      </c>
    </row>
    <row r="713" customFormat="false" ht="15" hidden="false" customHeight="false" outlineLevel="0" collapsed="false">
      <c r="A713" s="0" t="s">
        <v>20</v>
      </c>
      <c r="B713" s="0" t="s">
        <v>1490</v>
      </c>
      <c r="C713" s="0" t="s">
        <v>1744</v>
      </c>
      <c r="D713" s="0" t="n">
        <v>500</v>
      </c>
    </row>
    <row r="714" customFormat="false" ht="15" hidden="false" customHeight="false" outlineLevel="0" collapsed="false">
      <c r="A714" s="0" t="s">
        <v>20</v>
      </c>
      <c r="B714" s="0" t="s">
        <v>1490</v>
      </c>
      <c r="C714" s="0" t="s">
        <v>1880</v>
      </c>
    </row>
    <row r="715" customFormat="false" ht="15" hidden="false" customHeight="false" outlineLevel="0" collapsed="false">
      <c r="A715" s="0" t="s">
        <v>20</v>
      </c>
      <c r="B715" s="0" t="s">
        <v>1490</v>
      </c>
      <c r="C715" s="0" t="s">
        <v>2173</v>
      </c>
      <c r="D715" s="0" t="n">
        <v>7700</v>
      </c>
    </row>
    <row r="716" customFormat="false" ht="15" hidden="false" customHeight="false" outlineLevel="0" collapsed="false">
      <c r="A716" s="0" t="s">
        <v>20</v>
      </c>
      <c r="B716" s="0" t="s">
        <v>1500</v>
      </c>
      <c r="C716" s="0" t="s">
        <v>1744</v>
      </c>
      <c r="D716" s="0" t="n">
        <v>15</v>
      </c>
    </row>
    <row r="717" customFormat="false" ht="15" hidden="false" customHeight="false" outlineLevel="0" collapsed="false">
      <c r="A717" s="0" t="s">
        <v>20</v>
      </c>
      <c r="B717" s="0" t="s">
        <v>1500</v>
      </c>
      <c r="C717" s="0" t="s">
        <v>1880</v>
      </c>
    </row>
    <row r="718" customFormat="false" ht="15" hidden="false" customHeight="false" outlineLevel="0" collapsed="false">
      <c r="A718" s="0" t="s">
        <v>20</v>
      </c>
      <c r="B718" s="0" t="s">
        <v>1500</v>
      </c>
      <c r="C718" s="0" t="s">
        <v>2173</v>
      </c>
    </row>
    <row r="719" customFormat="false" ht="15" hidden="false" customHeight="false" outlineLevel="0" collapsed="false">
      <c r="A719" s="0" t="s">
        <v>20</v>
      </c>
      <c r="B719" s="0" t="s">
        <v>1507</v>
      </c>
      <c r="C719" s="0" t="s">
        <v>1744</v>
      </c>
      <c r="D719" s="0" t="n">
        <v>207</v>
      </c>
    </row>
    <row r="720" customFormat="false" ht="15" hidden="false" customHeight="false" outlineLevel="0" collapsed="false">
      <c r="A720" s="0" t="s">
        <v>20</v>
      </c>
      <c r="B720" s="0" t="s">
        <v>1507</v>
      </c>
      <c r="C720" s="0" t="s">
        <v>1880</v>
      </c>
      <c r="D720" s="0" t="n">
        <v>168</v>
      </c>
    </row>
    <row r="721" customFormat="false" ht="15" hidden="false" customHeight="false" outlineLevel="0" collapsed="false">
      <c r="A721" s="0" t="s">
        <v>20</v>
      </c>
      <c r="B721" s="0" t="s">
        <v>1507</v>
      </c>
      <c r="C721" s="0" t="s">
        <v>2173</v>
      </c>
    </row>
    <row r="722" customFormat="false" ht="15" hidden="false" customHeight="false" outlineLevel="0" collapsed="false">
      <c r="A722" s="0" t="s">
        <v>20</v>
      </c>
      <c r="B722" s="0" t="s">
        <v>1514</v>
      </c>
      <c r="C722" s="0" t="s">
        <v>1744</v>
      </c>
    </row>
    <row r="723" customFormat="false" ht="15" hidden="false" customHeight="false" outlineLevel="0" collapsed="false">
      <c r="A723" s="0" t="s">
        <v>20</v>
      </c>
      <c r="B723" s="0" t="s">
        <v>1514</v>
      </c>
      <c r="C723" s="0" t="s">
        <v>1880</v>
      </c>
    </row>
    <row r="724" customFormat="false" ht="15" hidden="false" customHeight="false" outlineLevel="0" collapsed="false">
      <c r="A724" s="0" t="s">
        <v>20</v>
      </c>
      <c r="B724" s="0" t="s">
        <v>1514</v>
      </c>
      <c r="C724" s="0" t="s">
        <v>2173</v>
      </c>
      <c r="D724" s="0" t="n">
        <v>517</v>
      </c>
    </row>
    <row r="725" customFormat="false" ht="15" hidden="false" customHeight="false" outlineLevel="0" collapsed="false">
      <c r="A725" s="0" t="s">
        <v>20</v>
      </c>
      <c r="B725" s="0" t="s">
        <v>1524</v>
      </c>
      <c r="C725" s="0" t="s">
        <v>1744</v>
      </c>
    </row>
    <row r="726" customFormat="false" ht="15" hidden="false" customHeight="false" outlineLevel="0" collapsed="false">
      <c r="A726" s="0" t="s">
        <v>20</v>
      </c>
      <c r="B726" s="0" t="s">
        <v>1524</v>
      </c>
      <c r="C726" s="0" t="s">
        <v>1880</v>
      </c>
      <c r="D726" s="0" t="n">
        <v>14.8</v>
      </c>
    </row>
    <row r="727" customFormat="false" ht="15" hidden="false" customHeight="false" outlineLevel="0" collapsed="false">
      <c r="A727" s="0" t="s">
        <v>20</v>
      </c>
      <c r="B727" s="0" t="s">
        <v>1524</v>
      </c>
      <c r="C727" s="0" t="s">
        <v>2173</v>
      </c>
    </row>
    <row r="728" customFormat="false" ht="15" hidden="false" customHeight="false" outlineLevel="0" collapsed="false">
      <c r="A728" s="0" t="s">
        <v>20</v>
      </c>
      <c r="B728" s="0" t="s">
        <v>1531</v>
      </c>
      <c r="C728" s="0" t="s">
        <v>1744</v>
      </c>
    </row>
    <row r="729" customFormat="false" ht="15" hidden="false" customHeight="false" outlineLevel="0" collapsed="false">
      <c r="A729" s="0" t="s">
        <v>20</v>
      </c>
      <c r="B729" s="0" t="s">
        <v>1531</v>
      </c>
      <c r="C729" s="0" t="s">
        <v>1880</v>
      </c>
      <c r="D729" s="0" t="n">
        <v>16</v>
      </c>
    </row>
    <row r="730" customFormat="false" ht="15" hidden="false" customHeight="false" outlineLevel="0" collapsed="false">
      <c r="A730" s="0" t="s">
        <v>20</v>
      </c>
      <c r="B730" s="0" t="s">
        <v>1531</v>
      </c>
      <c r="C730" s="0" t="s">
        <v>2173</v>
      </c>
      <c r="D730" s="0" t="n">
        <v>17</v>
      </c>
    </row>
    <row r="731" customFormat="false" ht="15" hidden="false" customHeight="false" outlineLevel="0" collapsed="false">
      <c r="A731" s="0" t="s">
        <v>20</v>
      </c>
      <c r="B731" s="0" t="s">
        <v>1538</v>
      </c>
      <c r="C731" s="0" t="s">
        <v>1744</v>
      </c>
      <c r="D731" s="0" t="n">
        <v>180</v>
      </c>
    </row>
    <row r="732" customFormat="false" ht="15" hidden="false" customHeight="false" outlineLevel="0" collapsed="false">
      <c r="A732" s="0" t="s">
        <v>20</v>
      </c>
      <c r="B732" s="0" t="s">
        <v>1538</v>
      </c>
      <c r="C732" s="0" t="s">
        <v>1880</v>
      </c>
    </row>
    <row r="733" customFormat="false" ht="15" hidden="false" customHeight="false" outlineLevel="0" collapsed="false">
      <c r="A733" s="0" t="s">
        <v>20</v>
      </c>
      <c r="B733" s="0" t="s">
        <v>1538</v>
      </c>
      <c r="C733" s="0" t="s">
        <v>2173</v>
      </c>
    </row>
    <row r="734" customFormat="false" ht="15" hidden="false" customHeight="false" outlineLevel="0" collapsed="false">
      <c r="A734" s="0" t="s">
        <v>20</v>
      </c>
      <c r="B734" s="0" t="s">
        <v>1546</v>
      </c>
      <c r="C734" s="0" t="s">
        <v>1744</v>
      </c>
      <c r="D734" s="0" t="n">
        <v>518</v>
      </c>
    </row>
    <row r="735" customFormat="false" ht="15" hidden="false" customHeight="false" outlineLevel="0" collapsed="false">
      <c r="A735" s="0" t="s">
        <v>20</v>
      </c>
      <c r="B735" s="0" t="s">
        <v>1546</v>
      </c>
      <c r="C735" s="0" t="s">
        <v>1880</v>
      </c>
    </row>
    <row r="736" customFormat="false" ht="15" hidden="false" customHeight="false" outlineLevel="0" collapsed="false">
      <c r="A736" s="0" t="s">
        <v>20</v>
      </c>
      <c r="B736" s="0" t="s">
        <v>1546</v>
      </c>
      <c r="C736" s="0" t="s">
        <v>2173</v>
      </c>
    </row>
    <row r="737" customFormat="false" ht="15" hidden="false" customHeight="false" outlineLevel="0" collapsed="false">
      <c r="A737" s="0" t="s">
        <v>20</v>
      </c>
      <c r="B737" s="0" t="s">
        <v>1553</v>
      </c>
      <c r="C737" s="0" t="s">
        <v>1744</v>
      </c>
      <c r="D737" s="0" t="n">
        <v>0.8</v>
      </c>
    </row>
    <row r="738" customFormat="false" ht="15" hidden="false" customHeight="false" outlineLevel="0" collapsed="false">
      <c r="A738" s="0" t="s">
        <v>20</v>
      </c>
      <c r="B738" s="0" t="s">
        <v>1553</v>
      </c>
      <c r="C738" s="0" t="s">
        <v>1880</v>
      </c>
    </row>
    <row r="739" customFormat="false" ht="15" hidden="false" customHeight="false" outlineLevel="0" collapsed="false">
      <c r="A739" s="0" t="s">
        <v>20</v>
      </c>
      <c r="B739" s="0" t="s">
        <v>1553</v>
      </c>
      <c r="C739" s="0" t="s">
        <v>2173</v>
      </c>
    </row>
    <row r="740" customFormat="false" ht="15" hidden="false" customHeight="false" outlineLevel="0" collapsed="false">
      <c r="A740" s="0" t="s">
        <v>20</v>
      </c>
      <c r="B740" s="0" t="s">
        <v>1558</v>
      </c>
      <c r="C740" s="0" t="s">
        <v>1744</v>
      </c>
    </row>
    <row r="741" customFormat="false" ht="15" hidden="false" customHeight="false" outlineLevel="0" collapsed="false">
      <c r="A741" s="0" t="s">
        <v>20</v>
      </c>
      <c r="B741" s="0" t="s">
        <v>1558</v>
      </c>
      <c r="C741" s="0" t="s">
        <v>1880</v>
      </c>
      <c r="D741" s="0" t="n">
        <v>111.1</v>
      </c>
    </row>
    <row r="742" customFormat="false" ht="15" hidden="false" customHeight="false" outlineLevel="0" collapsed="false">
      <c r="A742" s="0" t="s">
        <v>20</v>
      </c>
      <c r="B742" s="0" t="s">
        <v>1558</v>
      </c>
      <c r="C742" s="0" t="s">
        <v>2173</v>
      </c>
    </row>
    <row r="743" customFormat="false" ht="15" hidden="false" customHeight="false" outlineLevel="0" collapsed="false">
      <c r="A743" s="0" t="s">
        <v>20</v>
      </c>
      <c r="B743" s="0" t="s">
        <v>1565</v>
      </c>
      <c r="C743" s="0" t="s">
        <v>1744</v>
      </c>
      <c r="D743" s="0" t="n">
        <v>110</v>
      </c>
    </row>
    <row r="744" customFormat="false" ht="15" hidden="false" customHeight="false" outlineLevel="0" collapsed="false">
      <c r="A744" s="0" t="s">
        <v>20</v>
      </c>
      <c r="B744" s="0" t="s">
        <v>1565</v>
      </c>
      <c r="C744" s="0" t="s">
        <v>1880</v>
      </c>
    </row>
    <row r="745" customFormat="false" ht="15" hidden="false" customHeight="false" outlineLevel="0" collapsed="false">
      <c r="A745" s="0" t="s">
        <v>20</v>
      </c>
      <c r="B745" s="0" t="s">
        <v>1565</v>
      </c>
      <c r="C745" s="0" t="s">
        <v>2173</v>
      </c>
    </row>
    <row r="746" customFormat="false" ht="15" hidden="false" customHeight="false" outlineLevel="0" collapsed="false">
      <c r="A746" s="0" t="s">
        <v>20</v>
      </c>
      <c r="B746" s="0" t="s">
        <v>1570</v>
      </c>
      <c r="C746" s="0" t="s">
        <v>1744</v>
      </c>
      <c r="D746" s="0" t="n">
        <v>161.2</v>
      </c>
    </row>
    <row r="747" customFormat="false" ht="15" hidden="false" customHeight="false" outlineLevel="0" collapsed="false">
      <c r="A747" s="0" t="s">
        <v>20</v>
      </c>
      <c r="B747" s="0" t="s">
        <v>1570</v>
      </c>
      <c r="C747" s="0" t="s">
        <v>1880</v>
      </c>
    </row>
    <row r="748" customFormat="false" ht="15" hidden="false" customHeight="false" outlineLevel="0" collapsed="false">
      <c r="A748" s="0" t="s">
        <v>20</v>
      </c>
      <c r="B748" s="0" t="s">
        <v>1570</v>
      </c>
      <c r="C748" s="0" t="s">
        <v>2173</v>
      </c>
    </row>
    <row r="749" customFormat="false" ht="15" hidden="false" customHeight="false" outlineLevel="0" collapsed="false">
      <c r="A749" s="0" t="s">
        <v>20</v>
      </c>
      <c r="B749" s="0" t="s">
        <v>1575</v>
      </c>
      <c r="C749" s="0" t="s">
        <v>1744</v>
      </c>
      <c r="D749" s="0" t="n">
        <v>125.2</v>
      </c>
    </row>
    <row r="750" customFormat="false" ht="15" hidden="false" customHeight="false" outlineLevel="0" collapsed="false">
      <c r="A750" s="0" t="s">
        <v>20</v>
      </c>
      <c r="B750" s="0" t="s">
        <v>1575</v>
      </c>
      <c r="C750" s="0" t="s">
        <v>1880</v>
      </c>
    </row>
    <row r="751" customFormat="false" ht="15" hidden="false" customHeight="false" outlineLevel="0" collapsed="false">
      <c r="A751" s="0" t="s">
        <v>20</v>
      </c>
      <c r="B751" s="0" t="s">
        <v>1575</v>
      </c>
      <c r="C751" s="0" t="s">
        <v>2173</v>
      </c>
    </row>
    <row r="752" customFormat="false" ht="15" hidden="false" customHeight="false" outlineLevel="0" collapsed="false">
      <c r="A752" s="0" t="s">
        <v>20</v>
      </c>
      <c r="B752" s="0" t="s">
        <v>1582</v>
      </c>
      <c r="C752" s="0" t="s">
        <v>1744</v>
      </c>
    </row>
    <row r="753" customFormat="false" ht="15" hidden="false" customHeight="false" outlineLevel="0" collapsed="false">
      <c r="A753" s="0" t="s">
        <v>20</v>
      </c>
      <c r="B753" s="0" t="s">
        <v>1582</v>
      </c>
      <c r="C753" s="0" t="s">
        <v>1880</v>
      </c>
    </row>
    <row r="754" customFormat="false" ht="15" hidden="false" customHeight="false" outlineLevel="0" collapsed="false">
      <c r="A754" s="0" t="s">
        <v>20</v>
      </c>
      <c r="B754" s="0" t="s">
        <v>1582</v>
      </c>
      <c r="C754" s="0" t="s">
        <v>2173</v>
      </c>
      <c r="D754" s="0" t="n">
        <v>42</v>
      </c>
    </row>
    <row r="755" customFormat="false" ht="15" hidden="false" customHeight="false" outlineLevel="0" collapsed="false">
      <c r="A755" s="0" t="s">
        <v>20</v>
      </c>
      <c r="B755" s="0" t="s">
        <v>1589</v>
      </c>
      <c r="C755" s="0" t="s">
        <v>1744</v>
      </c>
      <c r="D755" s="0" t="n">
        <v>7.33</v>
      </c>
    </row>
    <row r="756" customFormat="false" ht="15" hidden="false" customHeight="false" outlineLevel="0" collapsed="false">
      <c r="A756" s="0" t="s">
        <v>20</v>
      </c>
      <c r="B756" s="0" t="s">
        <v>1589</v>
      </c>
      <c r="C756" s="0" t="s">
        <v>1880</v>
      </c>
    </row>
    <row r="757" customFormat="false" ht="15" hidden="false" customHeight="false" outlineLevel="0" collapsed="false">
      <c r="A757" s="0" t="s">
        <v>20</v>
      </c>
      <c r="B757" s="0" t="s">
        <v>1589</v>
      </c>
      <c r="C757" s="0" t="s">
        <v>2173</v>
      </c>
    </row>
    <row r="758" customFormat="false" ht="15" hidden="false" customHeight="false" outlineLevel="0" collapsed="false">
      <c r="A758" s="0" t="s">
        <v>20</v>
      </c>
      <c r="B758" s="0" t="s">
        <v>1596</v>
      </c>
      <c r="C758" s="0" t="s">
        <v>1744</v>
      </c>
      <c r="D758" s="0" t="n">
        <v>4.1</v>
      </c>
    </row>
    <row r="759" customFormat="false" ht="15" hidden="false" customHeight="false" outlineLevel="0" collapsed="false">
      <c r="A759" s="0" t="s">
        <v>20</v>
      </c>
      <c r="B759" s="0" t="s">
        <v>1596</v>
      </c>
      <c r="C759" s="0" t="s">
        <v>1880</v>
      </c>
    </row>
    <row r="760" customFormat="false" ht="15" hidden="false" customHeight="false" outlineLevel="0" collapsed="false">
      <c r="A760" s="0" t="s">
        <v>20</v>
      </c>
      <c r="B760" s="0" t="s">
        <v>1596</v>
      </c>
      <c r="C760" s="0" t="s">
        <v>2173</v>
      </c>
    </row>
    <row r="761" customFormat="false" ht="15" hidden="false" customHeight="false" outlineLevel="0" collapsed="false">
      <c r="A761" s="0" t="s">
        <v>20</v>
      </c>
      <c r="B761" s="0" t="s">
        <v>1603</v>
      </c>
      <c r="C761" s="0" t="s">
        <v>1744</v>
      </c>
      <c r="D761" s="0" t="n">
        <v>0.23</v>
      </c>
    </row>
    <row r="762" customFormat="false" ht="15" hidden="false" customHeight="false" outlineLevel="0" collapsed="false">
      <c r="A762" s="0" t="s">
        <v>20</v>
      </c>
      <c r="B762" s="0" t="s">
        <v>1603</v>
      </c>
      <c r="C762" s="0" t="s">
        <v>1880</v>
      </c>
    </row>
    <row r="763" customFormat="false" ht="15" hidden="false" customHeight="false" outlineLevel="0" collapsed="false">
      <c r="A763" s="0" t="s">
        <v>20</v>
      </c>
      <c r="B763" s="0" t="s">
        <v>1603</v>
      </c>
      <c r="C763" s="0" t="s">
        <v>2173</v>
      </c>
    </row>
    <row r="764" customFormat="false" ht="15" hidden="false" customHeight="false" outlineLevel="0" collapsed="false">
      <c r="A764" s="0" t="s">
        <v>20</v>
      </c>
      <c r="B764" s="0" t="s">
        <v>1607</v>
      </c>
      <c r="C764" s="0" t="s">
        <v>1744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20</v>
      </c>
      <c r="B765" s="0" t="s">
        <v>1607</v>
      </c>
      <c r="C765" s="0" t="s">
        <v>1880</v>
      </c>
    </row>
    <row r="766" customFormat="false" ht="15" hidden="false" customHeight="false" outlineLevel="0" collapsed="false">
      <c r="A766" s="0" t="s">
        <v>20</v>
      </c>
      <c r="B766" s="0" t="s">
        <v>1607</v>
      </c>
      <c r="C766" s="0" t="s">
        <v>2173</v>
      </c>
    </row>
    <row r="767" customFormat="false" ht="15" hidden="false" customHeight="false" outlineLevel="0" collapsed="false">
      <c r="A767" s="0" t="s">
        <v>20</v>
      </c>
      <c r="B767" s="0" t="s">
        <v>1612</v>
      </c>
      <c r="C767" s="0" t="s">
        <v>1744</v>
      </c>
      <c r="D767" s="0" t="n">
        <v>1.359</v>
      </c>
    </row>
    <row r="768" customFormat="false" ht="15" hidden="false" customHeight="false" outlineLevel="0" collapsed="false">
      <c r="A768" s="0" t="s">
        <v>20</v>
      </c>
      <c r="B768" s="0" t="s">
        <v>1612</v>
      </c>
      <c r="C768" s="0" t="s">
        <v>1880</v>
      </c>
    </row>
    <row r="769" customFormat="false" ht="15" hidden="false" customHeight="false" outlineLevel="0" collapsed="false">
      <c r="A769" s="0" t="s">
        <v>20</v>
      </c>
      <c r="B769" s="0" t="s">
        <v>1612</v>
      </c>
      <c r="C769" s="0" t="s">
        <v>2173</v>
      </c>
    </row>
    <row r="770" customFormat="false" ht="15" hidden="false" customHeight="false" outlineLevel="0" collapsed="false">
      <c r="A770" s="0" t="s">
        <v>20</v>
      </c>
      <c r="B770" s="0" t="s">
        <v>1620</v>
      </c>
      <c r="C770" s="0" t="s">
        <v>1744</v>
      </c>
      <c r="D770" s="0" t="n">
        <v>2.66</v>
      </c>
    </row>
    <row r="771" customFormat="false" ht="15" hidden="false" customHeight="false" outlineLevel="0" collapsed="false">
      <c r="A771" s="0" t="s">
        <v>20</v>
      </c>
      <c r="B771" s="0" t="s">
        <v>1620</v>
      </c>
      <c r="C771" s="0" t="s">
        <v>1880</v>
      </c>
    </row>
    <row r="772" customFormat="false" ht="15" hidden="false" customHeight="false" outlineLevel="0" collapsed="false">
      <c r="A772" s="0" t="s">
        <v>20</v>
      </c>
      <c r="B772" s="0" t="s">
        <v>1620</v>
      </c>
      <c r="C772" s="0" t="s">
        <v>2173</v>
      </c>
    </row>
    <row r="773" customFormat="false" ht="15" hidden="false" customHeight="false" outlineLevel="0" collapsed="false">
      <c r="A773" s="0" t="s">
        <v>20</v>
      </c>
      <c r="B773" s="0" t="s">
        <v>1626</v>
      </c>
      <c r="C773" s="0" t="s">
        <v>1744</v>
      </c>
      <c r="D773" s="0" t="n">
        <v>12</v>
      </c>
    </row>
    <row r="774" customFormat="false" ht="15" hidden="false" customHeight="false" outlineLevel="0" collapsed="false">
      <c r="A774" s="0" t="s">
        <v>20</v>
      </c>
      <c r="B774" s="0" t="s">
        <v>1626</v>
      </c>
      <c r="C774" s="0" t="s">
        <v>1880</v>
      </c>
    </row>
    <row r="775" customFormat="false" ht="15" hidden="false" customHeight="false" outlineLevel="0" collapsed="false">
      <c r="A775" s="0" t="s">
        <v>20</v>
      </c>
      <c r="B775" s="0" t="s">
        <v>1626</v>
      </c>
      <c r="C775" s="0" t="s">
        <v>2173</v>
      </c>
    </row>
    <row r="776" customFormat="false" ht="15" hidden="false" customHeight="false" outlineLevel="0" collapsed="false">
      <c r="A776" s="0" t="s">
        <v>20</v>
      </c>
      <c r="B776" s="0" t="s">
        <v>1634</v>
      </c>
      <c r="C776" s="0" t="s">
        <v>1744</v>
      </c>
      <c r="D776" s="0" t="n">
        <v>7</v>
      </c>
    </row>
    <row r="777" customFormat="false" ht="15" hidden="false" customHeight="false" outlineLevel="0" collapsed="false">
      <c r="A777" s="0" t="s">
        <v>20</v>
      </c>
      <c r="B777" s="0" t="s">
        <v>1634</v>
      </c>
      <c r="C777" s="0" t="s">
        <v>1880</v>
      </c>
    </row>
    <row r="778" customFormat="false" ht="15" hidden="false" customHeight="false" outlineLevel="0" collapsed="false">
      <c r="A778" s="0" t="s">
        <v>20</v>
      </c>
      <c r="B778" s="0" t="s">
        <v>1634</v>
      </c>
      <c r="C778" s="0" t="s">
        <v>2173</v>
      </c>
    </row>
    <row r="779" customFormat="false" ht="15" hidden="false" customHeight="false" outlineLevel="0" collapsed="false">
      <c r="A779" s="0" t="s">
        <v>20</v>
      </c>
      <c r="B779" s="0" t="s">
        <v>1639</v>
      </c>
      <c r="C779" s="0" t="s">
        <v>1744</v>
      </c>
    </row>
    <row r="780" customFormat="false" ht="15" hidden="false" customHeight="false" outlineLevel="0" collapsed="false">
      <c r="A780" s="0" t="s">
        <v>20</v>
      </c>
      <c r="B780" s="0" t="s">
        <v>1639</v>
      </c>
      <c r="C780" s="0" t="s">
        <v>1880</v>
      </c>
      <c r="D780" s="0" t="n">
        <v>100</v>
      </c>
    </row>
    <row r="781" customFormat="false" ht="15" hidden="false" customHeight="false" outlineLevel="0" collapsed="false">
      <c r="A781" s="0" t="s">
        <v>20</v>
      </c>
      <c r="B781" s="0" t="s">
        <v>1639</v>
      </c>
      <c r="C781" s="0" t="s">
        <v>2173</v>
      </c>
    </row>
    <row r="782" customFormat="false" ht="15" hidden="false" customHeight="false" outlineLevel="0" collapsed="false">
      <c r="A782" s="0" t="s">
        <v>20</v>
      </c>
      <c r="B782" s="0" t="s">
        <v>1647</v>
      </c>
      <c r="C782" s="0" t="s">
        <v>1744</v>
      </c>
    </row>
    <row r="783" customFormat="false" ht="15" hidden="false" customHeight="false" outlineLevel="0" collapsed="false">
      <c r="A783" s="0" t="s">
        <v>20</v>
      </c>
      <c r="B783" s="0" t="s">
        <v>1647</v>
      </c>
      <c r="C783" s="0" t="s">
        <v>1880</v>
      </c>
    </row>
    <row r="784" customFormat="false" ht="15" hidden="false" customHeight="false" outlineLevel="0" collapsed="false">
      <c r="A784" s="0" t="s">
        <v>20</v>
      </c>
      <c r="B784" s="0" t="s">
        <v>1647</v>
      </c>
      <c r="C784" s="0" t="s">
        <v>2173</v>
      </c>
      <c r="D784" s="0" t="n">
        <v>100</v>
      </c>
    </row>
    <row r="785" customFormat="false" ht="15" hidden="false" customHeight="false" outlineLevel="0" collapsed="false">
      <c r="A785" s="0" t="s">
        <v>20</v>
      </c>
      <c r="B785" s="0" t="s">
        <v>1655</v>
      </c>
      <c r="C785" s="0" t="s">
        <v>1744</v>
      </c>
      <c r="D785" s="0" t="n">
        <v>30</v>
      </c>
    </row>
    <row r="786" customFormat="false" ht="15" hidden="false" customHeight="false" outlineLevel="0" collapsed="false">
      <c r="A786" s="0" t="s">
        <v>20</v>
      </c>
      <c r="B786" s="0" t="s">
        <v>1655</v>
      </c>
      <c r="C786" s="0" t="s">
        <v>1880</v>
      </c>
    </row>
    <row r="787" customFormat="false" ht="15" hidden="false" customHeight="false" outlineLevel="0" collapsed="false">
      <c r="A787" s="0" t="s">
        <v>20</v>
      </c>
      <c r="B787" s="0" t="s">
        <v>1655</v>
      </c>
      <c r="C787" s="0" t="s">
        <v>2173</v>
      </c>
    </row>
    <row r="788" customFormat="false" ht="15" hidden="false" customHeight="false" outlineLevel="0" collapsed="false">
      <c r="A788" s="0" t="s">
        <v>20</v>
      </c>
      <c r="B788" s="0" t="s">
        <v>1663</v>
      </c>
      <c r="C788" s="0" t="s">
        <v>1744</v>
      </c>
    </row>
    <row r="789" customFormat="false" ht="15" hidden="false" customHeight="false" outlineLevel="0" collapsed="false">
      <c r="A789" s="0" t="s">
        <v>20</v>
      </c>
      <c r="B789" s="0" t="s">
        <v>1663</v>
      </c>
      <c r="C789" s="0" t="s">
        <v>1880</v>
      </c>
      <c r="D789" s="0" t="n">
        <v>80</v>
      </c>
    </row>
    <row r="790" customFormat="false" ht="15" hidden="false" customHeight="false" outlineLevel="0" collapsed="false">
      <c r="A790" s="0" t="s">
        <v>20</v>
      </c>
      <c r="B790" s="0" t="s">
        <v>1663</v>
      </c>
      <c r="C790" s="0" t="s">
        <v>2173</v>
      </c>
    </row>
    <row r="791" customFormat="false" ht="15" hidden="false" customHeight="false" outlineLevel="0" collapsed="false">
      <c r="A791" s="0" t="s">
        <v>20</v>
      </c>
      <c r="B791" s="0" t="s">
        <v>1669</v>
      </c>
      <c r="C791" s="0" t="s">
        <v>1744</v>
      </c>
    </row>
    <row r="792" customFormat="false" ht="15" hidden="false" customHeight="false" outlineLevel="0" collapsed="false">
      <c r="A792" s="0" t="s">
        <v>20</v>
      </c>
      <c r="B792" s="0" t="s">
        <v>1669</v>
      </c>
      <c r="C792" s="0" t="s">
        <v>1880</v>
      </c>
    </row>
    <row r="793" customFormat="false" ht="15" hidden="false" customHeight="false" outlineLevel="0" collapsed="false">
      <c r="A793" s="0" t="s">
        <v>20</v>
      </c>
      <c r="B793" s="0" t="s">
        <v>1669</v>
      </c>
      <c r="C793" s="0" t="s">
        <v>2173</v>
      </c>
    </row>
    <row r="794" customFormat="false" ht="15" hidden="false" customHeight="false" outlineLevel="0" collapsed="false">
      <c r="A794" s="0" t="s">
        <v>20</v>
      </c>
      <c r="B794" s="0" t="s">
        <v>1678</v>
      </c>
      <c r="C794" s="0" t="s">
        <v>1744</v>
      </c>
      <c r="D794" s="0" t="n">
        <v>5</v>
      </c>
    </row>
    <row r="795" customFormat="false" ht="15" hidden="false" customHeight="false" outlineLevel="0" collapsed="false">
      <c r="A795" s="0" t="s">
        <v>20</v>
      </c>
      <c r="B795" s="0" t="s">
        <v>1678</v>
      </c>
      <c r="C795" s="0" t="s">
        <v>1880</v>
      </c>
      <c r="D795" s="0" t="n">
        <v>1.4</v>
      </c>
    </row>
    <row r="796" customFormat="false" ht="15" hidden="false" customHeight="false" outlineLevel="0" collapsed="false">
      <c r="A796" s="0" t="s">
        <v>20</v>
      </c>
      <c r="B796" s="0" t="s">
        <v>1678</v>
      </c>
      <c r="C796" s="0" t="s">
        <v>2173</v>
      </c>
      <c r="D796" s="0" t="n">
        <v>15</v>
      </c>
    </row>
    <row r="797" customFormat="false" ht="15" hidden="false" customHeight="false" outlineLevel="0" collapsed="false">
      <c r="A797" s="0" t="s">
        <v>20</v>
      </c>
      <c r="B797" s="0" t="s">
        <v>1687</v>
      </c>
      <c r="C797" s="0" t="s">
        <v>1744</v>
      </c>
      <c r="D797" s="0" t="n">
        <v>10</v>
      </c>
    </row>
    <row r="798" customFormat="false" ht="15" hidden="false" customHeight="false" outlineLevel="0" collapsed="false">
      <c r="A798" s="0" t="s">
        <v>20</v>
      </c>
      <c r="B798" s="0" t="s">
        <v>1687</v>
      </c>
      <c r="C798" s="0" t="s">
        <v>1880</v>
      </c>
      <c r="D798" s="0" t="n">
        <v>9.5</v>
      </c>
    </row>
    <row r="799" customFormat="false" ht="15" hidden="false" customHeight="false" outlineLevel="0" collapsed="false">
      <c r="A799" s="0" t="s">
        <v>20</v>
      </c>
      <c r="B799" s="0" t="s">
        <v>1687</v>
      </c>
      <c r="C799" s="0" t="s">
        <v>2173</v>
      </c>
    </row>
    <row r="800" customFormat="false" ht="15" hidden="false" customHeight="false" outlineLevel="0" collapsed="false">
      <c r="A800" s="0" t="s">
        <v>20</v>
      </c>
      <c r="B800" s="0" t="s">
        <v>1697</v>
      </c>
      <c r="C800" s="0" t="s">
        <v>1744</v>
      </c>
      <c r="D800" s="0" t="n">
        <v>5</v>
      </c>
    </row>
    <row r="801" customFormat="false" ht="15" hidden="false" customHeight="false" outlineLevel="0" collapsed="false">
      <c r="A801" s="0" t="s">
        <v>20</v>
      </c>
      <c r="B801" s="0" t="s">
        <v>1697</v>
      </c>
      <c r="C801" s="0" t="s">
        <v>1880</v>
      </c>
    </row>
    <row r="802" customFormat="false" ht="15" hidden="false" customHeight="false" outlineLevel="0" collapsed="false">
      <c r="A802" s="0" t="s">
        <v>20</v>
      </c>
      <c r="B802" s="0" t="s">
        <v>1697</v>
      </c>
      <c r="C802" s="0" t="s">
        <v>2173</v>
      </c>
    </row>
    <row r="803" customFormat="false" ht="15" hidden="false" customHeight="false" outlineLevel="0" collapsed="false">
      <c r="A803" s="0" t="s">
        <v>20</v>
      </c>
      <c r="B803" s="0" t="s">
        <v>1705</v>
      </c>
      <c r="C803" s="0" t="s">
        <v>1744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20</v>
      </c>
      <c r="B804" s="0" t="s">
        <v>1705</v>
      </c>
      <c r="C804" s="0" t="s">
        <v>1880</v>
      </c>
    </row>
    <row r="805" customFormat="false" ht="15" hidden="false" customHeight="false" outlineLevel="0" collapsed="false">
      <c r="A805" s="0" t="s">
        <v>20</v>
      </c>
      <c r="B805" s="0" t="s">
        <v>1705</v>
      </c>
      <c r="C805" s="0" t="s">
        <v>2173</v>
      </c>
    </row>
    <row r="806" customFormat="false" ht="15" hidden="false" customHeight="false" outlineLevel="0" collapsed="false">
      <c r="A806" s="0" t="s">
        <v>20</v>
      </c>
      <c r="B806" s="0" t="s">
        <v>1710</v>
      </c>
      <c r="C806" s="0" t="s">
        <v>1744</v>
      </c>
      <c r="D806" s="0" t="n">
        <v>1.4</v>
      </c>
    </row>
    <row r="807" customFormat="false" ht="15" hidden="false" customHeight="false" outlineLevel="0" collapsed="false">
      <c r="A807" s="0" t="s">
        <v>20</v>
      </c>
      <c r="B807" s="0" t="s">
        <v>1710</v>
      </c>
      <c r="C807" s="0" t="s">
        <v>1880</v>
      </c>
    </row>
    <row r="808" customFormat="false" ht="15" hidden="false" customHeight="false" outlineLevel="0" collapsed="false">
      <c r="A808" s="0" t="s">
        <v>20</v>
      </c>
      <c r="B808" s="0" t="s">
        <v>1710</v>
      </c>
      <c r="C808" s="0" t="s">
        <v>2173</v>
      </c>
    </row>
    <row r="809" customFormat="false" ht="15" hidden="false" customHeight="false" outlineLevel="0" collapsed="false">
      <c r="A809" s="0" t="s">
        <v>20</v>
      </c>
      <c r="B809" s="0" t="s">
        <v>1717</v>
      </c>
      <c r="C809" s="0" t="s">
        <v>1744</v>
      </c>
      <c r="D809" s="0" t="n">
        <v>11</v>
      </c>
    </row>
    <row r="810" customFormat="false" ht="15" hidden="false" customHeight="false" outlineLevel="0" collapsed="false">
      <c r="A810" s="0" t="s">
        <v>20</v>
      </c>
      <c r="B810" s="0" t="s">
        <v>1717</v>
      </c>
      <c r="C810" s="0" t="s">
        <v>1880</v>
      </c>
    </row>
    <row r="811" customFormat="false" ht="15" hidden="false" customHeight="false" outlineLevel="0" collapsed="false">
      <c r="A811" s="0" t="s">
        <v>20</v>
      </c>
      <c r="B811" s="0" t="s">
        <v>1717</v>
      </c>
      <c r="C811" s="0" t="s">
        <v>2173</v>
      </c>
    </row>
    <row r="812" customFormat="false" ht="15" hidden="false" customHeight="false" outlineLevel="0" collapsed="false">
      <c r="A812" s="0" t="s">
        <v>20</v>
      </c>
      <c r="B812" s="0" t="s">
        <v>1724</v>
      </c>
      <c r="C812" s="0" t="s">
        <v>1744</v>
      </c>
      <c r="D812" s="0" t="n">
        <v>80</v>
      </c>
    </row>
    <row r="813" customFormat="false" ht="15" hidden="false" customHeight="false" outlineLevel="0" collapsed="false">
      <c r="A813" s="0" t="s">
        <v>20</v>
      </c>
      <c r="B813" s="0" t="s">
        <v>1724</v>
      </c>
      <c r="C813" s="0" t="s">
        <v>1880</v>
      </c>
    </row>
    <row r="814" customFormat="false" ht="15" hidden="false" customHeight="false" outlineLevel="0" collapsed="false">
      <c r="A814" s="0" t="s">
        <v>20</v>
      </c>
      <c r="B814" s="0" t="s">
        <v>1724</v>
      </c>
      <c r="C814" s="0" t="s">
        <v>2173</v>
      </c>
    </row>
    <row r="815" customFormat="false" ht="15" hidden="false" customHeight="false" outlineLevel="0" collapsed="false">
      <c r="A815" s="0" t="s">
        <v>20</v>
      </c>
      <c r="B815" s="0" t="s">
        <v>1730</v>
      </c>
      <c r="C815" s="0" t="s">
        <v>1744</v>
      </c>
    </row>
    <row r="816" customFormat="false" ht="15" hidden="false" customHeight="false" outlineLevel="0" collapsed="false">
      <c r="A816" s="0" t="s">
        <v>20</v>
      </c>
      <c r="B816" s="0" t="s">
        <v>1730</v>
      </c>
      <c r="C816" s="0" t="s">
        <v>1880</v>
      </c>
      <c r="D816" s="0" t="n">
        <v>30</v>
      </c>
    </row>
    <row r="817" customFormat="false" ht="15" hidden="false" customHeight="false" outlineLevel="0" collapsed="false">
      <c r="A817" s="0" t="s">
        <v>20</v>
      </c>
      <c r="B817" s="0" t="s">
        <v>1730</v>
      </c>
      <c r="C817" s="0" t="s">
        <v>2173</v>
      </c>
    </row>
    <row r="818" customFormat="false" ht="15" hidden="false" customHeight="false" outlineLevel="0" collapsed="false">
      <c r="A818" s="0" t="s">
        <v>20</v>
      </c>
      <c r="B818" s="0" t="s">
        <v>1735</v>
      </c>
      <c r="C818" s="0" t="s">
        <v>1744</v>
      </c>
      <c r="D818" s="0" t="n">
        <v>200</v>
      </c>
    </row>
    <row r="819" customFormat="false" ht="15" hidden="false" customHeight="false" outlineLevel="0" collapsed="false">
      <c r="A819" s="0" t="s">
        <v>20</v>
      </c>
      <c r="B819" s="0" t="s">
        <v>1735</v>
      </c>
      <c r="C819" s="0" t="s">
        <v>1880</v>
      </c>
    </row>
    <row r="820" customFormat="false" ht="15" hidden="false" customHeight="false" outlineLevel="0" collapsed="false">
      <c r="A820" s="0" t="s">
        <v>20</v>
      </c>
      <c r="B820" s="0" t="s">
        <v>1735</v>
      </c>
      <c r="C820" s="0" t="s">
        <v>2173</v>
      </c>
    </row>
    <row r="821" customFormat="false" ht="15" hidden="false" customHeight="false" outlineLevel="0" collapsed="false">
      <c r="A821" s="0" t="s">
        <v>20</v>
      </c>
      <c r="B821" s="0" t="s">
        <v>1742</v>
      </c>
      <c r="C821" s="0" t="s">
        <v>1744</v>
      </c>
      <c r="D821" s="0" t="n">
        <v>12.65</v>
      </c>
    </row>
    <row r="822" customFormat="false" ht="15" hidden="false" customHeight="false" outlineLevel="0" collapsed="false">
      <c r="A822" s="0" t="s">
        <v>20</v>
      </c>
      <c r="B822" s="0" t="s">
        <v>1742</v>
      </c>
      <c r="C822" s="0" t="s">
        <v>1880</v>
      </c>
    </row>
    <row r="823" customFormat="false" ht="15" hidden="false" customHeight="false" outlineLevel="0" collapsed="false">
      <c r="A823" s="0" t="s">
        <v>20</v>
      </c>
      <c r="B823" s="0" t="s">
        <v>1742</v>
      </c>
      <c r="C823" s="0" t="s">
        <v>2173</v>
      </c>
    </row>
    <row r="824" customFormat="false" ht="15" hidden="false" customHeight="false" outlineLevel="0" collapsed="false">
      <c r="A824" s="0" t="s">
        <v>20</v>
      </c>
      <c r="B824" s="0" t="s">
        <v>1751</v>
      </c>
      <c r="C824" s="0" t="s">
        <v>1744</v>
      </c>
      <c r="D824" s="0" t="n">
        <v>13</v>
      </c>
    </row>
    <row r="825" customFormat="false" ht="15" hidden="false" customHeight="false" outlineLevel="0" collapsed="false">
      <c r="A825" s="0" t="s">
        <v>20</v>
      </c>
      <c r="B825" s="0" t="s">
        <v>1751</v>
      </c>
      <c r="C825" s="0" t="s">
        <v>1880</v>
      </c>
    </row>
    <row r="826" customFormat="false" ht="15" hidden="false" customHeight="false" outlineLevel="0" collapsed="false">
      <c r="A826" s="0" t="s">
        <v>20</v>
      </c>
      <c r="B826" s="0" t="s">
        <v>1751</v>
      </c>
      <c r="C826" s="0" t="s">
        <v>2173</v>
      </c>
    </row>
    <row r="827" customFormat="false" ht="15" hidden="false" customHeight="false" outlineLevel="0" collapsed="false">
      <c r="A827" s="0" t="s">
        <v>20</v>
      </c>
      <c r="B827" s="0" t="s">
        <v>1757</v>
      </c>
      <c r="C827" s="0" t="s">
        <v>1744</v>
      </c>
      <c r="D827" s="0" t="n">
        <v>7.33</v>
      </c>
    </row>
    <row r="828" customFormat="false" ht="15" hidden="false" customHeight="false" outlineLevel="0" collapsed="false">
      <c r="A828" s="0" t="s">
        <v>20</v>
      </c>
      <c r="B828" s="0" t="s">
        <v>1757</v>
      </c>
      <c r="C828" s="0" t="s">
        <v>1880</v>
      </c>
    </row>
    <row r="829" customFormat="false" ht="15" hidden="false" customHeight="false" outlineLevel="0" collapsed="false">
      <c r="A829" s="0" t="s">
        <v>20</v>
      </c>
      <c r="B829" s="0" t="s">
        <v>1757</v>
      </c>
      <c r="C829" s="0" t="s">
        <v>2173</v>
      </c>
    </row>
    <row r="830" customFormat="false" ht="15" hidden="false" customHeight="false" outlineLevel="0" collapsed="false">
      <c r="A830" s="0" t="s">
        <v>20</v>
      </c>
      <c r="B830" s="0" t="s">
        <v>1761</v>
      </c>
      <c r="C830" s="0" t="s">
        <v>1744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20</v>
      </c>
      <c r="B831" s="0" t="s">
        <v>1761</v>
      </c>
      <c r="C831" s="0" t="s">
        <v>1880</v>
      </c>
    </row>
    <row r="832" customFormat="false" ht="15" hidden="false" customHeight="false" outlineLevel="0" collapsed="false">
      <c r="A832" s="0" t="s">
        <v>20</v>
      </c>
      <c r="B832" s="0" t="s">
        <v>1761</v>
      </c>
      <c r="C832" s="0" t="s">
        <v>2173</v>
      </c>
    </row>
    <row r="833" customFormat="false" ht="15" hidden="false" customHeight="false" outlineLevel="0" collapsed="false">
      <c r="A833" s="0" t="s">
        <v>20</v>
      </c>
      <c r="B833" s="0" t="s">
        <v>1766</v>
      </c>
      <c r="C833" s="0" t="s">
        <v>1744</v>
      </c>
      <c r="D833" s="0" t="n">
        <v>8.06</v>
      </c>
    </row>
    <row r="834" customFormat="false" ht="15" hidden="false" customHeight="false" outlineLevel="0" collapsed="false">
      <c r="A834" s="0" t="s">
        <v>20</v>
      </c>
      <c r="B834" s="0" t="s">
        <v>1766</v>
      </c>
      <c r="C834" s="0" t="s">
        <v>1880</v>
      </c>
    </row>
    <row r="835" customFormat="false" ht="15" hidden="false" customHeight="false" outlineLevel="0" collapsed="false">
      <c r="A835" s="0" t="s">
        <v>20</v>
      </c>
      <c r="B835" s="0" t="s">
        <v>1766</v>
      </c>
      <c r="C835" s="0" t="s">
        <v>2173</v>
      </c>
    </row>
    <row r="836" customFormat="false" ht="15" hidden="false" customHeight="false" outlineLevel="0" collapsed="false">
      <c r="A836" s="0" t="s">
        <v>20</v>
      </c>
      <c r="B836" s="0" t="s">
        <v>1770</v>
      </c>
      <c r="C836" s="0" t="s">
        <v>1744</v>
      </c>
      <c r="D836" s="0" t="n">
        <v>2.98</v>
      </c>
    </row>
    <row r="837" customFormat="false" ht="15" hidden="false" customHeight="false" outlineLevel="0" collapsed="false">
      <c r="A837" s="0" t="s">
        <v>20</v>
      </c>
      <c r="B837" s="0" t="s">
        <v>1770</v>
      </c>
      <c r="C837" s="0" t="s">
        <v>1880</v>
      </c>
    </row>
    <row r="838" customFormat="false" ht="15" hidden="false" customHeight="false" outlineLevel="0" collapsed="false">
      <c r="A838" s="0" t="s">
        <v>20</v>
      </c>
      <c r="B838" s="0" t="s">
        <v>1770</v>
      </c>
      <c r="C838" s="0" t="s">
        <v>2173</v>
      </c>
    </row>
    <row r="839" customFormat="false" ht="15" hidden="false" customHeight="false" outlineLevel="0" collapsed="false">
      <c r="A839" s="0" t="s">
        <v>20</v>
      </c>
      <c r="B839" s="0" t="s">
        <v>1775</v>
      </c>
      <c r="C839" s="0" t="s">
        <v>1744</v>
      </c>
      <c r="D839" s="0" t="n">
        <v>42</v>
      </c>
    </row>
    <row r="840" customFormat="false" ht="15" hidden="false" customHeight="false" outlineLevel="0" collapsed="false">
      <c r="A840" s="0" t="s">
        <v>20</v>
      </c>
      <c r="B840" s="0" t="s">
        <v>1775</v>
      </c>
      <c r="C840" s="0" t="s">
        <v>1880</v>
      </c>
    </row>
    <row r="841" customFormat="false" ht="15" hidden="false" customHeight="false" outlineLevel="0" collapsed="false">
      <c r="A841" s="0" t="s">
        <v>20</v>
      </c>
      <c r="B841" s="0" t="s">
        <v>1775</v>
      </c>
      <c r="C841" s="0" t="s">
        <v>2173</v>
      </c>
    </row>
    <row r="842" customFormat="false" ht="15" hidden="false" customHeight="false" outlineLevel="0" collapsed="false">
      <c r="A842" s="0" t="s">
        <v>20</v>
      </c>
      <c r="B842" s="0" t="s">
        <v>1779</v>
      </c>
      <c r="C842" s="0" t="s">
        <v>1744</v>
      </c>
      <c r="D842" s="0" t="n">
        <v>34</v>
      </c>
    </row>
    <row r="843" customFormat="false" ht="15" hidden="false" customHeight="false" outlineLevel="0" collapsed="false">
      <c r="A843" s="0" t="s">
        <v>20</v>
      </c>
      <c r="B843" s="0" t="s">
        <v>1779</v>
      </c>
      <c r="C843" s="0" t="s">
        <v>1880</v>
      </c>
    </row>
    <row r="844" customFormat="false" ht="15" hidden="false" customHeight="false" outlineLevel="0" collapsed="false">
      <c r="A844" s="0" t="s">
        <v>20</v>
      </c>
      <c r="B844" s="0" t="s">
        <v>1779</v>
      </c>
      <c r="C844" s="0" t="s">
        <v>2173</v>
      </c>
    </row>
    <row r="845" customFormat="false" ht="15" hidden="false" customHeight="false" outlineLevel="0" collapsed="false">
      <c r="A845" s="0" t="s">
        <v>20</v>
      </c>
      <c r="B845" s="0" t="s">
        <v>1783</v>
      </c>
      <c r="C845" s="0" t="s">
        <v>1744</v>
      </c>
      <c r="D845" s="0" t="n">
        <v>0.71</v>
      </c>
    </row>
    <row r="846" customFormat="false" ht="15" hidden="false" customHeight="false" outlineLevel="0" collapsed="false">
      <c r="A846" s="0" t="s">
        <v>20</v>
      </c>
      <c r="B846" s="0" t="s">
        <v>1783</v>
      </c>
      <c r="C846" s="0" t="s">
        <v>1880</v>
      </c>
    </row>
    <row r="847" customFormat="false" ht="15" hidden="false" customHeight="false" outlineLevel="0" collapsed="false">
      <c r="A847" s="0" t="s">
        <v>20</v>
      </c>
      <c r="B847" s="0" t="s">
        <v>1783</v>
      </c>
      <c r="C847" s="0" t="s">
        <v>2173</v>
      </c>
    </row>
    <row r="848" customFormat="false" ht="15" hidden="false" customHeight="false" outlineLevel="0" collapsed="false">
      <c r="A848" s="0" t="s">
        <v>20</v>
      </c>
      <c r="B848" s="0" t="s">
        <v>1791</v>
      </c>
      <c r="C848" s="0" t="s">
        <v>1744</v>
      </c>
      <c r="D848" s="0" t="n">
        <v>718</v>
      </c>
    </row>
    <row r="849" customFormat="false" ht="15" hidden="false" customHeight="false" outlineLevel="0" collapsed="false">
      <c r="A849" s="0" t="s">
        <v>20</v>
      </c>
      <c r="B849" s="0" t="s">
        <v>1791</v>
      </c>
      <c r="C849" s="0" t="s">
        <v>1880</v>
      </c>
    </row>
    <row r="850" customFormat="false" ht="15" hidden="false" customHeight="false" outlineLevel="0" collapsed="false">
      <c r="A850" s="0" t="s">
        <v>20</v>
      </c>
      <c r="B850" s="0" t="s">
        <v>1791</v>
      </c>
      <c r="C850" s="0" t="s">
        <v>2173</v>
      </c>
    </row>
    <row r="851" customFormat="false" ht="15" hidden="false" customHeight="false" outlineLevel="0" collapsed="false">
      <c r="A851" s="0" t="s">
        <v>20</v>
      </c>
      <c r="B851" s="0" t="s">
        <v>1798</v>
      </c>
      <c r="C851" s="0" t="s">
        <v>1744</v>
      </c>
      <c r="D851" s="0" t="n">
        <v>1324</v>
      </c>
    </row>
    <row r="852" customFormat="false" ht="15" hidden="false" customHeight="false" outlineLevel="0" collapsed="false">
      <c r="A852" s="0" t="s">
        <v>20</v>
      </c>
      <c r="B852" s="0" t="s">
        <v>1798</v>
      </c>
      <c r="C852" s="0" t="s">
        <v>1880</v>
      </c>
    </row>
    <row r="853" customFormat="false" ht="15" hidden="false" customHeight="false" outlineLevel="0" collapsed="false">
      <c r="A853" s="0" t="s">
        <v>20</v>
      </c>
      <c r="B853" s="0" t="s">
        <v>1798</v>
      </c>
      <c r="C853" s="0" t="s">
        <v>2173</v>
      </c>
    </row>
    <row r="854" customFormat="false" ht="15" hidden="false" customHeight="false" outlineLevel="0" collapsed="false">
      <c r="A854" s="0" t="s">
        <v>20</v>
      </c>
      <c r="B854" s="0" t="s">
        <v>1803</v>
      </c>
      <c r="C854" s="0" t="s">
        <v>1744</v>
      </c>
      <c r="D854" s="0" t="n">
        <v>3089</v>
      </c>
    </row>
    <row r="855" customFormat="false" ht="15" hidden="false" customHeight="false" outlineLevel="0" collapsed="false">
      <c r="A855" s="0" t="s">
        <v>20</v>
      </c>
      <c r="B855" s="0" t="s">
        <v>1803</v>
      </c>
      <c r="C855" s="0" t="s">
        <v>1880</v>
      </c>
    </row>
    <row r="856" customFormat="false" ht="15" hidden="false" customHeight="false" outlineLevel="0" collapsed="false">
      <c r="A856" s="0" t="s">
        <v>20</v>
      </c>
      <c r="B856" s="0" t="s">
        <v>1803</v>
      </c>
      <c r="C856" s="0" t="s">
        <v>2173</v>
      </c>
    </row>
    <row r="857" customFormat="false" ht="15" hidden="false" customHeight="false" outlineLevel="0" collapsed="false">
      <c r="A857" s="0" t="s">
        <v>20</v>
      </c>
      <c r="B857" s="0" t="s">
        <v>1807</v>
      </c>
      <c r="C857" s="0" t="s">
        <v>1744</v>
      </c>
      <c r="D857" s="0" t="n">
        <v>3950</v>
      </c>
    </row>
    <row r="858" customFormat="false" ht="15" hidden="false" customHeight="false" outlineLevel="0" collapsed="false">
      <c r="A858" s="0" t="s">
        <v>20</v>
      </c>
      <c r="B858" s="0" t="s">
        <v>1807</v>
      </c>
      <c r="C858" s="0" t="s">
        <v>1880</v>
      </c>
    </row>
    <row r="859" customFormat="false" ht="15" hidden="false" customHeight="false" outlineLevel="0" collapsed="false">
      <c r="A859" s="0" t="s">
        <v>20</v>
      </c>
      <c r="B859" s="0" t="s">
        <v>1807</v>
      </c>
      <c r="C859" s="0" t="s">
        <v>2173</v>
      </c>
    </row>
    <row r="860" customFormat="false" ht="15" hidden="false" customHeight="false" outlineLevel="0" collapsed="false">
      <c r="A860" s="0" t="s">
        <v>20</v>
      </c>
      <c r="B860" s="0" t="s">
        <v>1810</v>
      </c>
      <c r="C860" s="0" t="s">
        <v>1744</v>
      </c>
    </row>
    <row r="861" customFormat="false" ht="15" hidden="false" customHeight="false" outlineLevel="0" collapsed="false">
      <c r="A861" s="0" t="s">
        <v>20</v>
      </c>
      <c r="B861" s="0" t="s">
        <v>1810</v>
      </c>
      <c r="C861" s="0" t="s">
        <v>1880</v>
      </c>
      <c r="D861" s="0" t="n">
        <v>2500</v>
      </c>
    </row>
    <row r="862" customFormat="false" ht="15" hidden="false" customHeight="false" outlineLevel="0" collapsed="false">
      <c r="A862" s="0" t="s">
        <v>20</v>
      </c>
      <c r="B862" s="0" t="s">
        <v>1810</v>
      </c>
      <c r="C862" s="0" t="s">
        <v>2173</v>
      </c>
      <c r="D862" s="0" t="n">
        <v>5000</v>
      </c>
    </row>
    <row r="863" customFormat="false" ht="15" hidden="false" customHeight="false" outlineLevel="0" collapsed="false">
      <c r="A863" s="0" t="s">
        <v>20</v>
      </c>
      <c r="B863" s="0" t="s">
        <v>1817</v>
      </c>
      <c r="C863" s="0" t="s">
        <v>1744</v>
      </c>
      <c r="D863" s="0" t="n">
        <v>2.5</v>
      </c>
    </row>
    <row r="864" customFormat="false" ht="15" hidden="false" customHeight="false" outlineLevel="0" collapsed="false">
      <c r="A864" s="0" t="s">
        <v>20</v>
      </c>
      <c r="B864" s="0" t="s">
        <v>1817</v>
      </c>
      <c r="C864" s="0" t="s">
        <v>1880</v>
      </c>
    </row>
    <row r="865" customFormat="false" ht="15" hidden="false" customHeight="false" outlineLevel="0" collapsed="false">
      <c r="A865" s="0" t="s">
        <v>20</v>
      </c>
      <c r="B865" s="0" t="s">
        <v>1817</v>
      </c>
      <c r="C865" s="0" t="s">
        <v>2173</v>
      </c>
    </row>
    <row r="866" customFormat="false" ht="15" hidden="false" customHeight="false" outlineLevel="0" collapsed="false">
      <c r="A866" s="0" t="s">
        <v>20</v>
      </c>
      <c r="B866" s="0" t="s">
        <v>1823</v>
      </c>
      <c r="C866" s="0" t="s">
        <v>1744</v>
      </c>
      <c r="D866" s="0" t="n">
        <v>8</v>
      </c>
    </row>
    <row r="867" customFormat="false" ht="15" hidden="false" customHeight="false" outlineLevel="0" collapsed="false">
      <c r="A867" s="0" t="s">
        <v>20</v>
      </c>
      <c r="B867" s="0" t="s">
        <v>1823</v>
      </c>
      <c r="C867" s="0" t="s">
        <v>1880</v>
      </c>
    </row>
    <row r="868" customFormat="false" ht="15" hidden="false" customHeight="false" outlineLevel="0" collapsed="false">
      <c r="A868" s="0" t="s">
        <v>20</v>
      </c>
      <c r="B868" s="0" t="s">
        <v>1823</v>
      </c>
      <c r="C868" s="0" t="s">
        <v>2173</v>
      </c>
    </row>
    <row r="869" customFormat="false" ht="15" hidden="false" customHeight="false" outlineLevel="0" collapsed="false">
      <c r="A869" s="0" t="s">
        <v>20</v>
      </c>
      <c r="B869" s="0" t="s">
        <v>1828</v>
      </c>
      <c r="C869" s="0" t="s">
        <v>1744</v>
      </c>
      <c r="D869" s="0" t="n">
        <v>5.6</v>
      </c>
    </row>
    <row r="870" customFormat="false" ht="15" hidden="false" customHeight="false" outlineLevel="0" collapsed="false">
      <c r="A870" s="0" t="s">
        <v>20</v>
      </c>
      <c r="B870" s="0" t="s">
        <v>1828</v>
      </c>
      <c r="C870" s="0" t="s">
        <v>1880</v>
      </c>
    </row>
    <row r="871" customFormat="false" ht="15" hidden="false" customHeight="false" outlineLevel="0" collapsed="false">
      <c r="A871" s="0" t="s">
        <v>20</v>
      </c>
      <c r="B871" s="0" t="s">
        <v>1828</v>
      </c>
      <c r="C871" s="0" t="s">
        <v>2173</v>
      </c>
    </row>
    <row r="872" customFormat="false" ht="15" hidden="false" customHeight="false" outlineLevel="0" collapsed="false">
      <c r="A872" s="0" t="s">
        <v>20</v>
      </c>
      <c r="B872" s="0" t="s">
        <v>1835</v>
      </c>
      <c r="C872" s="0" t="s">
        <v>1744</v>
      </c>
      <c r="D872" s="0" t="n">
        <v>-0.94</v>
      </c>
    </row>
    <row r="873" customFormat="false" ht="15" hidden="false" customHeight="false" outlineLevel="0" collapsed="false">
      <c r="A873" s="0" t="s">
        <v>20</v>
      </c>
      <c r="B873" s="0" t="s">
        <v>1835</v>
      </c>
      <c r="C873" s="0" t="s">
        <v>1880</v>
      </c>
    </row>
    <row r="874" customFormat="false" ht="15" hidden="false" customHeight="false" outlineLevel="0" collapsed="false">
      <c r="A874" s="0" t="s">
        <v>20</v>
      </c>
      <c r="B874" s="0" t="s">
        <v>1835</v>
      </c>
      <c r="C874" s="0" t="s">
        <v>2173</v>
      </c>
    </row>
    <row r="875" customFormat="false" ht="15" hidden="false" customHeight="false" outlineLevel="0" collapsed="false">
      <c r="A875" s="0" t="s">
        <v>20</v>
      </c>
      <c r="B875" s="0" t="s">
        <v>1841</v>
      </c>
      <c r="C875" s="0" t="s">
        <v>1744</v>
      </c>
      <c r="D875" s="0" t="n">
        <v>0.4</v>
      </c>
    </row>
    <row r="876" customFormat="false" ht="15" hidden="false" customHeight="false" outlineLevel="0" collapsed="false">
      <c r="A876" s="0" t="s">
        <v>20</v>
      </c>
      <c r="B876" s="0" t="s">
        <v>1841</v>
      </c>
      <c r="C876" s="0" t="s">
        <v>1880</v>
      </c>
    </row>
    <row r="877" customFormat="false" ht="15" hidden="false" customHeight="false" outlineLevel="0" collapsed="false">
      <c r="A877" s="0" t="s">
        <v>20</v>
      </c>
      <c r="B877" s="0" t="s">
        <v>1841</v>
      </c>
      <c r="C877" s="0" t="s">
        <v>2173</v>
      </c>
    </row>
    <row r="878" customFormat="false" ht="15" hidden="false" customHeight="false" outlineLevel="0" collapsed="false">
      <c r="A878" s="0" t="s">
        <v>20</v>
      </c>
      <c r="B878" s="0" t="s">
        <v>1846</v>
      </c>
      <c r="C878" s="0" t="s">
        <v>1744</v>
      </c>
      <c r="D878" s="0" t="n">
        <v>0.8</v>
      </c>
    </row>
    <row r="879" customFormat="false" ht="15" hidden="false" customHeight="false" outlineLevel="0" collapsed="false">
      <c r="A879" s="0" t="s">
        <v>20</v>
      </c>
      <c r="B879" s="0" t="s">
        <v>1846</v>
      </c>
      <c r="C879" s="0" t="s">
        <v>1880</v>
      </c>
      <c r="D879" s="0" t="n">
        <v>0.8</v>
      </c>
    </row>
    <row r="880" customFormat="false" ht="15" hidden="false" customHeight="false" outlineLevel="0" collapsed="false">
      <c r="A880" s="0" t="s">
        <v>20</v>
      </c>
      <c r="B880" s="0" t="s">
        <v>1846</v>
      </c>
      <c r="C880" s="0" t="s">
        <v>2173</v>
      </c>
    </row>
    <row r="881" customFormat="false" ht="15" hidden="false" customHeight="false" outlineLevel="0" collapsed="false">
      <c r="A881" s="0" t="s">
        <v>20</v>
      </c>
      <c r="B881" s="0" t="s">
        <v>1853</v>
      </c>
      <c r="C881" s="0" t="s">
        <v>1744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20</v>
      </c>
      <c r="B882" s="0" t="s">
        <v>1853</v>
      </c>
      <c r="C882" s="0" t="s">
        <v>1880</v>
      </c>
    </row>
    <row r="883" customFormat="false" ht="15" hidden="false" customHeight="false" outlineLevel="0" collapsed="false">
      <c r="A883" s="0" t="s">
        <v>20</v>
      </c>
      <c r="B883" s="0" t="s">
        <v>1853</v>
      </c>
      <c r="C883" s="0" t="s">
        <v>2173</v>
      </c>
    </row>
    <row r="884" customFormat="false" ht="15" hidden="false" customHeight="false" outlineLevel="0" collapsed="false">
      <c r="A884" s="0" t="s">
        <v>20</v>
      </c>
      <c r="B884" s="0" t="s">
        <v>1859</v>
      </c>
      <c r="C884" s="0" t="s">
        <v>1744</v>
      </c>
      <c r="D884" s="0" t="n">
        <v>3500</v>
      </c>
    </row>
    <row r="885" customFormat="false" ht="15" hidden="false" customHeight="false" outlineLevel="0" collapsed="false">
      <c r="A885" s="0" t="s">
        <v>20</v>
      </c>
      <c r="B885" s="0" t="s">
        <v>1859</v>
      </c>
      <c r="C885" s="0" t="s">
        <v>1880</v>
      </c>
    </row>
    <row r="886" customFormat="false" ht="15" hidden="false" customHeight="false" outlineLevel="0" collapsed="false">
      <c r="A886" s="0" t="s">
        <v>20</v>
      </c>
      <c r="B886" s="0" t="s">
        <v>1859</v>
      </c>
      <c r="C886" s="0" t="s">
        <v>2173</v>
      </c>
    </row>
    <row r="887" customFormat="false" ht="15" hidden="false" customHeight="false" outlineLevel="0" collapsed="false">
      <c r="A887" s="0" t="s">
        <v>20</v>
      </c>
      <c r="B887" s="0" t="s">
        <v>1866</v>
      </c>
      <c r="C887" s="0" t="s">
        <v>1744</v>
      </c>
      <c r="D887" s="0" t="n">
        <v>0.125</v>
      </c>
    </row>
    <row r="888" customFormat="false" ht="15" hidden="false" customHeight="false" outlineLevel="0" collapsed="false">
      <c r="A888" s="0" t="s">
        <v>20</v>
      </c>
      <c r="B888" s="0" t="s">
        <v>1866</v>
      </c>
      <c r="C888" s="0" t="s">
        <v>1880</v>
      </c>
    </row>
    <row r="889" customFormat="false" ht="15" hidden="false" customHeight="false" outlineLevel="0" collapsed="false">
      <c r="A889" s="0" t="s">
        <v>20</v>
      </c>
      <c r="B889" s="0" t="s">
        <v>1866</v>
      </c>
      <c r="C889" s="0" t="s">
        <v>2173</v>
      </c>
    </row>
    <row r="890" customFormat="false" ht="15" hidden="false" customHeight="false" outlineLevel="0" collapsed="false">
      <c r="A890" s="0" t="s">
        <v>20</v>
      </c>
      <c r="B890" s="0" t="s">
        <v>1873</v>
      </c>
      <c r="C890" s="0" t="s">
        <v>1744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20</v>
      </c>
      <c r="B891" s="0" t="s">
        <v>1873</v>
      </c>
      <c r="C891" s="0" t="s">
        <v>1880</v>
      </c>
    </row>
    <row r="892" customFormat="false" ht="15" hidden="false" customHeight="false" outlineLevel="0" collapsed="false">
      <c r="A892" s="0" t="s">
        <v>20</v>
      </c>
      <c r="B892" s="0" t="s">
        <v>1873</v>
      </c>
      <c r="C892" s="0" t="s">
        <v>2173</v>
      </c>
    </row>
    <row r="893" customFormat="false" ht="15" hidden="false" customHeight="false" outlineLevel="0" collapsed="false">
      <c r="A893" s="0" t="s">
        <v>20</v>
      </c>
      <c r="B893" s="0" t="s">
        <v>1878</v>
      </c>
      <c r="C893" s="0" t="s">
        <v>1744</v>
      </c>
      <c r="D893" s="0" t="n">
        <v>65</v>
      </c>
    </row>
    <row r="894" customFormat="false" ht="15" hidden="false" customHeight="false" outlineLevel="0" collapsed="false">
      <c r="A894" s="0" t="s">
        <v>20</v>
      </c>
      <c r="B894" s="0" t="s">
        <v>1878</v>
      </c>
      <c r="C894" s="0" t="s">
        <v>1880</v>
      </c>
    </row>
    <row r="895" customFormat="false" ht="15" hidden="false" customHeight="false" outlineLevel="0" collapsed="false">
      <c r="A895" s="0" t="s">
        <v>20</v>
      </c>
      <c r="B895" s="0" t="s">
        <v>1878</v>
      </c>
      <c r="C895" s="0" t="s">
        <v>2173</v>
      </c>
    </row>
    <row r="896" customFormat="false" ht="15" hidden="false" customHeight="false" outlineLevel="0" collapsed="false">
      <c r="A896" s="0" t="s">
        <v>20</v>
      </c>
      <c r="B896" s="0" t="s">
        <v>1883</v>
      </c>
      <c r="C896" s="0" t="s">
        <v>1744</v>
      </c>
      <c r="D896" s="0" t="n">
        <v>965</v>
      </c>
    </row>
    <row r="897" customFormat="false" ht="15" hidden="false" customHeight="false" outlineLevel="0" collapsed="false">
      <c r="A897" s="0" t="s">
        <v>20</v>
      </c>
      <c r="B897" s="0" t="s">
        <v>1883</v>
      </c>
      <c r="C897" s="0" t="s">
        <v>1880</v>
      </c>
    </row>
    <row r="898" customFormat="false" ht="15" hidden="false" customHeight="false" outlineLevel="0" collapsed="false">
      <c r="A898" s="0" t="s">
        <v>20</v>
      </c>
      <c r="B898" s="0" t="s">
        <v>1883</v>
      </c>
      <c r="C898" s="0" t="s">
        <v>2173</v>
      </c>
    </row>
    <row r="899" customFormat="false" ht="15" hidden="false" customHeight="false" outlineLevel="0" collapsed="false">
      <c r="A899" s="0" t="s">
        <v>20</v>
      </c>
      <c r="B899" s="0" t="s">
        <v>1890</v>
      </c>
      <c r="C899" s="0" t="s">
        <v>1744</v>
      </c>
      <c r="D899" s="0" t="n">
        <v>15</v>
      </c>
    </row>
    <row r="900" customFormat="false" ht="15" hidden="false" customHeight="false" outlineLevel="0" collapsed="false">
      <c r="A900" s="0" t="s">
        <v>20</v>
      </c>
      <c r="B900" s="0" t="s">
        <v>1890</v>
      </c>
      <c r="C900" s="0" t="s">
        <v>1880</v>
      </c>
    </row>
    <row r="901" customFormat="false" ht="15" hidden="false" customHeight="false" outlineLevel="0" collapsed="false">
      <c r="A901" s="0" t="s">
        <v>20</v>
      </c>
      <c r="B901" s="0" t="s">
        <v>1890</v>
      </c>
      <c r="C901" s="0" t="s">
        <v>2173</v>
      </c>
    </row>
    <row r="902" customFormat="false" ht="15" hidden="false" customHeight="false" outlineLevel="0" collapsed="false">
      <c r="A902" s="0" t="s">
        <v>20</v>
      </c>
      <c r="B902" s="0" t="s">
        <v>1894</v>
      </c>
      <c r="C902" s="0" t="s">
        <v>1744</v>
      </c>
    </row>
    <row r="903" customFormat="false" ht="15" hidden="false" customHeight="false" outlineLevel="0" collapsed="false">
      <c r="A903" s="0" t="s">
        <v>20</v>
      </c>
      <c r="B903" s="0" t="s">
        <v>1894</v>
      </c>
      <c r="C903" s="0" t="s">
        <v>1880</v>
      </c>
    </row>
    <row r="904" customFormat="false" ht="15" hidden="false" customHeight="false" outlineLevel="0" collapsed="false">
      <c r="A904" s="0" t="s">
        <v>20</v>
      </c>
      <c r="B904" s="0" t="s">
        <v>1894</v>
      </c>
      <c r="C904" s="0" t="s">
        <v>2173</v>
      </c>
    </row>
    <row r="905" customFormat="false" ht="15" hidden="false" customHeight="false" outlineLevel="0" collapsed="false">
      <c r="A905" s="0" t="s">
        <v>20</v>
      </c>
      <c r="B905" s="0" t="s">
        <v>1899</v>
      </c>
      <c r="C905" s="0" t="s">
        <v>1744</v>
      </c>
      <c r="D905" s="0" t="n">
        <v>30</v>
      </c>
    </row>
    <row r="906" customFormat="false" ht="15" hidden="false" customHeight="false" outlineLevel="0" collapsed="false">
      <c r="A906" s="0" t="s">
        <v>20</v>
      </c>
      <c r="B906" s="0" t="s">
        <v>1899</v>
      </c>
      <c r="C906" s="0" t="s">
        <v>1880</v>
      </c>
    </row>
    <row r="907" customFormat="false" ht="15" hidden="false" customHeight="false" outlineLevel="0" collapsed="false">
      <c r="A907" s="0" t="s">
        <v>20</v>
      </c>
      <c r="B907" s="0" t="s">
        <v>1899</v>
      </c>
      <c r="C907" s="0" t="s">
        <v>2173</v>
      </c>
    </row>
    <row r="908" customFormat="false" ht="15" hidden="false" customHeight="false" outlineLevel="0" collapsed="false">
      <c r="A908" s="0" t="s">
        <v>20</v>
      </c>
      <c r="B908" s="0" t="s">
        <v>1906</v>
      </c>
      <c r="C908" s="0" t="s">
        <v>1744</v>
      </c>
      <c r="D908" s="0" t="n">
        <v>380</v>
      </c>
    </row>
    <row r="909" customFormat="false" ht="15" hidden="false" customHeight="false" outlineLevel="0" collapsed="false">
      <c r="A909" s="0" t="s">
        <v>20</v>
      </c>
      <c r="B909" s="0" t="s">
        <v>1906</v>
      </c>
      <c r="C909" s="0" t="s">
        <v>1880</v>
      </c>
    </row>
    <row r="910" customFormat="false" ht="15" hidden="false" customHeight="false" outlineLevel="0" collapsed="false">
      <c r="A910" s="0" t="s">
        <v>20</v>
      </c>
      <c r="B910" s="0" t="s">
        <v>1906</v>
      </c>
      <c r="C910" s="0" t="s">
        <v>2173</v>
      </c>
    </row>
    <row r="911" customFormat="false" ht="15" hidden="false" customHeight="false" outlineLevel="0" collapsed="false">
      <c r="A911" s="0" t="s">
        <v>20</v>
      </c>
      <c r="B911" s="0" t="s">
        <v>1910</v>
      </c>
      <c r="C911" s="0" t="s">
        <v>1744</v>
      </c>
      <c r="D911" s="0" t="n">
        <v>125</v>
      </c>
    </row>
    <row r="912" customFormat="false" ht="15" hidden="false" customHeight="false" outlineLevel="0" collapsed="false">
      <c r="A912" s="0" t="s">
        <v>20</v>
      </c>
      <c r="B912" s="0" t="s">
        <v>1910</v>
      </c>
      <c r="C912" s="0" t="s">
        <v>1880</v>
      </c>
      <c r="D912" s="0" t="n">
        <v>125</v>
      </c>
    </row>
    <row r="913" customFormat="false" ht="15" hidden="false" customHeight="false" outlineLevel="0" collapsed="false">
      <c r="A913" s="0" t="s">
        <v>20</v>
      </c>
      <c r="B913" s="0" t="s">
        <v>1910</v>
      </c>
      <c r="C913" s="0" t="s">
        <v>2173</v>
      </c>
    </row>
    <row r="914" customFormat="false" ht="15" hidden="false" customHeight="false" outlineLevel="0" collapsed="false">
      <c r="A914" s="0" t="s">
        <v>20</v>
      </c>
      <c r="B914" s="0" t="s">
        <v>1916</v>
      </c>
      <c r="C914" s="0" t="s">
        <v>1744</v>
      </c>
      <c r="D914" s="0" t="n">
        <v>20.28</v>
      </c>
    </row>
    <row r="915" customFormat="false" ht="15" hidden="false" customHeight="false" outlineLevel="0" collapsed="false">
      <c r="A915" s="0" t="s">
        <v>20</v>
      </c>
      <c r="B915" s="0" t="s">
        <v>1916</v>
      </c>
      <c r="C915" s="0" t="s">
        <v>1880</v>
      </c>
    </row>
    <row r="916" customFormat="false" ht="15" hidden="false" customHeight="false" outlineLevel="0" collapsed="false">
      <c r="A916" s="0" t="s">
        <v>20</v>
      </c>
      <c r="B916" s="0" t="s">
        <v>1916</v>
      </c>
      <c r="C916" s="0" t="s">
        <v>2173</v>
      </c>
    </row>
    <row r="917" customFormat="false" ht="15" hidden="false" customHeight="false" outlineLevel="0" collapsed="false">
      <c r="A917" s="0" t="s">
        <v>20</v>
      </c>
      <c r="B917" s="0" t="s">
        <v>1921</v>
      </c>
      <c r="C917" s="0" t="s">
        <v>1744</v>
      </c>
      <c r="D917" s="0" t="n">
        <v>15</v>
      </c>
    </row>
    <row r="918" customFormat="false" ht="15" hidden="false" customHeight="false" outlineLevel="0" collapsed="false">
      <c r="A918" s="0" t="s">
        <v>20</v>
      </c>
      <c r="B918" s="0" t="s">
        <v>1921</v>
      </c>
      <c r="C918" s="0" t="s">
        <v>1880</v>
      </c>
    </row>
    <row r="919" customFormat="false" ht="15" hidden="false" customHeight="false" outlineLevel="0" collapsed="false">
      <c r="A919" s="0" t="s">
        <v>20</v>
      </c>
      <c r="B919" s="0" t="s">
        <v>1921</v>
      </c>
      <c r="C919" s="0" t="s">
        <v>2173</v>
      </c>
    </row>
    <row r="920" customFormat="false" ht="15" hidden="false" customHeight="false" outlineLevel="0" collapsed="false">
      <c r="A920" s="0" t="s">
        <v>20</v>
      </c>
      <c r="B920" s="0" t="s">
        <v>1927</v>
      </c>
      <c r="C920" s="0" t="s">
        <v>1744</v>
      </c>
      <c r="D920" s="0" t="n">
        <v>71</v>
      </c>
    </row>
    <row r="921" customFormat="false" ht="15" hidden="false" customHeight="false" outlineLevel="0" collapsed="false">
      <c r="A921" s="0" t="s">
        <v>20</v>
      </c>
      <c r="B921" s="0" t="s">
        <v>1927</v>
      </c>
      <c r="C921" s="0" t="s">
        <v>1880</v>
      </c>
      <c r="D921" s="0" t="n">
        <v>71</v>
      </c>
    </row>
    <row r="922" customFormat="false" ht="15" hidden="false" customHeight="false" outlineLevel="0" collapsed="false">
      <c r="A922" s="0" t="s">
        <v>20</v>
      </c>
      <c r="B922" s="0" t="s">
        <v>1927</v>
      </c>
      <c r="C922" s="0" t="s">
        <v>2173</v>
      </c>
    </row>
    <row r="923" customFormat="false" ht="15" hidden="false" customHeight="false" outlineLevel="0" collapsed="false">
      <c r="A923" s="0" t="s">
        <v>20</v>
      </c>
      <c r="B923" s="0" t="s">
        <v>1932</v>
      </c>
      <c r="C923" s="0" t="s">
        <v>1744</v>
      </c>
    </row>
    <row r="924" customFormat="false" ht="15" hidden="false" customHeight="false" outlineLevel="0" collapsed="false">
      <c r="A924" s="0" t="s">
        <v>20</v>
      </c>
      <c r="B924" s="0" t="s">
        <v>1932</v>
      </c>
      <c r="C924" s="0" t="s">
        <v>1880</v>
      </c>
    </row>
    <row r="925" customFormat="false" ht="15" hidden="false" customHeight="false" outlineLevel="0" collapsed="false">
      <c r="A925" s="0" t="s">
        <v>20</v>
      </c>
      <c r="B925" s="0" t="s">
        <v>1932</v>
      </c>
      <c r="C925" s="0" t="s">
        <v>2173</v>
      </c>
    </row>
    <row r="926" customFormat="false" ht="15" hidden="false" customHeight="false" outlineLevel="0" collapsed="false">
      <c r="A926" s="0" t="s">
        <v>20</v>
      </c>
      <c r="B926" s="0" t="s">
        <v>1939</v>
      </c>
      <c r="C926" s="0" t="s">
        <v>1744</v>
      </c>
    </row>
    <row r="927" customFormat="false" ht="15" hidden="false" customHeight="false" outlineLevel="0" collapsed="false">
      <c r="A927" s="0" t="s">
        <v>20</v>
      </c>
      <c r="B927" s="0" t="s">
        <v>1939</v>
      </c>
      <c r="C927" s="0" t="s">
        <v>1880</v>
      </c>
    </row>
    <row r="928" customFormat="false" ht="15" hidden="false" customHeight="false" outlineLevel="0" collapsed="false">
      <c r="A928" s="0" t="s">
        <v>20</v>
      </c>
      <c r="B928" s="0" t="s">
        <v>1939</v>
      </c>
      <c r="C928" s="0" t="s">
        <v>2173</v>
      </c>
    </row>
    <row r="929" customFormat="false" ht="15" hidden="false" customHeight="false" outlineLevel="0" collapsed="false">
      <c r="A929" s="0" t="s">
        <v>20</v>
      </c>
      <c r="B929" s="0" t="s">
        <v>1946</v>
      </c>
      <c r="C929" s="0" t="s">
        <v>1744</v>
      </c>
      <c r="D929" s="0" t="n">
        <v>2000</v>
      </c>
    </row>
    <row r="930" customFormat="false" ht="15" hidden="false" customHeight="false" outlineLevel="0" collapsed="false">
      <c r="A930" s="0" t="s">
        <v>20</v>
      </c>
      <c r="B930" s="0" t="s">
        <v>1946</v>
      </c>
      <c r="C930" s="0" t="s">
        <v>1880</v>
      </c>
      <c r="D930" s="0" t="n">
        <v>2000</v>
      </c>
    </row>
    <row r="931" customFormat="false" ht="15" hidden="false" customHeight="false" outlineLevel="0" collapsed="false">
      <c r="A931" s="0" t="s">
        <v>20</v>
      </c>
      <c r="B931" s="0" t="s">
        <v>1946</v>
      </c>
      <c r="C931" s="0" t="s">
        <v>2173</v>
      </c>
    </row>
    <row r="932" customFormat="false" ht="15" hidden="false" customHeight="false" outlineLevel="0" collapsed="false">
      <c r="A932" s="0" t="s">
        <v>20</v>
      </c>
      <c r="B932" s="0" t="s">
        <v>1953</v>
      </c>
      <c r="C932" s="0" t="s">
        <v>1744</v>
      </c>
      <c r="D932" s="0" t="n">
        <v>50.1</v>
      </c>
    </row>
    <row r="933" customFormat="false" ht="15" hidden="false" customHeight="false" outlineLevel="0" collapsed="false">
      <c r="A933" s="0" t="s">
        <v>20</v>
      </c>
      <c r="B933" s="0" t="s">
        <v>1953</v>
      </c>
      <c r="C933" s="0" t="s">
        <v>1880</v>
      </c>
    </row>
    <row r="934" customFormat="false" ht="15" hidden="false" customHeight="false" outlineLevel="0" collapsed="false">
      <c r="A934" s="0" t="s">
        <v>20</v>
      </c>
      <c r="B934" s="0" t="s">
        <v>1953</v>
      </c>
      <c r="C934" s="0" t="s">
        <v>2173</v>
      </c>
    </row>
    <row r="935" customFormat="false" ht="15" hidden="false" customHeight="false" outlineLevel="0" collapsed="false">
      <c r="A935" s="0" t="s">
        <v>20</v>
      </c>
      <c r="B935" s="0" t="s">
        <v>1958</v>
      </c>
      <c r="C935" s="0" t="s">
        <v>1744</v>
      </c>
      <c r="D935" s="0" t="n">
        <v>13</v>
      </c>
    </row>
    <row r="936" customFormat="false" ht="15" hidden="false" customHeight="false" outlineLevel="0" collapsed="false">
      <c r="A936" s="0" t="s">
        <v>20</v>
      </c>
      <c r="B936" s="0" t="s">
        <v>1958</v>
      </c>
      <c r="C936" s="0" t="s">
        <v>1880</v>
      </c>
    </row>
    <row r="937" customFormat="false" ht="15" hidden="false" customHeight="false" outlineLevel="0" collapsed="false">
      <c r="A937" s="0" t="s">
        <v>20</v>
      </c>
      <c r="B937" s="0" t="s">
        <v>1958</v>
      </c>
      <c r="C937" s="0" t="s">
        <v>2173</v>
      </c>
    </row>
    <row r="938" customFormat="false" ht="15" hidden="false" customHeight="false" outlineLevel="0" collapsed="false">
      <c r="A938" s="0" t="s">
        <v>20</v>
      </c>
      <c r="B938" s="0" t="s">
        <v>1962</v>
      </c>
      <c r="C938" s="0" t="s">
        <v>1744</v>
      </c>
      <c r="D938" s="0" t="n">
        <v>183</v>
      </c>
    </row>
    <row r="939" customFormat="false" ht="15" hidden="false" customHeight="false" outlineLevel="0" collapsed="false">
      <c r="A939" s="0" t="s">
        <v>20</v>
      </c>
      <c r="B939" s="0" t="s">
        <v>1962</v>
      </c>
      <c r="C939" s="0" t="s">
        <v>1880</v>
      </c>
    </row>
    <row r="940" customFormat="false" ht="15" hidden="false" customHeight="false" outlineLevel="0" collapsed="false">
      <c r="A940" s="0" t="s">
        <v>20</v>
      </c>
      <c r="B940" s="0" t="s">
        <v>1962</v>
      </c>
      <c r="C940" s="0" t="s">
        <v>2173</v>
      </c>
    </row>
    <row r="941" customFormat="false" ht="15" hidden="false" customHeight="false" outlineLevel="0" collapsed="false">
      <c r="A941" s="0" t="s">
        <v>20</v>
      </c>
      <c r="B941" s="0" t="s">
        <v>1966</v>
      </c>
      <c r="C941" s="0" t="s">
        <v>1744</v>
      </c>
      <c r="D941" s="0" t="n">
        <v>3.5</v>
      </c>
    </row>
    <row r="942" customFormat="false" ht="15" hidden="false" customHeight="false" outlineLevel="0" collapsed="false">
      <c r="A942" s="0" t="s">
        <v>20</v>
      </c>
      <c r="B942" s="0" t="s">
        <v>1966</v>
      </c>
      <c r="C942" s="0" t="s">
        <v>1880</v>
      </c>
    </row>
    <row r="943" customFormat="false" ht="15" hidden="false" customHeight="false" outlineLevel="0" collapsed="false">
      <c r="A943" s="0" t="s">
        <v>20</v>
      </c>
      <c r="B943" s="0" t="s">
        <v>1966</v>
      </c>
      <c r="C943" s="0" t="s">
        <v>2173</v>
      </c>
    </row>
    <row r="944" customFormat="false" ht="15" hidden="false" customHeight="false" outlineLevel="0" collapsed="false">
      <c r="A944" s="0" t="s">
        <v>20</v>
      </c>
      <c r="B944" s="0" t="s">
        <v>1973</v>
      </c>
      <c r="C944" s="0" t="s">
        <v>1744</v>
      </c>
      <c r="D944" s="0" t="n">
        <v>61.5</v>
      </c>
    </row>
    <row r="945" customFormat="false" ht="15" hidden="false" customHeight="false" outlineLevel="0" collapsed="false">
      <c r="A945" s="0" t="s">
        <v>20</v>
      </c>
      <c r="B945" s="0" t="s">
        <v>1973</v>
      </c>
      <c r="C945" s="0" t="s">
        <v>1880</v>
      </c>
    </row>
    <row r="946" customFormat="false" ht="15" hidden="false" customHeight="false" outlineLevel="0" collapsed="false">
      <c r="A946" s="0" t="s">
        <v>20</v>
      </c>
      <c r="B946" s="0" t="s">
        <v>1973</v>
      </c>
      <c r="C946" s="0" t="s">
        <v>2173</v>
      </c>
    </row>
    <row r="947" customFormat="false" ht="15" hidden="false" customHeight="false" outlineLevel="0" collapsed="false">
      <c r="A947" s="0" t="s">
        <v>20</v>
      </c>
      <c r="B947" s="0" t="s">
        <v>1978</v>
      </c>
      <c r="C947" s="0" t="s">
        <v>1744</v>
      </c>
    </row>
    <row r="948" customFormat="false" ht="15" hidden="false" customHeight="false" outlineLevel="0" collapsed="false">
      <c r="A948" s="0" t="s">
        <v>20</v>
      </c>
      <c r="B948" s="0" t="s">
        <v>1978</v>
      </c>
      <c r="C948" s="0" t="s">
        <v>1880</v>
      </c>
    </row>
    <row r="949" customFormat="false" ht="15" hidden="false" customHeight="false" outlineLevel="0" collapsed="false">
      <c r="A949" s="0" t="s">
        <v>20</v>
      </c>
      <c r="B949" s="0" t="s">
        <v>1978</v>
      </c>
      <c r="C949" s="0" t="s">
        <v>2173</v>
      </c>
    </row>
    <row r="950" customFormat="false" ht="15" hidden="false" customHeight="false" outlineLevel="0" collapsed="false">
      <c r="A950" s="0" t="s">
        <v>20</v>
      </c>
      <c r="B950" s="0" t="s">
        <v>1982</v>
      </c>
      <c r="C950" s="0" t="s">
        <v>1744</v>
      </c>
      <c r="D950" s="0" t="n">
        <v>8</v>
      </c>
    </row>
    <row r="951" customFormat="false" ht="15" hidden="false" customHeight="false" outlineLevel="0" collapsed="false">
      <c r="A951" s="0" t="s">
        <v>20</v>
      </c>
      <c r="B951" s="0" t="s">
        <v>1982</v>
      </c>
      <c r="C951" s="0" t="s">
        <v>1880</v>
      </c>
    </row>
    <row r="952" customFormat="false" ht="15" hidden="false" customHeight="false" outlineLevel="0" collapsed="false">
      <c r="A952" s="0" t="s">
        <v>20</v>
      </c>
      <c r="B952" s="0" t="s">
        <v>1982</v>
      </c>
      <c r="C952" s="0" t="s">
        <v>2173</v>
      </c>
    </row>
    <row r="953" customFormat="false" ht="15" hidden="false" customHeight="false" outlineLevel="0" collapsed="false">
      <c r="A953" s="0" t="s">
        <v>20</v>
      </c>
      <c r="B953" s="0" t="s">
        <v>1989</v>
      </c>
      <c r="C953" s="0" t="s">
        <v>1744</v>
      </c>
      <c r="D953" s="0" t="n">
        <v>4</v>
      </c>
    </row>
    <row r="954" customFormat="false" ht="15" hidden="false" customHeight="false" outlineLevel="0" collapsed="false">
      <c r="A954" s="0" t="s">
        <v>20</v>
      </c>
      <c r="B954" s="0" t="s">
        <v>1989</v>
      </c>
      <c r="C954" s="0" t="s">
        <v>1880</v>
      </c>
    </row>
    <row r="955" customFormat="false" ht="15" hidden="false" customHeight="false" outlineLevel="0" collapsed="false">
      <c r="A955" s="0" t="s">
        <v>20</v>
      </c>
      <c r="B955" s="0" t="s">
        <v>1989</v>
      </c>
      <c r="C955" s="0" t="s">
        <v>2173</v>
      </c>
    </row>
    <row r="956" customFormat="false" ht="15" hidden="false" customHeight="false" outlineLevel="0" collapsed="false">
      <c r="A956" s="0" t="s">
        <v>20</v>
      </c>
      <c r="B956" s="0" t="s">
        <v>1996</v>
      </c>
      <c r="C956" s="0" t="s">
        <v>1744</v>
      </c>
      <c r="D956" s="0" t="n">
        <v>5</v>
      </c>
    </row>
    <row r="957" customFormat="false" ht="15" hidden="false" customHeight="false" outlineLevel="0" collapsed="false">
      <c r="A957" s="0" t="s">
        <v>20</v>
      </c>
      <c r="B957" s="0" t="s">
        <v>1996</v>
      </c>
      <c r="C957" s="0" t="s">
        <v>1880</v>
      </c>
    </row>
    <row r="958" customFormat="false" ht="15" hidden="false" customHeight="false" outlineLevel="0" collapsed="false">
      <c r="A958" s="0" t="s">
        <v>20</v>
      </c>
      <c r="B958" s="0" t="s">
        <v>1996</v>
      </c>
      <c r="C958" s="0" t="s">
        <v>2173</v>
      </c>
    </row>
    <row r="959" customFormat="false" ht="15" hidden="false" customHeight="false" outlineLevel="0" collapsed="false">
      <c r="A959" s="0" t="s">
        <v>20</v>
      </c>
      <c r="B959" s="0" t="s">
        <v>2003</v>
      </c>
      <c r="C959" s="0" t="s">
        <v>1744</v>
      </c>
      <c r="D959" s="0" t="n">
        <v>5</v>
      </c>
    </row>
    <row r="960" customFormat="false" ht="15" hidden="false" customHeight="false" outlineLevel="0" collapsed="false">
      <c r="A960" s="0" t="s">
        <v>20</v>
      </c>
      <c r="B960" s="0" t="s">
        <v>2003</v>
      </c>
      <c r="C960" s="0" t="s">
        <v>1880</v>
      </c>
    </row>
    <row r="961" customFormat="false" ht="15" hidden="false" customHeight="false" outlineLevel="0" collapsed="false">
      <c r="A961" s="0" t="s">
        <v>20</v>
      </c>
      <c r="B961" s="0" t="s">
        <v>2003</v>
      </c>
      <c r="C961" s="0" t="s">
        <v>2173</v>
      </c>
    </row>
    <row r="962" customFormat="false" ht="15" hidden="false" customHeight="false" outlineLevel="0" collapsed="false">
      <c r="A962" s="0" t="s">
        <v>20</v>
      </c>
      <c r="B962" s="0" t="s">
        <v>2007</v>
      </c>
      <c r="C962" s="0" t="s">
        <v>1744</v>
      </c>
      <c r="D962" s="0" t="n">
        <v>20</v>
      </c>
    </row>
    <row r="963" customFormat="false" ht="15" hidden="false" customHeight="false" outlineLevel="0" collapsed="false">
      <c r="A963" s="0" t="s">
        <v>20</v>
      </c>
      <c r="B963" s="0" t="s">
        <v>2007</v>
      </c>
      <c r="C963" s="0" t="s">
        <v>1880</v>
      </c>
    </row>
    <row r="964" customFormat="false" ht="15" hidden="false" customHeight="false" outlineLevel="0" collapsed="false">
      <c r="A964" s="0" t="s">
        <v>20</v>
      </c>
      <c r="B964" s="0" t="s">
        <v>2007</v>
      </c>
      <c r="C964" s="0" t="s">
        <v>2173</v>
      </c>
    </row>
    <row r="965" customFormat="false" ht="15" hidden="false" customHeight="false" outlineLevel="0" collapsed="false">
      <c r="A965" s="0" t="s">
        <v>20</v>
      </c>
      <c r="B965" s="0" t="s">
        <v>2012</v>
      </c>
      <c r="C965" s="0" t="s">
        <v>1744</v>
      </c>
      <c r="D965" s="0" t="n">
        <v>15</v>
      </c>
    </row>
    <row r="966" customFormat="false" ht="15" hidden="false" customHeight="false" outlineLevel="0" collapsed="false">
      <c r="A966" s="0" t="s">
        <v>20</v>
      </c>
      <c r="B966" s="0" t="s">
        <v>2012</v>
      </c>
      <c r="C966" s="0" t="s">
        <v>1880</v>
      </c>
    </row>
    <row r="967" customFormat="false" ht="15" hidden="false" customHeight="false" outlineLevel="0" collapsed="false">
      <c r="A967" s="0" t="s">
        <v>20</v>
      </c>
      <c r="B967" s="0" t="s">
        <v>2012</v>
      </c>
      <c r="C967" s="0" t="s">
        <v>2173</v>
      </c>
    </row>
    <row r="968" customFormat="false" ht="15" hidden="false" customHeight="false" outlineLevel="0" collapsed="false">
      <c r="A968" s="0" t="s">
        <v>20</v>
      </c>
      <c r="B968" s="0" t="s">
        <v>2016</v>
      </c>
      <c r="C968" s="0" t="s">
        <v>1744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20</v>
      </c>
      <c r="B969" s="0" t="s">
        <v>2016</v>
      </c>
      <c r="C969" s="0" t="s">
        <v>1880</v>
      </c>
    </row>
    <row r="970" customFormat="false" ht="15" hidden="false" customHeight="false" outlineLevel="0" collapsed="false">
      <c r="A970" s="0" t="s">
        <v>20</v>
      </c>
      <c r="B970" s="0" t="s">
        <v>2016</v>
      </c>
      <c r="C970" s="0" t="s">
        <v>2173</v>
      </c>
    </row>
    <row r="971" customFormat="false" ht="15" hidden="false" customHeight="false" outlineLevel="0" collapsed="false">
      <c r="A971" s="0" t="s">
        <v>20</v>
      </c>
      <c r="B971" s="0" t="s">
        <v>2021</v>
      </c>
      <c r="C971" s="0" t="s">
        <v>1744</v>
      </c>
      <c r="D971" s="0" t="n">
        <v>25</v>
      </c>
    </row>
    <row r="972" customFormat="false" ht="15" hidden="false" customHeight="false" outlineLevel="0" collapsed="false">
      <c r="A972" s="0" t="s">
        <v>20</v>
      </c>
      <c r="B972" s="0" t="s">
        <v>2021</v>
      </c>
      <c r="C972" s="0" t="s">
        <v>1880</v>
      </c>
      <c r="D972" s="0" t="n">
        <v>5</v>
      </c>
    </row>
    <row r="973" customFormat="false" ht="15" hidden="false" customHeight="false" outlineLevel="0" collapsed="false">
      <c r="A973" s="0" t="s">
        <v>20</v>
      </c>
      <c r="B973" s="0" t="s">
        <v>2021</v>
      </c>
      <c r="C973" s="0" t="s">
        <v>2173</v>
      </c>
      <c r="D973" s="0" t="n">
        <v>25</v>
      </c>
    </row>
    <row r="974" customFormat="false" ht="15" hidden="false" customHeight="false" outlineLevel="0" collapsed="false">
      <c r="A974" s="0" t="s">
        <v>20</v>
      </c>
      <c r="B974" s="0" t="s">
        <v>2028</v>
      </c>
      <c r="C974" s="0" t="s">
        <v>1744</v>
      </c>
      <c r="D974" s="0" t="n">
        <v>92.5</v>
      </c>
    </row>
    <row r="975" customFormat="false" ht="15" hidden="false" customHeight="false" outlineLevel="0" collapsed="false">
      <c r="A975" s="0" t="s">
        <v>20</v>
      </c>
      <c r="B975" s="0" t="s">
        <v>2028</v>
      </c>
      <c r="C975" s="0" t="s">
        <v>1880</v>
      </c>
    </row>
    <row r="976" customFormat="false" ht="15" hidden="false" customHeight="false" outlineLevel="0" collapsed="false">
      <c r="A976" s="0" t="s">
        <v>20</v>
      </c>
      <c r="B976" s="0" t="s">
        <v>2028</v>
      </c>
      <c r="C976" s="0" t="s">
        <v>2173</v>
      </c>
    </row>
    <row r="977" customFormat="false" ht="15" hidden="false" customHeight="false" outlineLevel="0" collapsed="false">
      <c r="A977" s="0" t="s">
        <v>20</v>
      </c>
      <c r="B977" s="0" t="s">
        <v>2032</v>
      </c>
      <c r="C977" s="0" t="s">
        <v>1744</v>
      </c>
      <c r="D977" s="0" t="n">
        <v>97.9</v>
      </c>
    </row>
    <row r="978" customFormat="false" ht="15" hidden="false" customHeight="false" outlineLevel="0" collapsed="false">
      <c r="A978" s="0" t="s">
        <v>20</v>
      </c>
      <c r="B978" s="0" t="s">
        <v>2032</v>
      </c>
      <c r="C978" s="0" t="s">
        <v>1880</v>
      </c>
    </row>
    <row r="979" customFormat="false" ht="15" hidden="false" customHeight="false" outlineLevel="0" collapsed="false">
      <c r="A979" s="0" t="s">
        <v>20</v>
      </c>
      <c r="B979" s="0" t="s">
        <v>2032</v>
      </c>
      <c r="C979" s="0" t="s">
        <v>2173</v>
      </c>
    </row>
    <row r="980" customFormat="false" ht="15" hidden="false" customHeight="false" outlineLevel="0" collapsed="false">
      <c r="A980" s="0" t="s">
        <v>20</v>
      </c>
      <c r="B980" s="0" t="s">
        <v>2036</v>
      </c>
      <c r="C980" s="0" t="s">
        <v>1744</v>
      </c>
      <c r="D980" s="0" t="n">
        <v>3</v>
      </c>
    </row>
    <row r="981" customFormat="false" ht="15" hidden="false" customHeight="false" outlineLevel="0" collapsed="false">
      <c r="A981" s="0" t="s">
        <v>20</v>
      </c>
      <c r="B981" s="0" t="s">
        <v>2036</v>
      </c>
      <c r="C981" s="0" t="s">
        <v>1880</v>
      </c>
      <c r="D981" s="0" t="n">
        <v>3</v>
      </c>
    </row>
    <row r="982" customFormat="false" ht="15" hidden="false" customHeight="false" outlineLevel="0" collapsed="false">
      <c r="A982" s="0" t="s">
        <v>20</v>
      </c>
      <c r="B982" s="0" t="s">
        <v>2036</v>
      </c>
      <c r="C982" s="0" t="s">
        <v>2173</v>
      </c>
    </row>
    <row r="983" customFormat="false" ht="15" hidden="false" customHeight="false" outlineLevel="0" collapsed="false">
      <c r="A983" s="0" t="s">
        <v>20</v>
      </c>
      <c r="B983" s="0" t="s">
        <v>2044</v>
      </c>
      <c r="C983" s="0" t="s">
        <v>1744</v>
      </c>
      <c r="D983" s="0" t="n">
        <v>10</v>
      </c>
    </row>
    <row r="984" customFormat="false" ht="15" hidden="false" customHeight="false" outlineLevel="0" collapsed="false">
      <c r="A984" s="0" t="s">
        <v>20</v>
      </c>
      <c r="B984" s="0" t="s">
        <v>2044</v>
      </c>
      <c r="C984" s="0" t="s">
        <v>1880</v>
      </c>
    </row>
    <row r="985" customFormat="false" ht="15" hidden="false" customHeight="false" outlineLevel="0" collapsed="false">
      <c r="A985" s="0" t="s">
        <v>20</v>
      </c>
      <c r="B985" s="0" t="s">
        <v>2044</v>
      </c>
      <c r="C985" s="0" t="s">
        <v>2173</v>
      </c>
    </row>
    <row r="986" customFormat="false" ht="15" hidden="false" customHeight="false" outlineLevel="0" collapsed="false">
      <c r="A986" s="0" t="s">
        <v>20</v>
      </c>
      <c r="B986" s="0" t="s">
        <v>2052</v>
      </c>
      <c r="C986" s="0" t="s">
        <v>1744</v>
      </c>
      <c r="D986" s="0" t="n">
        <v>30</v>
      </c>
    </row>
    <row r="987" customFormat="false" ht="15" hidden="false" customHeight="false" outlineLevel="0" collapsed="false">
      <c r="A987" s="0" t="s">
        <v>20</v>
      </c>
      <c r="B987" s="0" t="s">
        <v>2052</v>
      </c>
      <c r="C987" s="0" t="s">
        <v>1880</v>
      </c>
      <c r="D987" s="0" t="n">
        <v>0</v>
      </c>
    </row>
    <row r="988" customFormat="false" ht="15" hidden="false" customHeight="false" outlineLevel="0" collapsed="false">
      <c r="A988" s="0" t="s">
        <v>20</v>
      </c>
      <c r="B988" s="0" t="s">
        <v>2052</v>
      </c>
      <c r="C988" s="0" t="s">
        <v>2173</v>
      </c>
      <c r="D988" s="0" t="n">
        <v>30</v>
      </c>
    </row>
    <row r="989" customFormat="false" ht="15" hidden="false" customHeight="false" outlineLevel="0" collapsed="false">
      <c r="A989" s="0" t="s">
        <v>20</v>
      </c>
      <c r="B989" s="0" t="s">
        <v>2057</v>
      </c>
      <c r="C989" s="0" t="s">
        <v>1744</v>
      </c>
      <c r="D989" s="0" t="n">
        <v>15</v>
      </c>
    </row>
    <row r="990" customFormat="false" ht="15" hidden="false" customHeight="false" outlineLevel="0" collapsed="false">
      <c r="A990" s="0" t="s">
        <v>20</v>
      </c>
      <c r="B990" s="0" t="s">
        <v>2057</v>
      </c>
      <c r="C990" s="0" t="s">
        <v>1880</v>
      </c>
    </row>
    <row r="991" customFormat="false" ht="15" hidden="false" customHeight="false" outlineLevel="0" collapsed="false">
      <c r="A991" s="0" t="s">
        <v>20</v>
      </c>
      <c r="B991" s="0" t="s">
        <v>2057</v>
      </c>
      <c r="C991" s="0" t="s">
        <v>2173</v>
      </c>
      <c r="D991" s="0" t="n">
        <v>15</v>
      </c>
    </row>
    <row r="992" customFormat="false" ht="15" hidden="false" customHeight="false" outlineLevel="0" collapsed="false">
      <c r="A992" s="0" t="s">
        <v>20</v>
      </c>
      <c r="B992" s="0" t="s">
        <v>2063</v>
      </c>
      <c r="C992" s="0" t="s">
        <v>1744</v>
      </c>
      <c r="D992" s="0" t="n">
        <v>5</v>
      </c>
    </row>
    <row r="993" customFormat="false" ht="15" hidden="false" customHeight="false" outlineLevel="0" collapsed="false">
      <c r="A993" s="0" t="s">
        <v>20</v>
      </c>
      <c r="B993" s="0" t="s">
        <v>2063</v>
      </c>
      <c r="C993" s="0" t="s">
        <v>1880</v>
      </c>
    </row>
    <row r="994" customFormat="false" ht="15" hidden="false" customHeight="false" outlineLevel="0" collapsed="false">
      <c r="A994" s="0" t="s">
        <v>20</v>
      </c>
      <c r="B994" s="0" t="s">
        <v>2063</v>
      </c>
      <c r="C994" s="0" t="s">
        <v>2173</v>
      </c>
    </row>
    <row r="995" customFormat="false" ht="15" hidden="false" customHeight="false" outlineLevel="0" collapsed="false">
      <c r="A995" s="0" t="s">
        <v>20</v>
      </c>
      <c r="B995" s="0" t="s">
        <v>2072</v>
      </c>
      <c r="C995" s="0" t="s">
        <v>1744</v>
      </c>
      <c r="D995" s="0" t="n">
        <v>5</v>
      </c>
    </row>
    <row r="996" customFormat="false" ht="15" hidden="false" customHeight="false" outlineLevel="0" collapsed="false">
      <c r="A996" s="0" t="s">
        <v>20</v>
      </c>
      <c r="B996" s="0" t="s">
        <v>2072</v>
      </c>
      <c r="C996" s="0" t="s">
        <v>1880</v>
      </c>
    </row>
    <row r="997" customFormat="false" ht="15" hidden="false" customHeight="false" outlineLevel="0" collapsed="false">
      <c r="A997" s="0" t="s">
        <v>20</v>
      </c>
      <c r="B997" s="0" t="s">
        <v>2072</v>
      </c>
      <c r="C997" s="0" t="s">
        <v>2173</v>
      </c>
      <c r="D997" s="0" t="n">
        <v>5</v>
      </c>
    </row>
    <row r="998" customFormat="false" ht="15" hidden="false" customHeight="false" outlineLevel="0" collapsed="false">
      <c r="A998" s="0" t="s">
        <v>20</v>
      </c>
      <c r="B998" s="0" t="s">
        <v>2076</v>
      </c>
      <c r="C998" s="0" t="s">
        <v>1744</v>
      </c>
      <c r="D998" s="0" t="n">
        <v>10</v>
      </c>
    </row>
    <row r="999" customFormat="false" ht="15" hidden="false" customHeight="false" outlineLevel="0" collapsed="false">
      <c r="A999" s="0" t="s">
        <v>20</v>
      </c>
      <c r="B999" s="0" t="s">
        <v>2076</v>
      </c>
      <c r="C999" s="0" t="s">
        <v>1880</v>
      </c>
    </row>
    <row r="1000" customFormat="false" ht="15" hidden="false" customHeight="false" outlineLevel="0" collapsed="false">
      <c r="A1000" s="0" t="s">
        <v>20</v>
      </c>
      <c r="B1000" s="0" t="s">
        <v>2076</v>
      </c>
      <c r="C1000" s="0" t="s">
        <v>2173</v>
      </c>
      <c r="D1000" s="0" t="n">
        <v>10</v>
      </c>
    </row>
    <row r="1001" customFormat="false" ht="15" hidden="false" customHeight="false" outlineLevel="0" collapsed="false">
      <c r="A1001" s="0" t="s">
        <v>20</v>
      </c>
      <c r="B1001" s="0" t="s">
        <v>2084</v>
      </c>
      <c r="C1001" s="0" t="s">
        <v>1744</v>
      </c>
      <c r="D1001" s="0" t="n">
        <v>56.09</v>
      </c>
    </row>
    <row r="1002" customFormat="false" ht="15" hidden="false" customHeight="false" outlineLevel="0" collapsed="false">
      <c r="A1002" s="0" t="s">
        <v>20</v>
      </c>
      <c r="B1002" s="0" t="s">
        <v>2084</v>
      </c>
      <c r="C1002" s="0" t="s">
        <v>1880</v>
      </c>
    </row>
    <row r="1003" customFormat="false" ht="15" hidden="false" customHeight="false" outlineLevel="0" collapsed="false">
      <c r="A1003" s="0" t="s">
        <v>20</v>
      </c>
      <c r="B1003" s="0" t="s">
        <v>2084</v>
      </c>
      <c r="C1003" s="0" t="s">
        <v>2173</v>
      </c>
    </row>
    <row r="1004" customFormat="false" ht="15" hidden="false" customHeight="false" outlineLevel="0" collapsed="false">
      <c r="A1004" s="0" t="s">
        <v>20</v>
      </c>
      <c r="B1004" s="0" t="s">
        <v>2093</v>
      </c>
      <c r="C1004" s="0" t="s">
        <v>1744</v>
      </c>
    </row>
    <row r="1005" customFormat="false" ht="15" hidden="false" customHeight="false" outlineLevel="0" collapsed="false">
      <c r="A1005" s="0" t="s">
        <v>20</v>
      </c>
      <c r="B1005" s="0" t="s">
        <v>2093</v>
      </c>
      <c r="C1005" s="0" t="s">
        <v>1880</v>
      </c>
      <c r="D1005" s="0" t="n">
        <v>5</v>
      </c>
    </row>
    <row r="1006" customFormat="false" ht="15" hidden="false" customHeight="false" outlineLevel="0" collapsed="false">
      <c r="A1006" s="0" t="s">
        <v>20</v>
      </c>
      <c r="B1006" s="0" t="s">
        <v>2093</v>
      </c>
      <c r="C1006" s="0" t="s">
        <v>2173</v>
      </c>
      <c r="D1006" s="0" t="n">
        <v>6</v>
      </c>
    </row>
    <row r="1007" customFormat="false" ht="15" hidden="false" customHeight="false" outlineLevel="0" collapsed="false">
      <c r="A1007" s="0" t="s">
        <v>20</v>
      </c>
      <c r="B1007" s="0" t="s">
        <v>2100</v>
      </c>
      <c r="C1007" s="0" t="s">
        <v>1744</v>
      </c>
    </row>
    <row r="1008" customFormat="false" ht="15" hidden="false" customHeight="false" outlineLevel="0" collapsed="false">
      <c r="A1008" s="0" t="s">
        <v>20</v>
      </c>
      <c r="B1008" s="0" t="s">
        <v>2100</v>
      </c>
      <c r="C1008" s="0" t="s">
        <v>1880</v>
      </c>
    </row>
    <row r="1009" customFormat="false" ht="15" hidden="false" customHeight="false" outlineLevel="0" collapsed="false">
      <c r="A1009" s="0" t="s">
        <v>20</v>
      </c>
      <c r="B1009" s="0" t="s">
        <v>2100</v>
      </c>
      <c r="C1009" s="0" t="s">
        <v>2173</v>
      </c>
      <c r="D1009" s="0" t="n">
        <v>6</v>
      </c>
    </row>
    <row r="1010" customFormat="false" ht="15" hidden="false" customHeight="false" outlineLevel="0" collapsed="false">
      <c r="A1010" s="0" t="s">
        <v>20</v>
      </c>
      <c r="B1010" s="0" t="s">
        <v>2108</v>
      </c>
      <c r="C1010" s="0" t="s">
        <v>1744</v>
      </c>
      <c r="D1010" s="0" t="n">
        <v>0.45</v>
      </c>
    </row>
    <row r="1011" customFormat="false" ht="15" hidden="false" customHeight="false" outlineLevel="0" collapsed="false">
      <c r="A1011" s="0" t="s">
        <v>20</v>
      </c>
      <c r="B1011" s="0" t="s">
        <v>2108</v>
      </c>
      <c r="C1011" s="0" t="s">
        <v>1880</v>
      </c>
    </row>
    <row r="1012" customFormat="false" ht="15" hidden="false" customHeight="false" outlineLevel="0" collapsed="false">
      <c r="A1012" s="0" t="s">
        <v>20</v>
      </c>
      <c r="B1012" s="0" t="s">
        <v>2108</v>
      </c>
      <c r="C1012" s="0" t="s">
        <v>2173</v>
      </c>
    </row>
    <row r="1013" customFormat="false" ht="15" hidden="false" customHeight="false" outlineLevel="0" collapsed="false">
      <c r="A1013" s="0" t="s">
        <v>20</v>
      </c>
      <c r="B1013" s="0" t="s">
        <v>2115</v>
      </c>
      <c r="C1013" s="0" t="s">
        <v>1744</v>
      </c>
      <c r="D1013" s="0" t="n">
        <v>0.75</v>
      </c>
    </row>
    <row r="1014" customFormat="false" ht="15" hidden="false" customHeight="false" outlineLevel="0" collapsed="false">
      <c r="A1014" s="0" t="s">
        <v>20</v>
      </c>
      <c r="B1014" s="0" t="s">
        <v>2115</v>
      </c>
      <c r="C1014" s="0" t="s">
        <v>1880</v>
      </c>
    </row>
    <row r="1015" customFormat="false" ht="15" hidden="false" customHeight="false" outlineLevel="0" collapsed="false">
      <c r="A1015" s="0" t="s">
        <v>20</v>
      </c>
      <c r="B1015" s="0" t="s">
        <v>2115</v>
      </c>
      <c r="C1015" s="0" t="s">
        <v>2173</v>
      </c>
    </row>
    <row r="1016" customFormat="false" ht="15" hidden="false" customHeight="false" outlineLevel="0" collapsed="false">
      <c r="A1016" s="0" t="s">
        <v>20</v>
      </c>
      <c r="B1016" s="0" t="s">
        <v>2123</v>
      </c>
      <c r="C1016" s="0" t="s">
        <v>1744</v>
      </c>
      <c r="D1016" s="0" t="n">
        <v>1000</v>
      </c>
    </row>
    <row r="1017" customFormat="false" ht="15" hidden="false" customHeight="false" outlineLevel="0" collapsed="false">
      <c r="A1017" s="0" t="s">
        <v>20</v>
      </c>
      <c r="B1017" s="0" t="s">
        <v>2123</v>
      </c>
      <c r="C1017" s="0" t="s">
        <v>1880</v>
      </c>
      <c r="D1017" s="0" t="n">
        <v>960</v>
      </c>
    </row>
    <row r="1018" customFormat="false" ht="15" hidden="false" customHeight="false" outlineLevel="0" collapsed="false">
      <c r="A1018" s="0" t="s">
        <v>20</v>
      </c>
      <c r="B1018" s="0" t="s">
        <v>2123</v>
      </c>
      <c r="C1018" s="0" t="s">
        <v>2173</v>
      </c>
      <c r="D1018" s="0" t="n">
        <v>1150</v>
      </c>
    </row>
    <row r="1019" customFormat="false" ht="15" hidden="false" customHeight="false" outlineLevel="0" collapsed="false">
      <c r="A1019" s="0" t="s">
        <v>20</v>
      </c>
      <c r="B1019" s="0" t="s">
        <v>2130</v>
      </c>
      <c r="C1019" s="0" t="s">
        <v>1744</v>
      </c>
    </row>
    <row r="1020" customFormat="false" ht="15" hidden="false" customHeight="false" outlineLevel="0" collapsed="false">
      <c r="A1020" s="0" t="s">
        <v>20</v>
      </c>
      <c r="B1020" s="0" t="s">
        <v>2130</v>
      </c>
      <c r="C1020" s="0" t="s">
        <v>1880</v>
      </c>
    </row>
    <row r="1021" customFormat="false" ht="15" hidden="false" customHeight="false" outlineLevel="0" collapsed="false">
      <c r="A1021" s="0" t="s">
        <v>20</v>
      </c>
      <c r="B1021" s="0" t="s">
        <v>2130</v>
      </c>
      <c r="C1021" s="0" t="s">
        <v>2173</v>
      </c>
    </row>
    <row r="1022" customFormat="false" ht="15" hidden="false" customHeight="false" outlineLevel="0" collapsed="false">
      <c r="A1022" s="0" t="s">
        <v>20</v>
      </c>
      <c r="B1022" s="0" t="s">
        <v>2139</v>
      </c>
      <c r="C1022" s="0" t="s">
        <v>1744</v>
      </c>
      <c r="D1022" s="0" t="n">
        <v>100</v>
      </c>
    </row>
    <row r="1023" customFormat="false" ht="15" hidden="false" customHeight="false" outlineLevel="0" collapsed="false">
      <c r="A1023" s="0" t="s">
        <v>20</v>
      </c>
      <c r="B1023" s="0" t="s">
        <v>2139</v>
      </c>
      <c r="C1023" s="0" t="s">
        <v>1880</v>
      </c>
    </row>
    <row r="1024" customFormat="false" ht="15" hidden="false" customHeight="false" outlineLevel="0" collapsed="false">
      <c r="A1024" s="0" t="s">
        <v>20</v>
      </c>
      <c r="B1024" s="0" t="s">
        <v>2139</v>
      </c>
      <c r="C1024" s="0" t="s">
        <v>2173</v>
      </c>
      <c r="D1024" s="0" t="n">
        <v>100</v>
      </c>
    </row>
    <row r="1025" customFormat="false" ht="15" hidden="false" customHeight="false" outlineLevel="0" collapsed="false">
      <c r="A1025" s="0" t="s">
        <v>20</v>
      </c>
      <c r="B1025" s="0" t="s">
        <v>2144</v>
      </c>
      <c r="C1025" s="0" t="s">
        <v>1744</v>
      </c>
    </row>
    <row r="1026" customFormat="false" ht="15" hidden="false" customHeight="false" outlineLevel="0" collapsed="false">
      <c r="A1026" s="0" t="s">
        <v>20</v>
      </c>
      <c r="B1026" s="0" t="s">
        <v>2144</v>
      </c>
      <c r="C1026" s="0" t="s">
        <v>1880</v>
      </c>
      <c r="D1026" s="0" t="n">
        <v>1800</v>
      </c>
    </row>
    <row r="1027" customFormat="false" ht="15" hidden="false" customHeight="false" outlineLevel="0" collapsed="false">
      <c r="A1027" s="0" t="s">
        <v>20</v>
      </c>
      <c r="B1027" s="0" t="s">
        <v>2144</v>
      </c>
      <c r="C1027" s="0" t="s">
        <v>2173</v>
      </c>
      <c r="D1027" s="0" t="n">
        <v>2000</v>
      </c>
    </row>
    <row r="1028" customFormat="false" ht="15" hidden="false" customHeight="false" outlineLevel="0" collapsed="false">
      <c r="A1028" s="0" t="s">
        <v>20</v>
      </c>
      <c r="B1028" s="0" t="s">
        <v>2149</v>
      </c>
      <c r="C1028" s="0" t="s">
        <v>1744</v>
      </c>
    </row>
    <row r="1029" customFormat="false" ht="15" hidden="false" customHeight="false" outlineLevel="0" collapsed="false">
      <c r="A1029" s="0" t="s">
        <v>20</v>
      </c>
      <c r="B1029" s="0" t="s">
        <v>2149</v>
      </c>
      <c r="C1029" s="0" t="s">
        <v>1880</v>
      </c>
    </row>
    <row r="1030" customFormat="false" ht="15" hidden="false" customHeight="false" outlineLevel="0" collapsed="false">
      <c r="A1030" s="0" t="s">
        <v>20</v>
      </c>
      <c r="B1030" s="0" t="s">
        <v>2149</v>
      </c>
      <c r="C1030" s="0" t="s">
        <v>2173</v>
      </c>
    </row>
    <row r="1031" customFormat="false" ht="15" hidden="false" customHeight="false" outlineLevel="0" collapsed="false">
      <c r="A1031" s="0" t="s">
        <v>20</v>
      </c>
      <c r="B1031" s="0" t="s">
        <v>2156</v>
      </c>
      <c r="C1031" s="0" t="s">
        <v>1744</v>
      </c>
      <c r="D1031" s="0" t="n">
        <v>15</v>
      </c>
    </row>
    <row r="1032" customFormat="false" ht="15" hidden="false" customHeight="false" outlineLevel="0" collapsed="false">
      <c r="A1032" s="0" t="s">
        <v>20</v>
      </c>
      <c r="B1032" s="0" t="s">
        <v>2156</v>
      </c>
      <c r="C1032" s="0" t="s">
        <v>1880</v>
      </c>
      <c r="D1032" s="0" t="n">
        <v>10</v>
      </c>
    </row>
    <row r="1033" customFormat="false" ht="15" hidden="false" customHeight="false" outlineLevel="0" collapsed="false">
      <c r="A1033" s="0" t="s">
        <v>20</v>
      </c>
      <c r="B1033" s="0" t="s">
        <v>2156</v>
      </c>
      <c r="C1033" s="0" t="s">
        <v>2173</v>
      </c>
      <c r="D1033" s="0" t="n">
        <v>15</v>
      </c>
    </row>
    <row r="1034" customFormat="false" ht="15" hidden="false" customHeight="false" outlineLevel="0" collapsed="false">
      <c r="A1034" s="0" t="s">
        <v>20</v>
      </c>
      <c r="B1034" s="0" t="s">
        <v>2164</v>
      </c>
      <c r="C1034" s="0" t="s">
        <v>1744</v>
      </c>
      <c r="D1034" s="0" t="n">
        <v>0.19</v>
      </c>
    </row>
    <row r="1035" customFormat="false" ht="15" hidden="false" customHeight="false" outlineLevel="0" collapsed="false">
      <c r="A1035" s="0" t="s">
        <v>20</v>
      </c>
      <c r="B1035" s="0" t="s">
        <v>2164</v>
      </c>
      <c r="C1035" s="0" t="s">
        <v>1880</v>
      </c>
    </row>
    <row r="1036" customFormat="false" ht="15" hidden="false" customHeight="false" outlineLevel="0" collapsed="false">
      <c r="A1036" s="0" t="s">
        <v>20</v>
      </c>
      <c r="B1036" s="0" t="s">
        <v>2164</v>
      </c>
      <c r="C1036" s="0" t="s">
        <v>2173</v>
      </c>
    </row>
    <row r="1037" customFormat="false" ht="15" hidden="false" customHeight="false" outlineLevel="0" collapsed="false">
      <c r="A1037" s="0" t="s">
        <v>20</v>
      </c>
      <c r="B1037" s="0" t="s">
        <v>2171</v>
      </c>
      <c r="C1037" s="0" t="s">
        <v>1744</v>
      </c>
      <c r="D1037" s="0" t="n">
        <v>0.56</v>
      </c>
    </row>
    <row r="1038" customFormat="false" ht="15" hidden="false" customHeight="false" outlineLevel="0" collapsed="false">
      <c r="A1038" s="0" t="s">
        <v>20</v>
      </c>
      <c r="B1038" s="0" t="s">
        <v>2171</v>
      </c>
      <c r="C1038" s="0" t="s">
        <v>1880</v>
      </c>
    </row>
    <row r="1039" customFormat="false" ht="15" hidden="false" customHeight="false" outlineLevel="0" collapsed="false">
      <c r="A1039" s="0" t="s">
        <v>20</v>
      </c>
      <c r="B1039" s="0" t="s">
        <v>2171</v>
      </c>
      <c r="C1039" s="0" t="s">
        <v>2173</v>
      </c>
    </row>
    <row r="1040" customFormat="false" ht="15" hidden="false" customHeight="false" outlineLevel="0" collapsed="false">
      <c r="A1040" s="0" t="s">
        <v>20</v>
      </c>
      <c r="B1040" s="0" t="s">
        <v>2176</v>
      </c>
      <c r="C1040" s="0" t="s">
        <v>1744</v>
      </c>
      <c r="D1040" s="0" t="n">
        <v>10.9</v>
      </c>
    </row>
    <row r="1041" customFormat="false" ht="15" hidden="false" customHeight="false" outlineLevel="0" collapsed="false">
      <c r="A1041" s="0" t="s">
        <v>20</v>
      </c>
      <c r="B1041" s="0" t="s">
        <v>2176</v>
      </c>
      <c r="C1041" s="0" t="s">
        <v>1880</v>
      </c>
    </row>
    <row r="1042" customFormat="false" ht="15" hidden="false" customHeight="false" outlineLevel="0" collapsed="false">
      <c r="A1042" s="0" t="s">
        <v>20</v>
      </c>
      <c r="B1042" s="0" t="s">
        <v>2176</v>
      </c>
      <c r="C1042" s="0" t="s">
        <v>2173</v>
      </c>
    </row>
    <row r="1043" customFormat="false" ht="15" hidden="false" customHeight="false" outlineLevel="0" collapsed="false">
      <c r="A1043" s="0" t="s">
        <v>20</v>
      </c>
      <c r="B1043" s="0" t="s">
        <v>2180</v>
      </c>
      <c r="C1043" s="0" t="s">
        <v>1744</v>
      </c>
      <c r="D1043" s="0" t="n">
        <v>0.559</v>
      </c>
    </row>
    <row r="1044" customFormat="false" ht="15" hidden="false" customHeight="false" outlineLevel="0" collapsed="false">
      <c r="A1044" s="0" t="s">
        <v>20</v>
      </c>
      <c r="B1044" s="0" t="s">
        <v>2180</v>
      </c>
      <c r="C1044" s="0" t="s">
        <v>1880</v>
      </c>
    </row>
    <row r="1045" customFormat="false" ht="15" hidden="false" customHeight="false" outlineLevel="0" collapsed="false">
      <c r="A1045" s="0" t="s">
        <v>20</v>
      </c>
      <c r="B1045" s="0" t="s">
        <v>2180</v>
      </c>
      <c r="C1045" s="0" t="s">
        <v>2173</v>
      </c>
    </row>
    <row r="1046" customFormat="false" ht="15" hidden="false" customHeight="false" outlineLevel="0" collapsed="false">
      <c r="A1046" s="0" t="s">
        <v>20</v>
      </c>
      <c r="B1046" s="0" t="s">
        <v>2184</v>
      </c>
      <c r="C1046" s="0" t="s">
        <v>1744</v>
      </c>
      <c r="D1046" s="0" t="n">
        <v>2028</v>
      </c>
    </row>
    <row r="1047" customFormat="false" ht="15" hidden="false" customHeight="false" outlineLevel="0" collapsed="false">
      <c r="A1047" s="0" t="s">
        <v>20</v>
      </c>
      <c r="B1047" s="0" t="s">
        <v>2184</v>
      </c>
      <c r="C1047" s="0" t="s">
        <v>1880</v>
      </c>
    </row>
    <row r="1048" customFormat="false" ht="15" hidden="false" customHeight="false" outlineLevel="0" collapsed="false">
      <c r="A1048" s="0" t="s">
        <v>20</v>
      </c>
      <c r="B1048" s="0" t="s">
        <v>2184</v>
      </c>
      <c r="C1048" s="0" t="s">
        <v>2173</v>
      </c>
    </row>
    <row r="1049" customFormat="false" ht="15" hidden="false" customHeight="false" outlineLevel="0" collapsed="false">
      <c r="A1049" s="0" t="s">
        <v>20</v>
      </c>
      <c r="B1049" s="0" t="s">
        <v>2191</v>
      </c>
      <c r="C1049" s="0" t="s">
        <v>1744</v>
      </c>
      <c r="D1049" s="0" t="n">
        <v>11.5</v>
      </c>
    </row>
    <row r="1050" customFormat="false" ht="15" hidden="false" customHeight="false" outlineLevel="0" collapsed="false">
      <c r="A1050" s="0" t="s">
        <v>20</v>
      </c>
      <c r="B1050" s="0" t="s">
        <v>2191</v>
      </c>
      <c r="C1050" s="0" t="s">
        <v>1880</v>
      </c>
      <c r="D1050" s="0" t="n">
        <v>11.5</v>
      </c>
    </row>
    <row r="1051" customFormat="false" ht="15" hidden="false" customHeight="false" outlineLevel="0" collapsed="false">
      <c r="A1051" s="0" t="s">
        <v>20</v>
      </c>
      <c r="B1051" s="0" t="s">
        <v>2191</v>
      </c>
      <c r="C1051" s="0" t="s">
        <v>2173</v>
      </c>
    </row>
    <row r="1052" customFormat="false" ht="15" hidden="false" customHeight="false" outlineLevel="0" collapsed="false">
      <c r="A1052" s="0" t="s">
        <v>20</v>
      </c>
      <c r="B1052" s="0" t="s">
        <v>2197</v>
      </c>
      <c r="C1052" s="0" t="s">
        <v>1744</v>
      </c>
    </row>
    <row r="1053" customFormat="false" ht="15" hidden="false" customHeight="false" outlineLevel="0" collapsed="false">
      <c r="A1053" s="0" t="s">
        <v>20</v>
      </c>
      <c r="B1053" s="0" t="s">
        <v>2197</v>
      </c>
      <c r="C1053" s="0" t="s">
        <v>1880</v>
      </c>
    </row>
    <row r="1054" customFormat="false" ht="15" hidden="false" customHeight="false" outlineLevel="0" collapsed="false">
      <c r="A1054" s="0" t="s">
        <v>20</v>
      </c>
      <c r="B1054" s="0" t="s">
        <v>2197</v>
      </c>
      <c r="C1054" s="0" t="s">
        <v>2173</v>
      </c>
    </row>
    <row r="1055" customFormat="false" ht="15" hidden="false" customHeight="false" outlineLevel="0" collapsed="false">
      <c r="A1055" s="0" t="s">
        <v>20</v>
      </c>
      <c r="B1055" s="0" t="s">
        <v>2202</v>
      </c>
      <c r="C1055" s="0" t="s">
        <v>1744</v>
      </c>
      <c r="D1055" s="0" t="n">
        <v>3</v>
      </c>
    </row>
    <row r="1056" customFormat="false" ht="15" hidden="false" customHeight="false" outlineLevel="0" collapsed="false">
      <c r="A1056" s="0" t="s">
        <v>20</v>
      </c>
      <c r="B1056" s="0" t="s">
        <v>2202</v>
      </c>
      <c r="C1056" s="0" t="s">
        <v>1880</v>
      </c>
    </row>
    <row r="1057" customFormat="false" ht="15" hidden="false" customHeight="false" outlineLevel="0" collapsed="false">
      <c r="A1057" s="0" t="s">
        <v>20</v>
      </c>
      <c r="B1057" s="0" t="s">
        <v>2202</v>
      </c>
      <c r="C1057" s="0" t="s">
        <v>2173</v>
      </c>
    </row>
    <row r="1058" customFormat="false" ht="15" hidden="false" customHeight="false" outlineLevel="0" collapsed="false">
      <c r="A1058" s="0" t="s">
        <v>20</v>
      </c>
      <c r="B1058" s="0" t="s">
        <v>2207</v>
      </c>
      <c r="C1058" s="0" t="s">
        <v>1744</v>
      </c>
      <c r="D1058" s="0" t="n">
        <v>0.33</v>
      </c>
    </row>
    <row r="1059" customFormat="false" ht="15" hidden="false" customHeight="false" outlineLevel="0" collapsed="false">
      <c r="A1059" s="0" t="s">
        <v>20</v>
      </c>
      <c r="B1059" s="0" t="s">
        <v>2207</v>
      </c>
      <c r="C1059" s="0" t="s">
        <v>1880</v>
      </c>
    </row>
    <row r="1060" customFormat="false" ht="15" hidden="false" customHeight="false" outlineLevel="0" collapsed="false">
      <c r="A1060" s="0" t="s">
        <v>20</v>
      </c>
      <c r="B1060" s="0" t="s">
        <v>2207</v>
      </c>
      <c r="C1060" s="0" t="s">
        <v>2173</v>
      </c>
    </row>
    <row r="1061" customFormat="false" ht="15" hidden="false" customHeight="false" outlineLevel="0" collapsed="false">
      <c r="A1061" s="0" t="s">
        <v>20</v>
      </c>
      <c r="B1061" s="0" t="s">
        <v>2215</v>
      </c>
      <c r="C1061" s="0" t="s">
        <v>1744</v>
      </c>
      <c r="D1061" s="0" t="n">
        <v>0.09</v>
      </c>
    </row>
    <row r="1062" customFormat="false" ht="15" hidden="false" customHeight="false" outlineLevel="0" collapsed="false">
      <c r="A1062" s="0" t="s">
        <v>20</v>
      </c>
      <c r="B1062" s="0" t="s">
        <v>2215</v>
      </c>
      <c r="C1062" s="0" t="s">
        <v>1880</v>
      </c>
    </row>
    <row r="1063" customFormat="false" ht="15" hidden="false" customHeight="false" outlineLevel="0" collapsed="false">
      <c r="A1063" s="0" t="s">
        <v>20</v>
      </c>
      <c r="B1063" s="0" t="s">
        <v>2215</v>
      </c>
      <c r="C1063" s="0" t="s">
        <v>2173</v>
      </c>
    </row>
    <row r="1064" customFormat="false" ht="15" hidden="false" customHeight="false" outlineLevel="0" collapsed="false">
      <c r="A1064" s="0" t="s">
        <v>20</v>
      </c>
      <c r="B1064" s="0" t="s">
        <v>2220</v>
      </c>
      <c r="C1064" s="0" t="s">
        <v>1744</v>
      </c>
      <c r="D1064" s="0" t="n">
        <v>12</v>
      </c>
    </row>
    <row r="1065" customFormat="false" ht="15" hidden="false" customHeight="false" outlineLevel="0" collapsed="false">
      <c r="A1065" s="0" t="s">
        <v>20</v>
      </c>
      <c r="B1065" s="0" t="s">
        <v>2220</v>
      </c>
      <c r="C1065" s="0" t="s">
        <v>1880</v>
      </c>
    </row>
    <row r="1066" customFormat="false" ht="15" hidden="false" customHeight="false" outlineLevel="0" collapsed="false">
      <c r="A1066" s="0" t="s">
        <v>20</v>
      </c>
      <c r="B1066" s="0" t="s">
        <v>2220</v>
      </c>
      <c r="C1066" s="0" t="s">
        <v>2173</v>
      </c>
    </row>
    <row r="1067" customFormat="false" ht="15" hidden="false" customHeight="false" outlineLevel="0" collapsed="false">
      <c r="A1067" s="0" t="s">
        <v>20</v>
      </c>
      <c r="B1067" s="0" t="s">
        <v>2225</v>
      </c>
      <c r="C1067" s="0" t="s">
        <v>1744</v>
      </c>
      <c r="D1067" s="0" t="n">
        <v>7</v>
      </c>
    </row>
    <row r="1068" customFormat="false" ht="15" hidden="false" customHeight="false" outlineLevel="0" collapsed="false">
      <c r="A1068" s="0" t="s">
        <v>20</v>
      </c>
      <c r="B1068" s="0" t="s">
        <v>2225</v>
      </c>
      <c r="C1068" s="0" t="s">
        <v>1880</v>
      </c>
    </row>
    <row r="1069" customFormat="false" ht="15" hidden="false" customHeight="false" outlineLevel="0" collapsed="false">
      <c r="A1069" s="0" t="s">
        <v>20</v>
      </c>
      <c r="B1069" s="0" t="s">
        <v>2225</v>
      </c>
      <c r="C1069" s="0" t="s">
        <v>2173</v>
      </c>
    </row>
    <row r="1070" customFormat="false" ht="15" hidden="false" customHeight="false" outlineLevel="0" collapsed="false">
      <c r="A1070" s="0" t="s">
        <v>20</v>
      </c>
      <c r="B1070" s="0" t="s">
        <v>2230</v>
      </c>
      <c r="C1070" s="0" t="s">
        <v>1744</v>
      </c>
      <c r="D1070" s="0" t="n">
        <v>30</v>
      </c>
    </row>
    <row r="1071" customFormat="false" ht="15" hidden="false" customHeight="false" outlineLevel="0" collapsed="false">
      <c r="A1071" s="0" t="s">
        <v>20</v>
      </c>
      <c r="B1071" s="0" t="s">
        <v>2230</v>
      </c>
      <c r="C1071" s="0" t="s">
        <v>1880</v>
      </c>
    </row>
    <row r="1072" customFormat="false" ht="15" hidden="false" customHeight="false" outlineLevel="0" collapsed="false">
      <c r="A1072" s="0" t="s">
        <v>20</v>
      </c>
      <c r="B1072" s="0" t="s">
        <v>2230</v>
      </c>
      <c r="C1072" s="0" t="s">
        <v>2173</v>
      </c>
    </row>
    <row r="1073" customFormat="false" ht="15" hidden="false" customHeight="false" outlineLevel="0" collapsed="false">
      <c r="A1073" s="0" t="s">
        <v>20</v>
      </c>
      <c r="B1073" s="0" t="s">
        <v>2236</v>
      </c>
      <c r="C1073" s="0" t="s">
        <v>1744</v>
      </c>
      <c r="D1073" s="0" t="n">
        <v>2.2</v>
      </c>
    </row>
    <row r="1074" customFormat="false" ht="15" hidden="false" customHeight="false" outlineLevel="0" collapsed="false">
      <c r="A1074" s="0" t="s">
        <v>20</v>
      </c>
      <c r="B1074" s="0" t="s">
        <v>2236</v>
      </c>
      <c r="C1074" s="0" t="s">
        <v>1880</v>
      </c>
    </row>
    <row r="1075" customFormat="false" ht="15" hidden="false" customHeight="false" outlineLevel="0" collapsed="false">
      <c r="A1075" s="0" t="s">
        <v>20</v>
      </c>
      <c r="B1075" s="0" t="s">
        <v>2236</v>
      </c>
      <c r="C1075" s="0" t="s">
        <v>2173</v>
      </c>
    </row>
    <row r="1076" customFormat="false" ht="15" hidden="false" customHeight="false" outlineLevel="0" collapsed="false">
      <c r="A1076" s="0" t="s">
        <v>20</v>
      </c>
      <c r="B1076" s="0" t="s">
        <v>2240</v>
      </c>
      <c r="C1076" s="0" t="s">
        <v>1744</v>
      </c>
      <c r="D1076" s="0" t="n">
        <v>12</v>
      </c>
    </row>
    <row r="1077" customFormat="false" ht="15" hidden="false" customHeight="false" outlineLevel="0" collapsed="false">
      <c r="A1077" s="0" t="s">
        <v>20</v>
      </c>
      <c r="B1077" s="0" t="s">
        <v>2240</v>
      </c>
      <c r="C1077" s="0" t="s">
        <v>1880</v>
      </c>
    </row>
    <row r="1078" customFormat="false" ht="15" hidden="false" customHeight="false" outlineLevel="0" collapsed="false">
      <c r="A1078" s="0" t="s">
        <v>20</v>
      </c>
      <c r="B1078" s="0" t="s">
        <v>2240</v>
      </c>
      <c r="C1078" s="0" t="s">
        <v>2173</v>
      </c>
    </row>
    <row r="1079" customFormat="false" ht="15" hidden="false" customHeight="false" outlineLevel="0" collapsed="false">
      <c r="A1079" s="0" t="s">
        <v>20</v>
      </c>
      <c r="B1079" s="0" t="s">
        <v>2244</v>
      </c>
      <c r="C1079" s="0" t="s">
        <v>1744</v>
      </c>
      <c r="D1079" s="0" t="n">
        <v>34.5</v>
      </c>
    </row>
    <row r="1080" customFormat="false" ht="15" hidden="false" customHeight="false" outlineLevel="0" collapsed="false">
      <c r="A1080" s="0" t="s">
        <v>20</v>
      </c>
      <c r="B1080" s="0" t="s">
        <v>2244</v>
      </c>
      <c r="C1080" s="0" t="s">
        <v>1880</v>
      </c>
    </row>
    <row r="1081" customFormat="false" ht="15" hidden="false" customHeight="false" outlineLevel="0" collapsed="false">
      <c r="A1081" s="0" t="s">
        <v>20</v>
      </c>
      <c r="B1081" s="0" t="s">
        <v>2244</v>
      </c>
      <c r="C1081" s="0" t="s">
        <v>2173</v>
      </c>
    </row>
    <row r="1082" customFormat="false" ht="15" hidden="false" customHeight="false" outlineLevel="0" collapsed="false">
      <c r="A1082" s="0" t="s">
        <v>20</v>
      </c>
      <c r="B1082" s="0" t="s">
        <v>2248</v>
      </c>
      <c r="C1082" s="0" t="s">
        <v>1744</v>
      </c>
      <c r="D1082" s="0" t="n">
        <v>2027</v>
      </c>
    </row>
    <row r="1083" customFormat="false" ht="15" hidden="false" customHeight="false" outlineLevel="0" collapsed="false">
      <c r="A1083" s="0" t="s">
        <v>20</v>
      </c>
      <c r="B1083" s="0" t="s">
        <v>2248</v>
      </c>
      <c r="C1083" s="0" t="s">
        <v>1880</v>
      </c>
    </row>
    <row r="1084" customFormat="false" ht="15" hidden="false" customHeight="false" outlineLevel="0" collapsed="false">
      <c r="A1084" s="0" t="s">
        <v>20</v>
      </c>
      <c r="B1084" s="0" t="s">
        <v>2248</v>
      </c>
      <c r="C1084" s="0" t="s">
        <v>2173</v>
      </c>
    </row>
    <row r="1085" customFormat="false" ht="15" hidden="false" customHeight="false" outlineLevel="0" collapsed="false">
      <c r="A1085" s="0" t="s">
        <v>20</v>
      </c>
      <c r="B1085" s="0" t="s">
        <v>2252</v>
      </c>
      <c r="C1085" s="0" t="s">
        <v>1744</v>
      </c>
      <c r="D1085" s="0" t="n">
        <v>70</v>
      </c>
    </row>
    <row r="1086" customFormat="false" ht="15" hidden="false" customHeight="false" outlineLevel="0" collapsed="false">
      <c r="A1086" s="0" t="s">
        <v>20</v>
      </c>
      <c r="B1086" s="0" t="s">
        <v>2252</v>
      </c>
      <c r="C1086" s="0" t="s">
        <v>1880</v>
      </c>
    </row>
    <row r="1087" customFormat="false" ht="15" hidden="false" customHeight="false" outlineLevel="0" collapsed="false">
      <c r="A1087" s="0" t="s">
        <v>20</v>
      </c>
      <c r="B1087" s="0" t="s">
        <v>2252</v>
      </c>
      <c r="C1087" s="0" t="s">
        <v>2173</v>
      </c>
      <c r="D1087" s="0" t="n">
        <v>70</v>
      </c>
    </row>
    <row r="1088" customFormat="false" ht="15" hidden="false" customHeight="false" outlineLevel="0" collapsed="false">
      <c r="A1088" s="0" t="s">
        <v>20</v>
      </c>
      <c r="B1088" s="0" t="s">
        <v>2256</v>
      </c>
      <c r="C1088" s="0" t="s">
        <v>1744</v>
      </c>
    </row>
    <row r="1089" customFormat="false" ht="15" hidden="false" customHeight="false" outlineLevel="0" collapsed="false">
      <c r="A1089" s="0" t="s">
        <v>20</v>
      </c>
      <c r="B1089" s="0" t="s">
        <v>2256</v>
      </c>
      <c r="C1089" s="0" t="s">
        <v>1880</v>
      </c>
      <c r="D1089" s="0" t="n">
        <v>15.2</v>
      </c>
    </row>
    <row r="1090" customFormat="false" ht="15" hidden="false" customHeight="false" outlineLevel="0" collapsed="false">
      <c r="A1090" s="0" t="s">
        <v>20</v>
      </c>
      <c r="B1090" s="0" t="s">
        <v>2256</v>
      </c>
      <c r="C1090" s="0" t="s">
        <v>2173</v>
      </c>
      <c r="D1090" s="0" t="n">
        <v>38.9</v>
      </c>
    </row>
    <row r="1091" customFormat="false" ht="15" hidden="false" customHeight="false" outlineLevel="0" collapsed="false">
      <c r="A1091" s="0" t="s">
        <v>20</v>
      </c>
      <c r="B1091" s="0" t="s">
        <v>2263</v>
      </c>
      <c r="C1091" s="0" t="s">
        <v>1744</v>
      </c>
    </row>
    <row r="1092" customFormat="false" ht="15" hidden="false" customHeight="false" outlineLevel="0" collapsed="false">
      <c r="A1092" s="0" t="s">
        <v>20</v>
      </c>
      <c r="B1092" s="0" t="s">
        <v>2263</v>
      </c>
      <c r="C1092" s="0" t="s">
        <v>1880</v>
      </c>
      <c r="D1092" s="0" t="n">
        <v>20</v>
      </c>
    </row>
    <row r="1093" customFormat="false" ht="15" hidden="false" customHeight="false" outlineLevel="0" collapsed="false">
      <c r="A1093" s="0" t="s">
        <v>20</v>
      </c>
      <c r="B1093" s="0" t="s">
        <v>2263</v>
      </c>
      <c r="C1093" s="0" t="s">
        <v>2173</v>
      </c>
      <c r="D1093" s="0" t="n">
        <v>26</v>
      </c>
    </row>
    <row r="1094" customFormat="false" ht="15" hidden="false" customHeight="false" outlineLevel="0" collapsed="false">
      <c r="A1094" s="0" t="s">
        <v>20</v>
      </c>
      <c r="B1094" s="0" t="s">
        <v>2267</v>
      </c>
      <c r="C1094" s="0" t="s">
        <v>1744</v>
      </c>
      <c r="D1094" s="0" t="n">
        <v>17</v>
      </c>
    </row>
    <row r="1095" customFormat="false" ht="15" hidden="false" customHeight="false" outlineLevel="0" collapsed="false">
      <c r="A1095" s="0" t="s">
        <v>20</v>
      </c>
      <c r="B1095" s="0" t="s">
        <v>2267</v>
      </c>
      <c r="C1095" s="0" t="s">
        <v>1880</v>
      </c>
    </row>
    <row r="1096" customFormat="false" ht="15" hidden="false" customHeight="false" outlineLevel="0" collapsed="false">
      <c r="A1096" s="0" t="s">
        <v>20</v>
      </c>
      <c r="B1096" s="0" t="s">
        <v>2267</v>
      </c>
      <c r="C1096" s="0" t="s">
        <v>2173</v>
      </c>
    </row>
    <row r="1097" customFormat="false" ht="15" hidden="false" customHeight="false" outlineLevel="0" collapsed="false">
      <c r="A1097" s="0" t="s">
        <v>20</v>
      </c>
      <c r="B1097" s="0" t="s">
        <v>2271</v>
      </c>
      <c r="C1097" s="0" t="s">
        <v>1744</v>
      </c>
      <c r="D1097" s="0" t="n">
        <v>2028</v>
      </c>
    </row>
    <row r="1098" customFormat="false" ht="15" hidden="false" customHeight="false" outlineLevel="0" collapsed="false">
      <c r="A1098" s="0" t="s">
        <v>20</v>
      </c>
      <c r="B1098" s="0" t="s">
        <v>2271</v>
      </c>
      <c r="C1098" s="0" t="s">
        <v>1880</v>
      </c>
    </row>
    <row r="1099" customFormat="false" ht="15" hidden="false" customHeight="false" outlineLevel="0" collapsed="false">
      <c r="A1099" s="0" t="s">
        <v>20</v>
      </c>
      <c r="B1099" s="0" t="s">
        <v>2271</v>
      </c>
      <c r="C1099" s="0" t="s">
        <v>2173</v>
      </c>
    </row>
    <row r="1100" customFormat="false" ht="15" hidden="false" customHeight="false" outlineLevel="0" collapsed="false">
      <c r="A1100" s="0" t="s">
        <v>20</v>
      </c>
      <c r="B1100" s="0" t="s">
        <v>2275</v>
      </c>
      <c r="C1100" s="0" t="s">
        <v>1744</v>
      </c>
      <c r="D1100" s="0" t="n">
        <v>2028</v>
      </c>
    </row>
    <row r="1101" customFormat="false" ht="15" hidden="false" customHeight="false" outlineLevel="0" collapsed="false">
      <c r="A1101" s="0" t="s">
        <v>20</v>
      </c>
      <c r="B1101" s="0" t="s">
        <v>2275</v>
      </c>
      <c r="C1101" s="0" t="s">
        <v>1880</v>
      </c>
    </row>
    <row r="1102" customFormat="false" ht="15" hidden="false" customHeight="false" outlineLevel="0" collapsed="false">
      <c r="A1102" s="0" t="s">
        <v>20</v>
      </c>
      <c r="B1102" s="0" t="s">
        <v>2275</v>
      </c>
      <c r="C1102" s="0" t="s">
        <v>2173</v>
      </c>
    </row>
    <row r="1103" customFormat="false" ht="15" hidden="false" customHeight="false" outlineLevel="0" collapsed="false">
      <c r="A1103" s="0" t="s">
        <v>20</v>
      </c>
      <c r="B1103" s="0" t="s">
        <v>2279</v>
      </c>
      <c r="C1103" s="0" t="s">
        <v>1744</v>
      </c>
      <c r="D1103" s="0" t="n">
        <v>18</v>
      </c>
    </row>
    <row r="1104" customFormat="false" ht="15" hidden="false" customHeight="false" outlineLevel="0" collapsed="false">
      <c r="A1104" s="0" t="s">
        <v>20</v>
      </c>
      <c r="B1104" s="0" t="s">
        <v>2279</v>
      </c>
      <c r="C1104" s="0" t="s">
        <v>1880</v>
      </c>
    </row>
    <row r="1105" customFormat="false" ht="15" hidden="false" customHeight="false" outlineLevel="0" collapsed="false">
      <c r="A1105" s="0" t="s">
        <v>20</v>
      </c>
      <c r="B1105" s="0" t="s">
        <v>2279</v>
      </c>
      <c r="C1105" s="0" t="s">
        <v>2173</v>
      </c>
      <c r="D1105" s="0" t="n">
        <v>18</v>
      </c>
    </row>
    <row r="1106" customFormat="false" ht="15" hidden="false" customHeight="false" outlineLevel="0" collapsed="false">
      <c r="A1106" s="0" t="s">
        <v>20</v>
      </c>
      <c r="B1106" s="0" t="s">
        <v>2285</v>
      </c>
      <c r="C1106" s="0" t="s">
        <v>1744</v>
      </c>
      <c r="D1106" s="0" t="n">
        <v>55</v>
      </c>
    </row>
    <row r="1107" customFormat="false" ht="15" hidden="false" customHeight="false" outlineLevel="0" collapsed="false">
      <c r="A1107" s="0" t="s">
        <v>20</v>
      </c>
      <c r="B1107" s="0" t="s">
        <v>2285</v>
      </c>
      <c r="C1107" s="0" t="s">
        <v>1880</v>
      </c>
    </row>
    <row r="1108" customFormat="false" ht="15" hidden="false" customHeight="false" outlineLevel="0" collapsed="false">
      <c r="A1108" s="0" t="s">
        <v>20</v>
      </c>
      <c r="B1108" s="0" t="s">
        <v>2285</v>
      </c>
      <c r="C1108" s="0" t="s">
        <v>2173</v>
      </c>
    </row>
    <row r="1109" customFormat="false" ht="15" hidden="false" customHeight="false" outlineLevel="0" collapsed="false">
      <c r="A1109" s="0" t="s">
        <v>20</v>
      </c>
      <c r="B1109" s="0" t="s">
        <v>2290</v>
      </c>
      <c r="C1109" s="0" t="s">
        <v>1744</v>
      </c>
      <c r="D1109" s="0" t="n">
        <v>148</v>
      </c>
    </row>
    <row r="1110" customFormat="false" ht="15" hidden="false" customHeight="false" outlineLevel="0" collapsed="false">
      <c r="A1110" s="0" t="s">
        <v>20</v>
      </c>
      <c r="B1110" s="0" t="s">
        <v>2290</v>
      </c>
      <c r="C1110" s="0" t="s">
        <v>1880</v>
      </c>
    </row>
    <row r="1111" customFormat="false" ht="15" hidden="false" customHeight="false" outlineLevel="0" collapsed="false">
      <c r="A1111" s="0" t="s">
        <v>20</v>
      </c>
      <c r="B1111" s="0" t="s">
        <v>2290</v>
      </c>
      <c r="C1111" s="0" t="s">
        <v>2173</v>
      </c>
      <c r="D1111" s="0" t="n">
        <v>148</v>
      </c>
    </row>
    <row r="1112" customFormat="false" ht="15" hidden="false" customHeight="false" outlineLevel="0" collapsed="false">
      <c r="A1112" s="0" t="s">
        <v>20</v>
      </c>
      <c r="B1112" s="0" t="s">
        <v>2295</v>
      </c>
      <c r="C1112" s="0" t="s">
        <v>1744</v>
      </c>
      <c r="D1112" s="0" t="n">
        <v>2028</v>
      </c>
    </row>
    <row r="1113" customFormat="false" ht="15" hidden="false" customHeight="false" outlineLevel="0" collapsed="false">
      <c r="A1113" s="0" t="s">
        <v>20</v>
      </c>
      <c r="B1113" s="0" t="s">
        <v>2295</v>
      </c>
      <c r="C1113" s="0" t="s">
        <v>1880</v>
      </c>
    </row>
    <row r="1114" customFormat="false" ht="15" hidden="false" customHeight="false" outlineLevel="0" collapsed="false">
      <c r="A1114" s="0" t="s">
        <v>20</v>
      </c>
      <c r="B1114" s="0" t="s">
        <v>2295</v>
      </c>
      <c r="C1114" s="0" t="s">
        <v>2173</v>
      </c>
    </row>
    <row r="1115" customFormat="false" ht="15" hidden="false" customHeight="false" outlineLevel="0" collapsed="false">
      <c r="A1115" s="0" t="s">
        <v>20</v>
      </c>
      <c r="B1115" s="0" t="s">
        <v>2299</v>
      </c>
      <c r="C1115" s="0" t="s">
        <v>1744</v>
      </c>
      <c r="D1115" s="0" t="n">
        <v>2028</v>
      </c>
    </row>
    <row r="1116" customFormat="false" ht="15" hidden="false" customHeight="false" outlineLevel="0" collapsed="false">
      <c r="A1116" s="0" t="s">
        <v>20</v>
      </c>
      <c r="B1116" s="0" t="s">
        <v>2299</v>
      </c>
      <c r="C1116" s="0" t="s">
        <v>1880</v>
      </c>
    </row>
    <row r="1117" customFormat="false" ht="15" hidden="false" customHeight="false" outlineLevel="0" collapsed="false">
      <c r="A1117" s="0" t="s">
        <v>20</v>
      </c>
      <c r="B1117" s="0" t="s">
        <v>2299</v>
      </c>
      <c r="C1117" s="0" t="s">
        <v>2173</v>
      </c>
    </row>
    <row r="1118" customFormat="false" ht="15" hidden="false" customHeight="false" outlineLevel="0" collapsed="false">
      <c r="A1118" s="0" t="s">
        <v>20</v>
      </c>
      <c r="B1118" s="0" t="s">
        <v>2305</v>
      </c>
      <c r="C1118" s="0" t="s">
        <v>1744</v>
      </c>
    </row>
    <row r="1119" customFormat="false" ht="15" hidden="false" customHeight="false" outlineLevel="0" collapsed="false">
      <c r="A1119" s="0" t="s">
        <v>20</v>
      </c>
      <c r="B1119" s="0" t="s">
        <v>2305</v>
      </c>
      <c r="C1119" s="0" t="s">
        <v>1880</v>
      </c>
      <c r="D1119" s="0" t="n">
        <v>100</v>
      </c>
    </row>
    <row r="1120" customFormat="false" ht="15" hidden="false" customHeight="false" outlineLevel="0" collapsed="false">
      <c r="A1120" s="0" t="s">
        <v>20</v>
      </c>
      <c r="B1120" s="0" t="s">
        <v>2305</v>
      </c>
      <c r="C1120" s="0" t="s">
        <v>2173</v>
      </c>
      <c r="D1120" s="0" t="n">
        <v>120</v>
      </c>
    </row>
    <row r="1121" customFormat="false" ht="15" hidden="false" customHeight="false" outlineLevel="0" collapsed="false">
      <c r="A1121" s="0" t="s">
        <v>20</v>
      </c>
      <c r="B1121" s="0" t="s">
        <v>2311</v>
      </c>
      <c r="C1121" s="0" t="s">
        <v>1744</v>
      </c>
      <c r="D1121" s="0" t="n">
        <v>30000</v>
      </c>
    </row>
    <row r="1122" customFormat="false" ht="15" hidden="false" customHeight="false" outlineLevel="0" collapsed="false">
      <c r="A1122" s="0" t="s">
        <v>20</v>
      </c>
      <c r="B1122" s="0" t="s">
        <v>2311</v>
      </c>
      <c r="C1122" s="0" t="s">
        <v>1880</v>
      </c>
      <c r="D1122" s="0" t="n">
        <v>30000</v>
      </c>
    </row>
    <row r="1123" customFormat="false" ht="15" hidden="false" customHeight="false" outlineLevel="0" collapsed="false">
      <c r="A1123" s="0" t="s">
        <v>20</v>
      </c>
      <c r="B1123" s="0" t="s">
        <v>2311</v>
      </c>
      <c r="C1123" s="0" t="s">
        <v>2173</v>
      </c>
    </row>
    <row r="1124" customFormat="false" ht="15" hidden="false" customHeight="false" outlineLevel="0" collapsed="false">
      <c r="A1124" s="0" t="s">
        <v>20</v>
      </c>
      <c r="B1124" s="0" t="s">
        <v>2318</v>
      </c>
      <c r="C1124" s="0" t="s">
        <v>1744</v>
      </c>
      <c r="D1124" s="0" t="n">
        <v>0.5</v>
      </c>
    </row>
    <row r="1125" customFormat="false" ht="15" hidden="false" customHeight="false" outlineLevel="0" collapsed="false">
      <c r="A1125" s="0" t="s">
        <v>20</v>
      </c>
      <c r="B1125" s="0" t="s">
        <v>2318</v>
      </c>
      <c r="C1125" s="0" t="s">
        <v>1880</v>
      </c>
    </row>
    <row r="1126" customFormat="false" ht="15" hidden="false" customHeight="false" outlineLevel="0" collapsed="false">
      <c r="A1126" s="0" t="s">
        <v>20</v>
      </c>
      <c r="B1126" s="0" t="s">
        <v>2318</v>
      </c>
      <c r="C1126" s="0" t="s">
        <v>2173</v>
      </c>
    </row>
    <row r="1127" customFormat="false" ht="15" hidden="false" customHeight="false" outlineLevel="0" collapsed="false">
      <c r="A1127" s="0" t="s">
        <v>20</v>
      </c>
      <c r="B1127" s="0" t="s">
        <v>2322</v>
      </c>
      <c r="C1127" s="0" t="s">
        <v>1744</v>
      </c>
      <c r="D1127" s="0" t="n">
        <v>0.77</v>
      </c>
    </row>
    <row r="1128" customFormat="false" ht="15" hidden="false" customHeight="false" outlineLevel="0" collapsed="false">
      <c r="A1128" s="0" t="s">
        <v>20</v>
      </c>
      <c r="B1128" s="0" t="s">
        <v>2322</v>
      </c>
      <c r="C1128" s="0" t="s">
        <v>1880</v>
      </c>
    </row>
    <row r="1129" customFormat="false" ht="15" hidden="false" customHeight="false" outlineLevel="0" collapsed="false">
      <c r="A1129" s="0" t="s">
        <v>20</v>
      </c>
      <c r="B1129" s="0" t="s">
        <v>2322</v>
      </c>
      <c r="C1129" s="0" t="s">
        <v>2173</v>
      </c>
    </row>
    <row r="1130" customFormat="false" ht="15" hidden="false" customHeight="false" outlineLevel="0" collapsed="false">
      <c r="A1130" s="0" t="s">
        <v>20</v>
      </c>
      <c r="B1130" s="0" t="s">
        <v>2326</v>
      </c>
      <c r="C1130" s="0" t="s">
        <v>1744</v>
      </c>
      <c r="D1130" s="0" t="n">
        <v>10.88</v>
      </c>
    </row>
    <row r="1131" customFormat="false" ht="15" hidden="false" customHeight="false" outlineLevel="0" collapsed="false">
      <c r="A1131" s="0" t="s">
        <v>20</v>
      </c>
      <c r="B1131" s="0" t="s">
        <v>2326</v>
      </c>
      <c r="C1131" s="0" t="s">
        <v>1880</v>
      </c>
    </row>
    <row r="1132" customFormat="false" ht="15" hidden="false" customHeight="false" outlineLevel="0" collapsed="false">
      <c r="A1132" s="0" t="s">
        <v>20</v>
      </c>
      <c r="B1132" s="0" t="s">
        <v>2326</v>
      </c>
      <c r="C1132" s="0" t="s">
        <v>2173</v>
      </c>
    </row>
    <row r="1133" customFormat="false" ht="15" hidden="false" customHeight="false" outlineLevel="0" collapsed="false">
      <c r="A1133" s="0" t="s">
        <v>20</v>
      </c>
      <c r="B1133" s="0" t="s">
        <v>2331</v>
      </c>
      <c r="C1133" s="0" t="s">
        <v>1744</v>
      </c>
      <c r="D1133" s="0" t="n">
        <v>0.1</v>
      </c>
    </row>
    <row r="1134" customFormat="false" ht="15" hidden="false" customHeight="false" outlineLevel="0" collapsed="false">
      <c r="A1134" s="0" t="s">
        <v>20</v>
      </c>
      <c r="B1134" s="0" t="s">
        <v>2331</v>
      </c>
      <c r="C1134" s="0" t="s">
        <v>1880</v>
      </c>
    </row>
    <row r="1135" customFormat="false" ht="15" hidden="false" customHeight="false" outlineLevel="0" collapsed="false">
      <c r="A1135" s="0" t="s">
        <v>20</v>
      </c>
      <c r="B1135" s="0" t="s">
        <v>2331</v>
      </c>
      <c r="C1135" s="0" t="s">
        <v>2173</v>
      </c>
    </row>
    <row r="1136" customFormat="false" ht="15" hidden="false" customHeight="false" outlineLevel="0" collapsed="false">
      <c r="A1136" s="0" t="s">
        <v>20</v>
      </c>
      <c r="B1136" s="0" t="s">
        <v>2335</v>
      </c>
      <c r="C1136" s="0" t="s">
        <v>1744</v>
      </c>
      <c r="D1136" s="0" t="n">
        <v>2</v>
      </c>
    </row>
    <row r="1137" customFormat="false" ht="15" hidden="false" customHeight="false" outlineLevel="0" collapsed="false">
      <c r="A1137" s="0" t="s">
        <v>20</v>
      </c>
      <c r="B1137" s="0" t="s">
        <v>2335</v>
      </c>
      <c r="C1137" s="0" t="s">
        <v>1880</v>
      </c>
    </row>
    <row r="1138" customFormat="false" ht="15" hidden="false" customHeight="false" outlineLevel="0" collapsed="false">
      <c r="A1138" s="0" t="s">
        <v>20</v>
      </c>
      <c r="B1138" s="0" t="s">
        <v>2335</v>
      </c>
      <c r="C1138" s="0" t="s">
        <v>2173</v>
      </c>
    </row>
    <row r="1139" customFormat="false" ht="15" hidden="false" customHeight="false" outlineLevel="0" collapsed="false">
      <c r="A1139" s="0" t="s">
        <v>20</v>
      </c>
      <c r="B1139" s="0" t="s">
        <v>2339</v>
      </c>
      <c r="C1139" s="0" t="s">
        <v>1744</v>
      </c>
      <c r="D1139" s="0" t="n">
        <v>16.3</v>
      </c>
    </row>
    <row r="1140" customFormat="false" ht="15" hidden="false" customHeight="false" outlineLevel="0" collapsed="false">
      <c r="A1140" s="0" t="s">
        <v>20</v>
      </c>
      <c r="B1140" s="0" t="s">
        <v>2339</v>
      </c>
      <c r="C1140" s="0" t="s">
        <v>1880</v>
      </c>
    </row>
    <row r="1141" customFormat="false" ht="15" hidden="false" customHeight="false" outlineLevel="0" collapsed="false">
      <c r="A1141" s="0" t="s">
        <v>20</v>
      </c>
      <c r="B1141" s="0" t="s">
        <v>2339</v>
      </c>
      <c r="C1141" s="0" t="s">
        <v>2173</v>
      </c>
    </row>
    <row r="1142" customFormat="false" ht="15" hidden="false" customHeight="false" outlineLevel="0" collapsed="false">
      <c r="A1142" s="0" t="s">
        <v>20</v>
      </c>
      <c r="B1142" s="0" t="s">
        <v>2347</v>
      </c>
      <c r="C1142" s="0" t="s">
        <v>1744</v>
      </c>
      <c r="D1142" s="0" t="n">
        <v>1.1</v>
      </c>
    </row>
    <row r="1143" customFormat="false" ht="15" hidden="false" customHeight="false" outlineLevel="0" collapsed="false">
      <c r="A1143" s="0" t="s">
        <v>20</v>
      </c>
      <c r="B1143" s="0" t="s">
        <v>2347</v>
      </c>
      <c r="C1143" s="0" t="s">
        <v>1880</v>
      </c>
    </row>
    <row r="1144" customFormat="false" ht="15" hidden="false" customHeight="false" outlineLevel="0" collapsed="false">
      <c r="A1144" s="0" t="s">
        <v>20</v>
      </c>
      <c r="B1144" s="0" t="s">
        <v>2347</v>
      </c>
      <c r="C1144" s="0" t="s">
        <v>2173</v>
      </c>
    </row>
    <row r="1145" customFormat="false" ht="15" hidden="false" customHeight="false" outlineLevel="0" collapsed="false">
      <c r="A1145" s="0" t="s">
        <v>20</v>
      </c>
      <c r="B1145" s="0" t="s">
        <v>2352</v>
      </c>
      <c r="C1145" s="0" t="s">
        <v>1744</v>
      </c>
      <c r="D1145" s="0" t="n">
        <v>11.6</v>
      </c>
    </row>
    <row r="1146" customFormat="false" ht="15" hidden="false" customHeight="false" outlineLevel="0" collapsed="false">
      <c r="A1146" s="0" t="s">
        <v>20</v>
      </c>
      <c r="B1146" s="0" t="s">
        <v>2352</v>
      </c>
      <c r="C1146" s="0" t="s">
        <v>1880</v>
      </c>
    </row>
    <row r="1147" customFormat="false" ht="15" hidden="false" customHeight="false" outlineLevel="0" collapsed="false">
      <c r="A1147" s="0" t="s">
        <v>20</v>
      </c>
      <c r="B1147" s="0" t="s">
        <v>2352</v>
      </c>
      <c r="C1147" s="0" t="s">
        <v>2173</v>
      </c>
    </row>
    <row r="1148" customFormat="false" ht="15" hidden="false" customHeight="false" outlineLevel="0" collapsed="false">
      <c r="A1148" s="0" t="s">
        <v>20</v>
      </c>
      <c r="B1148" s="0" t="s">
        <v>2360</v>
      </c>
      <c r="C1148" s="0" t="s">
        <v>1744</v>
      </c>
      <c r="D1148" s="0" t="n">
        <v>11.5</v>
      </c>
    </row>
    <row r="1149" customFormat="false" ht="15" hidden="false" customHeight="false" outlineLevel="0" collapsed="false">
      <c r="A1149" s="0" t="s">
        <v>20</v>
      </c>
      <c r="B1149" s="0" t="s">
        <v>2360</v>
      </c>
      <c r="C1149" s="0" t="s">
        <v>1880</v>
      </c>
    </row>
    <row r="1150" customFormat="false" ht="15" hidden="false" customHeight="false" outlineLevel="0" collapsed="false">
      <c r="A1150" s="0" t="s">
        <v>20</v>
      </c>
      <c r="B1150" s="0" t="s">
        <v>2360</v>
      </c>
      <c r="C1150" s="0" t="s">
        <v>2173</v>
      </c>
    </row>
    <row r="1151" customFormat="false" ht="15" hidden="false" customHeight="false" outlineLevel="0" collapsed="false">
      <c r="A1151" s="0" t="s">
        <v>20</v>
      </c>
      <c r="B1151" s="0" t="s">
        <v>2366</v>
      </c>
      <c r="C1151" s="0" t="s">
        <v>1744</v>
      </c>
      <c r="D1151" s="0" t="n">
        <v>16.8</v>
      </c>
    </row>
    <row r="1152" customFormat="false" ht="15" hidden="false" customHeight="false" outlineLevel="0" collapsed="false">
      <c r="A1152" s="0" t="s">
        <v>20</v>
      </c>
      <c r="B1152" s="0" t="s">
        <v>2366</v>
      </c>
      <c r="C1152" s="0" t="s">
        <v>1880</v>
      </c>
    </row>
    <row r="1153" customFormat="false" ht="15" hidden="false" customHeight="false" outlineLevel="0" collapsed="false">
      <c r="A1153" s="0" t="s">
        <v>20</v>
      </c>
      <c r="B1153" s="0" t="s">
        <v>2366</v>
      </c>
      <c r="C1153" s="0" t="s">
        <v>2173</v>
      </c>
    </row>
    <row r="1154" customFormat="false" ht="15" hidden="false" customHeight="false" outlineLevel="0" collapsed="false">
      <c r="A1154" s="0" t="s">
        <v>20</v>
      </c>
      <c r="B1154" s="0" t="s">
        <v>2371</v>
      </c>
      <c r="C1154" s="0" t="s">
        <v>1744</v>
      </c>
      <c r="D1154" s="0" t="n">
        <v>0.11</v>
      </c>
    </row>
    <row r="1155" customFormat="false" ht="15" hidden="false" customHeight="false" outlineLevel="0" collapsed="false">
      <c r="A1155" s="0" t="s">
        <v>20</v>
      </c>
      <c r="B1155" s="0" t="s">
        <v>2371</v>
      </c>
      <c r="C1155" s="0" t="s">
        <v>1880</v>
      </c>
    </row>
    <row r="1156" customFormat="false" ht="15" hidden="false" customHeight="false" outlineLevel="0" collapsed="false">
      <c r="A1156" s="0" t="s">
        <v>20</v>
      </c>
      <c r="B1156" s="0" t="s">
        <v>2371</v>
      </c>
      <c r="C1156" s="0" t="s">
        <v>2173</v>
      </c>
    </row>
    <row r="1157" customFormat="false" ht="15" hidden="false" customHeight="false" outlineLevel="0" collapsed="false">
      <c r="A1157" s="0" t="s">
        <v>20</v>
      </c>
      <c r="B1157" s="0" t="s">
        <v>2376</v>
      </c>
      <c r="C1157" s="0" t="s">
        <v>1744</v>
      </c>
    </row>
    <row r="1158" customFormat="false" ht="15" hidden="false" customHeight="false" outlineLevel="0" collapsed="false">
      <c r="A1158" s="0" t="s">
        <v>20</v>
      </c>
      <c r="B1158" s="0" t="s">
        <v>2376</v>
      </c>
      <c r="C1158" s="0" t="s">
        <v>1880</v>
      </c>
    </row>
    <row r="1159" customFormat="false" ht="15" hidden="false" customHeight="false" outlineLevel="0" collapsed="false">
      <c r="A1159" s="0" t="s">
        <v>20</v>
      </c>
      <c r="B1159" s="0" t="s">
        <v>2376</v>
      </c>
      <c r="C1159" s="0" t="s">
        <v>2173</v>
      </c>
    </row>
    <row r="1160" customFormat="false" ht="15" hidden="false" customHeight="false" outlineLevel="0" collapsed="false">
      <c r="A1160" s="0" t="s">
        <v>20</v>
      </c>
      <c r="B1160" s="0" t="s">
        <v>2381</v>
      </c>
      <c r="C1160" s="0" t="s">
        <v>1744</v>
      </c>
      <c r="D1160" s="0" t="n">
        <v>1.7</v>
      </c>
    </row>
    <row r="1161" customFormat="false" ht="15" hidden="false" customHeight="false" outlineLevel="0" collapsed="false">
      <c r="A1161" s="0" t="s">
        <v>20</v>
      </c>
      <c r="B1161" s="0" t="s">
        <v>2381</v>
      </c>
      <c r="C1161" s="0" t="s">
        <v>1880</v>
      </c>
    </row>
    <row r="1162" customFormat="false" ht="15" hidden="false" customHeight="false" outlineLevel="0" collapsed="false">
      <c r="A1162" s="0" t="s">
        <v>20</v>
      </c>
      <c r="B1162" s="0" t="s">
        <v>2381</v>
      </c>
      <c r="C1162" s="0" t="s">
        <v>2173</v>
      </c>
    </row>
    <row r="1163" customFormat="false" ht="15" hidden="false" customHeight="false" outlineLevel="0" collapsed="false">
      <c r="A1163" s="0" t="s">
        <v>20</v>
      </c>
      <c r="B1163" s="0" t="s">
        <v>2386</v>
      </c>
      <c r="C1163" s="0" t="s">
        <v>1744</v>
      </c>
      <c r="D1163" s="0" t="n">
        <v>74</v>
      </c>
    </row>
    <row r="1164" customFormat="false" ht="15" hidden="false" customHeight="false" outlineLevel="0" collapsed="false">
      <c r="A1164" s="0" t="s">
        <v>20</v>
      </c>
      <c r="B1164" s="0" t="s">
        <v>2386</v>
      </c>
      <c r="C1164" s="0" t="s">
        <v>1880</v>
      </c>
    </row>
    <row r="1165" customFormat="false" ht="15" hidden="false" customHeight="false" outlineLevel="0" collapsed="false">
      <c r="A1165" s="0" t="s">
        <v>20</v>
      </c>
      <c r="B1165" s="0" t="s">
        <v>2386</v>
      </c>
      <c r="C1165" s="0" t="s">
        <v>2173</v>
      </c>
    </row>
    <row r="1166" customFormat="false" ht="15" hidden="false" customHeight="false" outlineLevel="0" collapsed="false">
      <c r="A1166" s="0" t="s">
        <v>20</v>
      </c>
      <c r="B1166" s="0" t="s">
        <v>2393</v>
      </c>
      <c r="C1166" s="0" t="s">
        <v>1744</v>
      </c>
      <c r="D1166" s="0" t="n">
        <v>110</v>
      </c>
    </row>
    <row r="1167" customFormat="false" ht="15" hidden="false" customHeight="false" outlineLevel="0" collapsed="false">
      <c r="A1167" s="0" t="s">
        <v>20</v>
      </c>
      <c r="B1167" s="0" t="s">
        <v>2393</v>
      </c>
      <c r="C1167" s="0" t="s">
        <v>1880</v>
      </c>
      <c r="D1167" s="0" t="n">
        <v>100</v>
      </c>
    </row>
    <row r="1168" customFormat="false" ht="15" hidden="false" customHeight="false" outlineLevel="0" collapsed="false">
      <c r="A1168" s="0" t="s">
        <v>20</v>
      </c>
      <c r="B1168" s="0" t="s">
        <v>2393</v>
      </c>
      <c r="C1168" s="0" t="s">
        <v>2173</v>
      </c>
      <c r="D1168" s="0" t="n">
        <v>120</v>
      </c>
    </row>
    <row r="1169" customFormat="false" ht="15" hidden="false" customHeight="false" outlineLevel="0" collapsed="false">
      <c r="A1169" s="0" t="s">
        <v>20</v>
      </c>
      <c r="B1169" s="0" t="s">
        <v>2399</v>
      </c>
      <c r="C1169" s="0" t="s">
        <v>1744</v>
      </c>
      <c r="D1169" s="0" t="n">
        <v>100</v>
      </c>
    </row>
    <row r="1170" customFormat="false" ht="15" hidden="false" customHeight="false" outlineLevel="0" collapsed="false">
      <c r="A1170" s="0" t="s">
        <v>20</v>
      </c>
      <c r="B1170" s="0" t="s">
        <v>2399</v>
      </c>
      <c r="C1170" s="0" t="s">
        <v>1880</v>
      </c>
    </row>
    <row r="1171" customFormat="false" ht="15" hidden="false" customHeight="false" outlineLevel="0" collapsed="false">
      <c r="A1171" s="0" t="s">
        <v>20</v>
      </c>
      <c r="B1171" s="0" t="s">
        <v>2399</v>
      </c>
      <c r="C1171" s="0" t="s">
        <v>2173</v>
      </c>
      <c r="D1171" s="0" t="n">
        <v>100</v>
      </c>
    </row>
    <row r="1172" customFormat="false" ht="15" hidden="false" customHeight="false" outlineLevel="0" collapsed="false">
      <c r="A1172" s="0" t="s">
        <v>20</v>
      </c>
      <c r="B1172" s="0" t="s">
        <v>2405</v>
      </c>
      <c r="C1172" s="0" t="s">
        <v>1744</v>
      </c>
      <c r="D1172" s="0" t="n">
        <v>80.7</v>
      </c>
    </row>
    <row r="1173" customFormat="false" ht="15" hidden="false" customHeight="false" outlineLevel="0" collapsed="false">
      <c r="A1173" s="0" t="s">
        <v>20</v>
      </c>
      <c r="B1173" s="0" t="s">
        <v>2405</v>
      </c>
      <c r="C1173" s="0" t="s">
        <v>1880</v>
      </c>
    </row>
    <row r="1174" customFormat="false" ht="15" hidden="false" customHeight="false" outlineLevel="0" collapsed="false">
      <c r="A1174" s="0" t="s">
        <v>20</v>
      </c>
      <c r="B1174" s="0" t="s">
        <v>2405</v>
      </c>
      <c r="C1174" s="0" t="s">
        <v>2173</v>
      </c>
    </row>
    <row r="1175" customFormat="false" ht="15" hidden="false" customHeight="false" outlineLevel="0" collapsed="false">
      <c r="A1175" s="0" t="s">
        <v>20</v>
      </c>
      <c r="B1175" s="0" t="s">
        <v>2409</v>
      </c>
      <c r="C1175" s="0" t="s">
        <v>1744</v>
      </c>
      <c r="D1175" s="0" t="n">
        <v>72</v>
      </c>
    </row>
    <row r="1176" customFormat="false" ht="15" hidden="false" customHeight="false" outlineLevel="0" collapsed="false">
      <c r="A1176" s="0" t="s">
        <v>20</v>
      </c>
      <c r="B1176" s="0" t="s">
        <v>2409</v>
      </c>
      <c r="C1176" s="0" t="s">
        <v>1880</v>
      </c>
    </row>
    <row r="1177" customFormat="false" ht="15" hidden="false" customHeight="false" outlineLevel="0" collapsed="false">
      <c r="A1177" s="0" t="s">
        <v>20</v>
      </c>
      <c r="B1177" s="0" t="s">
        <v>2409</v>
      </c>
      <c r="C1177" s="0" t="s">
        <v>2173</v>
      </c>
    </row>
    <row r="1178" customFormat="false" ht="15" hidden="false" customHeight="false" outlineLevel="0" collapsed="false">
      <c r="A1178" s="0" t="s">
        <v>20</v>
      </c>
      <c r="B1178" s="0" t="s">
        <v>2416</v>
      </c>
      <c r="C1178" s="0" t="s">
        <v>1744</v>
      </c>
      <c r="D1178" s="0" t="n">
        <v>13</v>
      </c>
    </row>
    <row r="1179" customFormat="false" ht="15" hidden="false" customHeight="false" outlineLevel="0" collapsed="false">
      <c r="A1179" s="0" t="s">
        <v>20</v>
      </c>
      <c r="B1179" s="0" t="s">
        <v>2416</v>
      </c>
      <c r="C1179" s="0" t="s">
        <v>1880</v>
      </c>
    </row>
    <row r="1180" customFormat="false" ht="15" hidden="false" customHeight="false" outlineLevel="0" collapsed="false">
      <c r="A1180" s="0" t="s">
        <v>20</v>
      </c>
      <c r="B1180" s="0" t="s">
        <v>2416</v>
      </c>
      <c r="C1180" s="0" t="s">
        <v>2173</v>
      </c>
    </row>
    <row r="1181" customFormat="false" ht="15" hidden="false" customHeight="false" outlineLevel="0" collapsed="false">
      <c r="A1181" s="0" t="s">
        <v>20</v>
      </c>
      <c r="B1181" s="0" t="s">
        <v>2420</v>
      </c>
      <c r="C1181" s="0" t="s">
        <v>1744</v>
      </c>
      <c r="D1181" s="0" t="n">
        <v>9</v>
      </c>
    </row>
    <row r="1182" customFormat="false" ht="15" hidden="false" customHeight="false" outlineLevel="0" collapsed="false">
      <c r="A1182" s="0" t="s">
        <v>20</v>
      </c>
      <c r="B1182" s="0" t="s">
        <v>2420</v>
      </c>
      <c r="C1182" s="0" t="s">
        <v>1880</v>
      </c>
    </row>
    <row r="1183" customFormat="false" ht="15" hidden="false" customHeight="false" outlineLevel="0" collapsed="false">
      <c r="A1183" s="0" t="s">
        <v>20</v>
      </c>
      <c r="B1183" s="0" t="s">
        <v>2420</v>
      </c>
      <c r="C1183" s="0" t="s">
        <v>2173</v>
      </c>
    </row>
    <row r="1184" customFormat="false" ht="15" hidden="false" customHeight="false" outlineLevel="0" collapsed="false">
      <c r="A1184" s="0" t="s">
        <v>20</v>
      </c>
      <c r="B1184" s="0" t="s">
        <v>2424</v>
      </c>
      <c r="C1184" s="0" t="s">
        <v>1744</v>
      </c>
      <c r="D1184" s="0" t="n">
        <v>2.3</v>
      </c>
    </row>
    <row r="1185" customFormat="false" ht="15" hidden="false" customHeight="false" outlineLevel="0" collapsed="false">
      <c r="A1185" s="0" t="s">
        <v>20</v>
      </c>
      <c r="B1185" s="0" t="s">
        <v>2424</v>
      </c>
      <c r="C1185" s="0" t="s">
        <v>1880</v>
      </c>
    </row>
    <row r="1186" customFormat="false" ht="15" hidden="false" customHeight="false" outlineLevel="0" collapsed="false">
      <c r="A1186" s="0" t="s">
        <v>20</v>
      </c>
      <c r="B1186" s="0" t="s">
        <v>2424</v>
      </c>
      <c r="C1186" s="0" t="s">
        <v>2173</v>
      </c>
    </row>
    <row r="1187" customFormat="false" ht="15" hidden="false" customHeight="false" outlineLevel="0" collapsed="false">
      <c r="A1187" s="0" t="s">
        <v>20</v>
      </c>
      <c r="B1187" s="0" t="s">
        <v>2428</v>
      </c>
      <c r="C1187" s="0" t="s">
        <v>1744</v>
      </c>
      <c r="D1187" s="0" t="n">
        <v>450</v>
      </c>
    </row>
    <row r="1188" customFormat="false" ht="15" hidden="false" customHeight="false" outlineLevel="0" collapsed="false">
      <c r="A1188" s="0" t="s">
        <v>20</v>
      </c>
      <c r="B1188" s="0" t="s">
        <v>2428</v>
      </c>
      <c r="C1188" s="0" t="s">
        <v>1880</v>
      </c>
    </row>
    <row r="1189" customFormat="false" ht="15" hidden="false" customHeight="false" outlineLevel="0" collapsed="false">
      <c r="A1189" s="0" t="s">
        <v>20</v>
      </c>
      <c r="B1189" s="0" t="s">
        <v>2428</v>
      </c>
      <c r="C1189" s="0" t="s">
        <v>2173</v>
      </c>
    </row>
    <row r="1190" customFormat="false" ht="15" hidden="false" customHeight="false" outlineLevel="0" collapsed="false">
      <c r="A1190" s="0" t="s">
        <v>20</v>
      </c>
      <c r="B1190" s="0" t="s">
        <v>2433</v>
      </c>
      <c r="C1190" s="0" t="s">
        <v>1744</v>
      </c>
      <c r="D1190" s="0" t="n">
        <v>111</v>
      </c>
    </row>
    <row r="1191" customFormat="false" ht="15" hidden="false" customHeight="false" outlineLevel="0" collapsed="false">
      <c r="A1191" s="0" t="s">
        <v>20</v>
      </c>
      <c r="B1191" s="0" t="s">
        <v>2433</v>
      </c>
      <c r="C1191" s="0" t="s">
        <v>1880</v>
      </c>
    </row>
    <row r="1192" customFormat="false" ht="15" hidden="false" customHeight="false" outlineLevel="0" collapsed="false">
      <c r="A1192" s="0" t="s">
        <v>20</v>
      </c>
      <c r="B1192" s="0" t="s">
        <v>2433</v>
      </c>
      <c r="C1192" s="0" t="s">
        <v>2173</v>
      </c>
    </row>
    <row r="1193" customFormat="false" ht="15" hidden="false" customHeight="false" outlineLevel="0" collapsed="false">
      <c r="A1193" s="0" t="s">
        <v>20</v>
      </c>
      <c r="B1193" s="0" t="s">
        <v>2437</v>
      </c>
      <c r="C1193" s="0" t="s">
        <v>1744</v>
      </c>
      <c r="D1193" s="0" t="n">
        <v>110</v>
      </c>
    </row>
    <row r="1194" customFormat="false" ht="15" hidden="false" customHeight="false" outlineLevel="0" collapsed="false">
      <c r="A1194" s="0" t="s">
        <v>20</v>
      </c>
      <c r="B1194" s="0" t="s">
        <v>2437</v>
      </c>
      <c r="C1194" s="0" t="s">
        <v>1880</v>
      </c>
    </row>
    <row r="1195" customFormat="false" ht="15" hidden="false" customHeight="false" outlineLevel="0" collapsed="false">
      <c r="A1195" s="0" t="s">
        <v>20</v>
      </c>
      <c r="B1195" s="0" t="s">
        <v>2437</v>
      </c>
      <c r="C1195" s="0" t="s">
        <v>2173</v>
      </c>
    </row>
    <row r="1196" customFormat="false" ht="15" hidden="false" customHeight="false" outlineLevel="0" collapsed="false">
      <c r="A1196" s="0" t="s">
        <v>20</v>
      </c>
      <c r="B1196" s="0" t="s">
        <v>2441</v>
      </c>
      <c r="C1196" s="0" t="s">
        <v>1744</v>
      </c>
      <c r="D1196" s="0" t="n">
        <v>31</v>
      </c>
    </row>
    <row r="1197" customFormat="false" ht="15" hidden="false" customHeight="false" outlineLevel="0" collapsed="false">
      <c r="A1197" s="0" t="s">
        <v>20</v>
      </c>
      <c r="B1197" s="0" t="s">
        <v>2441</v>
      </c>
      <c r="C1197" s="0" t="s">
        <v>1880</v>
      </c>
    </row>
    <row r="1198" customFormat="false" ht="15" hidden="false" customHeight="false" outlineLevel="0" collapsed="false">
      <c r="A1198" s="0" t="s">
        <v>20</v>
      </c>
      <c r="B1198" s="0" t="s">
        <v>2441</v>
      </c>
      <c r="C1198" s="0" t="s">
        <v>2173</v>
      </c>
    </row>
    <row r="1199" customFormat="false" ht="15" hidden="false" customHeight="false" outlineLevel="0" collapsed="false">
      <c r="A1199" s="0" t="s">
        <v>20</v>
      </c>
      <c r="B1199" s="0" t="s">
        <v>2445</v>
      </c>
      <c r="C1199" s="0" t="s">
        <v>1744</v>
      </c>
      <c r="D1199" s="0" t="n">
        <v>86</v>
      </c>
    </row>
    <row r="1200" customFormat="false" ht="15" hidden="false" customHeight="false" outlineLevel="0" collapsed="false">
      <c r="A1200" s="0" t="s">
        <v>20</v>
      </c>
      <c r="B1200" s="0" t="s">
        <v>2445</v>
      </c>
      <c r="C1200" s="0" t="s">
        <v>1880</v>
      </c>
    </row>
    <row r="1201" customFormat="false" ht="15" hidden="false" customHeight="false" outlineLevel="0" collapsed="false">
      <c r="A1201" s="0" t="s">
        <v>20</v>
      </c>
      <c r="B1201" s="0" t="s">
        <v>2445</v>
      </c>
      <c r="C1201" s="0" t="s">
        <v>2173</v>
      </c>
      <c r="D1201" s="0" t="n">
        <v>86</v>
      </c>
    </row>
    <row r="1202" customFormat="false" ht="15" hidden="false" customHeight="false" outlineLevel="0" collapsed="false">
      <c r="A1202" s="0" t="s">
        <v>20</v>
      </c>
      <c r="B1202" s="0" t="s">
        <v>2453</v>
      </c>
      <c r="C1202" s="0" t="s">
        <v>1744</v>
      </c>
      <c r="D1202" s="0" t="n">
        <v>160</v>
      </c>
    </row>
    <row r="1203" customFormat="false" ht="15" hidden="false" customHeight="false" outlineLevel="0" collapsed="false">
      <c r="A1203" s="0" t="s">
        <v>20</v>
      </c>
      <c r="B1203" s="0" t="s">
        <v>2453</v>
      </c>
      <c r="C1203" s="0" t="s">
        <v>1880</v>
      </c>
      <c r="D1203" s="0" t="n">
        <v>160</v>
      </c>
    </row>
    <row r="1204" customFormat="false" ht="15" hidden="false" customHeight="false" outlineLevel="0" collapsed="false">
      <c r="A1204" s="0" t="s">
        <v>20</v>
      </c>
      <c r="B1204" s="0" t="s">
        <v>2453</v>
      </c>
      <c r="C1204" s="0" t="s">
        <v>2173</v>
      </c>
    </row>
    <row r="1205" customFormat="false" ht="15" hidden="false" customHeight="false" outlineLevel="0" collapsed="false">
      <c r="A1205" s="0" t="s">
        <v>20</v>
      </c>
      <c r="B1205" s="0" t="s">
        <v>2458</v>
      </c>
      <c r="C1205" s="0" t="s">
        <v>1744</v>
      </c>
      <c r="D1205" s="0" t="n">
        <v>600</v>
      </c>
    </row>
    <row r="1206" customFormat="false" ht="15" hidden="false" customHeight="false" outlineLevel="0" collapsed="false">
      <c r="A1206" s="0" t="s">
        <v>20</v>
      </c>
      <c r="B1206" s="0" t="s">
        <v>2458</v>
      </c>
      <c r="C1206" s="0" t="s">
        <v>1880</v>
      </c>
      <c r="D1206" s="0" t="n">
        <v>600</v>
      </c>
    </row>
    <row r="1207" customFormat="false" ht="15" hidden="false" customHeight="false" outlineLevel="0" collapsed="false">
      <c r="A1207" s="0" t="s">
        <v>20</v>
      </c>
      <c r="B1207" s="0" t="s">
        <v>2458</v>
      </c>
      <c r="C1207" s="0" t="s">
        <v>2173</v>
      </c>
    </row>
    <row r="1208" customFormat="false" ht="15" hidden="false" customHeight="false" outlineLevel="0" collapsed="false">
      <c r="A1208" s="0" t="s">
        <v>20</v>
      </c>
      <c r="B1208" s="0" t="s">
        <v>2462</v>
      </c>
      <c r="C1208" s="0" t="s">
        <v>1744</v>
      </c>
      <c r="D1208" s="0" t="n">
        <v>150</v>
      </c>
    </row>
    <row r="1209" customFormat="false" ht="15" hidden="false" customHeight="false" outlineLevel="0" collapsed="false">
      <c r="A1209" s="0" t="s">
        <v>20</v>
      </c>
      <c r="B1209" s="0" t="s">
        <v>2462</v>
      </c>
      <c r="C1209" s="0" t="s">
        <v>1880</v>
      </c>
    </row>
    <row r="1210" customFormat="false" ht="15" hidden="false" customHeight="false" outlineLevel="0" collapsed="false">
      <c r="A1210" s="0" t="s">
        <v>20</v>
      </c>
      <c r="B1210" s="0" t="s">
        <v>2462</v>
      </c>
      <c r="C1210" s="0" t="s">
        <v>2173</v>
      </c>
      <c r="D1210" s="0" t="n">
        <v>150</v>
      </c>
    </row>
    <row r="1211" customFormat="false" ht="15" hidden="false" customHeight="false" outlineLevel="0" collapsed="false">
      <c r="A1211" s="0" t="s">
        <v>20</v>
      </c>
      <c r="B1211" s="0" t="s">
        <v>2467</v>
      </c>
      <c r="C1211" s="0" t="s">
        <v>1744</v>
      </c>
      <c r="D1211" s="0" t="n">
        <v>750</v>
      </c>
    </row>
    <row r="1212" customFormat="false" ht="15" hidden="false" customHeight="false" outlineLevel="0" collapsed="false">
      <c r="A1212" s="0" t="s">
        <v>20</v>
      </c>
      <c r="B1212" s="0" t="s">
        <v>2467</v>
      </c>
      <c r="C1212" s="0" t="s">
        <v>1880</v>
      </c>
    </row>
    <row r="1213" customFormat="false" ht="15" hidden="false" customHeight="false" outlineLevel="0" collapsed="false">
      <c r="A1213" s="0" t="s">
        <v>20</v>
      </c>
      <c r="B1213" s="0" t="s">
        <v>2467</v>
      </c>
      <c r="C1213" s="0" t="s">
        <v>2173</v>
      </c>
      <c r="D1213" s="0" t="n">
        <v>750</v>
      </c>
    </row>
    <row r="1214" customFormat="false" ht="15" hidden="false" customHeight="false" outlineLevel="0" collapsed="false">
      <c r="A1214" s="0" t="s">
        <v>20</v>
      </c>
      <c r="B1214" s="0" t="s">
        <v>2471</v>
      </c>
      <c r="C1214" s="0" t="s">
        <v>1744</v>
      </c>
      <c r="D1214" s="0" t="n">
        <v>0.2</v>
      </c>
    </row>
    <row r="1215" customFormat="false" ht="15" hidden="false" customHeight="false" outlineLevel="0" collapsed="false">
      <c r="A1215" s="0" t="s">
        <v>20</v>
      </c>
      <c r="B1215" s="0" t="s">
        <v>2471</v>
      </c>
      <c r="C1215" s="0" t="s">
        <v>1880</v>
      </c>
    </row>
    <row r="1216" customFormat="false" ht="15" hidden="false" customHeight="false" outlineLevel="0" collapsed="false">
      <c r="A1216" s="0" t="s">
        <v>20</v>
      </c>
      <c r="B1216" s="0" t="s">
        <v>2471</v>
      </c>
      <c r="C1216" s="0" t="s">
        <v>2173</v>
      </c>
    </row>
    <row r="1217" customFormat="false" ht="15" hidden="false" customHeight="false" outlineLevel="0" collapsed="false">
      <c r="A1217" s="0" t="s">
        <v>20</v>
      </c>
      <c r="B1217" s="0" t="s">
        <v>2475</v>
      </c>
      <c r="C1217" s="0" t="s">
        <v>1744</v>
      </c>
      <c r="D1217" s="0" t="n">
        <v>3.26</v>
      </c>
    </row>
    <row r="1218" customFormat="false" ht="15" hidden="false" customHeight="false" outlineLevel="0" collapsed="false">
      <c r="A1218" s="0" t="s">
        <v>20</v>
      </c>
      <c r="B1218" s="0" t="s">
        <v>2475</v>
      </c>
      <c r="C1218" s="0" t="s">
        <v>1880</v>
      </c>
    </row>
    <row r="1219" customFormat="false" ht="15" hidden="false" customHeight="false" outlineLevel="0" collapsed="false">
      <c r="A1219" s="0" t="s">
        <v>20</v>
      </c>
      <c r="B1219" s="0" t="s">
        <v>2475</v>
      </c>
      <c r="C1219" s="0" t="s">
        <v>2173</v>
      </c>
    </row>
    <row r="1220" customFormat="false" ht="15" hidden="false" customHeight="false" outlineLevel="0" collapsed="false">
      <c r="A1220" s="0" t="s">
        <v>20</v>
      </c>
      <c r="B1220" s="0" t="s">
        <v>2479</v>
      </c>
      <c r="C1220" s="0" t="s">
        <v>1744</v>
      </c>
    </row>
    <row r="1221" customFormat="false" ht="15" hidden="false" customHeight="false" outlineLevel="0" collapsed="false">
      <c r="A1221" s="0" t="s">
        <v>20</v>
      </c>
      <c r="B1221" s="0" t="s">
        <v>2479</v>
      </c>
      <c r="C1221" s="0" t="s">
        <v>1880</v>
      </c>
    </row>
    <row r="1222" customFormat="false" ht="15" hidden="false" customHeight="false" outlineLevel="0" collapsed="false">
      <c r="A1222" s="0" t="s">
        <v>20</v>
      </c>
      <c r="B1222" s="0" t="s">
        <v>2479</v>
      </c>
      <c r="C1222" s="0" t="s">
        <v>2173</v>
      </c>
    </row>
    <row r="1223" customFormat="false" ht="15" hidden="false" customHeight="false" outlineLevel="0" collapsed="false">
      <c r="A1223" s="0" t="s">
        <v>20</v>
      </c>
      <c r="B1223" s="0" t="s">
        <v>2483</v>
      </c>
      <c r="C1223" s="0" t="s">
        <v>1744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20</v>
      </c>
      <c r="B1224" s="0" t="s">
        <v>2483</v>
      </c>
      <c r="C1224" s="0" t="s">
        <v>1880</v>
      </c>
    </row>
    <row r="1225" customFormat="false" ht="15" hidden="false" customHeight="false" outlineLevel="0" collapsed="false">
      <c r="A1225" s="0" t="s">
        <v>20</v>
      </c>
      <c r="B1225" s="0" t="s">
        <v>2483</v>
      </c>
      <c r="C1225" s="0" t="s">
        <v>2173</v>
      </c>
    </row>
    <row r="1226" customFormat="false" ht="15" hidden="false" customHeight="false" outlineLevel="0" collapsed="false">
      <c r="A1226" s="0" t="s">
        <v>20</v>
      </c>
      <c r="B1226" s="0" t="s">
        <v>2488</v>
      </c>
      <c r="C1226" s="0" t="s">
        <v>1744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20</v>
      </c>
      <c r="B1227" s="0" t="s">
        <v>2488</v>
      </c>
      <c r="C1227" s="0" t="s">
        <v>1880</v>
      </c>
    </row>
    <row r="1228" customFormat="false" ht="15" hidden="false" customHeight="false" outlineLevel="0" collapsed="false">
      <c r="A1228" s="0" t="s">
        <v>20</v>
      </c>
      <c r="B1228" s="0" t="s">
        <v>2488</v>
      </c>
      <c r="C1228" s="0" t="s">
        <v>2173</v>
      </c>
    </row>
    <row r="1229" customFormat="false" ht="15" hidden="false" customHeight="false" outlineLevel="0" collapsed="false">
      <c r="A1229" s="0" t="s">
        <v>26</v>
      </c>
      <c r="B1229" s="0" t="s">
        <v>2937</v>
      </c>
      <c r="C1229" s="0" t="s">
        <v>1744</v>
      </c>
      <c r="D1229" s="0" t="n">
        <v>2025</v>
      </c>
    </row>
    <row r="1230" customFormat="false" ht="15" hidden="false" customHeight="false" outlineLevel="0" collapsed="false">
      <c r="A1230" s="0" t="s">
        <v>26</v>
      </c>
      <c r="B1230" s="0" t="s">
        <v>2937</v>
      </c>
      <c r="C1230" s="0" t="s">
        <v>1880</v>
      </c>
      <c r="D1230" s="0" t="n">
        <v>2025</v>
      </c>
    </row>
    <row r="1231" customFormat="false" ht="15" hidden="false" customHeight="false" outlineLevel="0" collapsed="false">
      <c r="A1231" s="0" t="s">
        <v>26</v>
      </c>
      <c r="B1231" s="0" t="s">
        <v>2937</v>
      </c>
      <c r="C1231" s="0" t="s">
        <v>2173</v>
      </c>
      <c r="D1231" s="0" t="n">
        <v>2025</v>
      </c>
    </row>
    <row r="1232" customFormat="false" ht="15" hidden="false" customHeight="false" outlineLevel="0" collapsed="false">
      <c r="A1232" s="0" t="s">
        <v>26</v>
      </c>
      <c r="B1232" s="0" t="s">
        <v>2945</v>
      </c>
      <c r="C1232" s="0" t="s">
        <v>1744</v>
      </c>
      <c r="D1232" s="0" t="n">
        <v>2026</v>
      </c>
    </row>
    <row r="1233" customFormat="false" ht="15" hidden="false" customHeight="false" outlineLevel="0" collapsed="false">
      <c r="A1233" s="0" t="s">
        <v>26</v>
      </c>
      <c r="B1233" s="0" t="s">
        <v>2945</v>
      </c>
      <c r="C1233" s="0" t="s">
        <v>1880</v>
      </c>
      <c r="D1233" s="0" t="n">
        <v>2026</v>
      </c>
    </row>
    <row r="1234" customFormat="false" ht="15" hidden="false" customHeight="false" outlineLevel="0" collapsed="false">
      <c r="A1234" s="0" t="s">
        <v>26</v>
      </c>
      <c r="B1234" s="0" t="s">
        <v>2945</v>
      </c>
      <c r="C1234" s="0" t="s">
        <v>2173</v>
      </c>
      <c r="D1234" s="0" t="n">
        <v>2026</v>
      </c>
    </row>
    <row r="1235" customFormat="false" ht="15" hidden="false" customHeight="false" outlineLevel="0" collapsed="false">
      <c r="A1235" s="0" t="s">
        <v>26</v>
      </c>
      <c r="B1235" s="0" t="s">
        <v>2949</v>
      </c>
      <c r="C1235" s="0" t="s">
        <v>1744</v>
      </c>
      <c r="D1235" s="0" t="n">
        <v>2027</v>
      </c>
    </row>
    <row r="1236" customFormat="false" ht="15" hidden="false" customHeight="false" outlineLevel="0" collapsed="false">
      <c r="A1236" s="0" t="s">
        <v>26</v>
      </c>
      <c r="B1236" s="0" t="s">
        <v>2949</v>
      </c>
      <c r="C1236" s="0" t="s">
        <v>1880</v>
      </c>
      <c r="D1236" s="0" t="n">
        <v>2027</v>
      </c>
    </row>
    <row r="1237" customFormat="false" ht="15" hidden="false" customHeight="false" outlineLevel="0" collapsed="false">
      <c r="A1237" s="0" t="s">
        <v>26</v>
      </c>
      <c r="B1237" s="0" t="s">
        <v>2949</v>
      </c>
      <c r="C1237" s="0" t="s">
        <v>2173</v>
      </c>
      <c r="D1237" s="0" t="n">
        <v>2027</v>
      </c>
    </row>
    <row r="1238" customFormat="false" ht="15" hidden="false" customHeight="false" outlineLevel="0" collapsed="false">
      <c r="A1238" s="0" t="s">
        <v>26</v>
      </c>
      <c r="B1238" s="0" t="s">
        <v>2953</v>
      </c>
      <c r="C1238" s="0" t="s">
        <v>1744</v>
      </c>
      <c r="D1238" s="0" t="n">
        <v>2028</v>
      </c>
    </row>
    <row r="1239" customFormat="false" ht="15" hidden="false" customHeight="false" outlineLevel="0" collapsed="false">
      <c r="A1239" s="0" t="s">
        <v>26</v>
      </c>
      <c r="B1239" s="0" t="s">
        <v>2953</v>
      </c>
      <c r="C1239" s="0" t="s">
        <v>1880</v>
      </c>
      <c r="D1239" s="0" t="n">
        <v>2028</v>
      </c>
    </row>
    <row r="1240" customFormat="false" ht="15" hidden="false" customHeight="false" outlineLevel="0" collapsed="false">
      <c r="A1240" s="0" t="s">
        <v>26</v>
      </c>
      <c r="B1240" s="0" t="s">
        <v>2953</v>
      </c>
      <c r="C1240" s="0" t="s">
        <v>2173</v>
      </c>
      <c r="D1240" s="0" t="n">
        <v>2028</v>
      </c>
    </row>
    <row r="1241" customFormat="false" ht="15" hidden="false" customHeight="false" outlineLevel="0" collapsed="false">
      <c r="A1241" s="0" t="s">
        <v>26</v>
      </c>
      <c r="B1241" s="0" t="s">
        <v>2956</v>
      </c>
      <c r="C1241" s="0" t="s">
        <v>1744</v>
      </c>
      <c r="D1241" s="0" t="n">
        <v>2029</v>
      </c>
    </row>
    <row r="1242" customFormat="false" ht="15" hidden="false" customHeight="false" outlineLevel="0" collapsed="false">
      <c r="A1242" s="0" t="s">
        <v>26</v>
      </c>
      <c r="B1242" s="0" t="s">
        <v>2956</v>
      </c>
      <c r="C1242" s="0" t="s">
        <v>1880</v>
      </c>
      <c r="D1242" s="0" t="n">
        <v>2029</v>
      </c>
    </row>
    <row r="1243" customFormat="false" ht="15" hidden="false" customHeight="false" outlineLevel="0" collapsed="false">
      <c r="A1243" s="0" t="s">
        <v>26</v>
      </c>
      <c r="B1243" s="0" t="s">
        <v>2956</v>
      </c>
      <c r="C1243" s="0" t="s">
        <v>2173</v>
      </c>
      <c r="D1243" s="0" t="n">
        <v>2029</v>
      </c>
    </row>
    <row r="1244" customFormat="false" ht="15" hidden="false" customHeight="false" outlineLevel="0" collapsed="false">
      <c r="A1244" s="0" t="s">
        <v>26</v>
      </c>
      <c r="B1244" s="0" t="s">
        <v>2959</v>
      </c>
      <c r="C1244" s="0" t="s">
        <v>1744</v>
      </c>
      <c r="D1244" s="0" t="n">
        <v>2030</v>
      </c>
    </row>
    <row r="1245" customFormat="false" ht="15" hidden="false" customHeight="false" outlineLevel="0" collapsed="false">
      <c r="A1245" s="0" t="s">
        <v>26</v>
      </c>
      <c r="B1245" s="0" t="s">
        <v>2959</v>
      </c>
      <c r="C1245" s="0" t="s">
        <v>1880</v>
      </c>
      <c r="D1245" s="0" t="n">
        <v>2030</v>
      </c>
    </row>
    <row r="1246" customFormat="false" ht="15" hidden="false" customHeight="false" outlineLevel="0" collapsed="false">
      <c r="A1246" s="0" t="s">
        <v>26</v>
      </c>
      <c r="B1246" s="0" t="s">
        <v>2959</v>
      </c>
      <c r="C1246" s="0" t="s">
        <v>2173</v>
      </c>
      <c r="D1246" s="0" t="n">
        <v>2030</v>
      </c>
    </row>
    <row r="1247" customFormat="false" ht="15" hidden="false" customHeight="false" outlineLevel="0" collapsed="false">
      <c r="A1247" s="0" t="s">
        <v>26</v>
      </c>
      <c r="B1247" s="0" t="s">
        <v>2962</v>
      </c>
      <c r="C1247" s="0" t="s">
        <v>1744</v>
      </c>
      <c r="D1247" s="0" t="n">
        <v>365</v>
      </c>
    </row>
    <row r="1248" customFormat="false" ht="15" hidden="false" customHeight="false" outlineLevel="0" collapsed="false">
      <c r="A1248" s="0" t="s">
        <v>26</v>
      </c>
      <c r="B1248" s="0" t="s">
        <v>2962</v>
      </c>
      <c r="C1248" s="0" t="s">
        <v>1880</v>
      </c>
      <c r="D1248" s="0" t="n">
        <v>365</v>
      </c>
    </row>
    <row r="1249" customFormat="false" ht="15" hidden="false" customHeight="false" outlineLevel="0" collapsed="false">
      <c r="A1249" s="0" t="s">
        <v>26</v>
      </c>
      <c r="B1249" s="0" t="s">
        <v>2962</v>
      </c>
      <c r="C1249" s="0" t="s">
        <v>2173</v>
      </c>
      <c r="D1249" s="0" t="n">
        <v>365</v>
      </c>
    </row>
    <row r="1250" customFormat="false" ht="15" hidden="false" customHeight="false" outlineLevel="0" collapsed="false">
      <c r="A1250" s="0" t="s">
        <v>26</v>
      </c>
      <c r="B1250" s="0" t="s">
        <v>2970</v>
      </c>
      <c r="C1250" s="0" t="s">
        <v>1744</v>
      </c>
      <c r="D1250" s="0" t="n">
        <v>12</v>
      </c>
    </row>
    <row r="1251" customFormat="false" ht="15" hidden="false" customHeight="false" outlineLevel="0" collapsed="false">
      <c r="A1251" s="0" t="s">
        <v>26</v>
      </c>
      <c r="B1251" s="0" t="s">
        <v>2970</v>
      </c>
      <c r="C1251" s="0" t="s">
        <v>1880</v>
      </c>
      <c r="D1251" s="0" t="n">
        <v>12</v>
      </c>
    </row>
    <row r="1252" customFormat="false" ht="15" hidden="false" customHeight="false" outlineLevel="0" collapsed="false">
      <c r="A1252" s="0" t="s">
        <v>26</v>
      </c>
      <c r="B1252" s="0" t="s">
        <v>2970</v>
      </c>
      <c r="C1252" s="0" t="s">
        <v>2173</v>
      </c>
      <c r="D1252" s="0" t="n">
        <v>12</v>
      </c>
    </row>
    <row r="1253" customFormat="false" ht="15" hidden="false" customHeight="false" outlineLevel="0" collapsed="false">
      <c r="A1253" s="0" t="s">
        <v>26</v>
      </c>
      <c r="B1253" s="0" t="s">
        <v>2975</v>
      </c>
      <c r="C1253" s="0" t="s">
        <v>1744</v>
      </c>
      <c r="D1253" s="0" t="n">
        <v>6</v>
      </c>
    </row>
    <row r="1254" customFormat="false" ht="15" hidden="false" customHeight="false" outlineLevel="0" collapsed="false">
      <c r="A1254" s="0" t="s">
        <v>26</v>
      </c>
      <c r="B1254" s="0" t="s">
        <v>2975</v>
      </c>
      <c r="C1254" s="0" t="s">
        <v>1880</v>
      </c>
      <c r="D1254" s="0" t="n">
        <v>6</v>
      </c>
    </row>
    <row r="1255" customFormat="false" ht="15" hidden="false" customHeight="false" outlineLevel="0" collapsed="false">
      <c r="A1255" s="0" t="s">
        <v>26</v>
      </c>
      <c r="B1255" s="0" t="s">
        <v>2975</v>
      </c>
      <c r="C1255" s="0" t="s">
        <v>2173</v>
      </c>
      <c r="D1255" s="0" t="n">
        <v>6</v>
      </c>
    </row>
    <row r="1256" customFormat="false" ht="15" hidden="false" customHeight="false" outlineLevel="0" collapsed="false">
      <c r="A1256" s="0" t="s">
        <v>26</v>
      </c>
      <c r="B1256" s="0" t="s">
        <v>2980</v>
      </c>
      <c r="C1256" s="0" t="s">
        <v>1744</v>
      </c>
      <c r="D1256" s="0" t="n">
        <v>1</v>
      </c>
    </row>
    <row r="1257" customFormat="false" ht="15" hidden="false" customHeight="false" outlineLevel="0" collapsed="false">
      <c r="A1257" s="0" t="s">
        <v>26</v>
      </c>
      <c r="B1257" s="0" t="s">
        <v>2980</v>
      </c>
      <c r="C1257" s="0" t="s">
        <v>1880</v>
      </c>
      <c r="D1257" s="0" t="n">
        <v>1</v>
      </c>
    </row>
    <row r="1258" customFormat="false" ht="15" hidden="false" customHeight="false" outlineLevel="0" collapsed="false">
      <c r="A1258" s="0" t="s">
        <v>26</v>
      </c>
      <c r="B1258" s="0" t="s">
        <v>2980</v>
      </c>
      <c r="C1258" s="0" t="s">
        <v>2173</v>
      </c>
      <c r="D1258" s="0" t="n">
        <v>1</v>
      </c>
    </row>
    <row r="1259" customFormat="false" ht="15" hidden="false" customHeight="false" outlineLevel="0" collapsed="false">
      <c r="A1259" s="0" t="s">
        <v>26</v>
      </c>
      <c r="B1259" s="0" t="s">
        <v>2984</v>
      </c>
      <c r="C1259" s="0" t="s">
        <v>1744</v>
      </c>
      <c r="D1259" s="0" t="n">
        <v>1</v>
      </c>
    </row>
    <row r="1260" customFormat="false" ht="15" hidden="false" customHeight="false" outlineLevel="0" collapsed="false">
      <c r="A1260" s="0" t="s">
        <v>26</v>
      </c>
      <c r="B1260" s="0" t="s">
        <v>2984</v>
      </c>
      <c r="C1260" s="0" t="s">
        <v>1880</v>
      </c>
      <c r="D1260" s="0" t="n">
        <v>1</v>
      </c>
    </row>
    <row r="1261" customFormat="false" ht="15" hidden="false" customHeight="false" outlineLevel="0" collapsed="false">
      <c r="A1261" s="0" t="s">
        <v>26</v>
      </c>
      <c r="B1261" s="0" t="s">
        <v>2984</v>
      </c>
      <c r="C1261" s="0" t="s">
        <v>2173</v>
      </c>
      <c r="D1261" s="0" t="n">
        <v>1</v>
      </c>
    </row>
    <row r="1262" customFormat="false" ht="15" hidden="false" customHeight="false" outlineLevel="0" collapsed="false">
      <c r="A1262" s="0" t="s">
        <v>26</v>
      </c>
      <c r="B1262" s="0" t="s">
        <v>2989</v>
      </c>
      <c r="C1262" s="0" t="s">
        <v>1744</v>
      </c>
      <c r="D1262" s="0" t="n">
        <v>1000</v>
      </c>
    </row>
    <row r="1263" customFormat="false" ht="15" hidden="false" customHeight="false" outlineLevel="0" collapsed="false">
      <c r="A1263" s="0" t="s">
        <v>26</v>
      </c>
      <c r="B1263" s="0" t="s">
        <v>2989</v>
      </c>
      <c r="C1263" s="0" t="s">
        <v>1880</v>
      </c>
      <c r="D1263" s="0" t="n">
        <v>1000</v>
      </c>
    </row>
    <row r="1264" customFormat="false" ht="15" hidden="false" customHeight="false" outlineLevel="0" collapsed="false">
      <c r="A1264" s="0" t="s">
        <v>26</v>
      </c>
      <c r="B1264" s="0" t="s">
        <v>2989</v>
      </c>
      <c r="C1264" s="0" t="s">
        <v>2173</v>
      </c>
      <c r="D1264" s="0" t="n">
        <v>1000</v>
      </c>
    </row>
    <row r="1265" customFormat="false" ht="15" hidden="false" customHeight="false" outlineLevel="0" collapsed="false">
      <c r="A1265" s="0" t="s">
        <v>26</v>
      </c>
      <c r="B1265" s="0" t="s">
        <v>2994</v>
      </c>
      <c r="C1265" s="0" t="s">
        <v>1744</v>
      </c>
      <c r="D1265" s="0" t="n">
        <v>1000</v>
      </c>
    </row>
    <row r="1266" customFormat="false" ht="15" hidden="false" customHeight="false" outlineLevel="0" collapsed="false">
      <c r="A1266" s="0" t="s">
        <v>26</v>
      </c>
      <c r="B1266" s="0" t="s">
        <v>2994</v>
      </c>
      <c r="C1266" s="0" t="s">
        <v>1880</v>
      </c>
      <c r="D1266" s="0" t="n">
        <v>1000</v>
      </c>
    </row>
    <row r="1267" customFormat="false" ht="15" hidden="false" customHeight="false" outlineLevel="0" collapsed="false">
      <c r="A1267" s="0" t="s">
        <v>26</v>
      </c>
      <c r="B1267" s="0" t="s">
        <v>2994</v>
      </c>
      <c r="C1267" s="0" t="s">
        <v>2173</v>
      </c>
      <c r="D1267" s="0" t="n">
        <v>1000</v>
      </c>
    </row>
    <row r="1268" customFormat="false" ht="15" hidden="false" customHeight="false" outlineLevel="0" collapsed="false">
      <c r="A1268" s="0" t="s">
        <v>26</v>
      </c>
      <c r="B1268" s="0" t="s">
        <v>2999</v>
      </c>
      <c r="C1268" s="0" t="s">
        <v>1744</v>
      </c>
      <c r="D1268" s="0" t="n">
        <v>36</v>
      </c>
    </row>
    <row r="1269" customFormat="false" ht="15" hidden="false" customHeight="false" outlineLevel="0" collapsed="false">
      <c r="A1269" s="0" t="s">
        <v>26</v>
      </c>
      <c r="B1269" s="0" t="s">
        <v>2999</v>
      </c>
      <c r="C1269" s="0" t="s">
        <v>1880</v>
      </c>
      <c r="D1269" s="0" t="n">
        <v>36</v>
      </c>
    </row>
    <row r="1270" customFormat="false" ht="15" hidden="false" customHeight="false" outlineLevel="0" collapsed="false">
      <c r="A1270" s="0" t="s">
        <v>26</v>
      </c>
      <c r="B1270" s="0" t="s">
        <v>2999</v>
      </c>
      <c r="C1270" s="0" t="s">
        <v>2173</v>
      </c>
      <c r="D1270" s="0" t="n">
        <v>36</v>
      </c>
    </row>
    <row r="1271" customFormat="false" ht="15" hidden="false" customHeight="false" outlineLevel="0" collapsed="false">
      <c r="A1271" s="0" t="s">
        <v>26</v>
      </c>
      <c r="B1271" s="0" t="s">
        <v>3005</v>
      </c>
      <c r="C1271" s="0" t="s">
        <v>1744</v>
      </c>
      <c r="D1271" s="0" t="n">
        <v>2027</v>
      </c>
    </row>
    <row r="1272" customFormat="false" ht="15" hidden="false" customHeight="false" outlineLevel="0" collapsed="false">
      <c r="A1272" s="0" t="s">
        <v>26</v>
      </c>
      <c r="B1272" s="0" t="s">
        <v>3005</v>
      </c>
      <c r="C1272" s="0" t="s">
        <v>1880</v>
      </c>
      <c r="D1272" s="0" t="n">
        <v>2027</v>
      </c>
    </row>
    <row r="1273" customFormat="false" ht="15" hidden="false" customHeight="false" outlineLevel="0" collapsed="false">
      <c r="A1273" s="0" t="s">
        <v>26</v>
      </c>
      <c r="B1273" s="0" t="s">
        <v>3005</v>
      </c>
      <c r="C1273" s="0" t="s">
        <v>2173</v>
      </c>
      <c r="D1273" s="0" t="n">
        <v>2027</v>
      </c>
    </row>
    <row r="1274" customFormat="false" ht="15" hidden="false" customHeight="false" outlineLevel="0" collapsed="false">
      <c r="A1274" s="0" t="s">
        <v>26</v>
      </c>
      <c r="B1274" s="0" t="s">
        <v>3010</v>
      </c>
      <c r="C1274" s="0" t="s">
        <v>1744</v>
      </c>
      <c r="D1274" s="0" t="n">
        <v>0</v>
      </c>
    </row>
    <row r="1275" customFormat="false" ht="15" hidden="false" customHeight="false" outlineLevel="0" collapsed="false">
      <c r="A1275" s="0" t="s">
        <v>26</v>
      </c>
      <c r="B1275" s="0" t="s">
        <v>3010</v>
      </c>
      <c r="C1275" s="0" t="s">
        <v>1880</v>
      </c>
      <c r="D1275" s="0" t="n">
        <v>0</v>
      </c>
    </row>
    <row r="1276" customFormat="false" ht="15" hidden="false" customHeight="false" outlineLevel="0" collapsed="false">
      <c r="A1276" s="0" t="s">
        <v>26</v>
      </c>
      <c r="B1276" s="0" t="s">
        <v>3010</v>
      </c>
      <c r="C1276" s="0" t="s">
        <v>2173</v>
      </c>
      <c r="D1276" s="0" t="n">
        <v>0</v>
      </c>
    </row>
    <row r="1277" customFormat="false" ht="15" hidden="false" customHeight="false" outlineLevel="0" collapsed="false">
      <c r="A1277" s="0" t="s">
        <v>26</v>
      </c>
      <c r="B1277" s="0" t="s">
        <v>3016</v>
      </c>
      <c r="C1277" s="0" t="s">
        <v>1744</v>
      </c>
      <c r="D1277" s="0" t="n">
        <v>0.25</v>
      </c>
    </row>
    <row r="1278" customFormat="false" ht="15" hidden="false" customHeight="false" outlineLevel="0" collapsed="false">
      <c r="A1278" s="0" t="s">
        <v>26</v>
      </c>
      <c r="B1278" s="0" t="s">
        <v>3016</v>
      </c>
      <c r="C1278" s="0" t="s">
        <v>1880</v>
      </c>
      <c r="D1278" s="0" t="n">
        <v>0.25</v>
      </c>
    </row>
    <row r="1279" customFormat="false" ht="15" hidden="false" customHeight="false" outlineLevel="0" collapsed="false">
      <c r="A1279" s="0" t="s">
        <v>26</v>
      </c>
      <c r="B1279" s="0" t="s">
        <v>3016</v>
      </c>
      <c r="C1279" s="0" t="s">
        <v>2173</v>
      </c>
      <c r="D1279" s="0" t="n">
        <v>0.25</v>
      </c>
    </row>
    <row r="1280" customFormat="false" ht="15" hidden="false" customHeight="false" outlineLevel="0" collapsed="false">
      <c r="A1280" s="0" t="s">
        <v>26</v>
      </c>
      <c r="B1280" s="0" t="s">
        <v>3021</v>
      </c>
      <c r="C1280" s="0" t="s">
        <v>1744</v>
      </c>
      <c r="D1280" s="0" t="n">
        <v>1</v>
      </c>
    </row>
    <row r="1281" customFormat="false" ht="15" hidden="false" customHeight="false" outlineLevel="0" collapsed="false">
      <c r="A1281" s="0" t="s">
        <v>26</v>
      </c>
      <c r="B1281" s="0" t="s">
        <v>3021</v>
      </c>
      <c r="C1281" s="0" t="s">
        <v>1880</v>
      </c>
      <c r="D1281" s="0" t="n">
        <v>0</v>
      </c>
    </row>
    <row r="1282" customFormat="false" ht="15" hidden="false" customHeight="false" outlineLevel="0" collapsed="false">
      <c r="A1282" s="0" t="s">
        <v>26</v>
      </c>
      <c r="B1282" s="0" t="s">
        <v>3021</v>
      </c>
      <c r="C1282" s="0" t="s">
        <v>2173</v>
      </c>
      <c r="D1282" s="0" t="n">
        <v>1</v>
      </c>
    </row>
    <row r="1283" customFormat="false" ht="15" hidden="false" customHeight="false" outlineLevel="0" collapsed="false">
      <c r="A1283" s="0" t="s">
        <v>26</v>
      </c>
      <c r="B1283" s="0" t="s">
        <v>3027</v>
      </c>
      <c r="C1283" s="0" t="s">
        <v>1744</v>
      </c>
      <c r="D1283" s="0" t="n">
        <v>0</v>
      </c>
    </row>
    <row r="1284" customFormat="false" ht="15" hidden="false" customHeight="false" outlineLevel="0" collapsed="false">
      <c r="A1284" s="0" t="s">
        <v>26</v>
      </c>
      <c r="B1284" s="0" t="s">
        <v>3027</v>
      </c>
      <c r="C1284" s="0" t="s">
        <v>1880</v>
      </c>
      <c r="D1284" s="0" t="n">
        <v>0</v>
      </c>
    </row>
    <row r="1285" customFormat="false" ht="15" hidden="false" customHeight="false" outlineLevel="0" collapsed="false">
      <c r="A1285" s="0" t="s">
        <v>26</v>
      </c>
      <c r="B1285" s="0" t="s">
        <v>3027</v>
      </c>
      <c r="C1285" s="0" t="s">
        <v>2173</v>
      </c>
      <c r="D1285" s="0" t="n">
        <v>0.45</v>
      </c>
    </row>
    <row r="1286" customFormat="false" ht="15" hidden="false" customHeight="false" outlineLevel="0" collapsed="false">
      <c r="A1286" s="0" t="s">
        <v>26</v>
      </c>
      <c r="B1286" s="0" t="s">
        <v>3033</v>
      </c>
      <c r="C1286" s="0" t="s">
        <v>1744</v>
      </c>
      <c r="D1286" s="0" t="n">
        <v>1</v>
      </c>
    </row>
    <row r="1287" customFormat="false" ht="15" hidden="false" customHeight="false" outlineLevel="0" collapsed="false">
      <c r="A1287" s="0" t="s">
        <v>26</v>
      </c>
      <c r="B1287" s="0" t="s">
        <v>3033</v>
      </c>
      <c r="C1287" s="0" t="s">
        <v>1880</v>
      </c>
      <c r="D1287" s="0" t="n">
        <v>0</v>
      </c>
    </row>
    <row r="1288" customFormat="false" ht="15" hidden="false" customHeight="false" outlineLevel="0" collapsed="false">
      <c r="A1288" s="0" t="s">
        <v>26</v>
      </c>
      <c r="B1288" s="0" t="s">
        <v>3033</v>
      </c>
      <c r="C1288" s="0" t="s">
        <v>2173</v>
      </c>
      <c r="D1288" s="0" t="n">
        <v>1</v>
      </c>
    </row>
    <row r="1289" customFormat="false" ht="15" hidden="false" customHeight="false" outlineLevel="0" collapsed="false">
      <c r="A1289" s="0" t="s">
        <v>26</v>
      </c>
      <c r="B1289" s="0" t="s">
        <v>3038</v>
      </c>
      <c r="C1289" s="0" t="s">
        <v>1744</v>
      </c>
      <c r="D1289" s="0" t="n">
        <v>0.25</v>
      </c>
    </row>
    <row r="1290" customFormat="false" ht="15" hidden="false" customHeight="false" outlineLevel="0" collapsed="false">
      <c r="A1290" s="0" t="s">
        <v>26</v>
      </c>
      <c r="B1290" s="0" t="s">
        <v>3038</v>
      </c>
      <c r="C1290" s="0" t="s">
        <v>1880</v>
      </c>
      <c r="D1290" s="0" t="n">
        <v>0.25</v>
      </c>
    </row>
    <row r="1291" customFormat="false" ht="15" hidden="false" customHeight="false" outlineLevel="0" collapsed="false">
      <c r="A1291" s="0" t="s">
        <v>26</v>
      </c>
      <c r="B1291" s="0" t="s">
        <v>3038</v>
      </c>
      <c r="C1291" s="0" t="s">
        <v>2173</v>
      </c>
      <c r="D1291" s="0" t="n">
        <v>0.25</v>
      </c>
    </row>
    <row r="1292" customFormat="false" ht="15" hidden="false" customHeight="false" outlineLevel="0" collapsed="false">
      <c r="A1292" s="0" t="s">
        <v>26</v>
      </c>
      <c r="B1292" s="0" t="s">
        <v>3043</v>
      </c>
      <c r="C1292" s="0" t="s">
        <v>1744</v>
      </c>
      <c r="D1292" s="0" t="n">
        <v>0.3</v>
      </c>
    </row>
    <row r="1293" customFormat="false" ht="15" hidden="false" customHeight="false" outlineLevel="0" collapsed="false">
      <c r="A1293" s="0" t="s">
        <v>26</v>
      </c>
      <c r="B1293" s="0" t="s">
        <v>3043</v>
      </c>
      <c r="C1293" s="0" t="s">
        <v>1880</v>
      </c>
      <c r="D1293" s="0" t="n">
        <v>0.1</v>
      </c>
    </row>
    <row r="1294" customFormat="false" ht="15" hidden="false" customHeight="false" outlineLevel="0" collapsed="false">
      <c r="A1294" s="0" t="s">
        <v>26</v>
      </c>
      <c r="B1294" s="0" t="s">
        <v>3043</v>
      </c>
      <c r="C1294" s="0" t="s">
        <v>2173</v>
      </c>
      <c r="D1294" s="0" t="n">
        <v>0.5</v>
      </c>
    </row>
    <row r="1295" customFormat="false" ht="15" hidden="false" customHeight="false" outlineLevel="0" collapsed="false">
      <c r="A1295" s="0" t="s">
        <v>26</v>
      </c>
      <c r="B1295" s="0" t="s">
        <v>3050</v>
      </c>
      <c r="C1295" s="0" t="s">
        <v>1744</v>
      </c>
      <c r="D1295" s="0" t="n">
        <v>0.3</v>
      </c>
    </row>
    <row r="1296" customFormat="false" ht="15" hidden="false" customHeight="false" outlineLevel="0" collapsed="false">
      <c r="A1296" s="0" t="s">
        <v>26</v>
      </c>
      <c r="B1296" s="0" t="s">
        <v>3050</v>
      </c>
      <c r="C1296" s="0" t="s">
        <v>1880</v>
      </c>
      <c r="D1296" s="0" t="n">
        <v>0.1</v>
      </c>
    </row>
    <row r="1297" customFormat="false" ht="15" hidden="false" customHeight="false" outlineLevel="0" collapsed="false">
      <c r="A1297" s="0" t="s">
        <v>26</v>
      </c>
      <c r="B1297" s="0" t="s">
        <v>3050</v>
      </c>
      <c r="C1297" s="0" t="s">
        <v>2173</v>
      </c>
      <c r="D1297" s="0" t="n">
        <v>0.5</v>
      </c>
    </row>
    <row r="1298" customFormat="false" ht="15" hidden="false" customHeight="false" outlineLevel="0" collapsed="false">
      <c r="A1298" s="0" t="s">
        <v>26</v>
      </c>
      <c r="B1298" s="0" t="s">
        <v>3054</v>
      </c>
      <c r="C1298" s="0" t="s">
        <v>1744</v>
      </c>
      <c r="D1298" s="0" t="n">
        <v>0.85</v>
      </c>
    </row>
    <row r="1299" customFormat="false" ht="15" hidden="false" customHeight="false" outlineLevel="0" collapsed="false">
      <c r="A1299" s="0" t="s">
        <v>26</v>
      </c>
      <c r="B1299" s="0" t="s">
        <v>3054</v>
      </c>
      <c r="C1299" s="0" t="s">
        <v>1880</v>
      </c>
      <c r="D1299" s="0" t="n">
        <v>0.75</v>
      </c>
    </row>
    <row r="1300" customFormat="false" ht="15" hidden="false" customHeight="false" outlineLevel="0" collapsed="false">
      <c r="A1300" s="0" t="s">
        <v>26</v>
      </c>
      <c r="B1300" s="0" t="s">
        <v>3054</v>
      </c>
      <c r="C1300" s="0" t="s">
        <v>2173</v>
      </c>
      <c r="D1300" s="0" t="n">
        <v>0.95</v>
      </c>
    </row>
    <row r="1301" customFormat="false" ht="15" hidden="false" customHeight="false" outlineLevel="0" collapsed="false">
      <c r="A1301" s="0" t="s">
        <v>26</v>
      </c>
      <c r="B1301" s="0" t="s">
        <v>3060</v>
      </c>
      <c r="C1301" s="0" t="s">
        <v>1744</v>
      </c>
      <c r="D1301" s="0" t="n">
        <v>0.1</v>
      </c>
    </row>
    <row r="1302" customFormat="false" ht="15" hidden="false" customHeight="false" outlineLevel="0" collapsed="false">
      <c r="A1302" s="0" t="s">
        <v>26</v>
      </c>
      <c r="B1302" s="0" t="s">
        <v>3060</v>
      </c>
      <c r="C1302" s="0" t="s">
        <v>1880</v>
      </c>
      <c r="D1302" s="0" t="n">
        <v>0.03</v>
      </c>
    </row>
    <row r="1303" customFormat="false" ht="15" hidden="false" customHeight="false" outlineLevel="0" collapsed="false">
      <c r="A1303" s="0" t="s">
        <v>26</v>
      </c>
      <c r="B1303" s="0" t="s">
        <v>3060</v>
      </c>
      <c r="C1303" s="0" t="s">
        <v>2173</v>
      </c>
      <c r="D1303" s="0" t="n">
        <v>0.15</v>
      </c>
    </row>
    <row r="1304" customFormat="false" ht="15" hidden="false" customHeight="false" outlineLevel="0" collapsed="false">
      <c r="A1304" s="0" t="s">
        <v>26</v>
      </c>
      <c r="B1304" s="0" t="s">
        <v>3065</v>
      </c>
      <c r="C1304" s="0" t="s">
        <v>1744</v>
      </c>
      <c r="D1304" s="0" t="n">
        <v>0.7</v>
      </c>
    </row>
    <row r="1305" customFormat="false" ht="15" hidden="false" customHeight="false" outlineLevel="0" collapsed="false">
      <c r="A1305" s="0" t="s">
        <v>26</v>
      </c>
      <c r="B1305" s="0" t="s">
        <v>3065</v>
      </c>
      <c r="C1305" s="0" t="s">
        <v>1880</v>
      </c>
      <c r="D1305" s="0" t="n">
        <v>0.55</v>
      </c>
    </row>
    <row r="1306" customFormat="false" ht="15" hidden="false" customHeight="false" outlineLevel="0" collapsed="false">
      <c r="A1306" s="0" t="s">
        <v>26</v>
      </c>
      <c r="B1306" s="0" t="s">
        <v>3065</v>
      </c>
      <c r="C1306" s="0" t="s">
        <v>2173</v>
      </c>
      <c r="D1306" s="0" t="n">
        <v>0.85</v>
      </c>
    </row>
    <row r="1307" customFormat="false" ht="15" hidden="false" customHeight="false" outlineLevel="0" collapsed="false">
      <c r="A1307" s="0" t="s">
        <v>26</v>
      </c>
      <c r="B1307" s="0" t="s">
        <v>3071</v>
      </c>
      <c r="C1307" s="0" t="s">
        <v>1744</v>
      </c>
      <c r="D1307" s="0" t="n">
        <v>0.18</v>
      </c>
    </row>
    <row r="1308" customFormat="false" ht="15" hidden="false" customHeight="false" outlineLevel="0" collapsed="false">
      <c r="A1308" s="0" t="s">
        <v>26</v>
      </c>
      <c r="B1308" s="0" t="s">
        <v>3071</v>
      </c>
      <c r="C1308" s="0" t="s">
        <v>1880</v>
      </c>
      <c r="D1308" s="0" t="n">
        <v>0.1</v>
      </c>
    </row>
    <row r="1309" customFormat="false" ht="15" hidden="false" customHeight="false" outlineLevel="0" collapsed="false">
      <c r="A1309" s="0" t="s">
        <v>26</v>
      </c>
      <c r="B1309" s="0" t="s">
        <v>3071</v>
      </c>
      <c r="C1309" s="0" t="s">
        <v>2173</v>
      </c>
      <c r="D1309" s="0" t="n">
        <v>0.25</v>
      </c>
    </row>
    <row r="1310" customFormat="false" ht="15" hidden="false" customHeight="false" outlineLevel="0" collapsed="false">
      <c r="A1310" s="0" t="s">
        <v>26</v>
      </c>
      <c r="B1310" s="0" t="s">
        <v>3073</v>
      </c>
      <c r="C1310" s="0" t="s">
        <v>1744</v>
      </c>
      <c r="D1310" s="0" t="n">
        <v>0.5</v>
      </c>
    </row>
    <row r="1311" customFormat="false" ht="15" hidden="false" customHeight="false" outlineLevel="0" collapsed="false">
      <c r="A1311" s="0" t="s">
        <v>26</v>
      </c>
      <c r="B1311" s="0" t="s">
        <v>3073</v>
      </c>
      <c r="C1311" s="0" t="s">
        <v>1880</v>
      </c>
      <c r="D1311" s="0" t="n">
        <v>0.3</v>
      </c>
    </row>
    <row r="1312" customFormat="false" ht="15" hidden="false" customHeight="false" outlineLevel="0" collapsed="false">
      <c r="A1312" s="0" t="s">
        <v>26</v>
      </c>
      <c r="B1312" s="0" t="s">
        <v>3073</v>
      </c>
      <c r="C1312" s="0" t="s">
        <v>2173</v>
      </c>
      <c r="D1312" s="0" t="n">
        <v>0.7</v>
      </c>
    </row>
    <row r="1313" customFormat="false" ht="15" hidden="false" customHeight="false" outlineLevel="0" collapsed="false">
      <c r="A1313" s="0" t="s">
        <v>26</v>
      </c>
      <c r="B1313" s="0" t="s">
        <v>3079</v>
      </c>
      <c r="C1313" s="0" t="s">
        <v>1744</v>
      </c>
      <c r="D1313" s="0" t="n">
        <v>0.15</v>
      </c>
    </row>
    <row r="1314" customFormat="false" ht="15" hidden="false" customHeight="false" outlineLevel="0" collapsed="false">
      <c r="A1314" s="0" t="s">
        <v>26</v>
      </c>
      <c r="B1314" s="0" t="s">
        <v>3079</v>
      </c>
      <c r="C1314" s="0" t="s">
        <v>1880</v>
      </c>
      <c r="D1314" s="0" t="n">
        <v>0.05</v>
      </c>
    </row>
    <row r="1315" customFormat="false" ht="15" hidden="false" customHeight="false" outlineLevel="0" collapsed="false">
      <c r="A1315" s="0" t="s">
        <v>26</v>
      </c>
      <c r="B1315" s="0" t="s">
        <v>3079</v>
      </c>
      <c r="C1315" s="0" t="s">
        <v>2173</v>
      </c>
      <c r="D1315" s="0" t="n">
        <v>0.3</v>
      </c>
    </row>
    <row r="1316" customFormat="false" ht="15" hidden="false" customHeight="false" outlineLevel="0" collapsed="false">
      <c r="A1316" s="0" t="s">
        <v>26</v>
      </c>
      <c r="B1316" s="0" t="s">
        <v>3083</v>
      </c>
      <c r="C1316" s="0" t="s">
        <v>1744</v>
      </c>
      <c r="D1316" s="0" t="n">
        <v>0.35</v>
      </c>
    </row>
    <row r="1317" customFormat="false" ht="15" hidden="false" customHeight="false" outlineLevel="0" collapsed="false">
      <c r="A1317" s="0" t="s">
        <v>26</v>
      </c>
      <c r="B1317" s="0" t="s">
        <v>3083</v>
      </c>
      <c r="C1317" s="0" t="s">
        <v>1880</v>
      </c>
      <c r="D1317" s="0" t="n">
        <v>0.2</v>
      </c>
    </row>
    <row r="1318" customFormat="false" ht="15" hidden="false" customHeight="false" outlineLevel="0" collapsed="false">
      <c r="A1318" s="0" t="s">
        <v>26</v>
      </c>
      <c r="B1318" s="0" t="s">
        <v>3083</v>
      </c>
      <c r="C1318" s="0" t="s">
        <v>2173</v>
      </c>
      <c r="D1318" s="0" t="n">
        <v>0.5</v>
      </c>
    </row>
    <row r="1319" customFormat="false" ht="15" hidden="false" customHeight="false" outlineLevel="0" collapsed="false">
      <c r="A1319" s="0" t="s">
        <v>26</v>
      </c>
      <c r="B1319" s="0" t="s">
        <v>3087</v>
      </c>
      <c r="C1319" s="0" t="s">
        <v>1744</v>
      </c>
      <c r="D1319" s="0" t="n">
        <v>0.2</v>
      </c>
    </row>
    <row r="1320" customFormat="false" ht="15" hidden="false" customHeight="false" outlineLevel="0" collapsed="false">
      <c r="A1320" s="0" t="s">
        <v>26</v>
      </c>
      <c r="B1320" s="0" t="s">
        <v>3087</v>
      </c>
      <c r="C1320" s="0" t="s">
        <v>1880</v>
      </c>
      <c r="D1320" s="0" t="n">
        <v>0.1</v>
      </c>
    </row>
    <row r="1321" customFormat="false" ht="15" hidden="false" customHeight="false" outlineLevel="0" collapsed="false">
      <c r="A1321" s="0" t="s">
        <v>26</v>
      </c>
      <c r="B1321" s="0" t="s">
        <v>3087</v>
      </c>
      <c r="C1321" s="0" t="s">
        <v>2173</v>
      </c>
      <c r="D1321" s="0" t="n">
        <v>0.35</v>
      </c>
    </row>
    <row r="1322" customFormat="false" ht="15" hidden="false" customHeight="false" outlineLevel="0" collapsed="false">
      <c r="A1322" s="0" t="s">
        <v>26</v>
      </c>
      <c r="B1322" s="0" t="s">
        <v>3089</v>
      </c>
      <c r="C1322" s="0" t="s">
        <v>1744</v>
      </c>
      <c r="D1322" s="0" t="n">
        <v>0.05</v>
      </c>
    </row>
    <row r="1323" customFormat="false" ht="15" hidden="false" customHeight="false" outlineLevel="0" collapsed="false">
      <c r="A1323" s="0" t="s">
        <v>26</v>
      </c>
      <c r="B1323" s="0" t="s">
        <v>3089</v>
      </c>
      <c r="C1323" s="0" t="s">
        <v>1880</v>
      </c>
      <c r="D1323" s="0" t="n">
        <v>0.03</v>
      </c>
    </row>
    <row r="1324" customFormat="false" ht="15" hidden="false" customHeight="false" outlineLevel="0" collapsed="false">
      <c r="A1324" s="0" t="s">
        <v>26</v>
      </c>
      <c r="B1324" s="0" t="s">
        <v>3089</v>
      </c>
      <c r="C1324" s="0" t="s">
        <v>2173</v>
      </c>
      <c r="D1324" s="0" t="n">
        <v>0.08</v>
      </c>
    </row>
    <row r="1325" customFormat="false" ht="15" hidden="false" customHeight="false" outlineLevel="0" collapsed="false">
      <c r="A1325" s="0" t="s">
        <v>26</v>
      </c>
      <c r="B1325" s="0" t="s">
        <v>3095</v>
      </c>
      <c r="C1325" s="0" t="s">
        <v>1744</v>
      </c>
      <c r="D1325" s="0" t="n">
        <v>3</v>
      </c>
    </row>
    <row r="1326" customFormat="false" ht="15" hidden="false" customHeight="false" outlineLevel="0" collapsed="false">
      <c r="A1326" s="0" t="s">
        <v>26</v>
      </c>
      <c r="B1326" s="0" t="s">
        <v>3095</v>
      </c>
      <c r="C1326" s="0" t="s">
        <v>1880</v>
      </c>
      <c r="D1326" s="0" t="n">
        <v>1.5</v>
      </c>
    </row>
    <row r="1327" customFormat="false" ht="15" hidden="false" customHeight="false" outlineLevel="0" collapsed="false">
      <c r="A1327" s="0" t="s">
        <v>26</v>
      </c>
      <c r="B1327" s="0" t="s">
        <v>3095</v>
      </c>
      <c r="C1327" s="0" t="s">
        <v>2173</v>
      </c>
      <c r="D1327" s="0" t="n">
        <v>5</v>
      </c>
    </row>
    <row r="1328" customFormat="false" ht="15" hidden="false" customHeight="false" outlineLevel="0" collapsed="false">
      <c r="A1328" s="0" t="s">
        <v>26</v>
      </c>
      <c r="B1328" s="0" t="s">
        <v>3102</v>
      </c>
      <c r="C1328" s="0" t="s">
        <v>1744</v>
      </c>
      <c r="D1328" s="0" t="n">
        <v>0.6</v>
      </c>
    </row>
    <row r="1329" customFormat="false" ht="15" hidden="false" customHeight="false" outlineLevel="0" collapsed="false">
      <c r="A1329" s="0" t="s">
        <v>26</v>
      </c>
      <c r="B1329" s="0" t="s">
        <v>3102</v>
      </c>
      <c r="C1329" s="0" t="s">
        <v>1880</v>
      </c>
      <c r="D1329" s="0" t="n">
        <v>0.3</v>
      </c>
    </row>
    <row r="1330" customFormat="false" ht="15" hidden="false" customHeight="false" outlineLevel="0" collapsed="false">
      <c r="A1330" s="0" t="s">
        <v>26</v>
      </c>
      <c r="B1330" s="0" t="s">
        <v>3102</v>
      </c>
      <c r="C1330" s="0" t="s">
        <v>2173</v>
      </c>
      <c r="D1330" s="0" t="n">
        <v>1</v>
      </c>
    </row>
    <row r="1331" customFormat="false" ht="15" hidden="false" customHeight="false" outlineLevel="0" collapsed="false">
      <c r="A1331" s="0" t="s">
        <v>26</v>
      </c>
      <c r="B1331" s="0" t="s">
        <v>3106</v>
      </c>
      <c r="C1331" s="0" t="s">
        <v>1744</v>
      </c>
      <c r="D1331" s="0" t="n">
        <v>0.4</v>
      </c>
    </row>
    <row r="1332" customFormat="false" ht="15" hidden="false" customHeight="false" outlineLevel="0" collapsed="false">
      <c r="A1332" s="0" t="s">
        <v>26</v>
      </c>
      <c r="B1332" s="0" t="s">
        <v>3106</v>
      </c>
      <c r="C1332" s="0" t="s">
        <v>1880</v>
      </c>
      <c r="D1332" s="0" t="n">
        <v>0.2</v>
      </c>
    </row>
    <row r="1333" customFormat="false" ht="15" hidden="false" customHeight="false" outlineLevel="0" collapsed="false">
      <c r="A1333" s="0" t="s">
        <v>26</v>
      </c>
      <c r="B1333" s="0" t="s">
        <v>3106</v>
      </c>
      <c r="C1333" s="0" t="s">
        <v>2173</v>
      </c>
      <c r="D1333" s="0" t="n">
        <v>0.7</v>
      </c>
    </row>
    <row r="1334" customFormat="false" ht="15" hidden="false" customHeight="false" outlineLevel="0" collapsed="false">
      <c r="A1334" s="0" t="s">
        <v>26</v>
      </c>
      <c r="B1334" s="0" t="s">
        <v>3108</v>
      </c>
      <c r="C1334" s="0" t="s">
        <v>1744</v>
      </c>
      <c r="D1334" s="0" t="n">
        <v>0.3</v>
      </c>
    </row>
    <row r="1335" customFormat="false" ht="15" hidden="false" customHeight="false" outlineLevel="0" collapsed="false">
      <c r="A1335" s="0" t="s">
        <v>26</v>
      </c>
      <c r="B1335" s="0" t="s">
        <v>3108</v>
      </c>
      <c r="C1335" s="0" t="s">
        <v>1880</v>
      </c>
      <c r="D1335" s="0" t="n">
        <v>0.1</v>
      </c>
    </row>
    <row r="1336" customFormat="false" ht="15" hidden="false" customHeight="false" outlineLevel="0" collapsed="false">
      <c r="A1336" s="0" t="s">
        <v>26</v>
      </c>
      <c r="B1336" s="0" t="s">
        <v>3108</v>
      </c>
      <c r="C1336" s="0" t="s">
        <v>2173</v>
      </c>
      <c r="D1336" s="0" t="n">
        <v>0.5</v>
      </c>
    </row>
    <row r="1337" customFormat="false" ht="15" hidden="false" customHeight="false" outlineLevel="0" collapsed="false">
      <c r="A1337" s="0" t="s">
        <v>26</v>
      </c>
      <c r="B1337" s="0" t="s">
        <v>3110</v>
      </c>
      <c r="C1337" s="0" t="s">
        <v>1744</v>
      </c>
      <c r="D1337" s="0" t="n">
        <v>0.2</v>
      </c>
    </row>
    <row r="1338" customFormat="false" ht="15" hidden="false" customHeight="false" outlineLevel="0" collapsed="false">
      <c r="A1338" s="0" t="s">
        <v>26</v>
      </c>
      <c r="B1338" s="0" t="s">
        <v>3110</v>
      </c>
      <c r="C1338" s="0" t="s">
        <v>1880</v>
      </c>
      <c r="D1338" s="0" t="n">
        <v>0.05</v>
      </c>
    </row>
    <row r="1339" customFormat="false" ht="15" hidden="false" customHeight="false" outlineLevel="0" collapsed="false">
      <c r="A1339" s="0" t="s">
        <v>26</v>
      </c>
      <c r="B1339" s="0" t="s">
        <v>3110</v>
      </c>
      <c r="C1339" s="0" t="s">
        <v>2173</v>
      </c>
      <c r="D1339" s="0" t="n">
        <v>0.4</v>
      </c>
    </row>
    <row r="1340" customFormat="false" ht="15" hidden="false" customHeight="false" outlineLevel="0" collapsed="false">
      <c r="A1340" s="0" t="s">
        <v>26</v>
      </c>
      <c r="B1340" s="0" t="s">
        <v>3112</v>
      </c>
      <c r="C1340" s="0" t="s">
        <v>1744</v>
      </c>
      <c r="D1340" s="0" t="n">
        <v>1</v>
      </c>
    </row>
    <row r="1341" customFormat="false" ht="15" hidden="false" customHeight="false" outlineLevel="0" collapsed="false">
      <c r="A1341" s="0" t="s">
        <v>26</v>
      </c>
      <c r="B1341" s="0" t="s">
        <v>3112</v>
      </c>
      <c r="C1341" s="0" t="s">
        <v>1880</v>
      </c>
      <c r="D1341" s="0" t="n">
        <v>0.5</v>
      </c>
    </row>
    <row r="1342" customFormat="false" ht="15" hidden="false" customHeight="false" outlineLevel="0" collapsed="false">
      <c r="A1342" s="0" t="s">
        <v>26</v>
      </c>
      <c r="B1342" s="0" t="s">
        <v>3112</v>
      </c>
      <c r="C1342" s="0" t="s">
        <v>2173</v>
      </c>
      <c r="D1342" s="0" t="n">
        <v>2</v>
      </c>
    </row>
    <row r="1343" customFormat="false" ht="15" hidden="false" customHeight="false" outlineLevel="0" collapsed="false">
      <c r="A1343" s="0" t="s">
        <v>26</v>
      </c>
      <c r="B1343" s="0" t="s">
        <v>3118</v>
      </c>
      <c r="C1343" s="0" t="s">
        <v>1744</v>
      </c>
      <c r="D1343" s="0" t="n">
        <v>0.5</v>
      </c>
    </row>
    <row r="1344" customFormat="false" ht="15" hidden="false" customHeight="false" outlineLevel="0" collapsed="false">
      <c r="A1344" s="0" t="s">
        <v>26</v>
      </c>
      <c r="B1344" s="0" t="s">
        <v>3118</v>
      </c>
      <c r="C1344" s="0" t="s">
        <v>1880</v>
      </c>
      <c r="D1344" s="0" t="n">
        <v>0.2</v>
      </c>
    </row>
    <row r="1345" customFormat="false" ht="15" hidden="false" customHeight="false" outlineLevel="0" collapsed="false">
      <c r="A1345" s="0" t="s">
        <v>26</v>
      </c>
      <c r="B1345" s="0" t="s">
        <v>3118</v>
      </c>
      <c r="C1345" s="0" t="s">
        <v>2173</v>
      </c>
      <c r="D1345" s="0" t="n">
        <v>0.8</v>
      </c>
    </row>
    <row r="1346" customFormat="false" ht="15" hidden="false" customHeight="false" outlineLevel="0" collapsed="false">
      <c r="A1346" s="0" t="s">
        <v>26</v>
      </c>
      <c r="B1346" s="0" t="s">
        <v>3122</v>
      </c>
      <c r="C1346" s="0" t="s">
        <v>1744</v>
      </c>
      <c r="D1346" s="0" t="n">
        <v>0.3</v>
      </c>
    </row>
    <row r="1347" customFormat="false" ht="15" hidden="false" customHeight="false" outlineLevel="0" collapsed="false">
      <c r="A1347" s="0" t="s">
        <v>26</v>
      </c>
      <c r="B1347" s="0" t="s">
        <v>3122</v>
      </c>
      <c r="C1347" s="0" t="s">
        <v>1880</v>
      </c>
      <c r="D1347" s="0" t="n">
        <v>0.1</v>
      </c>
    </row>
    <row r="1348" customFormat="false" ht="15" hidden="false" customHeight="false" outlineLevel="0" collapsed="false">
      <c r="A1348" s="0" t="s">
        <v>26</v>
      </c>
      <c r="B1348" s="0" t="s">
        <v>3122</v>
      </c>
      <c r="C1348" s="0" t="s">
        <v>2173</v>
      </c>
      <c r="D1348" s="0" t="n">
        <v>0.5</v>
      </c>
    </row>
    <row r="1349" customFormat="false" ht="15" hidden="false" customHeight="false" outlineLevel="0" collapsed="false">
      <c r="A1349" s="0" t="s">
        <v>26</v>
      </c>
      <c r="B1349" s="0" t="s">
        <v>3124</v>
      </c>
      <c r="C1349" s="0" t="s">
        <v>1744</v>
      </c>
      <c r="D1349" s="0" t="n">
        <v>0.2</v>
      </c>
    </row>
    <row r="1350" customFormat="false" ht="15" hidden="false" customHeight="false" outlineLevel="0" collapsed="false">
      <c r="A1350" s="0" t="s">
        <v>26</v>
      </c>
      <c r="B1350" s="0" t="s">
        <v>3124</v>
      </c>
      <c r="C1350" s="0" t="s">
        <v>1880</v>
      </c>
      <c r="D1350" s="0" t="n">
        <v>0.05</v>
      </c>
    </row>
    <row r="1351" customFormat="false" ht="15" hidden="false" customHeight="false" outlineLevel="0" collapsed="false">
      <c r="A1351" s="0" t="s">
        <v>26</v>
      </c>
      <c r="B1351" s="0" t="s">
        <v>3124</v>
      </c>
      <c r="C1351" s="0" t="s">
        <v>2173</v>
      </c>
      <c r="D1351" s="0" t="n">
        <v>0.4</v>
      </c>
    </row>
    <row r="1352" customFormat="false" ht="15" hidden="false" customHeight="false" outlineLevel="0" collapsed="false">
      <c r="A1352" s="0" t="s">
        <v>26</v>
      </c>
      <c r="B1352" s="0" t="s">
        <v>3126</v>
      </c>
      <c r="C1352" s="0" t="s">
        <v>1744</v>
      </c>
      <c r="D1352" s="0" t="n">
        <v>0.15</v>
      </c>
    </row>
    <row r="1353" customFormat="false" ht="15" hidden="false" customHeight="false" outlineLevel="0" collapsed="false">
      <c r="A1353" s="0" t="s">
        <v>26</v>
      </c>
      <c r="B1353" s="0" t="s">
        <v>3126</v>
      </c>
      <c r="C1353" s="0" t="s">
        <v>1880</v>
      </c>
      <c r="D1353" s="0" t="n">
        <v>0.05</v>
      </c>
    </row>
    <row r="1354" customFormat="false" ht="15" hidden="false" customHeight="false" outlineLevel="0" collapsed="false">
      <c r="A1354" s="0" t="s">
        <v>26</v>
      </c>
      <c r="B1354" s="0" t="s">
        <v>3126</v>
      </c>
      <c r="C1354" s="0" t="s">
        <v>2173</v>
      </c>
      <c r="D1354" s="0" t="n">
        <v>0.3</v>
      </c>
    </row>
    <row r="1355" customFormat="false" ht="15" hidden="false" customHeight="false" outlineLevel="0" collapsed="false">
      <c r="A1355" s="0" t="s">
        <v>26</v>
      </c>
      <c r="B1355" s="0" t="s">
        <v>3128</v>
      </c>
      <c r="C1355" s="0" t="s">
        <v>1744</v>
      </c>
      <c r="D1355" s="0" t="n">
        <v>3</v>
      </c>
    </row>
    <row r="1356" customFormat="false" ht="15" hidden="false" customHeight="false" outlineLevel="0" collapsed="false">
      <c r="A1356" s="0" t="s">
        <v>26</v>
      </c>
      <c r="B1356" s="0" t="s">
        <v>3128</v>
      </c>
      <c r="C1356" s="0" t="s">
        <v>1880</v>
      </c>
      <c r="D1356" s="0" t="n">
        <v>1</v>
      </c>
    </row>
    <row r="1357" customFormat="false" ht="15" hidden="false" customHeight="false" outlineLevel="0" collapsed="false">
      <c r="A1357" s="0" t="s">
        <v>26</v>
      </c>
      <c r="B1357" s="0" t="s">
        <v>3128</v>
      </c>
      <c r="C1357" s="0" t="s">
        <v>2173</v>
      </c>
      <c r="D1357" s="0" t="n">
        <v>5</v>
      </c>
    </row>
    <row r="1358" customFormat="false" ht="15" hidden="false" customHeight="false" outlineLevel="0" collapsed="false">
      <c r="A1358" s="0" t="s">
        <v>26</v>
      </c>
      <c r="B1358" s="0" t="s">
        <v>3134</v>
      </c>
      <c r="C1358" s="0" t="s">
        <v>1744</v>
      </c>
      <c r="D1358" s="0" t="n">
        <v>1</v>
      </c>
    </row>
    <row r="1359" customFormat="false" ht="15" hidden="false" customHeight="false" outlineLevel="0" collapsed="false">
      <c r="A1359" s="0" t="s">
        <v>26</v>
      </c>
      <c r="B1359" s="0" t="s">
        <v>3134</v>
      </c>
      <c r="C1359" s="0" t="s">
        <v>1880</v>
      </c>
      <c r="D1359" s="0" t="n">
        <v>0.5</v>
      </c>
    </row>
    <row r="1360" customFormat="false" ht="15" hidden="false" customHeight="false" outlineLevel="0" collapsed="false">
      <c r="A1360" s="0" t="s">
        <v>26</v>
      </c>
      <c r="B1360" s="0" t="s">
        <v>3134</v>
      </c>
      <c r="C1360" s="0" t="s">
        <v>2173</v>
      </c>
      <c r="D1360" s="0" t="n">
        <v>1.5</v>
      </c>
    </row>
    <row r="1361" customFormat="false" ht="15" hidden="false" customHeight="false" outlineLevel="0" collapsed="false">
      <c r="A1361" s="0" t="s">
        <v>26</v>
      </c>
      <c r="B1361" s="0" t="s">
        <v>3137</v>
      </c>
      <c r="C1361" s="0" t="s">
        <v>1744</v>
      </c>
      <c r="D1361" s="0" t="n">
        <v>0.5</v>
      </c>
    </row>
    <row r="1362" customFormat="false" ht="15" hidden="false" customHeight="false" outlineLevel="0" collapsed="false">
      <c r="A1362" s="0" t="s">
        <v>26</v>
      </c>
      <c r="B1362" s="0" t="s">
        <v>3137</v>
      </c>
      <c r="C1362" s="0" t="s">
        <v>1880</v>
      </c>
      <c r="D1362" s="0" t="n">
        <v>0.25</v>
      </c>
    </row>
    <row r="1363" customFormat="false" ht="15" hidden="false" customHeight="false" outlineLevel="0" collapsed="false">
      <c r="A1363" s="0" t="s">
        <v>26</v>
      </c>
      <c r="B1363" s="0" t="s">
        <v>3137</v>
      </c>
      <c r="C1363" s="0" t="s">
        <v>2173</v>
      </c>
      <c r="D1363" s="0" t="n">
        <v>0.8</v>
      </c>
    </row>
    <row r="1364" customFormat="false" ht="15" hidden="false" customHeight="false" outlineLevel="0" collapsed="false">
      <c r="A1364" s="0" t="s">
        <v>26</v>
      </c>
      <c r="B1364" s="0" t="s">
        <v>3139</v>
      </c>
      <c r="C1364" s="0" t="s">
        <v>1744</v>
      </c>
      <c r="D1364" s="0" t="n">
        <v>0.35</v>
      </c>
    </row>
    <row r="1365" customFormat="false" ht="15" hidden="false" customHeight="false" outlineLevel="0" collapsed="false">
      <c r="A1365" s="0" t="s">
        <v>26</v>
      </c>
      <c r="B1365" s="0" t="s">
        <v>3139</v>
      </c>
      <c r="C1365" s="0" t="s">
        <v>1880</v>
      </c>
      <c r="D1365" s="0" t="n">
        <v>0.15</v>
      </c>
    </row>
    <row r="1366" customFormat="false" ht="15" hidden="false" customHeight="false" outlineLevel="0" collapsed="false">
      <c r="A1366" s="0" t="s">
        <v>26</v>
      </c>
      <c r="B1366" s="0" t="s">
        <v>3139</v>
      </c>
      <c r="C1366" s="0" t="s">
        <v>2173</v>
      </c>
      <c r="D1366" s="0" t="n">
        <v>0.5</v>
      </c>
    </row>
    <row r="1367" customFormat="false" ht="15" hidden="false" customHeight="false" outlineLevel="0" collapsed="false">
      <c r="A1367" s="0" t="s">
        <v>26</v>
      </c>
      <c r="B1367" s="0" t="s">
        <v>3141</v>
      </c>
      <c r="C1367" s="0" t="s">
        <v>1744</v>
      </c>
      <c r="D1367" s="0" t="n">
        <v>0.25</v>
      </c>
    </row>
    <row r="1368" customFormat="false" ht="15" hidden="false" customHeight="false" outlineLevel="0" collapsed="false">
      <c r="A1368" s="0" t="s">
        <v>26</v>
      </c>
      <c r="B1368" s="0" t="s">
        <v>3141</v>
      </c>
      <c r="C1368" s="0" t="s">
        <v>1880</v>
      </c>
      <c r="D1368" s="0" t="n">
        <v>0.1</v>
      </c>
    </row>
    <row r="1369" customFormat="false" ht="15" hidden="false" customHeight="false" outlineLevel="0" collapsed="false">
      <c r="A1369" s="0" t="s">
        <v>26</v>
      </c>
      <c r="B1369" s="0" t="s">
        <v>3141</v>
      </c>
      <c r="C1369" s="0" t="s">
        <v>2173</v>
      </c>
      <c r="D1369" s="0" t="n">
        <v>0.4</v>
      </c>
    </row>
    <row r="1370" customFormat="false" ht="15" hidden="false" customHeight="false" outlineLevel="0" collapsed="false">
      <c r="A1370" s="0" t="s">
        <v>26</v>
      </c>
      <c r="B1370" s="0" t="s">
        <v>3143</v>
      </c>
      <c r="C1370" s="0" t="s">
        <v>1744</v>
      </c>
      <c r="D1370" s="0" t="n">
        <v>2</v>
      </c>
    </row>
    <row r="1371" customFormat="false" ht="15" hidden="false" customHeight="false" outlineLevel="0" collapsed="false">
      <c r="A1371" s="0" t="s">
        <v>26</v>
      </c>
      <c r="B1371" s="0" t="s">
        <v>3143</v>
      </c>
      <c r="C1371" s="0" t="s">
        <v>1880</v>
      </c>
      <c r="D1371" s="0" t="n">
        <v>1</v>
      </c>
    </row>
    <row r="1372" customFormat="false" ht="15" hidden="false" customHeight="false" outlineLevel="0" collapsed="false">
      <c r="A1372" s="0" t="s">
        <v>26</v>
      </c>
      <c r="B1372" s="0" t="s">
        <v>3143</v>
      </c>
      <c r="C1372" s="0" t="s">
        <v>2173</v>
      </c>
      <c r="D1372" s="0" t="n">
        <v>4</v>
      </c>
    </row>
    <row r="1373" customFormat="false" ht="15" hidden="false" customHeight="false" outlineLevel="0" collapsed="false">
      <c r="A1373" s="0" t="s">
        <v>26</v>
      </c>
      <c r="B1373" s="0" t="s">
        <v>3150</v>
      </c>
      <c r="C1373" s="0" t="s">
        <v>1744</v>
      </c>
      <c r="D1373" s="0" t="n">
        <v>8</v>
      </c>
    </row>
    <row r="1374" customFormat="false" ht="15" hidden="false" customHeight="false" outlineLevel="0" collapsed="false">
      <c r="A1374" s="0" t="s">
        <v>26</v>
      </c>
      <c r="B1374" s="0" t="s">
        <v>3150</v>
      </c>
      <c r="C1374" s="0" t="s">
        <v>1880</v>
      </c>
      <c r="D1374" s="0" t="n">
        <v>4</v>
      </c>
    </row>
    <row r="1375" customFormat="false" ht="15" hidden="false" customHeight="false" outlineLevel="0" collapsed="false">
      <c r="A1375" s="0" t="s">
        <v>26</v>
      </c>
      <c r="B1375" s="0" t="s">
        <v>3150</v>
      </c>
      <c r="C1375" s="0" t="s">
        <v>2173</v>
      </c>
      <c r="D1375" s="0" t="n">
        <v>15</v>
      </c>
    </row>
    <row r="1376" customFormat="false" ht="15" hidden="false" customHeight="false" outlineLevel="0" collapsed="false">
      <c r="A1376" s="0" t="s">
        <v>26</v>
      </c>
      <c r="B1376" s="0" t="s">
        <v>3154</v>
      </c>
      <c r="C1376" s="0" t="s">
        <v>1744</v>
      </c>
      <c r="D1376" s="0" t="n">
        <v>20</v>
      </c>
    </row>
    <row r="1377" customFormat="false" ht="15" hidden="false" customHeight="false" outlineLevel="0" collapsed="false">
      <c r="A1377" s="0" t="s">
        <v>26</v>
      </c>
      <c r="B1377" s="0" t="s">
        <v>3154</v>
      </c>
      <c r="C1377" s="0" t="s">
        <v>1880</v>
      </c>
      <c r="D1377" s="0" t="n">
        <v>10</v>
      </c>
    </row>
    <row r="1378" customFormat="false" ht="15" hidden="false" customHeight="false" outlineLevel="0" collapsed="false">
      <c r="A1378" s="0" t="s">
        <v>26</v>
      </c>
      <c r="B1378" s="0" t="s">
        <v>3154</v>
      </c>
      <c r="C1378" s="0" t="s">
        <v>2173</v>
      </c>
      <c r="D1378" s="0" t="n">
        <v>40</v>
      </c>
    </row>
    <row r="1379" customFormat="false" ht="15" hidden="false" customHeight="false" outlineLevel="0" collapsed="false">
      <c r="A1379" s="0" t="s">
        <v>26</v>
      </c>
      <c r="B1379" s="0" t="s">
        <v>3158</v>
      </c>
      <c r="C1379" s="0" t="s">
        <v>1744</v>
      </c>
      <c r="D1379" s="0" t="n">
        <v>40</v>
      </c>
    </row>
    <row r="1380" customFormat="false" ht="15" hidden="false" customHeight="false" outlineLevel="0" collapsed="false">
      <c r="A1380" s="0" t="s">
        <v>26</v>
      </c>
      <c r="B1380" s="0" t="s">
        <v>3158</v>
      </c>
      <c r="C1380" s="0" t="s">
        <v>1880</v>
      </c>
      <c r="D1380" s="0" t="n">
        <v>20</v>
      </c>
    </row>
    <row r="1381" customFormat="false" ht="15" hidden="false" customHeight="false" outlineLevel="0" collapsed="false">
      <c r="A1381" s="0" t="s">
        <v>26</v>
      </c>
      <c r="B1381" s="0" t="s">
        <v>3158</v>
      </c>
      <c r="C1381" s="0" t="s">
        <v>2173</v>
      </c>
      <c r="D1381" s="0" t="n">
        <v>80</v>
      </c>
    </row>
    <row r="1382" customFormat="false" ht="15" hidden="false" customHeight="false" outlineLevel="0" collapsed="false">
      <c r="A1382" s="0" t="s">
        <v>26</v>
      </c>
      <c r="B1382" s="0" t="s">
        <v>3162</v>
      </c>
      <c r="C1382" s="0" t="s">
        <v>1744</v>
      </c>
      <c r="D1382" s="0" t="n">
        <v>6</v>
      </c>
    </row>
    <row r="1383" customFormat="false" ht="15" hidden="false" customHeight="false" outlineLevel="0" collapsed="false">
      <c r="A1383" s="0" t="s">
        <v>26</v>
      </c>
      <c r="B1383" s="0" t="s">
        <v>3162</v>
      </c>
      <c r="C1383" s="0" t="s">
        <v>1880</v>
      </c>
      <c r="D1383" s="0" t="n">
        <v>3</v>
      </c>
    </row>
    <row r="1384" customFormat="false" ht="15" hidden="false" customHeight="false" outlineLevel="0" collapsed="false">
      <c r="A1384" s="0" t="s">
        <v>26</v>
      </c>
      <c r="B1384" s="0" t="s">
        <v>3162</v>
      </c>
      <c r="C1384" s="0" t="s">
        <v>2173</v>
      </c>
      <c r="D1384" s="0" t="n">
        <v>12</v>
      </c>
    </row>
    <row r="1385" customFormat="false" ht="15" hidden="false" customHeight="false" outlineLevel="0" collapsed="false">
      <c r="A1385" s="0" t="s">
        <v>26</v>
      </c>
      <c r="B1385" s="0" t="s">
        <v>3166</v>
      </c>
      <c r="C1385" s="0" t="s">
        <v>1744</v>
      </c>
      <c r="D1385" s="0" t="n">
        <v>15</v>
      </c>
    </row>
    <row r="1386" customFormat="false" ht="15" hidden="false" customHeight="false" outlineLevel="0" collapsed="false">
      <c r="A1386" s="0" t="s">
        <v>26</v>
      </c>
      <c r="B1386" s="0" t="s">
        <v>3166</v>
      </c>
      <c r="C1386" s="0" t="s">
        <v>1880</v>
      </c>
      <c r="D1386" s="0" t="n">
        <v>8</v>
      </c>
    </row>
    <row r="1387" customFormat="false" ht="15" hidden="false" customHeight="false" outlineLevel="0" collapsed="false">
      <c r="A1387" s="0" t="s">
        <v>26</v>
      </c>
      <c r="B1387" s="0" t="s">
        <v>3166</v>
      </c>
      <c r="C1387" s="0" t="s">
        <v>2173</v>
      </c>
      <c r="D1387" s="0" t="n">
        <v>30</v>
      </c>
    </row>
    <row r="1388" customFormat="false" ht="15" hidden="false" customHeight="false" outlineLevel="0" collapsed="false">
      <c r="A1388" s="0" t="s">
        <v>26</v>
      </c>
      <c r="B1388" s="0" t="s">
        <v>3170</v>
      </c>
      <c r="C1388" s="0" t="s">
        <v>1744</v>
      </c>
      <c r="D1388" s="0" t="n">
        <v>8</v>
      </c>
    </row>
    <row r="1389" customFormat="false" ht="15" hidden="false" customHeight="false" outlineLevel="0" collapsed="false">
      <c r="A1389" s="0" t="s">
        <v>26</v>
      </c>
      <c r="B1389" s="0" t="s">
        <v>3170</v>
      </c>
      <c r="C1389" s="0" t="s">
        <v>1880</v>
      </c>
      <c r="D1389" s="0" t="n">
        <v>4</v>
      </c>
    </row>
    <row r="1390" customFormat="false" ht="15" hidden="false" customHeight="false" outlineLevel="0" collapsed="false">
      <c r="A1390" s="0" t="s">
        <v>26</v>
      </c>
      <c r="B1390" s="0" t="s">
        <v>3170</v>
      </c>
      <c r="C1390" s="0" t="s">
        <v>2173</v>
      </c>
      <c r="D1390" s="0" t="n">
        <v>15</v>
      </c>
    </row>
    <row r="1391" customFormat="false" ht="15" hidden="false" customHeight="false" outlineLevel="0" collapsed="false">
      <c r="A1391" s="0" t="s">
        <v>26</v>
      </c>
      <c r="B1391" s="0" t="s">
        <v>3174</v>
      </c>
      <c r="C1391" s="0" t="s">
        <v>1744</v>
      </c>
      <c r="D1391" s="0" t="n">
        <v>0.1</v>
      </c>
    </row>
    <row r="1392" customFormat="false" ht="15" hidden="false" customHeight="false" outlineLevel="0" collapsed="false">
      <c r="A1392" s="0" t="s">
        <v>26</v>
      </c>
      <c r="B1392" s="0" t="s">
        <v>3174</v>
      </c>
      <c r="C1392" s="0" t="s">
        <v>1880</v>
      </c>
      <c r="D1392" s="0" t="n">
        <v>0.05</v>
      </c>
    </row>
    <row r="1393" customFormat="false" ht="15" hidden="false" customHeight="false" outlineLevel="0" collapsed="false">
      <c r="A1393" s="0" t="s">
        <v>26</v>
      </c>
      <c r="B1393" s="0" t="s">
        <v>3174</v>
      </c>
      <c r="C1393" s="0" t="s">
        <v>2173</v>
      </c>
      <c r="D1393" s="0" t="n">
        <v>0.2</v>
      </c>
    </row>
    <row r="1394" customFormat="false" ht="15" hidden="false" customHeight="false" outlineLevel="0" collapsed="false">
      <c r="A1394" s="0" t="s">
        <v>26</v>
      </c>
      <c r="B1394" s="0" t="s">
        <v>3180</v>
      </c>
      <c r="C1394" s="0" t="s">
        <v>1744</v>
      </c>
      <c r="D1394" s="0" t="n">
        <v>0.95</v>
      </c>
    </row>
    <row r="1395" customFormat="false" ht="15" hidden="false" customHeight="false" outlineLevel="0" collapsed="false">
      <c r="A1395" s="0" t="s">
        <v>26</v>
      </c>
      <c r="B1395" s="0" t="s">
        <v>3180</v>
      </c>
      <c r="C1395" s="0" t="s">
        <v>1880</v>
      </c>
      <c r="D1395" s="0" t="n">
        <v>0.85</v>
      </c>
    </row>
    <row r="1396" customFormat="false" ht="15" hidden="false" customHeight="false" outlineLevel="0" collapsed="false">
      <c r="A1396" s="0" t="s">
        <v>26</v>
      </c>
      <c r="B1396" s="0" t="s">
        <v>3180</v>
      </c>
      <c r="C1396" s="0" t="s">
        <v>2173</v>
      </c>
      <c r="D1396" s="0" t="n">
        <v>1</v>
      </c>
    </row>
    <row r="1397" customFormat="false" ht="15" hidden="false" customHeight="false" outlineLevel="0" collapsed="false">
      <c r="A1397" s="0" t="s">
        <v>26</v>
      </c>
      <c r="B1397" s="0" t="s">
        <v>3187</v>
      </c>
      <c r="C1397" s="0" t="s">
        <v>1744</v>
      </c>
      <c r="D1397" s="0" t="n">
        <v>0</v>
      </c>
    </row>
    <row r="1398" customFormat="false" ht="15" hidden="false" customHeight="false" outlineLevel="0" collapsed="false">
      <c r="A1398" s="0" t="s">
        <v>26</v>
      </c>
      <c r="B1398" s="0" t="s">
        <v>3187</v>
      </c>
      <c r="C1398" s="0" t="s">
        <v>1880</v>
      </c>
      <c r="D1398" s="0" t="n">
        <v>0</v>
      </c>
    </row>
    <row r="1399" customFormat="false" ht="15" hidden="false" customHeight="false" outlineLevel="0" collapsed="false">
      <c r="A1399" s="0" t="s">
        <v>26</v>
      </c>
      <c r="B1399" s="0" t="s">
        <v>3187</v>
      </c>
      <c r="C1399" s="0" t="s">
        <v>2173</v>
      </c>
      <c r="D1399" s="0" t="n">
        <v>0.05</v>
      </c>
    </row>
    <row r="1400" customFormat="false" ht="15" hidden="false" customHeight="false" outlineLevel="0" collapsed="false">
      <c r="A1400" s="0" t="s">
        <v>26</v>
      </c>
      <c r="B1400" s="0" t="s">
        <v>3191</v>
      </c>
      <c r="C1400" s="0" t="s">
        <v>1744</v>
      </c>
      <c r="D1400" s="0" t="n">
        <v>0.65</v>
      </c>
    </row>
    <row r="1401" customFormat="false" ht="15" hidden="false" customHeight="false" outlineLevel="0" collapsed="false">
      <c r="A1401" s="0" t="s">
        <v>26</v>
      </c>
      <c r="B1401" s="0" t="s">
        <v>3191</v>
      </c>
      <c r="C1401" s="0" t="s">
        <v>1880</v>
      </c>
      <c r="D1401" s="0" t="n">
        <v>0.5</v>
      </c>
    </row>
    <row r="1402" customFormat="false" ht="15" hidden="false" customHeight="false" outlineLevel="0" collapsed="false">
      <c r="A1402" s="0" t="s">
        <v>26</v>
      </c>
      <c r="B1402" s="0" t="s">
        <v>3191</v>
      </c>
      <c r="C1402" s="0" t="s">
        <v>2173</v>
      </c>
      <c r="D1402" s="0" t="n">
        <v>0.8</v>
      </c>
    </row>
    <row r="1403" customFormat="false" ht="15" hidden="false" customHeight="false" outlineLevel="0" collapsed="false">
      <c r="A1403" s="0" t="s">
        <v>26</v>
      </c>
      <c r="B1403" s="0" t="s">
        <v>3195</v>
      </c>
      <c r="C1403" s="0" t="s">
        <v>1744</v>
      </c>
      <c r="D1403" s="0" t="n">
        <v>0.25</v>
      </c>
    </row>
    <row r="1404" customFormat="false" ht="15" hidden="false" customHeight="false" outlineLevel="0" collapsed="false">
      <c r="A1404" s="0" t="s">
        <v>26</v>
      </c>
      <c r="B1404" s="0" t="s">
        <v>3195</v>
      </c>
      <c r="C1404" s="0" t="s">
        <v>1880</v>
      </c>
      <c r="D1404" s="0" t="n">
        <v>0.1</v>
      </c>
    </row>
    <row r="1405" customFormat="false" ht="15" hidden="false" customHeight="false" outlineLevel="0" collapsed="false">
      <c r="A1405" s="0" t="s">
        <v>26</v>
      </c>
      <c r="B1405" s="0" t="s">
        <v>3195</v>
      </c>
      <c r="C1405" s="0" t="s">
        <v>2173</v>
      </c>
      <c r="D1405" s="0" t="n">
        <v>0.4</v>
      </c>
    </row>
    <row r="1406" customFormat="false" ht="15" hidden="false" customHeight="false" outlineLevel="0" collapsed="false">
      <c r="A1406" s="0" t="s">
        <v>26</v>
      </c>
      <c r="B1406" s="0" t="s">
        <v>3197</v>
      </c>
      <c r="C1406" s="0" t="s">
        <v>1744</v>
      </c>
      <c r="D1406" s="0" t="n">
        <v>0.3</v>
      </c>
    </row>
    <row r="1407" customFormat="false" ht="15" hidden="false" customHeight="false" outlineLevel="0" collapsed="false">
      <c r="A1407" s="0" t="s">
        <v>26</v>
      </c>
      <c r="B1407" s="0" t="s">
        <v>3197</v>
      </c>
      <c r="C1407" s="0" t="s">
        <v>1880</v>
      </c>
      <c r="D1407" s="0" t="n">
        <v>0.15</v>
      </c>
    </row>
    <row r="1408" customFormat="false" ht="15" hidden="false" customHeight="false" outlineLevel="0" collapsed="false">
      <c r="A1408" s="0" t="s">
        <v>26</v>
      </c>
      <c r="B1408" s="0" t="s">
        <v>3197</v>
      </c>
      <c r="C1408" s="0" t="s">
        <v>2173</v>
      </c>
      <c r="D1408" s="0" t="n">
        <v>0.5</v>
      </c>
    </row>
    <row r="1409" customFormat="false" ht="15" hidden="false" customHeight="false" outlineLevel="0" collapsed="false">
      <c r="A1409" s="0" t="s">
        <v>26</v>
      </c>
      <c r="B1409" s="0" t="s">
        <v>3202</v>
      </c>
      <c r="C1409" s="0" t="s">
        <v>1744</v>
      </c>
      <c r="D1409" s="0" t="n">
        <v>0.6</v>
      </c>
    </row>
    <row r="1410" customFormat="false" ht="15" hidden="false" customHeight="false" outlineLevel="0" collapsed="false">
      <c r="A1410" s="0" t="s">
        <v>26</v>
      </c>
      <c r="B1410" s="0" t="s">
        <v>3202</v>
      </c>
      <c r="C1410" s="0" t="s">
        <v>1880</v>
      </c>
      <c r="D1410" s="0" t="n">
        <v>0.4</v>
      </c>
    </row>
    <row r="1411" customFormat="false" ht="15" hidden="false" customHeight="false" outlineLevel="0" collapsed="false">
      <c r="A1411" s="0" t="s">
        <v>26</v>
      </c>
      <c r="B1411" s="0" t="s">
        <v>3202</v>
      </c>
      <c r="C1411" s="0" t="s">
        <v>2173</v>
      </c>
      <c r="D1411" s="0" t="n">
        <v>0.75</v>
      </c>
    </row>
    <row r="1412" customFormat="false" ht="15" hidden="false" customHeight="false" outlineLevel="0" collapsed="false">
      <c r="A1412" s="0" t="s">
        <v>26</v>
      </c>
      <c r="B1412" s="0" t="s">
        <v>3204</v>
      </c>
      <c r="C1412" s="0" t="s">
        <v>1744</v>
      </c>
      <c r="D1412" s="0" t="n">
        <v>0.2</v>
      </c>
    </row>
    <row r="1413" customFormat="false" ht="15" hidden="false" customHeight="false" outlineLevel="0" collapsed="false">
      <c r="A1413" s="0" t="s">
        <v>26</v>
      </c>
      <c r="B1413" s="0" t="s">
        <v>3204</v>
      </c>
      <c r="C1413" s="0" t="s">
        <v>1880</v>
      </c>
      <c r="D1413" s="0" t="n">
        <v>0.1</v>
      </c>
    </row>
    <row r="1414" customFormat="false" ht="15" hidden="false" customHeight="false" outlineLevel="0" collapsed="false">
      <c r="A1414" s="0" t="s">
        <v>26</v>
      </c>
      <c r="B1414" s="0" t="s">
        <v>3204</v>
      </c>
      <c r="C1414" s="0" t="s">
        <v>2173</v>
      </c>
      <c r="D1414" s="0" t="n">
        <v>0.35</v>
      </c>
    </row>
    <row r="1415" customFormat="false" ht="15" hidden="false" customHeight="false" outlineLevel="0" collapsed="false">
      <c r="A1415" s="0" t="s">
        <v>26</v>
      </c>
      <c r="B1415" s="0" t="s">
        <v>3207</v>
      </c>
      <c r="C1415" s="0" t="s">
        <v>1744</v>
      </c>
      <c r="D1415" s="0" t="n">
        <v>0.7</v>
      </c>
    </row>
    <row r="1416" customFormat="false" ht="15" hidden="false" customHeight="false" outlineLevel="0" collapsed="false">
      <c r="A1416" s="0" t="s">
        <v>26</v>
      </c>
      <c r="B1416" s="0" t="s">
        <v>3207</v>
      </c>
      <c r="C1416" s="0" t="s">
        <v>1880</v>
      </c>
      <c r="D1416" s="0" t="n">
        <v>0.5</v>
      </c>
    </row>
    <row r="1417" customFormat="false" ht="15" hidden="false" customHeight="false" outlineLevel="0" collapsed="false">
      <c r="A1417" s="0" t="s">
        <v>26</v>
      </c>
      <c r="B1417" s="0" t="s">
        <v>3207</v>
      </c>
      <c r="C1417" s="0" t="s">
        <v>2173</v>
      </c>
      <c r="D1417" s="0" t="n">
        <v>0.85</v>
      </c>
    </row>
    <row r="1418" customFormat="false" ht="15" hidden="false" customHeight="false" outlineLevel="0" collapsed="false">
      <c r="A1418" s="0" t="s">
        <v>26</v>
      </c>
      <c r="B1418" s="0" t="s">
        <v>3209</v>
      </c>
      <c r="C1418" s="0" t="s">
        <v>1744</v>
      </c>
      <c r="D1418" s="0" t="n">
        <v>0.75</v>
      </c>
    </row>
    <row r="1419" customFormat="false" ht="15" hidden="false" customHeight="false" outlineLevel="0" collapsed="false">
      <c r="A1419" s="0" t="s">
        <v>26</v>
      </c>
      <c r="B1419" s="0" t="s">
        <v>3209</v>
      </c>
      <c r="C1419" s="0" t="s">
        <v>1880</v>
      </c>
      <c r="D1419" s="0" t="n">
        <v>0.6</v>
      </c>
    </row>
    <row r="1420" customFormat="false" ht="15" hidden="false" customHeight="false" outlineLevel="0" collapsed="false">
      <c r="A1420" s="0" t="s">
        <v>26</v>
      </c>
      <c r="B1420" s="0" t="s">
        <v>3209</v>
      </c>
      <c r="C1420" s="0" t="s">
        <v>2173</v>
      </c>
      <c r="D1420" s="0" t="n">
        <v>0.9</v>
      </c>
    </row>
    <row r="1421" customFormat="false" ht="15" hidden="false" customHeight="false" outlineLevel="0" collapsed="false">
      <c r="A1421" s="0" t="s">
        <v>26</v>
      </c>
      <c r="B1421" s="0" t="s">
        <v>3213</v>
      </c>
      <c r="C1421" s="0" t="s">
        <v>1744</v>
      </c>
      <c r="D1421" s="0" t="n">
        <v>0.15</v>
      </c>
    </row>
    <row r="1422" customFormat="false" ht="15" hidden="false" customHeight="false" outlineLevel="0" collapsed="false">
      <c r="A1422" s="0" t="s">
        <v>26</v>
      </c>
      <c r="B1422" s="0" t="s">
        <v>3213</v>
      </c>
      <c r="C1422" s="0" t="s">
        <v>1880</v>
      </c>
      <c r="D1422" s="0" t="n">
        <v>0.05</v>
      </c>
    </row>
    <row r="1423" customFormat="false" ht="15" hidden="false" customHeight="false" outlineLevel="0" collapsed="false">
      <c r="A1423" s="0" t="s">
        <v>26</v>
      </c>
      <c r="B1423" s="0" t="s">
        <v>3213</v>
      </c>
      <c r="C1423" s="0" t="s">
        <v>2173</v>
      </c>
      <c r="D1423" s="0" t="n">
        <v>0.3</v>
      </c>
    </row>
    <row r="1424" customFormat="false" ht="15" hidden="false" customHeight="false" outlineLevel="0" collapsed="false">
      <c r="A1424" s="0" t="s">
        <v>26</v>
      </c>
      <c r="B1424" s="0" t="s">
        <v>3215</v>
      </c>
      <c r="C1424" s="0" t="s">
        <v>1744</v>
      </c>
      <c r="D1424" s="0" t="n">
        <v>0.3</v>
      </c>
    </row>
    <row r="1425" customFormat="false" ht="15" hidden="false" customHeight="false" outlineLevel="0" collapsed="false">
      <c r="A1425" s="0" t="s">
        <v>26</v>
      </c>
      <c r="B1425" s="0" t="s">
        <v>3215</v>
      </c>
      <c r="C1425" s="0" t="s">
        <v>1880</v>
      </c>
      <c r="D1425" s="0" t="n">
        <v>0.15</v>
      </c>
    </row>
    <row r="1426" customFormat="false" ht="15" hidden="false" customHeight="false" outlineLevel="0" collapsed="false">
      <c r="A1426" s="0" t="s">
        <v>26</v>
      </c>
      <c r="B1426" s="0" t="s">
        <v>3215</v>
      </c>
      <c r="C1426" s="0" t="s">
        <v>2173</v>
      </c>
      <c r="D1426" s="0" t="n">
        <v>0.5</v>
      </c>
    </row>
    <row r="1427" customFormat="false" ht="15" hidden="false" customHeight="false" outlineLevel="0" collapsed="false">
      <c r="A1427" s="0" t="s">
        <v>26</v>
      </c>
      <c r="B1427" s="0" t="s">
        <v>3219</v>
      </c>
      <c r="C1427" s="0" t="s">
        <v>1744</v>
      </c>
      <c r="D1427" s="0" t="n">
        <v>0.6</v>
      </c>
    </row>
    <row r="1428" customFormat="false" ht="15" hidden="false" customHeight="false" outlineLevel="0" collapsed="false">
      <c r="A1428" s="0" t="s">
        <v>26</v>
      </c>
      <c r="B1428" s="0" t="s">
        <v>3219</v>
      </c>
      <c r="C1428" s="0" t="s">
        <v>1880</v>
      </c>
      <c r="D1428" s="0" t="n">
        <v>0.4</v>
      </c>
    </row>
    <row r="1429" customFormat="false" ht="15" hidden="false" customHeight="false" outlineLevel="0" collapsed="false">
      <c r="A1429" s="0" t="s">
        <v>26</v>
      </c>
      <c r="B1429" s="0" t="s">
        <v>3219</v>
      </c>
      <c r="C1429" s="0" t="s">
        <v>2173</v>
      </c>
      <c r="D1429" s="0" t="n">
        <v>0.75</v>
      </c>
    </row>
    <row r="1430" customFormat="false" ht="15" hidden="false" customHeight="false" outlineLevel="0" collapsed="false">
      <c r="A1430" s="0" t="s">
        <v>26</v>
      </c>
      <c r="B1430" s="0" t="s">
        <v>3221</v>
      </c>
      <c r="C1430" s="0" t="s">
        <v>1744</v>
      </c>
      <c r="D1430" s="0" t="n">
        <v>0.55</v>
      </c>
    </row>
    <row r="1431" customFormat="false" ht="15" hidden="false" customHeight="false" outlineLevel="0" collapsed="false">
      <c r="A1431" s="0" t="s">
        <v>26</v>
      </c>
      <c r="B1431" s="0" t="s">
        <v>3221</v>
      </c>
      <c r="C1431" s="0" t="s">
        <v>1880</v>
      </c>
      <c r="D1431" s="0" t="n">
        <v>0.4</v>
      </c>
    </row>
    <row r="1432" customFormat="false" ht="15" hidden="false" customHeight="false" outlineLevel="0" collapsed="false">
      <c r="A1432" s="0" t="s">
        <v>26</v>
      </c>
      <c r="B1432" s="0" t="s">
        <v>3221</v>
      </c>
      <c r="C1432" s="0" t="s">
        <v>2173</v>
      </c>
      <c r="D1432" s="0" t="n">
        <v>0.7</v>
      </c>
    </row>
    <row r="1433" customFormat="false" ht="15" hidden="false" customHeight="false" outlineLevel="0" collapsed="false">
      <c r="A1433" s="0" t="s">
        <v>26</v>
      </c>
      <c r="B1433" s="0" t="s">
        <v>3225</v>
      </c>
      <c r="C1433" s="0" t="s">
        <v>1744</v>
      </c>
      <c r="D1433" s="0" t="n">
        <v>0.3</v>
      </c>
    </row>
    <row r="1434" customFormat="false" ht="15" hidden="false" customHeight="false" outlineLevel="0" collapsed="false">
      <c r="A1434" s="0" t="s">
        <v>26</v>
      </c>
      <c r="B1434" s="0" t="s">
        <v>3225</v>
      </c>
      <c r="C1434" s="0" t="s">
        <v>1880</v>
      </c>
      <c r="D1434" s="0" t="n">
        <v>0.15</v>
      </c>
    </row>
    <row r="1435" customFormat="false" ht="15" hidden="false" customHeight="false" outlineLevel="0" collapsed="false">
      <c r="A1435" s="0" t="s">
        <v>26</v>
      </c>
      <c r="B1435" s="0" t="s">
        <v>3225</v>
      </c>
      <c r="C1435" s="0" t="s">
        <v>2173</v>
      </c>
      <c r="D1435" s="0" t="n">
        <v>0.45</v>
      </c>
    </row>
    <row r="1436" customFormat="false" ht="15" hidden="false" customHeight="false" outlineLevel="0" collapsed="false">
      <c r="A1436" s="0" t="s">
        <v>26</v>
      </c>
      <c r="B1436" s="0" t="s">
        <v>3227</v>
      </c>
      <c r="C1436" s="0" t="s">
        <v>1744</v>
      </c>
      <c r="D1436" s="29" t="s">
        <v>2718</v>
      </c>
    </row>
    <row r="1437" customFormat="false" ht="15" hidden="false" customHeight="false" outlineLevel="0" collapsed="false">
      <c r="A1437" s="0" t="s">
        <v>26</v>
      </c>
      <c r="B1437" s="0" t="s">
        <v>3227</v>
      </c>
      <c r="C1437" s="0" t="s">
        <v>1880</v>
      </c>
      <c r="D1437" s="29" t="s">
        <v>2718</v>
      </c>
    </row>
    <row r="1438" customFormat="false" ht="15" hidden="false" customHeight="false" outlineLevel="0" collapsed="false">
      <c r="A1438" s="0" t="s">
        <v>26</v>
      </c>
      <c r="B1438" s="0" t="s">
        <v>3227</v>
      </c>
      <c r="C1438" s="0" t="s">
        <v>2173</v>
      </c>
      <c r="D1438" s="29" t="s">
        <v>2718</v>
      </c>
    </row>
    <row r="1439" customFormat="false" ht="15" hidden="false" customHeight="false" outlineLevel="0" collapsed="false">
      <c r="A1439" s="0" t="s">
        <v>26</v>
      </c>
      <c r="B1439" s="0" t="s">
        <v>3235</v>
      </c>
      <c r="C1439" s="0" t="s">
        <v>1744</v>
      </c>
      <c r="D1439" s="0" t="s">
        <v>6326</v>
      </c>
    </row>
    <row r="1440" customFormat="false" ht="15" hidden="false" customHeight="false" outlineLevel="0" collapsed="false">
      <c r="A1440" s="0" t="s">
        <v>26</v>
      </c>
      <c r="B1440" s="0" t="s">
        <v>3235</v>
      </c>
      <c r="C1440" s="0" t="s">
        <v>1880</v>
      </c>
      <c r="D1440" s="0" t="s">
        <v>6326</v>
      </c>
    </row>
    <row r="1441" customFormat="false" ht="15" hidden="false" customHeight="false" outlineLevel="0" collapsed="false">
      <c r="A1441" s="0" t="s">
        <v>26</v>
      </c>
      <c r="B1441" s="0" t="s">
        <v>3235</v>
      </c>
      <c r="C1441" s="0" t="s">
        <v>2173</v>
      </c>
      <c r="D1441" s="0" t="s">
        <v>6326</v>
      </c>
    </row>
    <row r="1442" customFormat="false" ht="15" hidden="false" customHeight="false" outlineLevel="0" collapsed="false">
      <c r="A1442" s="0" t="s">
        <v>26</v>
      </c>
      <c r="B1442" s="0" t="s">
        <v>3240</v>
      </c>
      <c r="C1442" s="0" t="s">
        <v>1744</v>
      </c>
      <c r="D1442" s="29" t="s">
        <v>2720</v>
      </c>
    </row>
    <row r="1443" customFormat="false" ht="15" hidden="false" customHeight="false" outlineLevel="0" collapsed="false">
      <c r="A1443" s="0" t="s">
        <v>26</v>
      </c>
      <c r="B1443" s="0" t="s">
        <v>3240</v>
      </c>
      <c r="C1443" s="0" t="s">
        <v>1880</v>
      </c>
      <c r="D1443" s="29" t="s">
        <v>2720</v>
      </c>
    </row>
    <row r="1444" customFormat="false" ht="15" hidden="false" customHeight="false" outlineLevel="0" collapsed="false">
      <c r="A1444" s="0" t="s">
        <v>26</v>
      </c>
      <c r="B1444" s="0" t="s">
        <v>3240</v>
      </c>
      <c r="C1444" s="0" t="s">
        <v>2173</v>
      </c>
      <c r="D1444" s="29" t="s">
        <v>2720</v>
      </c>
    </row>
    <row r="1445" customFormat="false" ht="15" hidden="false" customHeight="false" outlineLevel="0" collapsed="false">
      <c r="A1445" s="0" t="s">
        <v>26</v>
      </c>
      <c r="B1445" s="0" t="s">
        <v>3245</v>
      </c>
      <c r="C1445" s="0" t="s">
        <v>1744</v>
      </c>
      <c r="D1445" s="0" t="n">
        <v>1</v>
      </c>
    </row>
    <row r="1446" customFormat="false" ht="15" hidden="false" customHeight="false" outlineLevel="0" collapsed="false">
      <c r="A1446" s="0" t="s">
        <v>26</v>
      </c>
      <c r="B1446" s="0" t="s">
        <v>3245</v>
      </c>
      <c r="C1446" s="0" t="s">
        <v>1880</v>
      </c>
      <c r="D1446" s="0" t="n">
        <v>0.5</v>
      </c>
    </row>
    <row r="1447" customFormat="false" ht="15" hidden="false" customHeight="false" outlineLevel="0" collapsed="false">
      <c r="A1447" s="0" t="s">
        <v>26</v>
      </c>
      <c r="B1447" s="0" t="s">
        <v>3245</v>
      </c>
      <c r="C1447" s="0" t="s">
        <v>2173</v>
      </c>
      <c r="D1447" s="0" t="n">
        <v>2</v>
      </c>
    </row>
    <row r="1448" customFormat="false" ht="15" hidden="false" customHeight="false" outlineLevel="0" collapsed="false">
      <c r="A1448" s="0" t="s">
        <v>26</v>
      </c>
      <c r="B1448" s="0" t="s">
        <v>3250</v>
      </c>
      <c r="C1448" s="0" t="s">
        <v>1744</v>
      </c>
      <c r="D1448" s="0" t="n">
        <v>0.15</v>
      </c>
    </row>
    <row r="1449" customFormat="false" ht="15" hidden="false" customHeight="false" outlineLevel="0" collapsed="false">
      <c r="A1449" s="0" t="s">
        <v>26</v>
      </c>
      <c r="B1449" s="0" t="s">
        <v>3250</v>
      </c>
      <c r="C1449" s="0" t="s">
        <v>1880</v>
      </c>
      <c r="D1449" s="0" t="n">
        <v>0.05</v>
      </c>
    </row>
    <row r="1450" customFormat="false" ht="15" hidden="false" customHeight="false" outlineLevel="0" collapsed="false">
      <c r="A1450" s="0" t="s">
        <v>26</v>
      </c>
      <c r="B1450" s="0" t="s">
        <v>3250</v>
      </c>
      <c r="C1450" s="0" t="s">
        <v>2173</v>
      </c>
      <c r="D1450" s="0" t="n">
        <v>0.4</v>
      </c>
    </row>
    <row r="1451" customFormat="false" ht="15" hidden="false" customHeight="false" outlineLevel="0" collapsed="false">
      <c r="A1451" s="0" t="s">
        <v>26</v>
      </c>
      <c r="B1451" s="0" t="s">
        <v>3256</v>
      </c>
      <c r="C1451" s="0" t="s">
        <v>1744</v>
      </c>
      <c r="D1451" s="0" t="n">
        <v>1</v>
      </c>
    </row>
    <row r="1452" customFormat="false" ht="15" hidden="false" customHeight="false" outlineLevel="0" collapsed="false">
      <c r="A1452" s="0" t="s">
        <v>26</v>
      </c>
      <c r="B1452" s="0" t="s">
        <v>3256</v>
      </c>
      <c r="C1452" s="0" t="s">
        <v>1880</v>
      </c>
      <c r="D1452" s="0" t="n">
        <v>0.5</v>
      </c>
    </row>
    <row r="1453" customFormat="false" ht="15" hidden="false" customHeight="false" outlineLevel="0" collapsed="false">
      <c r="A1453" s="0" t="s">
        <v>26</v>
      </c>
      <c r="B1453" s="0" t="s">
        <v>3256</v>
      </c>
      <c r="C1453" s="0" t="s">
        <v>2173</v>
      </c>
      <c r="D1453" s="0" t="n">
        <v>4</v>
      </c>
    </row>
    <row r="1454" customFormat="false" ht="15" hidden="false" customHeight="false" outlineLevel="0" collapsed="false">
      <c r="A1454" s="0" t="s">
        <v>26</v>
      </c>
      <c r="B1454" s="0" t="s">
        <v>3261</v>
      </c>
      <c r="C1454" s="0" t="s">
        <v>1744</v>
      </c>
      <c r="D1454" s="0" t="n">
        <v>1000</v>
      </c>
    </row>
    <row r="1455" customFormat="false" ht="15" hidden="false" customHeight="false" outlineLevel="0" collapsed="false">
      <c r="A1455" s="0" t="s">
        <v>26</v>
      </c>
      <c r="B1455" s="0" t="s">
        <v>3261</v>
      </c>
      <c r="C1455" s="0" t="s">
        <v>1880</v>
      </c>
      <c r="D1455" s="0" t="n">
        <v>1000</v>
      </c>
    </row>
    <row r="1456" customFormat="false" ht="15" hidden="false" customHeight="false" outlineLevel="0" collapsed="false">
      <c r="A1456" s="0" t="s">
        <v>26</v>
      </c>
      <c r="B1456" s="0" t="s">
        <v>3261</v>
      </c>
      <c r="C1456" s="0" t="s">
        <v>2173</v>
      </c>
      <c r="D1456" s="0" t="n">
        <v>1000</v>
      </c>
    </row>
    <row r="1457" customFormat="false" ht="15" hidden="false" customHeight="false" outlineLevel="0" collapsed="false">
      <c r="A1457" s="0" t="s">
        <v>26</v>
      </c>
      <c r="B1457" s="0" t="s">
        <v>3266</v>
      </c>
      <c r="C1457" s="0" t="s">
        <v>1744</v>
      </c>
      <c r="D1457" s="0" t="n">
        <v>0.15</v>
      </c>
    </row>
    <row r="1458" customFormat="false" ht="15" hidden="false" customHeight="false" outlineLevel="0" collapsed="false">
      <c r="A1458" s="0" t="s">
        <v>26</v>
      </c>
      <c r="B1458" s="0" t="s">
        <v>3266</v>
      </c>
      <c r="C1458" s="0" t="s">
        <v>1880</v>
      </c>
      <c r="D1458" s="0" t="n">
        <v>0.05</v>
      </c>
    </row>
    <row r="1459" customFormat="false" ht="15" hidden="false" customHeight="false" outlineLevel="0" collapsed="false">
      <c r="A1459" s="0" t="s">
        <v>26</v>
      </c>
      <c r="B1459" s="0" t="s">
        <v>3266</v>
      </c>
      <c r="C1459" s="0" t="s">
        <v>2173</v>
      </c>
      <c r="D1459" s="0" t="n">
        <v>0.3</v>
      </c>
    </row>
    <row r="1460" customFormat="false" ht="15" hidden="false" customHeight="false" outlineLevel="0" collapsed="false">
      <c r="A1460" s="0" t="s">
        <v>26</v>
      </c>
      <c r="B1460" s="0" t="s">
        <v>3271</v>
      </c>
      <c r="C1460" s="0" t="s">
        <v>1744</v>
      </c>
      <c r="D1460" s="0" t="n">
        <v>0.3</v>
      </c>
    </row>
    <row r="1461" customFormat="false" ht="15" hidden="false" customHeight="false" outlineLevel="0" collapsed="false">
      <c r="A1461" s="0" t="s">
        <v>26</v>
      </c>
      <c r="B1461" s="0" t="s">
        <v>3271</v>
      </c>
      <c r="C1461" s="0" t="s">
        <v>1880</v>
      </c>
      <c r="D1461" s="0" t="n">
        <v>0.15</v>
      </c>
    </row>
    <row r="1462" customFormat="false" ht="15" hidden="false" customHeight="false" outlineLevel="0" collapsed="false">
      <c r="A1462" s="0" t="s">
        <v>26</v>
      </c>
      <c r="B1462" s="0" t="s">
        <v>3271</v>
      </c>
      <c r="C1462" s="0" t="s">
        <v>2173</v>
      </c>
      <c r="D1462" s="0" t="n">
        <v>0.5</v>
      </c>
    </row>
    <row r="1463" customFormat="false" ht="15" hidden="false" customHeight="false" outlineLevel="0" collapsed="false">
      <c r="A1463" s="0" t="s">
        <v>26</v>
      </c>
      <c r="B1463" s="0" t="s">
        <v>3276</v>
      </c>
      <c r="C1463" s="0" t="s">
        <v>1744</v>
      </c>
      <c r="D1463" s="0" t="n">
        <v>0.65</v>
      </c>
    </row>
    <row r="1464" customFormat="false" ht="15" hidden="false" customHeight="false" outlineLevel="0" collapsed="false">
      <c r="A1464" s="0" t="s">
        <v>26</v>
      </c>
      <c r="B1464" s="0" t="s">
        <v>3276</v>
      </c>
      <c r="C1464" s="0" t="s">
        <v>1880</v>
      </c>
      <c r="D1464" s="0" t="n">
        <v>0.45</v>
      </c>
    </row>
    <row r="1465" customFormat="false" ht="15" hidden="false" customHeight="false" outlineLevel="0" collapsed="false">
      <c r="A1465" s="0" t="s">
        <v>26</v>
      </c>
      <c r="B1465" s="0" t="s">
        <v>3276</v>
      </c>
      <c r="C1465" s="0" t="s">
        <v>2173</v>
      </c>
      <c r="D1465" s="0" t="n">
        <v>0.8</v>
      </c>
    </row>
    <row r="1466" customFormat="false" ht="15" hidden="false" customHeight="false" outlineLevel="0" collapsed="false">
      <c r="A1466" s="0" t="s">
        <v>26</v>
      </c>
      <c r="B1466" s="0" t="s">
        <v>3279</v>
      </c>
      <c r="C1466" s="0" t="s">
        <v>1744</v>
      </c>
      <c r="D1466" s="0" t="n">
        <v>0.05</v>
      </c>
    </row>
    <row r="1467" customFormat="false" ht="15" hidden="false" customHeight="false" outlineLevel="0" collapsed="false">
      <c r="A1467" s="0" t="s">
        <v>26</v>
      </c>
      <c r="B1467" s="0" t="s">
        <v>3279</v>
      </c>
      <c r="C1467" s="0" t="s">
        <v>1880</v>
      </c>
      <c r="D1467" s="0" t="n">
        <v>0</v>
      </c>
    </row>
    <row r="1468" customFormat="false" ht="15" hidden="false" customHeight="false" outlineLevel="0" collapsed="false">
      <c r="A1468" s="0" t="s">
        <v>26</v>
      </c>
      <c r="B1468" s="0" t="s">
        <v>3279</v>
      </c>
      <c r="C1468" s="0" t="s">
        <v>2173</v>
      </c>
      <c r="D1468" s="0" t="n">
        <v>0.15</v>
      </c>
    </row>
    <row r="1469" customFormat="false" ht="15" hidden="false" customHeight="false" outlineLevel="0" collapsed="false">
      <c r="A1469" s="0" t="s">
        <v>26</v>
      </c>
      <c r="B1469" s="0" t="s">
        <v>3282</v>
      </c>
      <c r="C1469" s="0" t="s">
        <v>1744</v>
      </c>
      <c r="D1469" s="0" t="n">
        <v>0.6</v>
      </c>
    </row>
    <row r="1470" customFormat="false" ht="15" hidden="false" customHeight="false" outlineLevel="0" collapsed="false">
      <c r="A1470" s="0" t="s">
        <v>26</v>
      </c>
      <c r="B1470" s="0" t="s">
        <v>3282</v>
      </c>
      <c r="C1470" s="0" t="s">
        <v>1880</v>
      </c>
      <c r="D1470" s="0" t="n">
        <v>0.4</v>
      </c>
    </row>
    <row r="1471" customFormat="false" ht="15" hidden="false" customHeight="false" outlineLevel="0" collapsed="false">
      <c r="A1471" s="0" t="s">
        <v>26</v>
      </c>
      <c r="B1471" s="0" t="s">
        <v>3282</v>
      </c>
      <c r="C1471" s="0" t="s">
        <v>2173</v>
      </c>
      <c r="D1471" s="0" t="n">
        <v>0.8</v>
      </c>
    </row>
    <row r="1472" customFormat="false" ht="15" hidden="false" customHeight="false" outlineLevel="0" collapsed="false">
      <c r="A1472" s="0" t="s">
        <v>26</v>
      </c>
      <c r="B1472" s="0" t="s">
        <v>3284</v>
      </c>
      <c r="C1472" s="0" t="s">
        <v>1744</v>
      </c>
      <c r="D1472" s="0" t="n">
        <v>0.25</v>
      </c>
    </row>
    <row r="1473" customFormat="false" ht="15" hidden="false" customHeight="false" outlineLevel="0" collapsed="false">
      <c r="A1473" s="0" t="s">
        <v>26</v>
      </c>
      <c r="B1473" s="0" t="s">
        <v>3284</v>
      </c>
      <c r="C1473" s="0" t="s">
        <v>1880</v>
      </c>
      <c r="D1473" s="0" t="n">
        <v>0.1</v>
      </c>
    </row>
    <row r="1474" customFormat="false" ht="15" hidden="false" customHeight="false" outlineLevel="0" collapsed="false">
      <c r="A1474" s="0" t="s">
        <v>26</v>
      </c>
      <c r="B1474" s="0" t="s">
        <v>3284</v>
      </c>
      <c r="C1474" s="0" t="s">
        <v>2173</v>
      </c>
      <c r="D1474" s="0" t="n">
        <v>0.4</v>
      </c>
    </row>
    <row r="1475" customFormat="false" ht="15" hidden="false" customHeight="false" outlineLevel="0" collapsed="false">
      <c r="A1475" s="0" t="s">
        <v>26</v>
      </c>
      <c r="B1475" s="0" t="s">
        <v>3287</v>
      </c>
      <c r="C1475" s="0" t="s">
        <v>1744</v>
      </c>
      <c r="D1475" s="0" t="n">
        <v>0.6</v>
      </c>
    </row>
    <row r="1476" customFormat="false" ht="15" hidden="false" customHeight="false" outlineLevel="0" collapsed="false">
      <c r="A1476" s="0" t="s">
        <v>26</v>
      </c>
      <c r="B1476" s="0" t="s">
        <v>3287</v>
      </c>
      <c r="C1476" s="0" t="s">
        <v>1880</v>
      </c>
      <c r="D1476" s="0" t="n">
        <v>0.4</v>
      </c>
    </row>
    <row r="1477" customFormat="false" ht="15" hidden="false" customHeight="false" outlineLevel="0" collapsed="false">
      <c r="A1477" s="0" t="s">
        <v>26</v>
      </c>
      <c r="B1477" s="0" t="s">
        <v>3287</v>
      </c>
      <c r="C1477" s="0" t="s">
        <v>2173</v>
      </c>
      <c r="D1477" s="0" t="n">
        <v>0.75</v>
      </c>
    </row>
    <row r="1478" customFormat="false" ht="15" hidden="false" customHeight="false" outlineLevel="0" collapsed="false">
      <c r="A1478" s="0" t="s">
        <v>26</v>
      </c>
      <c r="B1478" s="0" t="s">
        <v>3289</v>
      </c>
      <c r="C1478" s="0" t="s">
        <v>1744</v>
      </c>
      <c r="D1478" s="0" t="n">
        <v>0.2</v>
      </c>
    </row>
    <row r="1479" customFormat="false" ht="15" hidden="false" customHeight="false" outlineLevel="0" collapsed="false">
      <c r="A1479" s="0" t="s">
        <v>26</v>
      </c>
      <c r="B1479" s="0" t="s">
        <v>3289</v>
      </c>
      <c r="C1479" s="0" t="s">
        <v>1880</v>
      </c>
      <c r="D1479" s="0" t="n">
        <v>0.1</v>
      </c>
    </row>
    <row r="1480" customFormat="false" ht="15" hidden="false" customHeight="false" outlineLevel="0" collapsed="false">
      <c r="A1480" s="0" t="s">
        <v>26</v>
      </c>
      <c r="B1480" s="0" t="s">
        <v>3289</v>
      </c>
      <c r="C1480" s="0" t="s">
        <v>2173</v>
      </c>
      <c r="D1480" s="0" t="n">
        <v>0.35</v>
      </c>
    </row>
    <row r="1481" customFormat="false" ht="15" hidden="false" customHeight="false" outlineLevel="0" collapsed="false">
      <c r="A1481" s="0" t="s">
        <v>26</v>
      </c>
      <c r="B1481" s="0" t="s">
        <v>3294</v>
      </c>
      <c r="C1481" s="0" t="s">
        <v>1744</v>
      </c>
      <c r="D1481" s="0" t="n">
        <v>0.65</v>
      </c>
    </row>
    <row r="1482" customFormat="false" ht="15" hidden="false" customHeight="false" outlineLevel="0" collapsed="false">
      <c r="A1482" s="0" t="s">
        <v>26</v>
      </c>
      <c r="B1482" s="0" t="s">
        <v>3294</v>
      </c>
      <c r="C1482" s="0" t="s">
        <v>1880</v>
      </c>
      <c r="D1482" s="0" t="n">
        <v>0.5</v>
      </c>
    </row>
    <row r="1483" customFormat="false" ht="15" hidden="false" customHeight="false" outlineLevel="0" collapsed="false">
      <c r="A1483" s="0" t="s">
        <v>26</v>
      </c>
      <c r="B1483" s="0" t="s">
        <v>3294</v>
      </c>
      <c r="C1483" s="0" t="s">
        <v>2173</v>
      </c>
      <c r="D1483" s="0" t="n">
        <v>0.8</v>
      </c>
    </row>
    <row r="1484" customFormat="false" ht="15" hidden="false" customHeight="false" outlineLevel="0" collapsed="false">
      <c r="A1484" s="0" t="s">
        <v>26</v>
      </c>
      <c r="B1484" s="0" t="s">
        <v>3298</v>
      </c>
      <c r="C1484" s="0" t="s">
        <v>1744</v>
      </c>
      <c r="D1484" s="0" t="n">
        <v>0.15</v>
      </c>
    </row>
    <row r="1485" customFormat="false" ht="15" hidden="false" customHeight="false" outlineLevel="0" collapsed="false">
      <c r="A1485" s="0" t="s">
        <v>26</v>
      </c>
      <c r="B1485" s="0" t="s">
        <v>3298</v>
      </c>
      <c r="C1485" s="0" t="s">
        <v>1880</v>
      </c>
      <c r="D1485" s="0" t="n">
        <v>0.05</v>
      </c>
    </row>
    <row r="1486" customFormat="false" ht="15" hidden="false" customHeight="false" outlineLevel="0" collapsed="false">
      <c r="A1486" s="0" t="s">
        <v>26</v>
      </c>
      <c r="B1486" s="0" t="s">
        <v>3298</v>
      </c>
      <c r="C1486" s="0" t="s">
        <v>2173</v>
      </c>
      <c r="D1486" s="0" t="n">
        <v>0.3</v>
      </c>
    </row>
    <row r="1487" customFormat="false" ht="15" hidden="false" customHeight="false" outlineLevel="0" collapsed="false">
      <c r="A1487" s="0" t="s">
        <v>26</v>
      </c>
      <c r="B1487" s="0" t="s">
        <v>3300</v>
      </c>
      <c r="C1487" s="0" t="s">
        <v>1744</v>
      </c>
      <c r="D1487" s="0" t="n">
        <v>0.5</v>
      </c>
    </row>
    <row r="1488" customFormat="false" ht="15" hidden="false" customHeight="false" outlineLevel="0" collapsed="false">
      <c r="A1488" s="0" t="s">
        <v>26</v>
      </c>
      <c r="B1488" s="0" t="s">
        <v>3300</v>
      </c>
      <c r="C1488" s="0" t="s">
        <v>1880</v>
      </c>
      <c r="D1488" s="0" t="n">
        <v>0.35</v>
      </c>
    </row>
    <row r="1489" customFormat="false" ht="15" hidden="false" customHeight="false" outlineLevel="0" collapsed="false">
      <c r="A1489" s="0" t="s">
        <v>26</v>
      </c>
      <c r="B1489" s="0" t="s">
        <v>3300</v>
      </c>
      <c r="C1489" s="0" t="s">
        <v>2173</v>
      </c>
      <c r="D1489" s="0" t="n">
        <v>0.65</v>
      </c>
    </row>
    <row r="1490" customFormat="false" ht="15" hidden="false" customHeight="false" outlineLevel="0" collapsed="false">
      <c r="A1490" s="0" t="s">
        <v>26</v>
      </c>
      <c r="B1490" s="0" t="s">
        <v>3303</v>
      </c>
      <c r="C1490" s="0" t="s">
        <v>1744</v>
      </c>
      <c r="D1490" s="0" t="n">
        <v>0.2</v>
      </c>
    </row>
    <row r="1491" customFormat="false" ht="15" hidden="false" customHeight="false" outlineLevel="0" collapsed="false">
      <c r="A1491" s="0" t="s">
        <v>26</v>
      </c>
      <c r="B1491" s="0" t="s">
        <v>3303</v>
      </c>
      <c r="C1491" s="0" t="s">
        <v>1880</v>
      </c>
      <c r="D1491" s="0" t="n">
        <v>0.1</v>
      </c>
    </row>
    <row r="1492" customFormat="false" ht="15" hidden="false" customHeight="false" outlineLevel="0" collapsed="false">
      <c r="A1492" s="0" t="s">
        <v>26</v>
      </c>
      <c r="B1492" s="0" t="s">
        <v>3303</v>
      </c>
      <c r="C1492" s="0" t="s">
        <v>2173</v>
      </c>
      <c r="D1492" s="0" t="n">
        <v>0.35</v>
      </c>
    </row>
    <row r="1493" customFormat="false" ht="15" hidden="false" customHeight="false" outlineLevel="0" collapsed="false">
      <c r="A1493" s="0" t="s">
        <v>26</v>
      </c>
      <c r="B1493" s="0" t="s">
        <v>3308</v>
      </c>
      <c r="C1493" s="0" t="s">
        <v>1744</v>
      </c>
      <c r="D1493" s="0" t="n">
        <v>0.6</v>
      </c>
    </row>
    <row r="1494" customFormat="false" ht="15" hidden="false" customHeight="false" outlineLevel="0" collapsed="false">
      <c r="A1494" s="0" t="s">
        <v>26</v>
      </c>
      <c r="B1494" s="0" t="s">
        <v>3308</v>
      </c>
      <c r="C1494" s="0" t="s">
        <v>1880</v>
      </c>
      <c r="D1494" s="0" t="n">
        <v>0.3</v>
      </c>
    </row>
    <row r="1495" customFormat="false" ht="15" hidden="false" customHeight="false" outlineLevel="0" collapsed="false">
      <c r="A1495" s="0" t="s">
        <v>26</v>
      </c>
      <c r="B1495" s="0" t="s">
        <v>3308</v>
      </c>
      <c r="C1495" s="0" t="s">
        <v>2173</v>
      </c>
      <c r="D1495" s="0" t="n">
        <v>0.85</v>
      </c>
    </row>
    <row r="1496" customFormat="false" ht="15" hidden="false" customHeight="false" outlineLevel="0" collapsed="false">
      <c r="A1496" s="0" t="s">
        <v>26</v>
      </c>
      <c r="B1496" s="0" t="s">
        <v>3314</v>
      </c>
      <c r="C1496" s="0" t="s">
        <v>1744</v>
      </c>
      <c r="D1496" s="0" t="n">
        <v>0.05</v>
      </c>
    </row>
    <row r="1497" customFormat="false" ht="15" hidden="false" customHeight="false" outlineLevel="0" collapsed="false">
      <c r="A1497" s="0" t="s">
        <v>26</v>
      </c>
      <c r="B1497" s="0" t="s">
        <v>3314</v>
      </c>
      <c r="C1497" s="0" t="s">
        <v>1880</v>
      </c>
      <c r="D1497" s="0" t="n">
        <v>0</v>
      </c>
    </row>
    <row r="1498" customFormat="false" ht="15" hidden="false" customHeight="false" outlineLevel="0" collapsed="false">
      <c r="A1498" s="0" t="s">
        <v>26</v>
      </c>
      <c r="B1498" s="0" t="s">
        <v>3314</v>
      </c>
      <c r="C1498" s="0" t="s">
        <v>2173</v>
      </c>
      <c r="D1498" s="0" t="n">
        <v>0.15</v>
      </c>
    </row>
    <row r="1499" customFormat="false" ht="15" hidden="false" customHeight="false" outlineLevel="0" collapsed="false">
      <c r="A1499" s="0" t="s">
        <v>26</v>
      </c>
      <c r="B1499" s="0" t="s">
        <v>3319</v>
      </c>
      <c r="C1499" s="0" t="s">
        <v>1744</v>
      </c>
      <c r="D1499" s="0" t="n">
        <v>0.05</v>
      </c>
    </row>
    <row r="1500" customFormat="false" ht="15" hidden="false" customHeight="false" outlineLevel="0" collapsed="false">
      <c r="A1500" s="0" t="s">
        <v>26</v>
      </c>
      <c r="B1500" s="0" t="s">
        <v>3319</v>
      </c>
      <c r="C1500" s="0" t="s">
        <v>1880</v>
      </c>
      <c r="D1500" s="0" t="n">
        <v>0</v>
      </c>
    </row>
    <row r="1501" customFormat="false" ht="15" hidden="false" customHeight="false" outlineLevel="0" collapsed="false">
      <c r="A1501" s="0" t="s">
        <v>26</v>
      </c>
      <c r="B1501" s="0" t="s">
        <v>3319</v>
      </c>
      <c r="C1501" s="0" t="s">
        <v>2173</v>
      </c>
      <c r="D1501" s="0" t="n">
        <v>0.2</v>
      </c>
    </row>
    <row r="1502" customFormat="false" ht="15" hidden="false" customHeight="false" outlineLevel="0" collapsed="false">
      <c r="A1502" s="0" t="s">
        <v>26</v>
      </c>
      <c r="B1502" s="0" t="s">
        <v>3324</v>
      </c>
      <c r="C1502" s="0" t="s">
        <v>1744</v>
      </c>
      <c r="D1502" s="0" t="n">
        <v>0.1</v>
      </c>
    </row>
    <row r="1503" customFormat="false" ht="15" hidden="false" customHeight="false" outlineLevel="0" collapsed="false">
      <c r="A1503" s="0" t="s">
        <v>26</v>
      </c>
      <c r="B1503" s="0" t="s">
        <v>3324</v>
      </c>
      <c r="C1503" s="0" t="s">
        <v>1880</v>
      </c>
      <c r="D1503" s="0" t="n">
        <v>0</v>
      </c>
    </row>
    <row r="1504" customFormat="false" ht="15" hidden="false" customHeight="false" outlineLevel="0" collapsed="false">
      <c r="A1504" s="0" t="s">
        <v>26</v>
      </c>
      <c r="B1504" s="0" t="s">
        <v>3324</v>
      </c>
      <c r="C1504" s="0" t="s">
        <v>2173</v>
      </c>
      <c r="D1504" s="0" t="n">
        <v>0.25</v>
      </c>
    </row>
    <row r="1505" customFormat="false" ht="15" hidden="false" customHeight="false" outlineLevel="0" collapsed="false">
      <c r="A1505" s="0" t="s">
        <v>26</v>
      </c>
      <c r="B1505" s="0" t="s">
        <v>3329</v>
      </c>
      <c r="C1505" s="0" t="s">
        <v>1744</v>
      </c>
      <c r="D1505" s="0" t="n">
        <v>50</v>
      </c>
    </row>
    <row r="1506" customFormat="false" ht="15" hidden="false" customHeight="false" outlineLevel="0" collapsed="false">
      <c r="A1506" s="0" t="s">
        <v>26</v>
      </c>
      <c r="B1506" s="0" t="s">
        <v>3329</v>
      </c>
      <c r="C1506" s="0" t="s">
        <v>1880</v>
      </c>
      <c r="D1506" s="0" t="n">
        <v>10</v>
      </c>
    </row>
    <row r="1507" customFormat="false" ht="15" hidden="false" customHeight="false" outlineLevel="0" collapsed="false">
      <c r="A1507" s="0" t="s">
        <v>26</v>
      </c>
      <c r="B1507" s="0" t="s">
        <v>3329</v>
      </c>
      <c r="C1507" s="0" t="s">
        <v>2173</v>
      </c>
      <c r="D1507" s="0" t="n">
        <v>200</v>
      </c>
    </row>
    <row r="1508" customFormat="false" ht="15" hidden="false" customHeight="false" outlineLevel="0" collapsed="false">
      <c r="A1508" s="0" t="s">
        <v>26</v>
      </c>
      <c r="B1508" s="0" t="s">
        <v>3335</v>
      </c>
      <c r="C1508" s="0" t="s">
        <v>1744</v>
      </c>
      <c r="D1508" s="0" t="n">
        <v>0.2</v>
      </c>
    </row>
    <row r="1509" customFormat="false" ht="15" hidden="false" customHeight="false" outlineLevel="0" collapsed="false">
      <c r="A1509" s="0" t="s">
        <v>26</v>
      </c>
      <c r="B1509" s="0" t="s">
        <v>3335</v>
      </c>
      <c r="C1509" s="0" t="s">
        <v>1880</v>
      </c>
      <c r="D1509" s="0" t="n">
        <v>0.1</v>
      </c>
    </row>
    <row r="1510" customFormat="false" ht="15" hidden="false" customHeight="false" outlineLevel="0" collapsed="false">
      <c r="A1510" s="0" t="s">
        <v>26</v>
      </c>
      <c r="B1510" s="0" t="s">
        <v>3335</v>
      </c>
      <c r="C1510" s="0" t="s">
        <v>2173</v>
      </c>
      <c r="D1510" s="0" t="n">
        <v>0.3</v>
      </c>
    </row>
    <row r="1511" customFormat="false" ht="15" hidden="false" customHeight="false" outlineLevel="0" collapsed="false">
      <c r="A1511" s="0" t="s">
        <v>26</v>
      </c>
      <c r="B1511" s="0" t="s">
        <v>3340</v>
      </c>
      <c r="C1511" s="0" t="s">
        <v>1744</v>
      </c>
      <c r="D1511" s="0" t="n">
        <v>0.15</v>
      </c>
    </row>
    <row r="1512" customFormat="false" ht="15" hidden="false" customHeight="false" outlineLevel="0" collapsed="false">
      <c r="A1512" s="0" t="s">
        <v>26</v>
      </c>
      <c r="B1512" s="0" t="s">
        <v>3340</v>
      </c>
      <c r="C1512" s="0" t="s">
        <v>1880</v>
      </c>
      <c r="D1512" s="0" t="n">
        <v>0.075</v>
      </c>
    </row>
    <row r="1513" customFormat="false" ht="15" hidden="false" customHeight="false" outlineLevel="0" collapsed="false">
      <c r="A1513" s="0" t="s">
        <v>26</v>
      </c>
      <c r="B1513" s="0" t="s">
        <v>3340</v>
      </c>
      <c r="C1513" s="0" t="s">
        <v>2173</v>
      </c>
      <c r="D1513" s="0" t="n">
        <v>0.225</v>
      </c>
    </row>
    <row r="1514" customFormat="false" ht="15" hidden="false" customHeight="false" outlineLevel="0" collapsed="false">
      <c r="A1514" s="0" t="s">
        <v>26</v>
      </c>
      <c r="B1514" s="0" t="s">
        <v>3344</v>
      </c>
      <c r="C1514" s="0" t="s">
        <v>1744</v>
      </c>
      <c r="D1514" s="0" t="n">
        <v>0.12</v>
      </c>
    </row>
    <row r="1515" customFormat="false" ht="15" hidden="false" customHeight="false" outlineLevel="0" collapsed="false">
      <c r="A1515" s="0" t="s">
        <v>26</v>
      </c>
      <c r="B1515" s="0" t="s">
        <v>3344</v>
      </c>
      <c r="C1515" s="0" t="s">
        <v>1880</v>
      </c>
      <c r="D1515" s="0" t="n">
        <v>0.06</v>
      </c>
    </row>
    <row r="1516" customFormat="false" ht="15" hidden="false" customHeight="false" outlineLevel="0" collapsed="false">
      <c r="A1516" s="0" t="s">
        <v>26</v>
      </c>
      <c r="B1516" s="0" t="s">
        <v>3344</v>
      </c>
      <c r="C1516" s="0" t="s">
        <v>2173</v>
      </c>
      <c r="D1516" s="0" t="n">
        <v>0.18</v>
      </c>
    </row>
    <row r="1517" customFormat="false" ht="15" hidden="false" customHeight="false" outlineLevel="0" collapsed="false">
      <c r="A1517" s="0" t="s">
        <v>26</v>
      </c>
      <c r="B1517" s="0" t="s">
        <v>3347</v>
      </c>
      <c r="C1517" s="0" t="s">
        <v>1744</v>
      </c>
      <c r="D1517" s="0" t="n">
        <v>0.1</v>
      </c>
    </row>
    <row r="1518" customFormat="false" ht="15" hidden="false" customHeight="false" outlineLevel="0" collapsed="false">
      <c r="A1518" s="0" t="s">
        <v>26</v>
      </c>
      <c r="B1518" s="0" t="s">
        <v>3347</v>
      </c>
      <c r="C1518" s="0" t="s">
        <v>1880</v>
      </c>
      <c r="D1518" s="0" t="n">
        <v>0.05</v>
      </c>
    </row>
    <row r="1519" customFormat="false" ht="15" hidden="false" customHeight="false" outlineLevel="0" collapsed="false">
      <c r="A1519" s="0" t="s">
        <v>26</v>
      </c>
      <c r="B1519" s="0" t="s">
        <v>3347</v>
      </c>
      <c r="C1519" s="0" t="s">
        <v>2173</v>
      </c>
      <c r="D1519" s="0" t="n">
        <v>0.15</v>
      </c>
    </row>
    <row r="1520" customFormat="false" ht="15" hidden="false" customHeight="false" outlineLevel="0" collapsed="false">
      <c r="A1520" s="0" t="s">
        <v>26</v>
      </c>
      <c r="B1520" s="0" t="s">
        <v>3350</v>
      </c>
      <c r="C1520" s="0" t="s">
        <v>1744</v>
      </c>
      <c r="D1520" s="0" t="n">
        <v>0.08</v>
      </c>
    </row>
    <row r="1521" customFormat="false" ht="15" hidden="false" customHeight="false" outlineLevel="0" collapsed="false">
      <c r="A1521" s="0" t="s">
        <v>26</v>
      </c>
      <c r="B1521" s="0" t="s">
        <v>3350</v>
      </c>
      <c r="C1521" s="0" t="s">
        <v>1880</v>
      </c>
      <c r="D1521" s="0" t="n">
        <v>0.04</v>
      </c>
    </row>
    <row r="1522" customFormat="false" ht="15" hidden="false" customHeight="false" outlineLevel="0" collapsed="false">
      <c r="A1522" s="0" t="s">
        <v>26</v>
      </c>
      <c r="B1522" s="0" t="s">
        <v>3350</v>
      </c>
      <c r="C1522" s="0" t="s">
        <v>2173</v>
      </c>
      <c r="D1522" s="0" t="n">
        <v>0.12</v>
      </c>
    </row>
    <row r="1523" customFormat="false" ht="15" hidden="false" customHeight="false" outlineLevel="0" collapsed="false">
      <c r="A1523" s="0" t="s">
        <v>26</v>
      </c>
      <c r="B1523" s="0" t="s">
        <v>3353</v>
      </c>
      <c r="C1523" s="0" t="s">
        <v>1744</v>
      </c>
      <c r="D1523" s="0" t="n">
        <v>0.45</v>
      </c>
    </row>
    <row r="1524" customFormat="false" ht="15" hidden="false" customHeight="false" outlineLevel="0" collapsed="false">
      <c r="A1524" s="0" t="s">
        <v>26</v>
      </c>
      <c r="B1524" s="0" t="s">
        <v>3353</v>
      </c>
      <c r="C1524" s="0" t="s">
        <v>1880</v>
      </c>
      <c r="D1524" s="0" t="n">
        <v>0.225</v>
      </c>
    </row>
    <row r="1525" customFormat="false" ht="15" hidden="false" customHeight="false" outlineLevel="0" collapsed="false">
      <c r="A1525" s="0" t="s">
        <v>26</v>
      </c>
      <c r="B1525" s="0" t="s">
        <v>3353</v>
      </c>
      <c r="C1525" s="0" t="s">
        <v>2173</v>
      </c>
      <c r="D1525" s="0" t="n">
        <v>0.9</v>
      </c>
    </row>
    <row r="1526" customFormat="false" ht="15" hidden="false" customHeight="false" outlineLevel="0" collapsed="false">
      <c r="A1526" s="0" t="s">
        <v>26</v>
      </c>
      <c r="B1526" s="0" t="s">
        <v>3358</v>
      </c>
      <c r="C1526" s="0" t="s">
        <v>1744</v>
      </c>
      <c r="D1526" s="0" t="n">
        <v>0.35</v>
      </c>
    </row>
    <row r="1527" customFormat="false" ht="15" hidden="false" customHeight="false" outlineLevel="0" collapsed="false">
      <c r="A1527" s="0" t="s">
        <v>26</v>
      </c>
      <c r="B1527" s="0" t="s">
        <v>3358</v>
      </c>
      <c r="C1527" s="0" t="s">
        <v>1880</v>
      </c>
      <c r="D1527" s="0" t="n">
        <v>0.175</v>
      </c>
    </row>
    <row r="1528" customFormat="false" ht="15" hidden="false" customHeight="false" outlineLevel="0" collapsed="false">
      <c r="A1528" s="0" t="s">
        <v>26</v>
      </c>
      <c r="B1528" s="0" t="s">
        <v>3358</v>
      </c>
      <c r="C1528" s="0" t="s">
        <v>2173</v>
      </c>
      <c r="D1528" s="0" t="n">
        <v>0.7</v>
      </c>
    </row>
    <row r="1529" customFormat="false" ht="15" hidden="false" customHeight="false" outlineLevel="0" collapsed="false">
      <c r="A1529" s="0" t="s">
        <v>26</v>
      </c>
      <c r="B1529" s="0" t="s">
        <v>3361</v>
      </c>
      <c r="C1529" s="0" t="s">
        <v>1744</v>
      </c>
      <c r="D1529" s="0" t="n">
        <v>0.25</v>
      </c>
    </row>
    <row r="1530" customFormat="false" ht="15" hidden="false" customHeight="false" outlineLevel="0" collapsed="false">
      <c r="A1530" s="0" t="s">
        <v>26</v>
      </c>
      <c r="B1530" s="0" t="s">
        <v>3361</v>
      </c>
      <c r="C1530" s="0" t="s">
        <v>1880</v>
      </c>
      <c r="D1530" s="0" t="n">
        <v>0.125</v>
      </c>
    </row>
    <row r="1531" customFormat="false" ht="15" hidden="false" customHeight="false" outlineLevel="0" collapsed="false">
      <c r="A1531" s="0" t="s">
        <v>26</v>
      </c>
      <c r="B1531" s="0" t="s">
        <v>3361</v>
      </c>
      <c r="C1531" s="0" t="s">
        <v>2173</v>
      </c>
      <c r="D1531" s="0" t="n">
        <v>0.5</v>
      </c>
    </row>
    <row r="1532" customFormat="false" ht="15" hidden="false" customHeight="false" outlineLevel="0" collapsed="false">
      <c r="A1532" s="0" t="s">
        <v>26</v>
      </c>
      <c r="B1532" s="0" t="s">
        <v>3364</v>
      </c>
      <c r="C1532" s="0" t="s">
        <v>1744</v>
      </c>
      <c r="D1532" s="0" t="n">
        <v>0.2</v>
      </c>
    </row>
    <row r="1533" customFormat="false" ht="15" hidden="false" customHeight="false" outlineLevel="0" collapsed="false">
      <c r="A1533" s="0" t="s">
        <v>26</v>
      </c>
      <c r="B1533" s="0" t="s">
        <v>3364</v>
      </c>
      <c r="C1533" s="0" t="s">
        <v>1880</v>
      </c>
      <c r="D1533" s="0" t="n">
        <v>0.1</v>
      </c>
    </row>
    <row r="1534" customFormat="false" ht="15" hidden="false" customHeight="false" outlineLevel="0" collapsed="false">
      <c r="A1534" s="0" t="s">
        <v>26</v>
      </c>
      <c r="B1534" s="0" t="s">
        <v>3364</v>
      </c>
      <c r="C1534" s="0" t="s">
        <v>2173</v>
      </c>
      <c r="D1534" s="0" t="n">
        <v>0.4</v>
      </c>
    </row>
    <row r="1535" customFormat="false" ht="15" hidden="false" customHeight="false" outlineLevel="0" collapsed="false">
      <c r="A1535" s="0" t="s">
        <v>26</v>
      </c>
      <c r="B1535" s="0" t="s">
        <v>3367</v>
      </c>
      <c r="C1535" s="0" t="s">
        <v>1744</v>
      </c>
      <c r="D1535" s="0" t="n">
        <v>-0.7</v>
      </c>
    </row>
    <row r="1536" customFormat="false" ht="15" hidden="false" customHeight="false" outlineLevel="0" collapsed="false">
      <c r="A1536" s="0" t="s">
        <v>26</v>
      </c>
      <c r="B1536" s="0" t="s">
        <v>3367</v>
      </c>
      <c r="C1536" s="0" t="s">
        <v>1880</v>
      </c>
      <c r="D1536" s="0" t="n">
        <v>-1.05</v>
      </c>
    </row>
    <row r="1537" customFormat="false" ht="15" hidden="false" customHeight="false" outlineLevel="0" collapsed="false">
      <c r="A1537" s="0" t="s">
        <v>26</v>
      </c>
      <c r="B1537" s="0" t="s">
        <v>3367</v>
      </c>
      <c r="C1537" s="0" t="s">
        <v>2173</v>
      </c>
      <c r="D1537" s="0" t="n">
        <v>-0.35</v>
      </c>
    </row>
    <row r="1538" customFormat="false" ht="15" hidden="false" customHeight="false" outlineLevel="0" collapsed="false">
      <c r="A1538" s="0" t="s">
        <v>26</v>
      </c>
      <c r="B1538" s="0" t="s">
        <v>3373</v>
      </c>
      <c r="C1538" s="0" t="s">
        <v>1744</v>
      </c>
      <c r="D1538" s="0" t="n">
        <v>-0.3</v>
      </c>
    </row>
    <row r="1539" customFormat="false" ht="15" hidden="false" customHeight="false" outlineLevel="0" collapsed="false">
      <c r="A1539" s="0" t="s">
        <v>26</v>
      </c>
      <c r="B1539" s="0" t="s">
        <v>3373</v>
      </c>
      <c r="C1539" s="0" t="s">
        <v>1880</v>
      </c>
      <c r="D1539" s="0" t="n">
        <v>-0.45</v>
      </c>
    </row>
    <row r="1540" customFormat="false" ht="15" hidden="false" customHeight="false" outlineLevel="0" collapsed="false">
      <c r="A1540" s="0" t="s">
        <v>26</v>
      </c>
      <c r="B1540" s="0" t="s">
        <v>3373</v>
      </c>
      <c r="C1540" s="0" t="s">
        <v>2173</v>
      </c>
      <c r="D1540" s="0" t="n">
        <v>-0.15</v>
      </c>
    </row>
    <row r="1541" customFormat="false" ht="15" hidden="false" customHeight="false" outlineLevel="0" collapsed="false">
      <c r="A1541" s="0" t="s">
        <v>26</v>
      </c>
      <c r="B1541" s="0" t="s">
        <v>3377</v>
      </c>
      <c r="C1541" s="0" t="s">
        <v>1744</v>
      </c>
      <c r="D1541" s="0" t="n">
        <v>-0.15</v>
      </c>
    </row>
    <row r="1542" customFormat="false" ht="15" hidden="false" customHeight="false" outlineLevel="0" collapsed="false">
      <c r="A1542" s="0" t="s">
        <v>26</v>
      </c>
      <c r="B1542" s="0" t="s">
        <v>3377</v>
      </c>
      <c r="C1542" s="0" t="s">
        <v>1880</v>
      </c>
      <c r="D1542" s="0" t="n">
        <v>-0.35</v>
      </c>
    </row>
    <row r="1543" customFormat="false" ht="15" hidden="false" customHeight="false" outlineLevel="0" collapsed="false">
      <c r="A1543" s="0" t="s">
        <v>26</v>
      </c>
      <c r="B1543" s="0" t="s">
        <v>3377</v>
      </c>
      <c r="C1543" s="0" t="s">
        <v>2173</v>
      </c>
      <c r="D1543" s="0" t="n">
        <v>0</v>
      </c>
    </row>
    <row r="1544" customFormat="false" ht="15" hidden="false" customHeight="false" outlineLevel="0" collapsed="false">
      <c r="A1544" s="0" t="s">
        <v>26</v>
      </c>
      <c r="B1544" s="0" t="s">
        <v>3383</v>
      </c>
      <c r="C1544" s="0" t="s">
        <v>1744</v>
      </c>
      <c r="D1544" s="0" t="n">
        <v>0</v>
      </c>
    </row>
    <row r="1545" customFormat="false" ht="15" hidden="false" customHeight="false" outlineLevel="0" collapsed="false">
      <c r="A1545" s="0" t="s">
        <v>26</v>
      </c>
      <c r="B1545" s="0" t="s">
        <v>3383</v>
      </c>
      <c r="C1545" s="0" t="s">
        <v>1880</v>
      </c>
      <c r="D1545" s="0" t="n">
        <v>-0.15</v>
      </c>
    </row>
    <row r="1546" customFormat="false" ht="15" hidden="false" customHeight="false" outlineLevel="0" collapsed="false">
      <c r="A1546" s="0" t="s">
        <v>26</v>
      </c>
      <c r="B1546" s="0" t="s">
        <v>3383</v>
      </c>
      <c r="C1546" s="0" t="s">
        <v>2173</v>
      </c>
      <c r="D1546" s="0" t="n">
        <v>0.15</v>
      </c>
    </row>
    <row r="1547" customFormat="false" ht="15" hidden="false" customHeight="false" outlineLevel="0" collapsed="false">
      <c r="A1547" s="0" t="s">
        <v>26</v>
      </c>
      <c r="B1547" s="0" t="s">
        <v>3390</v>
      </c>
      <c r="C1547" s="0" t="s">
        <v>1744</v>
      </c>
      <c r="D1547" s="0" t="n">
        <v>0.16</v>
      </c>
    </row>
    <row r="1548" customFormat="false" ht="15" hidden="false" customHeight="false" outlineLevel="0" collapsed="false">
      <c r="A1548" s="0" t="s">
        <v>26</v>
      </c>
      <c r="B1548" s="0" t="s">
        <v>3390</v>
      </c>
      <c r="C1548" s="0" t="s">
        <v>1880</v>
      </c>
      <c r="D1548" s="0" t="n">
        <v>0.16</v>
      </c>
    </row>
    <row r="1549" customFormat="false" ht="15" hidden="false" customHeight="false" outlineLevel="0" collapsed="false">
      <c r="A1549" s="0" t="s">
        <v>26</v>
      </c>
      <c r="B1549" s="0" t="s">
        <v>3390</v>
      </c>
      <c r="C1549" s="0" t="s">
        <v>2173</v>
      </c>
      <c r="D1549" s="0" t="n">
        <v>0.3</v>
      </c>
    </row>
    <row r="1550" customFormat="false" ht="15" hidden="false" customHeight="false" outlineLevel="0" collapsed="false">
      <c r="A1550" s="0" t="s">
        <v>26</v>
      </c>
      <c r="B1550" s="0" t="s">
        <v>3396</v>
      </c>
      <c r="C1550" s="0" t="s">
        <v>1744</v>
      </c>
      <c r="D1550" s="0" t="n">
        <v>0</v>
      </c>
    </row>
    <row r="1551" customFormat="false" ht="15" hidden="false" customHeight="false" outlineLevel="0" collapsed="false">
      <c r="A1551" s="0" t="s">
        <v>26</v>
      </c>
      <c r="B1551" s="0" t="s">
        <v>3396</v>
      </c>
      <c r="C1551" s="0" t="s">
        <v>1880</v>
      </c>
      <c r="D1551" s="0" t="n">
        <v>0</v>
      </c>
    </row>
    <row r="1552" customFormat="false" ht="15" hidden="false" customHeight="false" outlineLevel="0" collapsed="false">
      <c r="A1552" s="0" t="s">
        <v>26</v>
      </c>
      <c r="B1552" s="0" t="s">
        <v>3396</v>
      </c>
      <c r="C1552" s="0" t="s">
        <v>2173</v>
      </c>
      <c r="D1552" s="0" t="n">
        <v>0.5</v>
      </c>
    </row>
    <row r="1553" customFormat="false" ht="15" hidden="false" customHeight="false" outlineLevel="0" collapsed="false">
      <c r="A1553" s="0" t="s">
        <v>26</v>
      </c>
      <c r="B1553" s="0" t="s">
        <v>3402</v>
      </c>
      <c r="C1553" s="0" t="s">
        <v>1744</v>
      </c>
      <c r="D1553" s="0" t="n">
        <v>1000000</v>
      </c>
    </row>
    <row r="1554" customFormat="false" ht="15" hidden="false" customHeight="false" outlineLevel="0" collapsed="false">
      <c r="A1554" s="0" t="s">
        <v>26</v>
      </c>
      <c r="B1554" s="0" t="s">
        <v>3402</v>
      </c>
      <c r="C1554" s="0" t="s">
        <v>1880</v>
      </c>
      <c r="D1554" s="0" t="n">
        <v>1000000</v>
      </c>
    </row>
    <row r="1555" customFormat="false" ht="15" hidden="false" customHeight="false" outlineLevel="0" collapsed="false">
      <c r="A1555" s="0" t="s">
        <v>26</v>
      </c>
      <c r="B1555" s="0" t="s">
        <v>3402</v>
      </c>
      <c r="C1555" s="0" t="s">
        <v>2173</v>
      </c>
      <c r="D1555" s="0" t="n">
        <v>1000000</v>
      </c>
    </row>
    <row r="1556" customFormat="false" ht="15" hidden="false" customHeight="false" outlineLevel="0" collapsed="false">
      <c r="A1556" s="0" t="s">
        <v>26</v>
      </c>
      <c r="B1556" s="0" t="s">
        <v>3407</v>
      </c>
      <c r="C1556" s="0" t="s">
        <v>1744</v>
      </c>
      <c r="D1556" s="0" t="n">
        <v>1000</v>
      </c>
    </row>
    <row r="1557" customFormat="false" ht="15" hidden="false" customHeight="false" outlineLevel="0" collapsed="false">
      <c r="A1557" s="0" t="s">
        <v>26</v>
      </c>
      <c r="B1557" s="0" t="s">
        <v>3407</v>
      </c>
      <c r="C1557" s="0" t="s">
        <v>1880</v>
      </c>
      <c r="D1557" s="0" t="n">
        <v>1000</v>
      </c>
    </row>
    <row r="1558" customFormat="false" ht="15" hidden="false" customHeight="false" outlineLevel="0" collapsed="false">
      <c r="A1558" s="0" t="s">
        <v>26</v>
      </c>
      <c r="B1558" s="0" t="s">
        <v>3407</v>
      </c>
      <c r="C1558" s="0" t="s">
        <v>2173</v>
      </c>
      <c r="D1558" s="0" t="n">
        <v>1000</v>
      </c>
    </row>
    <row r="1559" customFormat="false" ht="15" hidden="false" customHeight="false" outlineLevel="0" collapsed="false">
      <c r="A1559" s="0" t="s">
        <v>26</v>
      </c>
      <c r="B1559" s="0" t="s">
        <v>3412</v>
      </c>
      <c r="C1559" s="0" t="s">
        <v>1744</v>
      </c>
      <c r="D1559" s="0" t="n">
        <v>1000000000</v>
      </c>
    </row>
    <row r="1560" customFormat="false" ht="15" hidden="false" customHeight="false" outlineLevel="0" collapsed="false">
      <c r="A1560" s="0" t="s">
        <v>26</v>
      </c>
      <c r="B1560" s="0" t="s">
        <v>3412</v>
      </c>
      <c r="C1560" s="0" t="s">
        <v>1880</v>
      </c>
      <c r="D1560" s="0" t="n">
        <v>1000000000</v>
      </c>
    </row>
    <row r="1561" customFormat="false" ht="15" hidden="false" customHeight="false" outlineLevel="0" collapsed="false">
      <c r="A1561" s="0" t="s">
        <v>26</v>
      </c>
      <c r="B1561" s="0" t="s">
        <v>3412</v>
      </c>
      <c r="C1561" s="0" t="s">
        <v>2173</v>
      </c>
      <c r="D1561" s="0" t="n">
        <v>1000000000</v>
      </c>
    </row>
    <row r="1562" customFormat="false" ht="15" hidden="false" customHeight="false" outlineLevel="0" collapsed="false">
      <c r="A1562" s="0" t="s">
        <v>26</v>
      </c>
      <c r="B1562" s="0" t="s">
        <v>3417</v>
      </c>
      <c r="C1562" s="0" t="s">
        <v>1744</v>
      </c>
      <c r="D1562" s="0" t="n">
        <v>2</v>
      </c>
    </row>
    <row r="1563" customFormat="false" ht="15" hidden="false" customHeight="false" outlineLevel="0" collapsed="false">
      <c r="A1563" s="0" t="s">
        <v>26</v>
      </c>
      <c r="B1563" s="0" t="s">
        <v>3417</v>
      </c>
      <c r="C1563" s="0" t="s">
        <v>1880</v>
      </c>
      <c r="D1563" s="0" t="n">
        <v>2</v>
      </c>
    </row>
    <row r="1564" customFormat="false" ht="15" hidden="false" customHeight="false" outlineLevel="0" collapsed="false">
      <c r="A1564" s="0" t="s">
        <v>26</v>
      </c>
      <c r="B1564" s="0" t="s">
        <v>3417</v>
      </c>
      <c r="C1564" s="0" t="s">
        <v>2173</v>
      </c>
      <c r="D1564" s="0" t="n">
        <v>2</v>
      </c>
    </row>
    <row r="1565" customFormat="false" ht="15" hidden="false" customHeight="false" outlineLevel="0" collapsed="false">
      <c r="A1565" s="0" t="s">
        <v>26</v>
      </c>
      <c r="B1565" s="0" t="s">
        <v>3422</v>
      </c>
      <c r="C1565" s="0" t="s">
        <v>1744</v>
      </c>
      <c r="D1565" s="0" t="n">
        <v>2026</v>
      </c>
    </row>
    <row r="1566" customFormat="false" ht="15" hidden="false" customHeight="false" outlineLevel="0" collapsed="false">
      <c r="A1566" s="0" t="s">
        <v>26</v>
      </c>
      <c r="B1566" s="0" t="s">
        <v>3422</v>
      </c>
      <c r="C1566" s="0" t="s">
        <v>1880</v>
      </c>
      <c r="D1566" s="0" t="n">
        <v>2026</v>
      </c>
    </row>
    <row r="1567" customFormat="false" ht="15" hidden="false" customHeight="false" outlineLevel="0" collapsed="false">
      <c r="A1567" s="0" t="s">
        <v>26</v>
      </c>
      <c r="B1567" s="0" t="s">
        <v>3422</v>
      </c>
      <c r="C1567" s="0" t="s">
        <v>2173</v>
      </c>
      <c r="D1567" s="0" t="n">
        <v>2026</v>
      </c>
    </row>
    <row r="1568" customFormat="false" ht="15" hidden="false" customHeight="false" outlineLevel="0" collapsed="false">
      <c r="A1568" s="0" t="s">
        <v>26</v>
      </c>
      <c r="B1568" s="0" t="s">
        <v>3427</v>
      </c>
      <c r="C1568" s="0" t="s">
        <v>1744</v>
      </c>
      <c r="D1568" s="0" t="n">
        <v>12</v>
      </c>
    </row>
    <row r="1569" customFormat="false" ht="15" hidden="false" customHeight="false" outlineLevel="0" collapsed="false">
      <c r="A1569" s="0" t="s">
        <v>26</v>
      </c>
      <c r="B1569" s="0" t="s">
        <v>3427</v>
      </c>
      <c r="C1569" s="0" t="s">
        <v>1880</v>
      </c>
      <c r="D1569" s="0" t="n">
        <v>8</v>
      </c>
    </row>
    <row r="1570" customFormat="false" ht="15" hidden="false" customHeight="false" outlineLevel="0" collapsed="false">
      <c r="A1570" s="0" t="s">
        <v>26</v>
      </c>
      <c r="B1570" s="0" t="s">
        <v>3427</v>
      </c>
      <c r="C1570" s="0" t="s">
        <v>2173</v>
      </c>
      <c r="D1570" s="0" t="n">
        <v>20</v>
      </c>
    </row>
    <row r="1571" customFormat="false" ht="15" hidden="false" customHeight="false" outlineLevel="0" collapsed="false">
      <c r="A1571" s="0" t="s">
        <v>26</v>
      </c>
      <c r="B1571" s="0" t="s">
        <v>3432</v>
      </c>
      <c r="C1571" s="0" t="s">
        <v>1744</v>
      </c>
      <c r="D1571" s="0" t="n">
        <v>0.1</v>
      </c>
    </row>
    <row r="1572" customFormat="false" ht="15" hidden="false" customHeight="false" outlineLevel="0" collapsed="false">
      <c r="A1572" s="0" t="s">
        <v>26</v>
      </c>
      <c r="B1572" s="0" t="s">
        <v>3432</v>
      </c>
      <c r="C1572" s="0" t="s">
        <v>1880</v>
      </c>
      <c r="D1572" s="0" t="n">
        <v>0.05</v>
      </c>
    </row>
    <row r="1573" customFormat="false" ht="15" hidden="false" customHeight="false" outlineLevel="0" collapsed="false">
      <c r="A1573" s="0" t="s">
        <v>26</v>
      </c>
      <c r="B1573" s="0" t="s">
        <v>3432</v>
      </c>
      <c r="C1573" s="0" t="s">
        <v>2173</v>
      </c>
      <c r="D1573" s="0" t="n">
        <v>0.2</v>
      </c>
    </row>
    <row r="1574" customFormat="false" ht="15" hidden="false" customHeight="false" outlineLevel="0" collapsed="false">
      <c r="A1574" s="0" t="s">
        <v>26</v>
      </c>
      <c r="B1574" s="0" t="s">
        <v>3438</v>
      </c>
      <c r="C1574" s="0" t="s">
        <v>1744</v>
      </c>
      <c r="D1574" s="0" t="n">
        <v>0.3</v>
      </c>
    </row>
    <row r="1575" customFormat="false" ht="15" hidden="false" customHeight="false" outlineLevel="0" collapsed="false">
      <c r="A1575" s="0" t="s">
        <v>26</v>
      </c>
      <c r="B1575" s="0" t="s">
        <v>3438</v>
      </c>
      <c r="C1575" s="0" t="s">
        <v>1880</v>
      </c>
      <c r="D1575" s="0" t="n">
        <v>0.2</v>
      </c>
    </row>
    <row r="1576" customFormat="false" ht="15" hidden="false" customHeight="false" outlineLevel="0" collapsed="false">
      <c r="A1576" s="0" t="s">
        <v>26</v>
      </c>
      <c r="B1576" s="0" t="s">
        <v>3438</v>
      </c>
      <c r="C1576" s="0" t="s">
        <v>2173</v>
      </c>
      <c r="D1576" s="0" t="n">
        <v>0.4</v>
      </c>
    </row>
    <row r="1577" customFormat="false" ht="15" hidden="false" customHeight="false" outlineLevel="0" collapsed="false">
      <c r="A1577" s="0" t="s">
        <v>26</v>
      </c>
      <c r="B1577" s="0" t="s">
        <v>3444</v>
      </c>
      <c r="C1577" s="0" t="s">
        <v>1744</v>
      </c>
      <c r="D1577" s="0" t="n">
        <v>0</v>
      </c>
    </row>
    <row r="1578" customFormat="false" ht="15" hidden="false" customHeight="false" outlineLevel="0" collapsed="false">
      <c r="A1578" s="0" t="s">
        <v>26</v>
      </c>
      <c r="B1578" s="0" t="s">
        <v>3444</v>
      </c>
      <c r="C1578" s="0" t="s">
        <v>1880</v>
      </c>
      <c r="D1578" s="0" t="n">
        <v>0</v>
      </c>
    </row>
    <row r="1579" customFormat="false" ht="15" hidden="false" customHeight="false" outlineLevel="0" collapsed="false">
      <c r="A1579" s="0" t="s">
        <v>26</v>
      </c>
      <c r="B1579" s="0" t="s">
        <v>3444</v>
      </c>
      <c r="C1579" s="0" t="s">
        <v>2173</v>
      </c>
      <c r="D1579" s="0" t="n">
        <v>1</v>
      </c>
    </row>
    <row r="1580" customFormat="false" ht="15" hidden="false" customHeight="false" outlineLevel="0" collapsed="false">
      <c r="A1580" s="0" t="s">
        <v>26</v>
      </c>
      <c r="B1580" s="0" t="s">
        <v>3449</v>
      </c>
      <c r="C1580" s="0" t="s">
        <v>1744</v>
      </c>
      <c r="D1580" s="0" t="n">
        <v>1</v>
      </c>
    </row>
    <row r="1581" customFormat="false" ht="15" hidden="false" customHeight="false" outlineLevel="0" collapsed="false">
      <c r="A1581" s="0" t="s">
        <v>26</v>
      </c>
      <c r="B1581" s="0" t="s">
        <v>3449</v>
      </c>
      <c r="C1581" s="0" t="s">
        <v>1880</v>
      </c>
      <c r="D1581" s="0" t="n">
        <v>1</v>
      </c>
    </row>
    <row r="1582" customFormat="false" ht="15" hidden="false" customHeight="false" outlineLevel="0" collapsed="false">
      <c r="A1582" s="0" t="s">
        <v>26</v>
      </c>
      <c r="B1582" s="0" t="s">
        <v>3449</v>
      </c>
      <c r="C1582" s="0" t="s">
        <v>2173</v>
      </c>
      <c r="D1582" s="0" t="n">
        <v>1</v>
      </c>
    </row>
    <row r="1583" customFormat="false" ht="15" hidden="false" customHeight="false" outlineLevel="0" collapsed="false">
      <c r="A1583" s="0" t="s">
        <v>26</v>
      </c>
      <c r="B1583" s="0" t="s">
        <v>3453</v>
      </c>
      <c r="C1583" s="0" t="s">
        <v>1744</v>
      </c>
      <c r="D1583" s="0" t="n">
        <v>2030</v>
      </c>
    </row>
    <row r="1584" customFormat="false" ht="15" hidden="false" customHeight="false" outlineLevel="0" collapsed="false">
      <c r="A1584" s="0" t="s">
        <v>26</v>
      </c>
      <c r="B1584" s="0" t="s">
        <v>3453</v>
      </c>
      <c r="C1584" s="0" t="s">
        <v>1880</v>
      </c>
      <c r="D1584" s="0" t="n">
        <v>2030</v>
      </c>
    </row>
    <row r="1585" customFormat="false" ht="15" hidden="false" customHeight="false" outlineLevel="0" collapsed="false">
      <c r="A1585" s="0" t="s">
        <v>26</v>
      </c>
      <c r="B1585" s="0" t="s">
        <v>3453</v>
      </c>
      <c r="C1585" s="0" t="s">
        <v>2173</v>
      </c>
      <c r="D1585" s="0" t="n">
        <v>2030</v>
      </c>
    </row>
    <row r="1586" customFormat="false" ht="15" hidden="false" customHeight="false" outlineLevel="0" collapsed="false">
      <c r="A1586" s="0" t="s">
        <v>26</v>
      </c>
      <c r="B1586" s="0" t="s">
        <v>3457</v>
      </c>
      <c r="C1586" s="0" t="s">
        <v>1744</v>
      </c>
      <c r="D1586" s="0" t="n">
        <v>0.5</v>
      </c>
    </row>
    <row r="1587" customFormat="false" ht="15" hidden="false" customHeight="false" outlineLevel="0" collapsed="false">
      <c r="A1587" s="0" t="s">
        <v>26</v>
      </c>
      <c r="B1587" s="0" t="s">
        <v>3457</v>
      </c>
      <c r="C1587" s="0" t="s">
        <v>1880</v>
      </c>
      <c r="D1587" s="0" t="n">
        <v>0.5</v>
      </c>
    </row>
    <row r="1588" customFormat="false" ht="15" hidden="false" customHeight="false" outlineLevel="0" collapsed="false">
      <c r="A1588" s="0" t="s">
        <v>26</v>
      </c>
      <c r="B1588" s="0" t="s">
        <v>3457</v>
      </c>
      <c r="C1588" s="0" t="s">
        <v>2173</v>
      </c>
      <c r="D1588" s="0" t="n">
        <v>0.5</v>
      </c>
    </row>
    <row r="1589" customFormat="false" ht="15" hidden="false" customHeight="false" outlineLevel="0" collapsed="false">
      <c r="A1589" s="0" t="s">
        <v>26</v>
      </c>
      <c r="B1589" s="0" t="s">
        <v>3461</v>
      </c>
      <c r="C1589" s="0" t="s">
        <v>1744</v>
      </c>
      <c r="D1589" s="0" t="n">
        <v>2</v>
      </c>
    </row>
    <row r="1590" customFormat="false" ht="15" hidden="false" customHeight="false" outlineLevel="0" collapsed="false">
      <c r="A1590" s="0" t="s">
        <v>26</v>
      </c>
      <c r="B1590" s="0" t="s">
        <v>3461</v>
      </c>
      <c r="C1590" s="0" t="s">
        <v>1880</v>
      </c>
      <c r="D1590" s="0" t="n">
        <v>2</v>
      </c>
    </row>
    <row r="1591" customFormat="false" ht="15" hidden="false" customHeight="false" outlineLevel="0" collapsed="false">
      <c r="A1591" s="0" t="s">
        <v>26</v>
      </c>
      <c r="B1591" s="0" t="s">
        <v>3461</v>
      </c>
      <c r="C1591" s="0" t="s">
        <v>2173</v>
      </c>
      <c r="D1591" s="0" t="n">
        <v>2</v>
      </c>
    </row>
    <row r="1592" customFormat="false" ht="15" hidden="false" customHeight="false" outlineLevel="0" collapsed="false">
      <c r="A1592" s="0" t="s">
        <v>26</v>
      </c>
      <c r="B1592" s="0" t="s">
        <v>3464</v>
      </c>
      <c r="C1592" s="0" t="s">
        <v>1744</v>
      </c>
      <c r="D1592" s="0" t="n">
        <v>2</v>
      </c>
    </row>
    <row r="1593" customFormat="false" ht="15" hidden="false" customHeight="false" outlineLevel="0" collapsed="false">
      <c r="A1593" s="0" t="s">
        <v>26</v>
      </c>
      <c r="B1593" s="0" t="s">
        <v>3464</v>
      </c>
      <c r="C1593" s="0" t="s">
        <v>1880</v>
      </c>
      <c r="D1593" s="0" t="n">
        <v>1</v>
      </c>
    </row>
    <row r="1594" customFormat="false" ht="15" hidden="false" customHeight="false" outlineLevel="0" collapsed="false">
      <c r="A1594" s="0" t="s">
        <v>26</v>
      </c>
      <c r="B1594" s="0" t="s">
        <v>3464</v>
      </c>
      <c r="C1594" s="0" t="s">
        <v>2173</v>
      </c>
      <c r="D1594" s="0" t="n">
        <v>3</v>
      </c>
    </row>
    <row r="1595" customFormat="false" ht="15" hidden="false" customHeight="false" outlineLevel="0" collapsed="false">
      <c r="A1595" s="0" t="s">
        <v>26</v>
      </c>
      <c r="B1595" s="0" t="s">
        <v>3469</v>
      </c>
      <c r="C1595" s="0" t="s">
        <v>1744</v>
      </c>
      <c r="D1595" s="0" t="n">
        <v>0.8</v>
      </c>
    </row>
    <row r="1596" customFormat="false" ht="15" hidden="false" customHeight="false" outlineLevel="0" collapsed="false">
      <c r="A1596" s="0" t="s">
        <v>26</v>
      </c>
      <c r="B1596" s="0" t="s">
        <v>3469</v>
      </c>
      <c r="C1596" s="0" t="s">
        <v>1880</v>
      </c>
      <c r="D1596" s="0" t="n">
        <v>0.5</v>
      </c>
    </row>
    <row r="1597" customFormat="false" ht="15" hidden="false" customHeight="false" outlineLevel="0" collapsed="false">
      <c r="A1597" s="0" t="s">
        <v>26</v>
      </c>
      <c r="B1597" s="0" t="s">
        <v>3469</v>
      </c>
      <c r="C1597" s="0" t="s">
        <v>2173</v>
      </c>
      <c r="D1597" s="0" t="n">
        <v>1</v>
      </c>
    </row>
    <row r="1598" customFormat="false" ht="15" hidden="false" customHeight="false" outlineLevel="0" collapsed="false">
      <c r="A1598" s="0" t="s">
        <v>26</v>
      </c>
      <c r="B1598" s="0" t="s">
        <v>3474</v>
      </c>
      <c r="C1598" s="0" t="s">
        <v>1744</v>
      </c>
      <c r="D1598" s="0" t="n">
        <v>0</v>
      </c>
    </row>
    <row r="1599" customFormat="false" ht="15" hidden="false" customHeight="false" outlineLevel="0" collapsed="false">
      <c r="A1599" s="0" t="s">
        <v>26</v>
      </c>
      <c r="B1599" s="0" t="s">
        <v>3474</v>
      </c>
      <c r="C1599" s="0" t="s">
        <v>1880</v>
      </c>
      <c r="D1599" s="0" t="n">
        <v>0</v>
      </c>
    </row>
    <row r="1600" customFormat="false" ht="15" hidden="false" customHeight="false" outlineLevel="0" collapsed="false">
      <c r="A1600" s="0" t="s">
        <v>26</v>
      </c>
      <c r="B1600" s="0" t="s">
        <v>3474</v>
      </c>
      <c r="C1600" s="0" t="s">
        <v>2173</v>
      </c>
      <c r="D1600" s="0" t="n">
        <v>1</v>
      </c>
    </row>
    <row r="1601" customFormat="false" ht="15" hidden="false" customHeight="false" outlineLevel="0" collapsed="false">
      <c r="A1601" s="0" t="s">
        <v>26</v>
      </c>
      <c r="B1601" s="0" t="s">
        <v>3480</v>
      </c>
      <c r="C1601" s="0" t="s">
        <v>1744</v>
      </c>
      <c r="D1601" s="0" t="n">
        <v>0.4</v>
      </c>
    </row>
    <row r="1602" customFormat="false" ht="15" hidden="false" customHeight="false" outlineLevel="0" collapsed="false">
      <c r="A1602" s="0" t="s">
        <v>26</v>
      </c>
      <c r="B1602" s="0" t="s">
        <v>3480</v>
      </c>
      <c r="C1602" s="0" t="s">
        <v>1880</v>
      </c>
      <c r="D1602" s="0" t="n">
        <v>0.2</v>
      </c>
    </row>
    <row r="1603" customFormat="false" ht="15" hidden="false" customHeight="false" outlineLevel="0" collapsed="false">
      <c r="A1603" s="0" t="s">
        <v>26</v>
      </c>
      <c r="B1603" s="0" t="s">
        <v>3480</v>
      </c>
      <c r="C1603" s="0" t="s">
        <v>2173</v>
      </c>
      <c r="D1603" s="0" t="n">
        <v>0.6</v>
      </c>
    </row>
    <row r="1604" customFormat="false" ht="15" hidden="false" customHeight="false" outlineLevel="0" collapsed="false">
      <c r="A1604" s="0" t="s">
        <v>26</v>
      </c>
      <c r="B1604" s="0" t="s">
        <v>3487</v>
      </c>
      <c r="C1604" s="0" t="s">
        <v>1744</v>
      </c>
      <c r="D1604" s="0" t="n">
        <v>0.1</v>
      </c>
    </row>
    <row r="1605" customFormat="false" ht="15" hidden="false" customHeight="false" outlineLevel="0" collapsed="false">
      <c r="A1605" s="0" t="s">
        <v>26</v>
      </c>
      <c r="B1605" s="0" t="s">
        <v>3487</v>
      </c>
      <c r="C1605" s="0" t="s">
        <v>1880</v>
      </c>
      <c r="D1605" s="0" t="n">
        <v>0</v>
      </c>
    </row>
    <row r="1606" customFormat="false" ht="15" hidden="false" customHeight="false" outlineLevel="0" collapsed="false">
      <c r="A1606" s="0" t="s">
        <v>26</v>
      </c>
      <c r="B1606" s="0" t="s">
        <v>3487</v>
      </c>
      <c r="C1606" s="0" t="s">
        <v>2173</v>
      </c>
      <c r="D1606" s="0" t="n">
        <v>0.3</v>
      </c>
    </row>
    <row r="1607" customFormat="false" ht="15" hidden="false" customHeight="false" outlineLevel="0" collapsed="false">
      <c r="A1607" s="0" t="s">
        <v>26</v>
      </c>
      <c r="B1607" s="0" t="s">
        <v>3491</v>
      </c>
      <c r="C1607" s="0" t="s">
        <v>1744</v>
      </c>
      <c r="D1607" s="0" t="n">
        <v>0.33</v>
      </c>
    </row>
    <row r="1608" customFormat="false" ht="15" hidden="false" customHeight="false" outlineLevel="0" collapsed="false">
      <c r="A1608" s="0" t="s">
        <v>26</v>
      </c>
      <c r="B1608" s="0" t="s">
        <v>3491</v>
      </c>
      <c r="C1608" s="0" t="s">
        <v>1880</v>
      </c>
      <c r="D1608" s="0" t="n">
        <v>0</v>
      </c>
    </row>
    <row r="1609" customFormat="false" ht="15" hidden="false" customHeight="false" outlineLevel="0" collapsed="false">
      <c r="A1609" s="0" t="s">
        <v>26</v>
      </c>
      <c r="B1609" s="0" t="s">
        <v>3491</v>
      </c>
      <c r="C1609" s="0" t="s">
        <v>2173</v>
      </c>
      <c r="D1609" s="0" t="n">
        <v>1</v>
      </c>
    </row>
    <row r="1610" customFormat="false" ht="15" hidden="false" customHeight="false" outlineLevel="0" collapsed="false">
      <c r="A1610" s="0" t="s">
        <v>26</v>
      </c>
      <c r="B1610" s="0" t="s">
        <v>3497</v>
      </c>
      <c r="C1610" s="0" t="s">
        <v>1744</v>
      </c>
      <c r="D1610" s="0" t="n">
        <v>0</v>
      </c>
    </row>
    <row r="1611" customFormat="false" ht="15" hidden="false" customHeight="false" outlineLevel="0" collapsed="false">
      <c r="A1611" s="0" t="s">
        <v>26</v>
      </c>
      <c r="B1611" s="0" t="s">
        <v>3497</v>
      </c>
      <c r="C1611" s="0" t="s">
        <v>1880</v>
      </c>
      <c r="D1611" s="0" t="n">
        <v>0</v>
      </c>
    </row>
    <row r="1612" customFormat="false" ht="15" hidden="false" customHeight="false" outlineLevel="0" collapsed="false">
      <c r="A1612" s="0" t="s">
        <v>26</v>
      </c>
      <c r="B1612" s="0" t="s">
        <v>3497</v>
      </c>
      <c r="C1612" s="0" t="s">
        <v>2173</v>
      </c>
      <c r="D1612" s="0" t="n">
        <v>1</v>
      </c>
    </row>
    <row r="1613" customFormat="false" ht="15" hidden="false" customHeight="false" outlineLevel="0" collapsed="false">
      <c r="A1613" s="0" t="s">
        <v>26</v>
      </c>
      <c r="B1613" s="0" t="s">
        <v>3503</v>
      </c>
      <c r="C1613" s="0" t="s">
        <v>1744</v>
      </c>
      <c r="D1613" s="0" t="n">
        <v>2026</v>
      </c>
    </row>
    <row r="1614" customFormat="false" ht="15" hidden="false" customHeight="false" outlineLevel="0" collapsed="false">
      <c r="A1614" s="0" t="s">
        <v>26</v>
      </c>
      <c r="B1614" s="0" t="s">
        <v>3503</v>
      </c>
      <c r="C1614" s="0" t="s">
        <v>1880</v>
      </c>
      <c r="D1614" s="0" t="n">
        <v>2026</v>
      </c>
    </row>
    <row r="1615" customFormat="false" ht="15" hidden="false" customHeight="false" outlineLevel="0" collapsed="false">
      <c r="A1615" s="0" t="s">
        <v>26</v>
      </c>
      <c r="B1615" s="0" t="s">
        <v>3503</v>
      </c>
      <c r="C1615" s="0" t="s">
        <v>2173</v>
      </c>
      <c r="D1615" s="0" t="n">
        <v>2026</v>
      </c>
    </row>
    <row r="1616" customFormat="false" ht="15" hidden="false" customHeight="false" outlineLevel="0" collapsed="false">
      <c r="A1616" s="0" t="s">
        <v>26</v>
      </c>
      <c r="B1616" s="0" t="s">
        <v>3508</v>
      </c>
      <c r="C1616" s="0" t="s">
        <v>1744</v>
      </c>
      <c r="D1616" s="0" t="n">
        <v>2033</v>
      </c>
    </row>
    <row r="1617" customFormat="false" ht="15" hidden="false" customHeight="false" outlineLevel="0" collapsed="false">
      <c r="A1617" s="0" t="s">
        <v>26</v>
      </c>
      <c r="B1617" s="0" t="s">
        <v>3508</v>
      </c>
      <c r="C1617" s="0" t="s">
        <v>1880</v>
      </c>
      <c r="D1617" s="0" t="n">
        <v>2033</v>
      </c>
    </row>
    <row r="1618" customFormat="false" ht="15" hidden="false" customHeight="false" outlineLevel="0" collapsed="false">
      <c r="A1618" s="0" t="s">
        <v>26</v>
      </c>
      <c r="B1618" s="0" t="s">
        <v>3508</v>
      </c>
      <c r="C1618" s="0" t="s">
        <v>2173</v>
      </c>
      <c r="D1618" s="0" t="n">
        <v>2033</v>
      </c>
    </row>
    <row r="1619" customFormat="false" ht="15" hidden="false" customHeight="false" outlineLevel="0" collapsed="false">
      <c r="A1619" s="0" t="s">
        <v>26</v>
      </c>
      <c r="B1619" s="0" t="s">
        <v>3511</v>
      </c>
      <c r="C1619" s="0" t="s">
        <v>1744</v>
      </c>
      <c r="D1619" s="0" t="n">
        <v>2027</v>
      </c>
    </row>
    <row r="1620" customFormat="false" ht="15" hidden="false" customHeight="false" outlineLevel="0" collapsed="false">
      <c r="A1620" s="0" t="s">
        <v>26</v>
      </c>
      <c r="B1620" s="0" t="s">
        <v>3511</v>
      </c>
      <c r="C1620" s="0" t="s">
        <v>1880</v>
      </c>
      <c r="D1620" s="0" t="n">
        <v>2027</v>
      </c>
    </row>
    <row r="1621" customFormat="false" ht="15" hidden="false" customHeight="false" outlineLevel="0" collapsed="false">
      <c r="A1621" s="0" t="s">
        <v>26</v>
      </c>
      <c r="B1621" s="0" t="s">
        <v>3511</v>
      </c>
      <c r="C1621" s="0" t="s">
        <v>2173</v>
      </c>
      <c r="D1621" s="0" t="n">
        <v>2027</v>
      </c>
    </row>
    <row r="1622" customFormat="false" ht="15" hidden="false" customHeight="false" outlineLevel="0" collapsed="false">
      <c r="A1622" s="0" t="s">
        <v>26</v>
      </c>
      <c r="B1622" s="0" t="s">
        <v>3515</v>
      </c>
      <c r="C1622" s="0" t="s">
        <v>1744</v>
      </c>
      <c r="D1622" s="0" t="n">
        <v>2031</v>
      </c>
    </row>
    <row r="1623" customFormat="false" ht="15" hidden="false" customHeight="false" outlineLevel="0" collapsed="false">
      <c r="A1623" s="0" t="s">
        <v>26</v>
      </c>
      <c r="B1623" s="0" t="s">
        <v>3515</v>
      </c>
      <c r="C1623" s="0" t="s">
        <v>1880</v>
      </c>
      <c r="D1623" s="0" t="n">
        <v>2031</v>
      </c>
    </row>
    <row r="1624" customFormat="false" ht="15" hidden="false" customHeight="false" outlineLevel="0" collapsed="false">
      <c r="A1624" s="0" t="s">
        <v>26</v>
      </c>
      <c r="B1624" s="0" t="s">
        <v>3515</v>
      </c>
      <c r="C1624" s="0" t="s">
        <v>2173</v>
      </c>
      <c r="D1624" s="0" t="n">
        <v>2031</v>
      </c>
    </row>
    <row r="1625" customFormat="false" ht="15" hidden="false" customHeight="false" outlineLevel="0" collapsed="false">
      <c r="A1625" s="0" t="s">
        <v>26</v>
      </c>
      <c r="B1625" s="0" t="s">
        <v>3519</v>
      </c>
      <c r="C1625" s="0" t="s">
        <v>1744</v>
      </c>
      <c r="D1625" s="0" t="n">
        <v>2026</v>
      </c>
    </row>
    <row r="1626" customFormat="false" ht="15" hidden="false" customHeight="false" outlineLevel="0" collapsed="false">
      <c r="A1626" s="0" t="s">
        <v>26</v>
      </c>
      <c r="B1626" s="0" t="s">
        <v>3519</v>
      </c>
      <c r="C1626" s="0" t="s">
        <v>1880</v>
      </c>
      <c r="D1626" s="0" t="n">
        <v>2026</v>
      </c>
    </row>
    <row r="1627" customFormat="false" ht="15" hidden="false" customHeight="false" outlineLevel="0" collapsed="false">
      <c r="A1627" s="0" t="s">
        <v>26</v>
      </c>
      <c r="B1627" s="0" t="s">
        <v>3519</v>
      </c>
      <c r="C1627" s="0" t="s">
        <v>2173</v>
      </c>
      <c r="D1627" s="0" t="n">
        <v>2026</v>
      </c>
    </row>
    <row r="1628" customFormat="false" ht="15" hidden="false" customHeight="false" outlineLevel="0" collapsed="false">
      <c r="A1628" s="0" t="s">
        <v>26</v>
      </c>
      <c r="B1628" s="0" t="s">
        <v>3523</v>
      </c>
      <c r="C1628" s="0" t="s">
        <v>1744</v>
      </c>
      <c r="D1628" s="0" t="n">
        <v>2035</v>
      </c>
    </row>
    <row r="1629" customFormat="false" ht="15" hidden="false" customHeight="false" outlineLevel="0" collapsed="false">
      <c r="A1629" s="0" t="s">
        <v>26</v>
      </c>
      <c r="B1629" s="0" t="s">
        <v>3523</v>
      </c>
      <c r="C1629" s="0" t="s">
        <v>1880</v>
      </c>
      <c r="D1629" s="0" t="n">
        <v>2035</v>
      </c>
    </row>
    <row r="1630" customFormat="false" ht="15" hidden="false" customHeight="false" outlineLevel="0" collapsed="false">
      <c r="A1630" s="0" t="s">
        <v>26</v>
      </c>
      <c r="B1630" s="0" t="s">
        <v>3523</v>
      </c>
      <c r="C1630" s="0" t="s">
        <v>2173</v>
      </c>
      <c r="D1630" s="0" t="n">
        <v>2035</v>
      </c>
    </row>
    <row r="1631" customFormat="false" ht="15" hidden="false" customHeight="false" outlineLevel="0" collapsed="false">
      <c r="A1631" s="0" t="s">
        <v>26</v>
      </c>
      <c r="B1631" s="0" t="s">
        <v>3527</v>
      </c>
      <c r="C1631" s="0" t="s">
        <v>1744</v>
      </c>
      <c r="D1631" s="0" t="n">
        <v>2027</v>
      </c>
    </row>
    <row r="1632" customFormat="false" ht="15" hidden="false" customHeight="false" outlineLevel="0" collapsed="false">
      <c r="A1632" s="0" t="s">
        <v>26</v>
      </c>
      <c r="B1632" s="0" t="s">
        <v>3527</v>
      </c>
      <c r="C1632" s="0" t="s">
        <v>1880</v>
      </c>
      <c r="D1632" s="0" t="n">
        <v>2026</v>
      </c>
    </row>
    <row r="1633" customFormat="false" ht="15" hidden="false" customHeight="false" outlineLevel="0" collapsed="false">
      <c r="A1633" s="0" t="s">
        <v>26</v>
      </c>
      <c r="B1633" s="0" t="s">
        <v>3527</v>
      </c>
      <c r="C1633" s="0" t="s">
        <v>2173</v>
      </c>
      <c r="D1633" s="0" t="n">
        <v>2027</v>
      </c>
    </row>
    <row r="1634" customFormat="false" ht="15" hidden="false" customHeight="false" outlineLevel="0" collapsed="false">
      <c r="A1634" s="0" t="s">
        <v>26</v>
      </c>
      <c r="B1634" s="0" t="s">
        <v>3532</v>
      </c>
      <c r="C1634" s="0" t="s">
        <v>1744</v>
      </c>
      <c r="D1634" s="0" t="n">
        <v>2033</v>
      </c>
    </row>
    <row r="1635" customFormat="false" ht="15" hidden="false" customHeight="false" outlineLevel="0" collapsed="false">
      <c r="A1635" s="0" t="s">
        <v>26</v>
      </c>
      <c r="B1635" s="0" t="s">
        <v>3532</v>
      </c>
      <c r="C1635" s="0" t="s">
        <v>1880</v>
      </c>
      <c r="D1635" s="0" t="n">
        <v>2033</v>
      </c>
    </row>
    <row r="1636" customFormat="false" ht="15" hidden="false" customHeight="false" outlineLevel="0" collapsed="false">
      <c r="A1636" s="0" t="s">
        <v>26</v>
      </c>
      <c r="B1636" s="0" t="s">
        <v>3532</v>
      </c>
      <c r="C1636" s="0" t="s">
        <v>2173</v>
      </c>
      <c r="D1636" s="0" t="n">
        <v>2033</v>
      </c>
    </row>
    <row r="1637" customFormat="false" ht="15" hidden="false" customHeight="false" outlineLevel="0" collapsed="false">
      <c r="A1637" s="0" t="s">
        <v>26</v>
      </c>
      <c r="B1637" s="0" t="s">
        <v>3535</v>
      </c>
      <c r="C1637" s="0" t="s">
        <v>1744</v>
      </c>
      <c r="D1637" s="0" t="n">
        <v>2027</v>
      </c>
    </row>
    <row r="1638" customFormat="false" ht="15" hidden="false" customHeight="false" outlineLevel="0" collapsed="false">
      <c r="A1638" s="0" t="s">
        <v>26</v>
      </c>
      <c r="B1638" s="0" t="s">
        <v>3535</v>
      </c>
      <c r="C1638" s="0" t="s">
        <v>1880</v>
      </c>
      <c r="D1638" s="0" t="n">
        <v>2027</v>
      </c>
    </row>
    <row r="1639" customFormat="false" ht="15" hidden="false" customHeight="false" outlineLevel="0" collapsed="false">
      <c r="A1639" s="0" t="s">
        <v>26</v>
      </c>
      <c r="B1639" s="0" t="s">
        <v>3535</v>
      </c>
      <c r="C1639" s="0" t="s">
        <v>2173</v>
      </c>
      <c r="D1639" s="0" t="n">
        <v>2027</v>
      </c>
    </row>
    <row r="1640" customFormat="false" ht="15" hidden="false" customHeight="false" outlineLevel="0" collapsed="false">
      <c r="A1640" s="0" t="s">
        <v>26</v>
      </c>
      <c r="B1640" s="0" t="s">
        <v>3539</v>
      </c>
      <c r="C1640" s="0" t="s">
        <v>1744</v>
      </c>
      <c r="D1640" s="0" t="n">
        <v>5</v>
      </c>
    </row>
    <row r="1641" customFormat="false" ht="15" hidden="false" customHeight="false" outlineLevel="0" collapsed="false">
      <c r="A1641" s="0" t="s">
        <v>26</v>
      </c>
      <c r="B1641" s="0" t="s">
        <v>3539</v>
      </c>
      <c r="C1641" s="0" t="s">
        <v>1880</v>
      </c>
      <c r="D1641" s="0" t="n">
        <v>3</v>
      </c>
    </row>
    <row r="1642" customFormat="false" ht="15" hidden="false" customHeight="false" outlineLevel="0" collapsed="false">
      <c r="A1642" s="0" t="s">
        <v>26</v>
      </c>
      <c r="B1642" s="0" t="s">
        <v>3539</v>
      </c>
      <c r="C1642" s="0" t="s">
        <v>2173</v>
      </c>
      <c r="D1642" s="0" t="n">
        <v>7</v>
      </c>
    </row>
    <row r="1643" customFormat="false" ht="15" hidden="false" customHeight="false" outlineLevel="0" collapsed="false">
      <c r="A1643" s="0" t="s">
        <v>26</v>
      </c>
      <c r="B1643" s="0" t="s">
        <v>3545</v>
      </c>
      <c r="C1643" s="0" t="s">
        <v>1744</v>
      </c>
      <c r="D1643" s="0" t="n">
        <v>2026</v>
      </c>
    </row>
    <row r="1644" customFormat="false" ht="15" hidden="false" customHeight="false" outlineLevel="0" collapsed="false">
      <c r="A1644" s="0" t="s">
        <v>26</v>
      </c>
      <c r="B1644" s="0" t="s">
        <v>3545</v>
      </c>
      <c r="C1644" s="0" t="s">
        <v>1880</v>
      </c>
      <c r="D1644" s="0" t="n">
        <v>2026</v>
      </c>
    </row>
    <row r="1645" customFormat="false" ht="15" hidden="false" customHeight="false" outlineLevel="0" collapsed="false">
      <c r="A1645" s="0" t="s">
        <v>26</v>
      </c>
      <c r="B1645" s="0" t="s">
        <v>3545</v>
      </c>
      <c r="C1645" s="0" t="s">
        <v>2173</v>
      </c>
      <c r="D1645" s="0" t="n">
        <v>2026</v>
      </c>
    </row>
    <row r="1646" customFormat="false" ht="15" hidden="false" customHeight="false" outlineLevel="0" collapsed="false">
      <c r="A1646" s="0" t="s">
        <v>26</v>
      </c>
      <c r="B1646" s="0" t="s">
        <v>3549</v>
      </c>
      <c r="C1646" s="0" t="s">
        <v>1744</v>
      </c>
      <c r="D1646" s="0" t="n">
        <v>2029</v>
      </c>
    </row>
    <row r="1647" customFormat="false" ht="15" hidden="false" customHeight="false" outlineLevel="0" collapsed="false">
      <c r="A1647" s="0" t="s">
        <v>26</v>
      </c>
      <c r="B1647" s="0" t="s">
        <v>3549</v>
      </c>
      <c r="C1647" s="0" t="s">
        <v>1880</v>
      </c>
      <c r="D1647" s="0" t="n">
        <v>2029</v>
      </c>
    </row>
    <row r="1648" customFormat="false" ht="15" hidden="false" customHeight="false" outlineLevel="0" collapsed="false">
      <c r="A1648" s="0" t="s">
        <v>26</v>
      </c>
      <c r="B1648" s="0" t="s">
        <v>3549</v>
      </c>
      <c r="C1648" s="0" t="s">
        <v>2173</v>
      </c>
      <c r="D1648" s="0" t="n">
        <v>2029</v>
      </c>
    </row>
    <row r="1649" customFormat="false" ht="15" hidden="false" customHeight="false" outlineLevel="0" collapsed="false">
      <c r="A1649" s="0" t="s">
        <v>26</v>
      </c>
      <c r="B1649" s="0" t="s">
        <v>3552</v>
      </c>
      <c r="C1649" s="0" t="s">
        <v>1744</v>
      </c>
      <c r="D1649" s="0" t="n">
        <v>8</v>
      </c>
    </row>
    <row r="1650" customFormat="false" ht="15" hidden="false" customHeight="false" outlineLevel="0" collapsed="false">
      <c r="A1650" s="0" t="s">
        <v>26</v>
      </c>
      <c r="B1650" s="0" t="s">
        <v>3552</v>
      </c>
      <c r="C1650" s="0" t="s">
        <v>1880</v>
      </c>
      <c r="D1650" s="0" t="n">
        <v>8</v>
      </c>
    </row>
    <row r="1651" customFormat="false" ht="15" hidden="false" customHeight="false" outlineLevel="0" collapsed="false">
      <c r="A1651" s="0" t="s">
        <v>26</v>
      </c>
      <c r="B1651" s="0" t="s">
        <v>3552</v>
      </c>
      <c r="C1651" s="0" t="s">
        <v>2173</v>
      </c>
      <c r="D1651" s="0" t="n">
        <v>8</v>
      </c>
    </row>
    <row r="1652" customFormat="false" ht="15" hidden="false" customHeight="false" outlineLevel="0" collapsed="false">
      <c r="A1652" s="0" t="s">
        <v>26</v>
      </c>
      <c r="B1652" s="0" t="s">
        <v>3557</v>
      </c>
      <c r="C1652" s="0" t="s">
        <v>1744</v>
      </c>
      <c r="D1652" s="0" t="n">
        <v>4</v>
      </c>
    </row>
    <row r="1653" customFormat="false" ht="15" hidden="false" customHeight="false" outlineLevel="0" collapsed="false">
      <c r="A1653" s="0" t="s">
        <v>26</v>
      </c>
      <c r="B1653" s="0" t="s">
        <v>3557</v>
      </c>
      <c r="C1653" s="0" t="s">
        <v>1880</v>
      </c>
      <c r="D1653" s="0" t="n">
        <v>4</v>
      </c>
    </row>
    <row r="1654" customFormat="false" ht="15" hidden="false" customHeight="false" outlineLevel="0" collapsed="false">
      <c r="A1654" s="0" t="s">
        <v>26</v>
      </c>
      <c r="B1654" s="0" t="s">
        <v>3557</v>
      </c>
      <c r="C1654" s="0" t="s">
        <v>2173</v>
      </c>
      <c r="D1654" s="0" t="n">
        <v>4</v>
      </c>
    </row>
    <row r="1655" customFormat="false" ht="15" hidden="false" customHeight="false" outlineLevel="0" collapsed="false">
      <c r="A1655" s="0" t="s">
        <v>26</v>
      </c>
      <c r="B1655" s="0" t="s">
        <v>3561</v>
      </c>
      <c r="C1655" s="0" t="s">
        <v>1744</v>
      </c>
      <c r="D1655" s="0" t="n">
        <v>2028</v>
      </c>
    </row>
    <row r="1656" customFormat="false" ht="15" hidden="false" customHeight="false" outlineLevel="0" collapsed="false">
      <c r="A1656" s="0" t="s">
        <v>26</v>
      </c>
      <c r="B1656" s="0" t="s">
        <v>3561</v>
      </c>
      <c r="C1656" s="0" t="s">
        <v>1880</v>
      </c>
      <c r="D1656" s="0" t="n">
        <v>2028</v>
      </c>
    </row>
    <row r="1657" customFormat="false" ht="15" hidden="false" customHeight="false" outlineLevel="0" collapsed="false">
      <c r="A1657" s="0" t="s">
        <v>26</v>
      </c>
      <c r="B1657" s="0" t="s">
        <v>3561</v>
      </c>
      <c r="C1657" s="0" t="s">
        <v>2173</v>
      </c>
      <c r="D1657" s="0" t="n">
        <v>2028</v>
      </c>
    </row>
    <row r="1658" customFormat="false" ht="15" hidden="false" customHeight="false" outlineLevel="0" collapsed="false">
      <c r="A1658" s="0" t="s">
        <v>26</v>
      </c>
      <c r="B1658" s="0" t="s">
        <v>3565</v>
      </c>
      <c r="C1658" s="0" t="s">
        <v>1744</v>
      </c>
      <c r="D1658" s="0" t="n">
        <v>2033</v>
      </c>
    </row>
    <row r="1659" customFormat="false" ht="15" hidden="false" customHeight="false" outlineLevel="0" collapsed="false">
      <c r="A1659" s="0" t="s">
        <v>26</v>
      </c>
      <c r="B1659" s="0" t="s">
        <v>3565</v>
      </c>
      <c r="C1659" s="0" t="s">
        <v>1880</v>
      </c>
      <c r="D1659" s="0" t="n">
        <v>2033</v>
      </c>
    </row>
    <row r="1660" customFormat="false" ht="15" hidden="false" customHeight="false" outlineLevel="0" collapsed="false">
      <c r="A1660" s="0" t="s">
        <v>26</v>
      </c>
      <c r="B1660" s="0" t="s">
        <v>3565</v>
      </c>
      <c r="C1660" s="0" t="s">
        <v>2173</v>
      </c>
      <c r="D1660" s="0" t="n">
        <v>2033</v>
      </c>
    </row>
    <row r="1661" customFormat="false" ht="15" hidden="false" customHeight="false" outlineLevel="0" collapsed="false">
      <c r="A1661" s="0" t="s">
        <v>26</v>
      </c>
      <c r="B1661" s="0" t="s">
        <v>3569</v>
      </c>
      <c r="C1661" s="0" t="s">
        <v>1744</v>
      </c>
      <c r="D1661" s="0" t="n">
        <v>2027</v>
      </c>
    </row>
    <row r="1662" customFormat="false" ht="15" hidden="false" customHeight="false" outlineLevel="0" collapsed="false">
      <c r="A1662" s="0" t="s">
        <v>26</v>
      </c>
      <c r="B1662" s="0" t="s">
        <v>3569</v>
      </c>
      <c r="C1662" s="0" t="s">
        <v>1880</v>
      </c>
      <c r="D1662" s="0" t="n">
        <v>2027</v>
      </c>
    </row>
    <row r="1663" customFormat="false" ht="15" hidden="false" customHeight="false" outlineLevel="0" collapsed="false">
      <c r="A1663" s="0" t="s">
        <v>26</v>
      </c>
      <c r="B1663" s="0" t="s">
        <v>3569</v>
      </c>
      <c r="C1663" s="0" t="s">
        <v>2173</v>
      </c>
      <c r="D1663" s="0" t="n">
        <v>2028</v>
      </c>
    </row>
    <row r="1664" customFormat="false" ht="15" hidden="false" customHeight="false" outlineLevel="0" collapsed="false">
      <c r="A1664" s="0" t="s">
        <v>26</v>
      </c>
      <c r="B1664" s="0" t="s">
        <v>3574</v>
      </c>
      <c r="C1664" s="0" t="s">
        <v>1744</v>
      </c>
      <c r="D1664" s="0" t="n">
        <v>6</v>
      </c>
    </row>
    <row r="1665" customFormat="false" ht="15" hidden="false" customHeight="false" outlineLevel="0" collapsed="false">
      <c r="A1665" s="0" t="s">
        <v>26</v>
      </c>
      <c r="B1665" s="0" t="s">
        <v>3574</v>
      </c>
      <c r="C1665" s="0" t="s">
        <v>1880</v>
      </c>
      <c r="D1665" s="0" t="n">
        <v>4</v>
      </c>
    </row>
    <row r="1666" customFormat="false" ht="15" hidden="false" customHeight="false" outlineLevel="0" collapsed="false">
      <c r="A1666" s="0" t="s">
        <v>26</v>
      </c>
      <c r="B1666" s="0" t="s">
        <v>3574</v>
      </c>
      <c r="C1666" s="0" t="s">
        <v>2173</v>
      </c>
      <c r="D1666" s="0" t="n">
        <v>8</v>
      </c>
    </row>
    <row r="1667" customFormat="false" ht="15" hidden="false" customHeight="false" outlineLevel="0" collapsed="false">
      <c r="A1667" s="0" t="s">
        <v>26</v>
      </c>
      <c r="B1667" s="0" t="s">
        <v>3578</v>
      </c>
      <c r="C1667" s="0" t="s">
        <v>1744</v>
      </c>
      <c r="D1667" s="0" t="n">
        <v>2034</v>
      </c>
    </row>
    <row r="1668" customFormat="false" ht="15" hidden="false" customHeight="false" outlineLevel="0" collapsed="false">
      <c r="A1668" s="0" t="s">
        <v>26</v>
      </c>
      <c r="B1668" s="0" t="s">
        <v>3578</v>
      </c>
      <c r="C1668" s="0" t="s">
        <v>1880</v>
      </c>
      <c r="D1668" s="0" t="n">
        <v>2034</v>
      </c>
    </row>
    <row r="1669" customFormat="false" ht="15" hidden="false" customHeight="false" outlineLevel="0" collapsed="false">
      <c r="A1669" s="0" t="s">
        <v>26</v>
      </c>
      <c r="B1669" s="0" t="s">
        <v>3578</v>
      </c>
      <c r="C1669" s="0" t="s">
        <v>2173</v>
      </c>
      <c r="D1669" s="0" t="n">
        <v>2034</v>
      </c>
    </row>
    <row r="1670" customFormat="false" ht="15" hidden="false" customHeight="false" outlineLevel="0" collapsed="false">
      <c r="A1670" s="0" t="s">
        <v>26</v>
      </c>
      <c r="B1670" s="0" t="s">
        <v>3584</v>
      </c>
      <c r="C1670" s="0" t="s">
        <v>1744</v>
      </c>
      <c r="D1670" s="0" t="n">
        <v>2027</v>
      </c>
    </row>
    <row r="1671" customFormat="false" ht="15" hidden="false" customHeight="false" outlineLevel="0" collapsed="false">
      <c r="A1671" s="0" t="s">
        <v>26</v>
      </c>
      <c r="B1671" s="0" t="s">
        <v>3584</v>
      </c>
      <c r="C1671" s="0" t="s">
        <v>1880</v>
      </c>
      <c r="D1671" s="0" t="n">
        <v>2027</v>
      </c>
    </row>
    <row r="1672" customFormat="false" ht="15" hidden="false" customHeight="false" outlineLevel="0" collapsed="false">
      <c r="A1672" s="0" t="s">
        <v>26</v>
      </c>
      <c r="B1672" s="0" t="s">
        <v>3584</v>
      </c>
      <c r="C1672" s="0" t="s">
        <v>2173</v>
      </c>
      <c r="D1672" s="0" t="n">
        <v>2027</v>
      </c>
    </row>
    <row r="1673" customFormat="false" ht="15" hidden="false" customHeight="false" outlineLevel="0" collapsed="false">
      <c r="A1673" s="0" t="s">
        <v>26</v>
      </c>
      <c r="B1673" s="0" t="s">
        <v>3588</v>
      </c>
      <c r="C1673" s="0" t="s">
        <v>1744</v>
      </c>
      <c r="D1673" s="0" t="n">
        <v>2032</v>
      </c>
    </row>
    <row r="1674" customFormat="false" ht="15" hidden="false" customHeight="false" outlineLevel="0" collapsed="false">
      <c r="A1674" s="0" t="s">
        <v>26</v>
      </c>
      <c r="B1674" s="0" t="s">
        <v>3588</v>
      </c>
      <c r="C1674" s="0" t="s">
        <v>1880</v>
      </c>
      <c r="D1674" s="0" t="n">
        <v>2032</v>
      </c>
    </row>
    <row r="1675" customFormat="false" ht="15" hidden="false" customHeight="false" outlineLevel="0" collapsed="false">
      <c r="A1675" s="0" t="s">
        <v>26</v>
      </c>
      <c r="B1675" s="0" t="s">
        <v>3588</v>
      </c>
      <c r="C1675" s="0" t="s">
        <v>2173</v>
      </c>
      <c r="D1675" s="0" t="n">
        <v>2032</v>
      </c>
    </row>
    <row r="1676" customFormat="false" ht="15" hidden="false" customHeight="false" outlineLevel="0" collapsed="false">
      <c r="A1676" s="0" t="s">
        <v>26</v>
      </c>
      <c r="B1676" s="0" t="s">
        <v>3591</v>
      </c>
      <c r="C1676" s="0" t="s">
        <v>1744</v>
      </c>
      <c r="D1676" s="0" t="n">
        <v>2026</v>
      </c>
    </row>
    <row r="1677" customFormat="false" ht="15" hidden="false" customHeight="false" outlineLevel="0" collapsed="false">
      <c r="A1677" s="0" t="s">
        <v>26</v>
      </c>
      <c r="B1677" s="0" t="s">
        <v>3591</v>
      </c>
      <c r="C1677" s="0" t="s">
        <v>1880</v>
      </c>
      <c r="D1677" s="0" t="n">
        <v>2026</v>
      </c>
    </row>
    <row r="1678" customFormat="false" ht="15" hidden="false" customHeight="false" outlineLevel="0" collapsed="false">
      <c r="A1678" s="0" t="s">
        <v>26</v>
      </c>
      <c r="B1678" s="0" t="s">
        <v>3591</v>
      </c>
      <c r="C1678" s="0" t="s">
        <v>2173</v>
      </c>
      <c r="D1678" s="0" t="n">
        <v>2026</v>
      </c>
    </row>
    <row r="1679" customFormat="false" ht="15" hidden="false" customHeight="false" outlineLevel="0" collapsed="false">
      <c r="A1679" s="0" t="s">
        <v>26</v>
      </c>
      <c r="B1679" s="0" t="s">
        <v>3595</v>
      </c>
      <c r="C1679" s="0" t="s">
        <v>1744</v>
      </c>
      <c r="D1679" s="0" t="n">
        <v>2032</v>
      </c>
    </row>
    <row r="1680" customFormat="false" ht="15" hidden="false" customHeight="false" outlineLevel="0" collapsed="false">
      <c r="A1680" s="0" t="s">
        <v>26</v>
      </c>
      <c r="B1680" s="0" t="s">
        <v>3595</v>
      </c>
      <c r="C1680" s="0" t="s">
        <v>1880</v>
      </c>
      <c r="D1680" s="0" t="n">
        <v>2032</v>
      </c>
    </row>
    <row r="1681" customFormat="false" ht="15" hidden="false" customHeight="false" outlineLevel="0" collapsed="false">
      <c r="A1681" s="0" t="s">
        <v>26</v>
      </c>
      <c r="B1681" s="0" t="s">
        <v>3595</v>
      </c>
      <c r="C1681" s="0" t="s">
        <v>2173</v>
      </c>
      <c r="D1681" s="0" t="n">
        <v>2032</v>
      </c>
    </row>
    <row r="1682" customFormat="false" ht="15" hidden="false" customHeight="false" outlineLevel="0" collapsed="false">
      <c r="A1682" s="0" t="s">
        <v>26</v>
      </c>
      <c r="B1682" s="0" t="s">
        <v>3599</v>
      </c>
      <c r="C1682" s="0" t="s">
        <v>1744</v>
      </c>
      <c r="D1682" s="0" t="n">
        <v>2026</v>
      </c>
    </row>
    <row r="1683" customFormat="false" ht="15" hidden="false" customHeight="false" outlineLevel="0" collapsed="false">
      <c r="A1683" s="0" t="s">
        <v>26</v>
      </c>
      <c r="B1683" s="0" t="s">
        <v>3599</v>
      </c>
      <c r="C1683" s="0" t="s">
        <v>1880</v>
      </c>
      <c r="D1683" s="0" t="n">
        <v>2026</v>
      </c>
    </row>
    <row r="1684" customFormat="false" ht="15" hidden="false" customHeight="false" outlineLevel="0" collapsed="false">
      <c r="A1684" s="0" t="s">
        <v>26</v>
      </c>
      <c r="B1684" s="0" t="s">
        <v>3599</v>
      </c>
      <c r="C1684" s="0" t="s">
        <v>2173</v>
      </c>
      <c r="D1684" s="0" t="n">
        <v>2026</v>
      </c>
    </row>
    <row r="1685" customFormat="false" ht="15" hidden="false" customHeight="false" outlineLevel="0" collapsed="false">
      <c r="A1685" s="0" t="s">
        <v>26</v>
      </c>
      <c r="B1685" s="0" t="s">
        <v>3604</v>
      </c>
      <c r="C1685" s="0" t="s">
        <v>1744</v>
      </c>
      <c r="D1685" s="0" t="n">
        <v>3</v>
      </c>
    </row>
    <row r="1686" customFormat="false" ht="15" hidden="false" customHeight="false" outlineLevel="0" collapsed="false">
      <c r="A1686" s="0" t="s">
        <v>26</v>
      </c>
      <c r="B1686" s="0" t="s">
        <v>3604</v>
      </c>
      <c r="C1686" s="0" t="s">
        <v>1880</v>
      </c>
      <c r="D1686" s="0" t="n">
        <v>2</v>
      </c>
    </row>
    <row r="1687" customFormat="false" ht="15" hidden="false" customHeight="false" outlineLevel="0" collapsed="false">
      <c r="A1687" s="0" t="s">
        <v>26</v>
      </c>
      <c r="B1687" s="0" t="s">
        <v>3604</v>
      </c>
      <c r="C1687" s="0" t="s">
        <v>2173</v>
      </c>
      <c r="D1687" s="0" t="n">
        <v>5</v>
      </c>
    </row>
    <row r="1688" customFormat="false" ht="15" hidden="false" customHeight="false" outlineLevel="0" collapsed="false">
      <c r="A1688" s="0" t="s">
        <v>26</v>
      </c>
      <c r="B1688" s="0" t="s">
        <v>3610</v>
      </c>
      <c r="C1688" s="0" t="s">
        <v>1744</v>
      </c>
      <c r="D1688" s="0" t="n">
        <v>1</v>
      </c>
    </row>
    <row r="1689" customFormat="false" ht="15" hidden="false" customHeight="false" outlineLevel="0" collapsed="false">
      <c r="A1689" s="0" t="s">
        <v>26</v>
      </c>
      <c r="B1689" s="0" t="s">
        <v>3610</v>
      </c>
      <c r="C1689" s="0" t="s">
        <v>1880</v>
      </c>
      <c r="D1689" s="0" t="n">
        <v>1</v>
      </c>
    </row>
    <row r="1690" customFormat="false" ht="15" hidden="false" customHeight="false" outlineLevel="0" collapsed="false">
      <c r="A1690" s="0" t="s">
        <v>26</v>
      </c>
      <c r="B1690" s="0" t="s">
        <v>3610</v>
      </c>
      <c r="C1690" s="0" t="s">
        <v>2173</v>
      </c>
      <c r="D1690" s="0" t="n">
        <v>2</v>
      </c>
    </row>
    <row r="1691" customFormat="false" ht="15" hidden="false" customHeight="false" outlineLevel="0" collapsed="false">
      <c r="A1691" s="0" t="s">
        <v>26</v>
      </c>
      <c r="B1691" s="0" t="s">
        <v>3615</v>
      </c>
      <c r="C1691" s="0" t="s">
        <v>1744</v>
      </c>
      <c r="D1691" s="0" t="n">
        <v>0.25</v>
      </c>
    </row>
    <row r="1692" customFormat="false" ht="15" hidden="false" customHeight="false" outlineLevel="0" collapsed="false">
      <c r="A1692" s="0" t="s">
        <v>26</v>
      </c>
      <c r="B1692" s="0" t="s">
        <v>3615</v>
      </c>
      <c r="C1692" s="0" t="s">
        <v>1880</v>
      </c>
      <c r="D1692" s="0" t="n">
        <v>0.25</v>
      </c>
    </row>
    <row r="1693" customFormat="false" ht="15" hidden="false" customHeight="false" outlineLevel="0" collapsed="false">
      <c r="A1693" s="0" t="s">
        <v>26</v>
      </c>
      <c r="B1693" s="0" t="s">
        <v>3615</v>
      </c>
      <c r="C1693" s="0" t="s">
        <v>2173</v>
      </c>
      <c r="D1693" s="0" t="n">
        <v>0.25</v>
      </c>
    </row>
    <row r="1694" customFormat="false" ht="15" hidden="false" customHeight="false" outlineLevel="0" collapsed="false">
      <c r="A1694" s="0" t="s">
        <v>26</v>
      </c>
      <c r="B1694" s="0" t="s">
        <v>3619</v>
      </c>
      <c r="C1694" s="0" t="s">
        <v>1744</v>
      </c>
      <c r="D1694" s="0" t="n">
        <v>0.25</v>
      </c>
    </row>
    <row r="1695" customFormat="false" ht="15" hidden="false" customHeight="false" outlineLevel="0" collapsed="false">
      <c r="A1695" s="0" t="s">
        <v>26</v>
      </c>
      <c r="B1695" s="0" t="s">
        <v>3619</v>
      </c>
      <c r="C1695" s="0" t="s">
        <v>1880</v>
      </c>
      <c r="D1695" s="0" t="n">
        <v>0.25</v>
      </c>
    </row>
    <row r="1696" customFormat="false" ht="15" hidden="false" customHeight="false" outlineLevel="0" collapsed="false">
      <c r="A1696" s="0" t="s">
        <v>26</v>
      </c>
      <c r="B1696" s="0" t="s">
        <v>3619</v>
      </c>
      <c r="C1696" s="0" t="s">
        <v>2173</v>
      </c>
      <c r="D1696" s="0" t="n">
        <v>0.25</v>
      </c>
    </row>
    <row r="1697" customFormat="false" ht="15" hidden="false" customHeight="false" outlineLevel="0" collapsed="false">
      <c r="A1697" s="0" t="s">
        <v>26</v>
      </c>
      <c r="B1697" s="0" t="s">
        <v>3623</v>
      </c>
      <c r="C1697" s="0" t="s">
        <v>1744</v>
      </c>
      <c r="D1697" s="0" t="n">
        <v>0.8</v>
      </c>
    </row>
    <row r="1698" customFormat="false" ht="15" hidden="false" customHeight="false" outlineLevel="0" collapsed="false">
      <c r="A1698" s="0" t="s">
        <v>26</v>
      </c>
      <c r="B1698" s="0" t="s">
        <v>3623</v>
      </c>
      <c r="C1698" s="0" t="s">
        <v>1880</v>
      </c>
      <c r="D1698" s="0" t="n">
        <v>0.5</v>
      </c>
    </row>
    <row r="1699" customFormat="false" ht="15" hidden="false" customHeight="false" outlineLevel="0" collapsed="false">
      <c r="A1699" s="0" t="s">
        <v>26</v>
      </c>
      <c r="B1699" s="0" t="s">
        <v>3623</v>
      </c>
      <c r="C1699" s="0" t="s">
        <v>2173</v>
      </c>
      <c r="D1699" s="0" t="n">
        <v>1.2</v>
      </c>
    </row>
    <row r="1700" customFormat="false" ht="15" hidden="false" customHeight="false" outlineLevel="0" collapsed="false">
      <c r="A1700" s="0" t="s">
        <v>26</v>
      </c>
      <c r="B1700" s="0" t="s">
        <v>3629</v>
      </c>
      <c r="C1700" s="0" t="s">
        <v>1744</v>
      </c>
      <c r="D1700" s="0" t="n">
        <v>0.3</v>
      </c>
    </row>
    <row r="1701" customFormat="false" ht="15" hidden="false" customHeight="false" outlineLevel="0" collapsed="false">
      <c r="A1701" s="0" t="s">
        <v>26</v>
      </c>
      <c r="B1701" s="0" t="s">
        <v>3629</v>
      </c>
      <c r="C1701" s="0" t="s">
        <v>1880</v>
      </c>
      <c r="D1701" s="0" t="n">
        <v>0.1</v>
      </c>
    </row>
    <row r="1702" customFormat="false" ht="15" hidden="false" customHeight="false" outlineLevel="0" collapsed="false">
      <c r="A1702" s="0" t="s">
        <v>26</v>
      </c>
      <c r="B1702" s="0" t="s">
        <v>3629</v>
      </c>
      <c r="C1702" s="0" t="s">
        <v>2173</v>
      </c>
      <c r="D1702" s="0" t="n">
        <v>0.5</v>
      </c>
    </row>
    <row r="1703" customFormat="false" ht="15" hidden="false" customHeight="false" outlineLevel="0" collapsed="false">
      <c r="A1703" s="0" t="s">
        <v>26</v>
      </c>
      <c r="B1703" s="0" t="s">
        <v>3632</v>
      </c>
      <c r="C1703" s="0" t="s">
        <v>1744</v>
      </c>
      <c r="D1703" s="0" t="n">
        <v>0.2</v>
      </c>
    </row>
    <row r="1704" customFormat="false" ht="15" hidden="false" customHeight="false" outlineLevel="0" collapsed="false">
      <c r="A1704" s="0" t="s">
        <v>26</v>
      </c>
      <c r="B1704" s="0" t="s">
        <v>3632</v>
      </c>
      <c r="C1704" s="0" t="s">
        <v>1880</v>
      </c>
      <c r="D1704" s="0" t="n">
        <v>0.05</v>
      </c>
    </row>
    <row r="1705" customFormat="false" ht="15" hidden="false" customHeight="false" outlineLevel="0" collapsed="false">
      <c r="A1705" s="0" t="s">
        <v>26</v>
      </c>
      <c r="B1705" s="0" t="s">
        <v>3632</v>
      </c>
      <c r="C1705" s="0" t="s">
        <v>2173</v>
      </c>
      <c r="D1705" s="0" t="n">
        <v>0.35</v>
      </c>
    </row>
    <row r="1706" customFormat="false" ht="15" hidden="false" customHeight="false" outlineLevel="0" collapsed="false">
      <c r="A1706" s="0" t="s">
        <v>26</v>
      </c>
      <c r="B1706" s="0" t="s">
        <v>3635</v>
      </c>
      <c r="C1706" s="0" t="s">
        <v>1744</v>
      </c>
      <c r="D1706" s="0" t="n">
        <v>0.15</v>
      </c>
    </row>
    <row r="1707" customFormat="false" ht="15" hidden="false" customHeight="false" outlineLevel="0" collapsed="false">
      <c r="A1707" s="0" t="s">
        <v>26</v>
      </c>
      <c r="B1707" s="0" t="s">
        <v>3635</v>
      </c>
      <c r="C1707" s="0" t="s">
        <v>1880</v>
      </c>
      <c r="D1707" s="0" t="n">
        <v>0</v>
      </c>
    </row>
    <row r="1708" customFormat="false" ht="15" hidden="false" customHeight="false" outlineLevel="0" collapsed="false">
      <c r="A1708" s="0" t="s">
        <v>26</v>
      </c>
      <c r="B1708" s="0" t="s">
        <v>3635</v>
      </c>
      <c r="C1708" s="0" t="s">
        <v>2173</v>
      </c>
      <c r="D1708" s="0" t="n">
        <v>0.3</v>
      </c>
    </row>
    <row r="1709" customFormat="false" ht="15" hidden="false" customHeight="false" outlineLevel="0" collapsed="false">
      <c r="A1709" s="0" t="s">
        <v>26</v>
      </c>
      <c r="B1709" s="0" t="s">
        <v>3638</v>
      </c>
      <c r="C1709" s="0" t="s">
        <v>1744</v>
      </c>
      <c r="D1709" s="0" t="n">
        <v>0.1</v>
      </c>
    </row>
    <row r="1710" customFormat="false" ht="15" hidden="false" customHeight="false" outlineLevel="0" collapsed="false">
      <c r="A1710" s="0" t="s">
        <v>26</v>
      </c>
      <c r="B1710" s="0" t="s">
        <v>3638</v>
      </c>
      <c r="C1710" s="0" t="s">
        <v>1880</v>
      </c>
      <c r="D1710" s="0" t="n">
        <v>0</v>
      </c>
    </row>
    <row r="1711" customFormat="false" ht="15" hidden="false" customHeight="false" outlineLevel="0" collapsed="false">
      <c r="A1711" s="0" t="s">
        <v>26</v>
      </c>
      <c r="B1711" s="0" t="s">
        <v>3638</v>
      </c>
      <c r="C1711" s="0" t="s">
        <v>2173</v>
      </c>
      <c r="D1711" s="0" t="n">
        <v>0.25</v>
      </c>
    </row>
    <row r="1712" customFormat="false" ht="15" hidden="false" customHeight="false" outlineLevel="0" collapsed="false">
      <c r="A1712" s="0" t="s">
        <v>26</v>
      </c>
      <c r="B1712" s="0" t="s">
        <v>3641</v>
      </c>
      <c r="C1712" s="0" t="s">
        <v>1744</v>
      </c>
      <c r="D1712" s="0" t="n">
        <v>0.03</v>
      </c>
    </row>
    <row r="1713" customFormat="false" ht="15" hidden="false" customHeight="false" outlineLevel="0" collapsed="false">
      <c r="A1713" s="0" t="s">
        <v>26</v>
      </c>
      <c r="B1713" s="0" t="s">
        <v>3641</v>
      </c>
      <c r="C1713" s="0" t="s">
        <v>1880</v>
      </c>
      <c r="D1713" s="0" t="n">
        <v>0</v>
      </c>
    </row>
    <row r="1714" customFormat="false" ht="15" hidden="false" customHeight="false" outlineLevel="0" collapsed="false">
      <c r="A1714" s="0" t="s">
        <v>26</v>
      </c>
      <c r="B1714" s="0" t="s">
        <v>3641</v>
      </c>
      <c r="C1714" s="0" t="s">
        <v>2173</v>
      </c>
      <c r="D1714" s="0" t="n">
        <v>0.08</v>
      </c>
    </row>
    <row r="1715" customFormat="false" ht="15" hidden="false" customHeight="false" outlineLevel="0" collapsed="false">
      <c r="A1715" s="0" t="s">
        <v>26</v>
      </c>
      <c r="B1715" s="0" t="s">
        <v>3645</v>
      </c>
      <c r="C1715" s="0" t="s">
        <v>1744</v>
      </c>
      <c r="D1715" s="0" t="n">
        <v>0.8</v>
      </c>
    </row>
    <row r="1716" customFormat="false" ht="15" hidden="false" customHeight="false" outlineLevel="0" collapsed="false">
      <c r="A1716" s="0" t="s">
        <v>26</v>
      </c>
      <c r="B1716" s="0" t="s">
        <v>3645</v>
      </c>
      <c r="C1716" s="0" t="s">
        <v>1880</v>
      </c>
      <c r="D1716" s="0" t="n">
        <v>0.4</v>
      </c>
    </row>
    <row r="1717" customFormat="false" ht="15" hidden="false" customHeight="false" outlineLevel="0" collapsed="false">
      <c r="A1717" s="0" t="s">
        <v>26</v>
      </c>
      <c r="B1717" s="0" t="s">
        <v>3645</v>
      </c>
      <c r="C1717" s="0" t="s">
        <v>2173</v>
      </c>
      <c r="D1717" s="0" t="n">
        <v>1.1</v>
      </c>
    </row>
    <row r="1718" customFormat="false" ht="15" hidden="false" customHeight="false" outlineLevel="0" collapsed="false">
      <c r="A1718" s="0" t="s">
        <v>26</v>
      </c>
      <c r="B1718" s="0" t="s">
        <v>3652</v>
      </c>
      <c r="C1718" s="0" t="s">
        <v>1744</v>
      </c>
      <c r="D1718" s="0" t="n">
        <v>0</v>
      </c>
    </row>
    <row r="1719" customFormat="false" ht="15" hidden="false" customHeight="false" outlineLevel="0" collapsed="false">
      <c r="A1719" s="0" t="s">
        <v>26</v>
      </c>
      <c r="B1719" s="0" t="s">
        <v>3652</v>
      </c>
      <c r="C1719" s="0" t="s">
        <v>1880</v>
      </c>
      <c r="D1719" s="0" t="n">
        <v>-0.2</v>
      </c>
    </row>
    <row r="1720" customFormat="false" ht="15" hidden="false" customHeight="false" outlineLevel="0" collapsed="false">
      <c r="A1720" s="0" t="s">
        <v>26</v>
      </c>
      <c r="B1720" s="0" t="s">
        <v>3652</v>
      </c>
      <c r="C1720" s="0" t="s">
        <v>2173</v>
      </c>
      <c r="D1720" s="0" t="n">
        <v>0.2</v>
      </c>
    </row>
    <row r="1721" customFormat="false" ht="15" hidden="false" customHeight="false" outlineLevel="0" collapsed="false">
      <c r="A1721" s="0" t="s">
        <v>26</v>
      </c>
      <c r="B1721" s="0" t="s">
        <v>3656</v>
      </c>
      <c r="C1721" s="0" t="s">
        <v>1744</v>
      </c>
      <c r="D1721" s="0" t="n">
        <v>4</v>
      </c>
    </row>
    <row r="1722" customFormat="false" ht="15" hidden="false" customHeight="false" outlineLevel="0" collapsed="false">
      <c r="A1722" s="0" t="s">
        <v>26</v>
      </c>
      <c r="B1722" s="0" t="s">
        <v>3656</v>
      </c>
      <c r="C1722" s="0" t="s">
        <v>1880</v>
      </c>
      <c r="D1722" s="0" t="n">
        <v>4</v>
      </c>
    </row>
    <row r="1723" customFormat="false" ht="15" hidden="false" customHeight="false" outlineLevel="0" collapsed="false">
      <c r="A1723" s="0" t="s">
        <v>26</v>
      </c>
      <c r="B1723" s="0" t="s">
        <v>3656</v>
      </c>
      <c r="C1723" s="0" t="s">
        <v>2173</v>
      </c>
      <c r="D1723" s="0" t="n">
        <v>4</v>
      </c>
    </row>
    <row r="1724" customFormat="false" ht="15" hidden="false" customHeight="false" outlineLevel="0" collapsed="false">
      <c r="A1724" s="0" t="s">
        <v>26</v>
      </c>
      <c r="B1724" s="0" t="s">
        <v>3661</v>
      </c>
      <c r="C1724" s="0" t="s">
        <v>1744</v>
      </c>
      <c r="D1724" s="0" t="n">
        <v>6</v>
      </c>
    </row>
    <row r="1725" customFormat="false" ht="15" hidden="false" customHeight="false" outlineLevel="0" collapsed="false">
      <c r="A1725" s="0" t="s">
        <v>26</v>
      </c>
      <c r="B1725" s="0" t="s">
        <v>3661</v>
      </c>
      <c r="C1725" s="0" t="s">
        <v>1880</v>
      </c>
      <c r="D1725" s="0" t="n">
        <v>3</v>
      </c>
    </row>
    <row r="1726" customFormat="false" ht="15" hidden="false" customHeight="false" outlineLevel="0" collapsed="false">
      <c r="A1726" s="0" t="s">
        <v>26</v>
      </c>
      <c r="B1726" s="0" t="s">
        <v>3661</v>
      </c>
      <c r="C1726" s="0" t="s">
        <v>2173</v>
      </c>
      <c r="D1726" s="0" t="n">
        <v>12</v>
      </c>
    </row>
    <row r="1727" customFormat="false" ht="15" hidden="false" customHeight="false" outlineLevel="0" collapsed="false">
      <c r="A1727" s="0" t="s">
        <v>26</v>
      </c>
      <c r="B1727" s="0" t="s">
        <v>3667</v>
      </c>
      <c r="C1727" s="0" t="s">
        <v>1744</v>
      </c>
      <c r="D1727" s="0" t="n">
        <v>1</v>
      </c>
    </row>
    <row r="1728" customFormat="false" ht="15" hidden="false" customHeight="false" outlineLevel="0" collapsed="false">
      <c r="A1728" s="0" t="s">
        <v>26</v>
      </c>
      <c r="B1728" s="0" t="s">
        <v>3667</v>
      </c>
      <c r="C1728" s="0" t="s">
        <v>1880</v>
      </c>
      <c r="D1728" s="0" t="n">
        <v>0</v>
      </c>
    </row>
    <row r="1729" customFormat="false" ht="15" hidden="false" customHeight="false" outlineLevel="0" collapsed="false">
      <c r="A1729" s="0" t="s">
        <v>26</v>
      </c>
      <c r="B1729" s="0" t="s">
        <v>3667</v>
      </c>
      <c r="C1729" s="0" t="s">
        <v>2173</v>
      </c>
      <c r="D1729" s="0" t="n">
        <v>1</v>
      </c>
    </row>
    <row r="1730" customFormat="false" ht="15" hidden="false" customHeight="false" outlineLevel="0" collapsed="false">
      <c r="A1730" s="0" t="s">
        <v>26</v>
      </c>
      <c r="B1730" s="0" t="s">
        <v>3672</v>
      </c>
      <c r="C1730" s="0" t="s">
        <v>1744</v>
      </c>
      <c r="D1730" s="0" t="n">
        <v>0</v>
      </c>
    </row>
    <row r="1731" customFormat="false" ht="15" hidden="false" customHeight="false" outlineLevel="0" collapsed="false">
      <c r="A1731" s="0" t="s">
        <v>26</v>
      </c>
      <c r="B1731" s="0" t="s">
        <v>3672</v>
      </c>
      <c r="C1731" s="0" t="s">
        <v>1880</v>
      </c>
      <c r="D1731" s="0" t="n">
        <v>0</v>
      </c>
    </row>
    <row r="1732" customFormat="false" ht="15" hidden="false" customHeight="false" outlineLevel="0" collapsed="false">
      <c r="A1732" s="0" t="s">
        <v>26</v>
      </c>
      <c r="B1732" s="0" t="s">
        <v>3672</v>
      </c>
      <c r="C1732" s="0" t="s">
        <v>2173</v>
      </c>
      <c r="D1732" s="0" t="n">
        <v>1</v>
      </c>
    </row>
    <row r="1733" customFormat="false" ht="15" hidden="false" customHeight="false" outlineLevel="0" collapsed="false">
      <c r="A1733" s="0" t="s">
        <v>26</v>
      </c>
      <c r="B1733" s="0" t="s">
        <v>3677</v>
      </c>
      <c r="C1733" s="0" t="s">
        <v>1744</v>
      </c>
      <c r="D1733" s="0" t="n">
        <v>0</v>
      </c>
    </row>
    <row r="1734" customFormat="false" ht="15" hidden="false" customHeight="false" outlineLevel="0" collapsed="false">
      <c r="A1734" s="0" t="s">
        <v>26</v>
      </c>
      <c r="B1734" s="0" t="s">
        <v>3677</v>
      </c>
      <c r="C1734" s="0" t="s">
        <v>1880</v>
      </c>
      <c r="D1734" s="0" t="n">
        <v>0</v>
      </c>
    </row>
    <row r="1735" customFormat="false" ht="15" hidden="false" customHeight="false" outlineLevel="0" collapsed="false">
      <c r="A1735" s="0" t="s">
        <v>26</v>
      </c>
      <c r="B1735" s="0" t="s">
        <v>3677</v>
      </c>
      <c r="C1735" s="0" t="s">
        <v>2173</v>
      </c>
      <c r="D1735" s="0" t="n">
        <v>1</v>
      </c>
    </row>
    <row r="1736" customFormat="false" ht="15" hidden="false" customHeight="false" outlineLevel="0" collapsed="false">
      <c r="A1736" s="0" t="s">
        <v>26</v>
      </c>
      <c r="B1736" s="0" t="s">
        <v>3681</v>
      </c>
      <c r="C1736" s="0" t="s">
        <v>1744</v>
      </c>
      <c r="D1736" s="0" t="n">
        <v>0</v>
      </c>
    </row>
    <row r="1737" customFormat="false" ht="15" hidden="false" customHeight="false" outlineLevel="0" collapsed="false">
      <c r="A1737" s="0" t="s">
        <v>26</v>
      </c>
      <c r="B1737" s="0" t="s">
        <v>3681</v>
      </c>
      <c r="C1737" s="0" t="s">
        <v>1880</v>
      </c>
      <c r="D1737" s="0" t="n">
        <v>0</v>
      </c>
    </row>
    <row r="1738" customFormat="false" ht="15" hidden="false" customHeight="false" outlineLevel="0" collapsed="false">
      <c r="A1738" s="0" t="s">
        <v>26</v>
      </c>
      <c r="B1738" s="0" t="s">
        <v>3681</v>
      </c>
      <c r="C1738" s="0" t="s">
        <v>2173</v>
      </c>
      <c r="D1738" s="0" t="n">
        <v>1</v>
      </c>
    </row>
    <row r="1739" customFormat="false" ht="15" hidden="false" customHeight="false" outlineLevel="0" collapsed="false">
      <c r="A1739" s="0" t="s">
        <v>26</v>
      </c>
      <c r="B1739" s="0" t="s">
        <v>3686</v>
      </c>
      <c r="C1739" s="0" t="s">
        <v>1744</v>
      </c>
      <c r="D1739" s="0" t="n">
        <v>2026</v>
      </c>
    </row>
    <row r="1740" customFormat="false" ht="15" hidden="false" customHeight="false" outlineLevel="0" collapsed="false">
      <c r="A1740" s="0" t="s">
        <v>26</v>
      </c>
      <c r="B1740" s="0" t="s">
        <v>3686</v>
      </c>
      <c r="C1740" s="0" t="s">
        <v>1880</v>
      </c>
      <c r="D1740" s="0" t="n">
        <v>2026</v>
      </c>
    </row>
    <row r="1741" customFormat="false" ht="15" hidden="false" customHeight="false" outlineLevel="0" collapsed="false">
      <c r="A1741" s="0" t="s">
        <v>26</v>
      </c>
      <c r="B1741" s="0" t="s">
        <v>3686</v>
      </c>
      <c r="C1741" s="0" t="s">
        <v>2173</v>
      </c>
      <c r="D1741" s="0" t="n">
        <v>2027</v>
      </c>
    </row>
    <row r="1742" customFormat="false" ht="15" hidden="false" customHeight="false" outlineLevel="0" collapsed="false">
      <c r="A1742" s="0" t="s">
        <v>26</v>
      </c>
      <c r="B1742" s="0" t="s">
        <v>3692</v>
      </c>
      <c r="C1742" s="0" t="s">
        <v>1744</v>
      </c>
      <c r="D1742" s="0" t="n">
        <v>2027</v>
      </c>
    </row>
    <row r="1743" customFormat="false" ht="15" hidden="false" customHeight="false" outlineLevel="0" collapsed="false">
      <c r="A1743" s="0" t="s">
        <v>26</v>
      </c>
      <c r="B1743" s="0" t="s">
        <v>3692</v>
      </c>
      <c r="C1743" s="0" t="s">
        <v>1880</v>
      </c>
      <c r="D1743" s="0" t="n">
        <v>2026</v>
      </c>
    </row>
    <row r="1744" customFormat="false" ht="15" hidden="false" customHeight="false" outlineLevel="0" collapsed="false">
      <c r="A1744" s="0" t="s">
        <v>26</v>
      </c>
      <c r="B1744" s="0" t="s">
        <v>3692</v>
      </c>
      <c r="C1744" s="0" t="s">
        <v>2173</v>
      </c>
      <c r="D1744" s="0" t="n">
        <v>2028</v>
      </c>
    </row>
    <row r="1745" customFormat="false" ht="15" hidden="false" customHeight="false" outlineLevel="0" collapsed="false">
      <c r="A1745" s="0" t="s">
        <v>26</v>
      </c>
      <c r="B1745" s="0" t="s">
        <v>3697</v>
      </c>
      <c r="C1745" s="0" t="s">
        <v>1744</v>
      </c>
      <c r="D1745" s="0" t="n">
        <v>2027</v>
      </c>
    </row>
    <row r="1746" customFormat="false" ht="15" hidden="false" customHeight="false" outlineLevel="0" collapsed="false">
      <c r="A1746" s="0" t="s">
        <v>26</v>
      </c>
      <c r="B1746" s="0" t="s">
        <v>3697</v>
      </c>
      <c r="C1746" s="0" t="s">
        <v>1880</v>
      </c>
      <c r="D1746" s="0" t="n">
        <v>2027</v>
      </c>
    </row>
    <row r="1747" customFormat="false" ht="15" hidden="false" customHeight="false" outlineLevel="0" collapsed="false">
      <c r="A1747" s="0" t="s">
        <v>26</v>
      </c>
      <c r="B1747" s="0" t="s">
        <v>3697</v>
      </c>
      <c r="C1747" s="0" t="s">
        <v>2173</v>
      </c>
      <c r="D1747" s="0" t="n">
        <v>2028</v>
      </c>
    </row>
    <row r="1748" customFormat="false" ht="15" hidden="false" customHeight="false" outlineLevel="0" collapsed="false">
      <c r="A1748" s="0" t="s">
        <v>26</v>
      </c>
      <c r="B1748" s="0" t="s">
        <v>3701</v>
      </c>
      <c r="C1748" s="0" t="s">
        <v>1744</v>
      </c>
      <c r="D1748" s="0" t="n">
        <v>2026</v>
      </c>
    </row>
    <row r="1749" customFormat="false" ht="15" hidden="false" customHeight="false" outlineLevel="0" collapsed="false">
      <c r="A1749" s="0" t="s">
        <v>26</v>
      </c>
      <c r="B1749" s="0" t="s">
        <v>3701</v>
      </c>
      <c r="C1749" s="0" t="s">
        <v>1880</v>
      </c>
      <c r="D1749" s="0" t="n">
        <v>2026</v>
      </c>
    </row>
    <row r="1750" customFormat="false" ht="15" hidden="false" customHeight="false" outlineLevel="0" collapsed="false">
      <c r="A1750" s="0" t="s">
        <v>26</v>
      </c>
      <c r="B1750" s="0" t="s">
        <v>3701</v>
      </c>
      <c r="C1750" s="0" t="s">
        <v>2173</v>
      </c>
      <c r="D1750" s="0" t="n">
        <v>2027</v>
      </c>
    </row>
    <row r="1751" customFormat="false" ht="15" hidden="false" customHeight="false" outlineLevel="0" collapsed="false">
      <c r="A1751" s="0" t="s">
        <v>26</v>
      </c>
      <c r="B1751" s="0" t="s">
        <v>3707</v>
      </c>
      <c r="C1751" s="0" t="s">
        <v>1744</v>
      </c>
      <c r="D1751" s="0" t="n">
        <v>2027</v>
      </c>
    </row>
    <row r="1752" customFormat="false" ht="15" hidden="false" customHeight="false" outlineLevel="0" collapsed="false">
      <c r="A1752" s="0" t="s">
        <v>26</v>
      </c>
      <c r="B1752" s="0" t="s">
        <v>3707</v>
      </c>
      <c r="C1752" s="0" t="s">
        <v>1880</v>
      </c>
      <c r="D1752" s="0" t="n">
        <v>2026</v>
      </c>
    </row>
    <row r="1753" customFormat="false" ht="15" hidden="false" customHeight="false" outlineLevel="0" collapsed="false">
      <c r="A1753" s="0" t="s">
        <v>26</v>
      </c>
      <c r="B1753" s="0" t="s">
        <v>3707</v>
      </c>
      <c r="C1753" s="0" t="s">
        <v>2173</v>
      </c>
      <c r="D1753" s="0" t="n">
        <v>2028</v>
      </c>
    </row>
    <row r="1754" customFormat="false" ht="15" hidden="false" customHeight="false" outlineLevel="0" collapsed="false">
      <c r="A1754" s="0" t="s">
        <v>26</v>
      </c>
      <c r="B1754" s="0" t="s">
        <v>3711</v>
      </c>
      <c r="C1754" s="0" t="s">
        <v>1744</v>
      </c>
      <c r="D1754" s="0" t="n">
        <v>2028</v>
      </c>
    </row>
    <row r="1755" customFormat="false" ht="15" hidden="false" customHeight="false" outlineLevel="0" collapsed="false">
      <c r="A1755" s="0" t="s">
        <v>26</v>
      </c>
      <c r="B1755" s="0" t="s">
        <v>3711</v>
      </c>
      <c r="C1755" s="0" t="s">
        <v>1880</v>
      </c>
      <c r="D1755" s="0" t="n">
        <v>2027</v>
      </c>
    </row>
    <row r="1756" customFormat="false" ht="15" hidden="false" customHeight="false" outlineLevel="0" collapsed="false">
      <c r="A1756" s="0" t="s">
        <v>26</v>
      </c>
      <c r="B1756" s="0" t="s">
        <v>3711</v>
      </c>
      <c r="C1756" s="0" t="s">
        <v>2173</v>
      </c>
      <c r="D1756" s="0" t="n">
        <v>2029</v>
      </c>
    </row>
    <row r="1757" customFormat="false" ht="15" hidden="false" customHeight="false" outlineLevel="0" collapsed="false">
      <c r="A1757" s="0" t="s">
        <v>26</v>
      </c>
      <c r="B1757" s="0" t="s">
        <v>3717</v>
      </c>
      <c r="C1757" s="0" t="s">
        <v>1744</v>
      </c>
      <c r="D1757" s="0" t="n">
        <v>20</v>
      </c>
    </row>
    <row r="1758" customFormat="false" ht="15" hidden="false" customHeight="false" outlineLevel="0" collapsed="false">
      <c r="A1758" s="0" t="s">
        <v>26</v>
      </c>
      <c r="B1758" s="0" t="s">
        <v>3717</v>
      </c>
      <c r="C1758" s="0" t="s">
        <v>1880</v>
      </c>
      <c r="D1758" s="0" t="n">
        <v>20</v>
      </c>
    </row>
    <row r="1759" customFormat="false" ht="15" hidden="false" customHeight="false" outlineLevel="0" collapsed="false">
      <c r="A1759" s="0" t="s">
        <v>26</v>
      </c>
      <c r="B1759" s="0" t="s">
        <v>3717</v>
      </c>
      <c r="C1759" s="0" t="s">
        <v>2173</v>
      </c>
      <c r="D1759" s="0" t="n">
        <v>20</v>
      </c>
    </row>
    <row r="1760" customFormat="false" ht="15" hidden="false" customHeight="false" outlineLevel="0" collapsed="false">
      <c r="A1760" s="0" t="s">
        <v>26</v>
      </c>
      <c r="B1760" s="0" t="s">
        <v>3722</v>
      </c>
      <c r="C1760" s="0" t="s">
        <v>1744</v>
      </c>
      <c r="D1760" s="0" t="n">
        <v>20</v>
      </c>
    </row>
    <row r="1761" customFormat="false" ht="15" hidden="false" customHeight="false" outlineLevel="0" collapsed="false">
      <c r="A1761" s="0" t="s">
        <v>26</v>
      </c>
      <c r="B1761" s="0" t="s">
        <v>3722</v>
      </c>
      <c r="C1761" s="0" t="s">
        <v>1880</v>
      </c>
      <c r="D1761" s="0" t="n">
        <v>20</v>
      </c>
    </row>
    <row r="1762" customFormat="false" ht="15" hidden="false" customHeight="false" outlineLevel="0" collapsed="false">
      <c r="A1762" s="0" t="s">
        <v>26</v>
      </c>
      <c r="B1762" s="0" t="s">
        <v>3722</v>
      </c>
      <c r="C1762" s="0" t="s">
        <v>2173</v>
      </c>
      <c r="D1762" s="0" t="n">
        <v>20</v>
      </c>
    </row>
    <row r="1763" customFormat="false" ht="15" hidden="false" customHeight="false" outlineLevel="0" collapsed="false">
      <c r="A1763" s="0" t="s">
        <v>26</v>
      </c>
      <c r="B1763" s="0" t="s">
        <v>3726</v>
      </c>
      <c r="C1763" s="0" t="s">
        <v>1744</v>
      </c>
      <c r="D1763" s="0" t="n">
        <v>15</v>
      </c>
    </row>
    <row r="1764" customFormat="false" ht="15" hidden="false" customHeight="false" outlineLevel="0" collapsed="false">
      <c r="A1764" s="0" t="s">
        <v>26</v>
      </c>
      <c r="B1764" s="0" t="s">
        <v>3726</v>
      </c>
      <c r="C1764" s="0" t="s">
        <v>1880</v>
      </c>
      <c r="D1764" s="0" t="n">
        <v>15</v>
      </c>
    </row>
    <row r="1765" customFormat="false" ht="15" hidden="false" customHeight="false" outlineLevel="0" collapsed="false">
      <c r="A1765" s="0" t="s">
        <v>26</v>
      </c>
      <c r="B1765" s="0" t="s">
        <v>3726</v>
      </c>
      <c r="C1765" s="0" t="s">
        <v>2173</v>
      </c>
      <c r="D1765" s="0" t="n">
        <v>15</v>
      </c>
    </row>
    <row r="1766" customFormat="false" ht="15" hidden="false" customHeight="false" outlineLevel="0" collapsed="false">
      <c r="A1766" s="0" t="s">
        <v>26</v>
      </c>
      <c r="B1766" s="0" t="s">
        <v>3731</v>
      </c>
      <c r="C1766" s="0" t="s">
        <v>1744</v>
      </c>
      <c r="D1766" s="0" t="n">
        <v>0.25</v>
      </c>
    </row>
    <row r="1767" customFormat="false" ht="15" hidden="false" customHeight="false" outlineLevel="0" collapsed="false">
      <c r="A1767" s="0" t="s">
        <v>26</v>
      </c>
      <c r="B1767" s="0" t="s">
        <v>3731</v>
      </c>
      <c r="C1767" s="0" t="s">
        <v>1880</v>
      </c>
      <c r="D1767" s="0" t="n">
        <v>0.25</v>
      </c>
    </row>
    <row r="1768" customFormat="false" ht="15" hidden="false" customHeight="false" outlineLevel="0" collapsed="false">
      <c r="A1768" s="0" t="s">
        <v>26</v>
      </c>
      <c r="B1768" s="0" t="s">
        <v>3731</v>
      </c>
      <c r="C1768" s="0" t="s">
        <v>2173</v>
      </c>
      <c r="D1768" s="0" t="n">
        <v>0.25</v>
      </c>
    </row>
    <row r="1769" customFormat="false" ht="15" hidden="false" customHeight="false" outlineLevel="0" collapsed="false">
      <c r="A1769" s="0" t="s">
        <v>26</v>
      </c>
      <c r="B1769" s="0" t="s">
        <v>3735</v>
      </c>
      <c r="C1769" s="0" t="s">
        <v>1744</v>
      </c>
      <c r="D1769" s="0" t="n">
        <v>2028</v>
      </c>
    </row>
    <row r="1770" customFormat="false" ht="15" hidden="false" customHeight="false" outlineLevel="0" collapsed="false">
      <c r="A1770" s="0" t="s">
        <v>26</v>
      </c>
      <c r="B1770" s="0" t="s">
        <v>3735</v>
      </c>
      <c r="C1770" s="0" t="s">
        <v>1880</v>
      </c>
      <c r="D1770" s="0" t="n">
        <v>2027</v>
      </c>
    </row>
    <row r="1771" customFormat="false" ht="15" hidden="false" customHeight="false" outlineLevel="0" collapsed="false">
      <c r="A1771" s="0" t="s">
        <v>26</v>
      </c>
      <c r="B1771" s="0" t="s">
        <v>3735</v>
      </c>
      <c r="C1771" s="0" t="s">
        <v>2173</v>
      </c>
      <c r="D1771" s="0" t="n">
        <v>2029</v>
      </c>
    </row>
    <row r="1772" customFormat="false" ht="15" hidden="false" customHeight="false" outlineLevel="0" collapsed="false">
      <c r="A1772" s="0" t="s">
        <v>26</v>
      </c>
      <c r="B1772" s="0" t="s">
        <v>3741</v>
      </c>
      <c r="C1772" s="0" t="s">
        <v>1744</v>
      </c>
      <c r="D1772" s="0" t="n">
        <v>7</v>
      </c>
    </row>
    <row r="1773" customFormat="false" ht="15" hidden="false" customHeight="false" outlineLevel="0" collapsed="false">
      <c r="A1773" s="0" t="s">
        <v>26</v>
      </c>
      <c r="B1773" s="0" t="s">
        <v>3741</v>
      </c>
      <c r="C1773" s="0" t="s">
        <v>1880</v>
      </c>
      <c r="D1773" s="0" t="n">
        <v>5</v>
      </c>
    </row>
    <row r="1774" customFormat="false" ht="15" hidden="false" customHeight="false" outlineLevel="0" collapsed="false">
      <c r="A1774" s="0" t="s">
        <v>26</v>
      </c>
      <c r="B1774" s="0" t="s">
        <v>3741</v>
      </c>
      <c r="C1774" s="0" t="s">
        <v>2173</v>
      </c>
      <c r="D1774" s="0" t="n">
        <v>10</v>
      </c>
    </row>
    <row r="1775" customFormat="false" ht="15" hidden="false" customHeight="false" outlineLevel="0" collapsed="false">
      <c r="A1775" s="0" t="s">
        <v>26</v>
      </c>
      <c r="B1775" s="0" t="s">
        <v>3747</v>
      </c>
      <c r="C1775" s="0" t="s">
        <v>1744</v>
      </c>
      <c r="D1775" s="0" t="n">
        <v>1</v>
      </c>
    </row>
    <row r="1776" customFormat="false" ht="15" hidden="false" customHeight="false" outlineLevel="0" collapsed="false">
      <c r="A1776" s="0" t="s">
        <v>26</v>
      </c>
      <c r="B1776" s="0" t="s">
        <v>3747</v>
      </c>
      <c r="C1776" s="0" t="s">
        <v>1880</v>
      </c>
      <c r="D1776" s="0" t="n">
        <v>0</v>
      </c>
    </row>
    <row r="1777" customFormat="false" ht="15" hidden="false" customHeight="false" outlineLevel="0" collapsed="false">
      <c r="A1777" s="0" t="s">
        <v>26</v>
      </c>
      <c r="B1777" s="0" t="s">
        <v>3747</v>
      </c>
      <c r="C1777" s="0" t="s">
        <v>2173</v>
      </c>
      <c r="D1777" s="0" t="n">
        <v>1</v>
      </c>
    </row>
    <row r="1778" customFormat="false" ht="15" hidden="false" customHeight="false" outlineLevel="0" collapsed="false">
      <c r="A1778" s="0" t="s">
        <v>26</v>
      </c>
      <c r="B1778" s="0" t="s">
        <v>3752</v>
      </c>
      <c r="C1778" s="0" t="s">
        <v>1744</v>
      </c>
      <c r="D1778" s="0" t="n">
        <v>0</v>
      </c>
    </row>
    <row r="1779" customFormat="false" ht="15" hidden="false" customHeight="false" outlineLevel="0" collapsed="false">
      <c r="A1779" s="0" t="s">
        <v>26</v>
      </c>
      <c r="B1779" s="0" t="s">
        <v>3752</v>
      </c>
      <c r="C1779" s="0" t="s">
        <v>1880</v>
      </c>
      <c r="D1779" s="0" t="n">
        <v>0</v>
      </c>
    </row>
    <row r="1780" customFormat="false" ht="15" hidden="false" customHeight="false" outlineLevel="0" collapsed="false">
      <c r="A1780" s="0" t="s">
        <v>26</v>
      </c>
      <c r="B1780" s="0" t="s">
        <v>3752</v>
      </c>
      <c r="C1780" s="0" t="s">
        <v>2173</v>
      </c>
      <c r="D1780" s="0" t="n">
        <v>1</v>
      </c>
    </row>
    <row r="1781" customFormat="false" ht="15" hidden="false" customHeight="false" outlineLevel="0" collapsed="false">
      <c r="A1781" s="0" t="s">
        <v>26</v>
      </c>
      <c r="B1781" s="0" t="s">
        <v>3757</v>
      </c>
      <c r="C1781" s="0" t="s">
        <v>1744</v>
      </c>
      <c r="D1781" s="0" t="n">
        <v>0.3</v>
      </c>
    </row>
    <row r="1782" customFormat="false" ht="15" hidden="false" customHeight="false" outlineLevel="0" collapsed="false">
      <c r="A1782" s="0" t="s">
        <v>26</v>
      </c>
      <c r="B1782" s="0" t="s">
        <v>3757</v>
      </c>
      <c r="C1782" s="0" t="s">
        <v>1880</v>
      </c>
      <c r="D1782" s="0" t="n">
        <v>0</v>
      </c>
    </row>
    <row r="1783" customFormat="false" ht="15" hidden="false" customHeight="false" outlineLevel="0" collapsed="false">
      <c r="A1783" s="0" t="s">
        <v>26</v>
      </c>
      <c r="B1783" s="0" t="s">
        <v>3757</v>
      </c>
      <c r="C1783" s="0" t="s">
        <v>2173</v>
      </c>
      <c r="D1783" s="0" t="n">
        <v>0.6</v>
      </c>
    </row>
    <row r="1784" customFormat="false" ht="15" hidden="false" customHeight="false" outlineLevel="0" collapsed="false">
      <c r="A1784" s="0" t="s">
        <v>26</v>
      </c>
      <c r="B1784" s="0" t="s">
        <v>3763</v>
      </c>
      <c r="C1784" s="0" t="s">
        <v>1744</v>
      </c>
      <c r="D1784" s="0" t="n">
        <v>2029</v>
      </c>
    </row>
    <row r="1785" customFormat="false" ht="15" hidden="false" customHeight="false" outlineLevel="0" collapsed="false">
      <c r="A1785" s="0" t="s">
        <v>26</v>
      </c>
      <c r="B1785" s="0" t="s">
        <v>3763</v>
      </c>
      <c r="C1785" s="0" t="s">
        <v>1880</v>
      </c>
      <c r="D1785" s="0" t="n">
        <v>2029</v>
      </c>
    </row>
    <row r="1786" customFormat="false" ht="15" hidden="false" customHeight="false" outlineLevel="0" collapsed="false">
      <c r="A1786" s="0" t="s">
        <v>26</v>
      </c>
      <c r="B1786" s="0" t="s">
        <v>3763</v>
      </c>
      <c r="C1786" s="0" t="s">
        <v>2173</v>
      </c>
      <c r="D1786" s="0" t="n">
        <v>2029</v>
      </c>
    </row>
    <row r="1787" customFormat="false" ht="15" hidden="false" customHeight="false" outlineLevel="0" collapsed="false">
      <c r="A1787" s="0" t="s">
        <v>26</v>
      </c>
      <c r="B1787" s="0" t="s">
        <v>3769</v>
      </c>
      <c r="C1787" s="0" t="s">
        <v>1744</v>
      </c>
      <c r="D1787" s="0" t="n">
        <v>2030</v>
      </c>
    </row>
    <row r="1788" customFormat="false" ht="15" hidden="false" customHeight="false" outlineLevel="0" collapsed="false">
      <c r="A1788" s="0" t="s">
        <v>26</v>
      </c>
      <c r="B1788" s="0" t="s">
        <v>3769</v>
      </c>
      <c r="C1788" s="0" t="s">
        <v>1880</v>
      </c>
      <c r="D1788" s="0" t="n">
        <v>2030</v>
      </c>
    </row>
    <row r="1789" customFormat="false" ht="15" hidden="false" customHeight="false" outlineLevel="0" collapsed="false">
      <c r="A1789" s="0" t="s">
        <v>26</v>
      </c>
      <c r="B1789" s="0" t="s">
        <v>3769</v>
      </c>
      <c r="C1789" s="0" t="s">
        <v>2173</v>
      </c>
      <c r="D1789" s="0" t="n">
        <v>2030</v>
      </c>
    </row>
    <row r="1790" customFormat="false" ht="15" hidden="false" customHeight="false" outlineLevel="0" collapsed="false">
      <c r="A1790" s="0" t="s">
        <v>26</v>
      </c>
      <c r="B1790" s="0" t="s">
        <v>3772</v>
      </c>
      <c r="C1790" s="0" t="s">
        <v>1744</v>
      </c>
      <c r="D1790" s="0" t="n">
        <v>0</v>
      </c>
    </row>
    <row r="1791" customFormat="false" ht="15" hidden="false" customHeight="false" outlineLevel="0" collapsed="false">
      <c r="A1791" s="0" t="s">
        <v>26</v>
      </c>
      <c r="B1791" s="0" t="s">
        <v>3772</v>
      </c>
      <c r="C1791" s="0" t="s">
        <v>1880</v>
      </c>
      <c r="D1791" s="0" t="n">
        <v>0</v>
      </c>
    </row>
    <row r="1792" customFormat="false" ht="15" hidden="false" customHeight="false" outlineLevel="0" collapsed="false">
      <c r="A1792" s="0" t="s">
        <v>26</v>
      </c>
      <c r="B1792" s="0" t="s">
        <v>3772</v>
      </c>
      <c r="C1792" s="0" t="s">
        <v>2173</v>
      </c>
      <c r="D1792" s="0" t="n">
        <v>0</v>
      </c>
    </row>
    <row r="1793" customFormat="false" ht="15" hidden="false" customHeight="false" outlineLevel="0" collapsed="false">
      <c r="A1793" s="0" t="s">
        <v>26</v>
      </c>
      <c r="B1793" s="0" t="s">
        <v>3777</v>
      </c>
      <c r="C1793" s="0" t="s">
        <v>1744</v>
      </c>
      <c r="D1793" s="0" t="n">
        <v>0.5</v>
      </c>
    </row>
    <row r="1794" customFormat="false" ht="15" hidden="false" customHeight="false" outlineLevel="0" collapsed="false">
      <c r="A1794" s="0" t="s">
        <v>26</v>
      </c>
      <c r="B1794" s="0" t="s">
        <v>3777</v>
      </c>
      <c r="C1794" s="0" t="s">
        <v>1880</v>
      </c>
      <c r="D1794" s="0" t="n">
        <v>0.25</v>
      </c>
    </row>
    <row r="1795" customFormat="false" ht="15" hidden="false" customHeight="false" outlineLevel="0" collapsed="false">
      <c r="A1795" s="0" t="s">
        <v>26</v>
      </c>
      <c r="B1795" s="0" t="s">
        <v>3777</v>
      </c>
      <c r="C1795" s="0" t="s">
        <v>2173</v>
      </c>
      <c r="D1795" s="0" t="n">
        <v>0.75</v>
      </c>
    </row>
    <row r="1796" customFormat="false" ht="15" hidden="false" customHeight="false" outlineLevel="0" collapsed="false">
      <c r="A1796" s="0" t="s">
        <v>26</v>
      </c>
      <c r="B1796" s="0" t="s">
        <v>3782</v>
      </c>
      <c r="C1796" s="0" t="s">
        <v>1744</v>
      </c>
      <c r="D1796" s="0" t="n">
        <v>1</v>
      </c>
    </row>
    <row r="1797" customFormat="false" ht="15" hidden="false" customHeight="false" outlineLevel="0" collapsed="false">
      <c r="A1797" s="0" t="s">
        <v>26</v>
      </c>
      <c r="B1797" s="0" t="s">
        <v>3782</v>
      </c>
      <c r="C1797" s="0" t="s">
        <v>1880</v>
      </c>
      <c r="D1797" s="0" t="n">
        <v>1</v>
      </c>
    </row>
    <row r="1798" customFormat="false" ht="15" hidden="false" customHeight="false" outlineLevel="0" collapsed="false">
      <c r="A1798" s="0" t="s">
        <v>26</v>
      </c>
      <c r="B1798" s="0" t="s">
        <v>3782</v>
      </c>
      <c r="C1798" s="0" t="s">
        <v>2173</v>
      </c>
      <c r="D179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2026-10-22T07:54:57Z</dcterms:created>
  <dc:creator>openpyxl</dc:creator>
  <dc:description/>
  <dc:language>en-US</dc:language>
  <cp:lastModifiedBy/>
  <dcterms:modified xsi:type="dcterms:W3CDTF">2026-10-22T07:54:58Z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