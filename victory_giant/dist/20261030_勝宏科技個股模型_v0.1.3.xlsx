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In!$E$45</definedName>
    <definedName function="false" hidden="false" name="ai_25_hi" vbProcedure="false">In!$F$45</definedName>
    <definedName function="false" hidden="false" name="ai_25_lo" vbProcedure="false">In!$D$45</definedName>
    <definedName function="false" hidden="false" name="CAPHI_27" vbProcedure="false">In!$F$41</definedName>
    <definedName function="false" hidden="false" name="CAPHI_28" vbProcedure="false">In!$F$42</definedName>
    <definedName function="false" hidden="false" name="CAPHI_29" vbProcedure="false">In!$F$43</definedName>
    <definedName function="false" hidden="false" name="CAPLO_27" vbProcedure="false">In!$D$41</definedName>
    <definedName function="false" hidden="false" name="CAPLO_28" vbProcedure="false">In!$D$42</definedName>
    <definedName function="false" hidden="false" name="CAPLO_29" vbProcedure="false">In!$D$43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eps26" vbProcedure="false">In!$E$74</definedName>
    <definedName function="false" hidden="false" name="cons_eps27" vbProcedure="false">In!$E$76</definedName>
    <definedName function="false" hidden="false" name="cons_eps28" vbProcedure="false">In!$E$78</definedName>
    <definedName function="false" hidden="false" name="cons_feps" vbProcedure="false">In!$E$101</definedName>
    <definedName function="false" hidden="false" name="cons_rev26" vbProcedure="false">In!$E$73</definedName>
    <definedName function="false" hidden="false" name="cons_rev27" vbProcedure="false">In!$E$75</definedName>
    <definedName function="false" hidden="false" name="cons_rev28" vbProcedure="false">In!$E$77</definedName>
    <definedName function="false" hidden="false" name="cons_tp" vbProcedure="false">In!$E$102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cx_27" vbProcedure="false">In!$E$41</definedName>
    <definedName function="false" hidden="false" name="cx_27_hi" vbProcedure="false">In!$F$41</definedName>
    <definedName function="false" hidden="false" name="cx_27_lo" vbProcedure="false">In!$D$41</definedName>
    <definedName function="false" hidden="false" name="cx_28" vbProcedure="false">In!$E$42</definedName>
    <definedName function="false" hidden="false" name="cx_28_hi" vbProcedure="false">In!$F$42</definedName>
    <definedName function="false" hidden="false" name="cx_28_lo" vbProcedure="false">In!$D$42</definedName>
    <definedName function="false" hidden="false" name="cx_29" vbProcedure="false">In!$E$43</definedName>
    <definedName function="false" hidden="false" name="cx_29_hi" vbProcedure="false">In!$F$43</definedName>
    <definedName function="false" hidden="false" name="cx_29_lo" vbProcedure="false">In!$D$43</definedName>
    <definedName function="false" hidden="false" name="d_ai" vbProcedure="false">In!$E$51</definedName>
    <definedName function="false" hidden="false" name="d_ai_hi" vbProcedure="false">In!$F$51</definedName>
    <definedName function="false" hidden="false" name="d_ai_lo" vbProcedure="false">In!$D$51</definedName>
    <definedName function="false" hidden="false" name="emc_ccl26" vbProcedure="false">In!$E$90</definedName>
    <definedName function="false" hidden="false" name="emc_ccl27" vbProcedure="false">In!$E$91</definedName>
    <definedName function="false" hidden="false" name="emc_ccl28" vbProcedure="false">In!$E$92</definedName>
    <definedName function="false" hidden="false" name="emc_ccl29" vbProcedure="false">In!$E$93</definedName>
    <definedName function="false" hidden="false" name="emc_pg26" vbProcedure="false">In!$E$94</definedName>
    <definedName function="false" hidden="false" name="emc_pg27" vbProcedure="false">In!$E$95</definedName>
    <definedName function="false" hidden="false" name="emc_pg28" vbProcedure="false">In!$E$96</definedName>
    <definedName function="false" hidden="false" name="fade_gA" vbProcedure="false">In!$E$112</definedName>
    <definedName function="false" hidden="false" name="fade_gB" vbProcedure="false">In!$E$113</definedName>
    <definedName function="false" hidden="false" name="fade_gC" vbProcedure="false">In!$E$114</definedName>
    <definedName function="false" hidden="false" name="fade_mA" vbProcedure="false">In!$E$115</definedName>
    <definedName function="false" hidden="false" name="fade_mB" vbProcedure="false">In!$E$116</definedName>
    <definedName function="false" hidden="false" name="fade_mC" vbProcedure="false">In!$E$117</definedName>
    <definedName function="false" hidden="false" name="fpe" vbProcedure="false">In!$E$100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In!$E$52</definedName>
    <definedName function="false" hidden="false" name="gmu_27_hi" vbProcedure="false">In!$F$52</definedName>
    <definedName function="false" hidden="false" name="gmu_27_lo" vbProcedure="false">In!$D$52</definedName>
    <definedName function="false" hidden="false" name="gmu_28" vbProcedure="false">In!$E$53</definedName>
    <definedName function="false" hidden="false" name="gmu_28_hi" vbProcedure="false">In!$F$53</definedName>
    <definedName function="false" hidden="false" name="gmu_28_lo" vbProcedure="false">In!$D$53</definedName>
    <definedName function="false" hidden="false" name="gmu_29" vbProcedure="false">In!$E$54</definedName>
    <definedName function="false" hidden="false" name="gmu_29_hi" vbProcedure="false">In!$F$54</definedName>
    <definedName function="false" hidden="false" name="gmu_29_lo" vbProcedure="false">In!$D$54</definedName>
    <definedName function="false" hidden="false" name="GNHI27" vbProcedure="false">In!$F$47</definedName>
    <definedName function="false" hidden="false" name="GNHI28" vbProcedure="false">In!$F$48</definedName>
    <definedName function="false" hidden="false" name="GNHI29" vbProcedure="false">In!$F$49</definedName>
    <definedName function="false" hidden="false" name="GNLO27" vbProcedure="false">In!$D$47</definedName>
    <definedName function="false" hidden="false" name="GNLO28" vbProcedure="false">In!$D$48</definedName>
    <definedName function="false" hidden="false" name="GNLO29" vbProcedure="false">In!$D$49</definedName>
    <definedName function="false" hidden="false" name="gs_eps27" vbProcedure="false">In!$E$85</definedName>
    <definedName function="false" hidden="false" name="GUHI_27" vbProcedure="false">In!$F$52</definedName>
    <definedName function="false" hidden="false" name="GUHI_28" vbProcedure="false">In!$F$53</definedName>
    <definedName function="false" hidden="false" name="GUHI_29" vbProcedure="false">In!$F$54</definedName>
    <definedName function="false" hidden="false" name="GULO_27" vbProcedure="false">In!$D$52</definedName>
    <definedName function="false" hidden="false" name="GULO_28" vbProcedure="false">In!$D$53</definedName>
    <definedName function="false" hidden="false" name="GULO_29" vbProcedure="false">In!$D$54</definedName>
    <definedName function="false" hidden="false" name="g_nai26" vbProcedure="false">In!$E$46</definedName>
    <definedName function="false" hidden="false" name="g_nai26_hi" vbProcedure="false">In!$F$46</definedName>
    <definedName function="false" hidden="false" name="g_nai26_lo" vbProcedure="false">In!$D$46</definedName>
    <definedName function="false" hidden="false" name="g_nai27" vbProcedure="false">In!$E$47</definedName>
    <definedName function="false" hidden="false" name="g_nai27_hi" vbProcedure="false">In!$F$47</definedName>
    <definedName function="false" hidden="false" name="g_nai27_lo" vbProcedure="false">In!$D$47</definedName>
    <definedName function="false" hidden="false" name="g_nai28" vbProcedure="false">In!$E$48</definedName>
    <definedName function="false" hidden="false" name="g_nai28_hi" vbProcedure="false">In!$F$48</definedName>
    <definedName function="false" hidden="false" name="g_nai28_lo" vbProcedure="false">In!$D$48</definedName>
    <definedName function="false" hidden="false" name="g_nai29" vbProcedure="false">In!$E$49</definedName>
    <definedName function="false" hidden="false" name="g_nai29_hi" vbProcedure="false">In!$F$49</definedName>
    <definedName function="false" hidden="false" name="g_nai29_lo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jpm_eps26" vbProcedure="false">In!$E$80</definedName>
    <definedName function="false" hidden="false" name="jpm_eps27" vbProcedure="false">In!$E$82</definedName>
    <definedName function="false" hidden="false" name="jpm_eps28" vbProcedure="false">In!$E$84</definedName>
    <definedName function="false" hidden="false" name="jpm_rev26" vbProcedure="false">In!$E$79</definedName>
    <definedName function="false" hidden="false" name="jpm_rev27" vbProcedure="false">In!$E$81</definedName>
    <definedName function="false" hidden="false" name="jpm_rev28" vbProcedure="false">In!$E$83</definedName>
    <definedName function="false" hidden="false" name="jpm_sh" vbProcedure="false">In!$E$86</definedName>
    <definedName function="false" hidden="false" name="MDHI_27" vbProcedure="false">In!$F$31</definedName>
    <definedName function="false" hidden="false" name="MDHI_28" vbProcedure="false">In!$F$32</definedName>
    <definedName function="false" hidden="false" name="MDHI_29" vbProcedure="false">In!$F$33</definedName>
    <definedName function="false" hidden="false" name="MDLO_27" vbProcedure="false">In!$D$31</definedName>
    <definedName function="false" hidden="false" name="MDLO_28" vbProcedure="false">In!$D$32</definedName>
    <definedName function="false" hidden="false" name="MDLO_29" vbProcedure="false">In!$D$33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dx_27" vbProcedure="false">In!$E$31</definedName>
    <definedName function="false" hidden="false" name="midx_27_hi" vbProcedure="false">In!$F$31</definedName>
    <definedName function="false" hidden="false" name="midx_27_lo" vbProcedure="false">In!$D$31</definedName>
    <definedName function="false" hidden="false" name="midx_28" vbProcedure="false">In!$E$32</definedName>
    <definedName function="false" hidden="false" name="midx_28_hi" vbProcedure="false">In!$F$32</definedName>
    <definedName function="false" hidden="false" name="midx_28_lo" vbProcedure="false">In!$D$32</definedName>
    <definedName function="false" hidden="false" name="midx_29" vbProcedure="false">In!$E$33</definedName>
    <definedName function="false" hidden="false" name="midx_29_hi" vbProcedure="false">In!$F$33</definedName>
    <definedName function="false" hidden="false" name="midx_29_lo" vbProcedure="false">In!$D$33</definedName>
    <definedName function="false" hidden="false" name="mid_26" vbProcedure="false">In!$E$24</definedName>
    <definedName function="false" hidden="false" name="mid_26_hi" vbProcedure="false">In!$F$24</definedName>
    <definedName function="false" hidden="false" name="mid_26_lo" vbProcedure="false">In!$D$24</definedName>
    <definedName function="false" hidden="false" name="ms_ccl_gb" vbProcedure="false">In!$E$87</definedName>
    <definedName function="false" hidden="false" name="ms_rk_gb" vbProcedure="false">In!$E$88</definedName>
    <definedName function="false" hidden="false" name="ms_rk_vr" vbProcedure="false">In!$E$89</definedName>
    <definedName function="false" hidden="false" name="nim_avg" vbProcedure="false">In!$E$103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In!$E$99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In!$E$98</definedName>
    <definedName function="false" hidden="false" name="q1_rev" vbProcedure="false">In!$E$56</definedName>
    <definedName function="false" hidden="false" name="q3g" vbProcedure="false">In!$E$57</definedName>
    <definedName function="false" hidden="false" name="q3g_hi" vbProcedure="false">In!$F$57</definedName>
    <definedName function="false" hidden="false" name="q3g_lo" vbProcedure="false">In!$D$57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rm_factor" vbProcedure="false">Val!$B$137</definedName>
    <definedName function="false" hidden="false" name="sh_1h" vbProcedure="false">In!$E$63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h_h2" vbProcedure="false">In!$E$64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_adj" vbProcedure="false">Val!$B$138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<sst xmlns="http://schemas.openxmlformats.org/spreadsheetml/2006/main" count="3613" uniqueCount="949">
  <si>
    <r>
      <rPr>
        <b val="true"/>
        <sz val="11"/>
        <rFont val="Noto Sans CJK SC"/>
        <family val="2"/>
      </rPr>
      <t xml:space="preserve">勝宏科技（</t>
    </r>
    <r>
      <rPr>
        <b val="true"/>
        <sz val="11"/>
        <rFont val="Cambria"/>
        <family val="0"/>
        <charset val="1"/>
      </rPr>
      <t xml:space="preserve">300476.SZ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02476.HK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加速卡與伺服器高層數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HDI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</si>
  <si>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金額（加速器卡／運算板、交換器板、中板／背板／其他）、勝宏份額與產值產能在本模型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條）；與台光電模型的每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金額口徑分開，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頁對照。</t>
    </r>
  </si>
  <si>
    <r>
      <rPr>
        <sz val="11"/>
        <rFont val="Noto Sans CJK SC"/>
        <family val="2"/>
      </rPr>
      <t xml:space="preserve">模型命題：勝宏的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CPX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正交背板使每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勝宏份額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（汽車、手機、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、消費）依公司說法持平。</t>
    </r>
  </si>
  <si>
    <r>
      <rPr>
        <sz val="11"/>
        <rFont val="Noto Sans CJK SC"/>
        <family val="2"/>
      </rPr>
      <t xml:space="preserve">核心問題：勝宏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億元固定資產投資能讓產能在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年擴大多少，擴產趕上需求後份額（沪电、深南、鹏鼎追趕；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份額傳聞）與價格守不守得住；現價約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</si>
  <si>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為收斂法。金額：十億人民幣；每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金額以美元計、以匯率換算。口徑：歸屬母公司淨利（中國企業會計準則）。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股與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股同股。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</si>
  <si>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</si>
  <si>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US$450M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</si>
  <si>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營收（公司稱在產產能滿載）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2027 1.70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2028 2.40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2029 3.00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，依公司各廠計畫與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年千億產值目標）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</si>
  <si>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15pt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0.867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</si>
  <si>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實績＋假設（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</si>
  <si>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股同業沪电、深南、生益电子、鹏鼎前瞻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</si>
  <si>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</si>
  <si>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未使用。公司數字取自定期報告（深交所）與媒體轉述；券商與資料商為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</si>
  <si>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每架金額只含 </t>
    </r>
    <r>
      <rPr>
        <sz val="11"/>
        <rFont val="Cambria"/>
        <family val="0"/>
        <charset val="1"/>
      </rPr>
      <t xml:space="preserve">NVL72 </t>
    </r>
    <r>
      <rPr>
        <sz val="11"/>
        <rFont val="Noto Sans CJK SC"/>
        <family val="2"/>
      </rPr>
      <t xml:space="preserve">機架內）；水準只影響校準份額，指數影響成長；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，公司只給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年千億目標與各廠產值，爬坡速度未揭露；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取券商轉引的招股書口徑，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持平」反推；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未建資本支出與折舊，毛利率的新廠爬坡效果以額外改善近似，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人民幣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年升值（中間價 </t>
    </r>
    <r>
      <rPr>
        <sz val="11"/>
        <rFont val="Cambria"/>
        <family val="0"/>
        <charset val="1"/>
      </rPr>
      <t xml:space="preserve">6.72</t>
    </r>
    <r>
      <rPr>
        <sz val="11"/>
        <rFont val="Noto Sans CJK SC"/>
        <family val="2"/>
      </rPr>
      <t xml:space="preserve">），出口占 </t>
    </r>
    <r>
      <rPr>
        <sz val="11"/>
        <rFont val="Cambria"/>
        <family val="0"/>
        <charset val="1"/>
      </rPr>
      <t xml:space="preserve">76.8%</t>
    </r>
    <r>
      <rPr>
        <sz val="11"/>
        <rFont val="Noto Sans CJK SC"/>
        <family val="2"/>
      </rPr>
      <t xml:space="preserve">，匯兌與售價影響未建；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只有一個採用來源，且 </t>
    </r>
    <r>
      <rPr>
        <sz val="11"/>
        <rFont val="Cambria"/>
        <family val="0"/>
        <charset val="1"/>
      </rPr>
      <t xml:space="preserve">2016–2024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前汽車、消費板期；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</si>
  <si>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</si>
  <si>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：份額、每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金額與擴產最敏感：份額流失（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）使 </t>
    </r>
    <r>
      <rPr>
        <sz val="11"/>
        <color theme="1"/>
        <rFont val="Calibri"/>
        <family val="2"/>
        <charset val="1"/>
      </rPr>
      <t xml:space="preserve">FY2028 EPS −23.7%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金額成長低值 −</t>
    </r>
    <r>
      <rPr>
        <sz val="11"/>
        <color theme="1"/>
        <rFont val="Calibri"/>
        <family val="2"/>
        <charset val="1"/>
      </rPr>
      <t xml:space="preserve">20.9%</t>
    </r>
    <r>
      <rPr>
        <sz val="11"/>
        <color theme="1"/>
        <rFont val="Noto Sans CJK SC"/>
        <family val="2"/>
      </rPr>
      <t xml:space="preserve">、擴產延遲 −</t>
    </r>
    <r>
      <rPr>
        <sz val="11"/>
        <color theme="1"/>
        <rFont val="Calibri"/>
        <family val="2"/>
        <charset val="1"/>
      </rPr>
      <t xml:space="preserve">20.0%</t>
    </r>
    <r>
      <rPr>
        <sz val="11"/>
        <color theme="1"/>
        <rFont val="Noto Sans CJK SC"/>
        <family val="2"/>
      </rPr>
      <t xml:space="preserve">；顆數情境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10.86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A 17.78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38.9%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98.55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287.37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</si>
  <si>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：上檔空間不靠比共識樂觀：本模型 </t>
    </r>
    <r>
      <rPr>
        <sz val="11"/>
        <color theme="1"/>
        <rFont val="Calibri"/>
        <family val="2"/>
        <charset val="1"/>
      </rPr>
      <t xml:space="preserve">FY2027 EPS 12.81</t>
    </r>
    <r>
      <rPr>
        <sz val="11"/>
        <color theme="1"/>
        <rFont val="Noto Sans CJK SC"/>
        <family val="2"/>
      </rPr>
      <t xml:space="preserve">（三情境相同）比共識 </t>
    </r>
    <r>
      <rPr>
        <sz val="11"/>
        <color theme="1"/>
        <rFont val="Calibri"/>
        <family val="2"/>
        <charset val="1"/>
      </rPr>
      <t xml:space="preserve">14.77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13.3%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17.78 </t>
    </r>
    <r>
      <rPr>
        <sz val="11"/>
        <color theme="1"/>
        <rFont val="Noto Sans CJK SC"/>
        <family val="2"/>
      </rPr>
      <t xml:space="preserve">比共識 </t>
    </r>
    <r>
      <rPr>
        <sz val="11"/>
        <color theme="1"/>
        <rFont val="Calibri"/>
        <family val="2"/>
        <charset val="1"/>
      </rPr>
      <t xml:space="preserve">22.13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19.7%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</si>
  <si>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</si>
  <si>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</si>
  <si>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</si>
  <si>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</si>
  <si>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未使用。公司原文＝勝宏科技定期報告（深交所、巨潮）與業績交流會（經媒體轉述）；公司的訂單、產品組合與產能說法為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</si>
  <si>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</si>
  <si>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</si>
  <si>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</si>
  <si>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</si>
  <si>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</si>
  <si>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</si>
  <si>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</si>
  <si>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</si>
  <si>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</si>
  <si>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</si>
  <si>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</si>
  <si>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</si>
  <si>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</si>
  <si>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</si>
  <si>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</si>
  <si>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（與台光電、台達電模型相同）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</si>
  <si>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</si>
  <si>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</si>
  <si>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</si>
  <si>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</si>
  <si>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</si>
  <si>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</si>
  <si>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</si>
  <si>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</si>
  <si>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</si>
  <si>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</si>
  <si>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</si>
  <si>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</si>
  <si>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</si>
  <si>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</si>
  <si>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</si>
  <si>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</si>
  <si>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</si>
  <si>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</si>
  <si>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；與台光電、台達電模型相同）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</si>
  <si>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起出貨（國金證券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</si>
  <si>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</si>
  <si>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</si>
  <si>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</si>
  <si>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</si>
  <si>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</si>
  <si>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</si>
  <si>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</si>
  <si>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</si>
  <si>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</si>
  <si>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</si>
  <si>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</si>
  <si>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</si>
  <si>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＝不如預期（明顯下修）；與台積電、台光電模型相同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</si>
  <si>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</si>
  <si>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</si>
  <si>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</si>
  <si>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</si>
  <si>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</si>
  <si>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</si>
  <si>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</si>
  <si>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</si>
  <si>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</si>
  <si>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</si>
  <si>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</si>
  <si>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</si>
  <si>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</si>
  <si>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</si>
  <si>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</si>
  <si>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</si>
  <si>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</si>
  <si>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RMB/US$</t>
  </si>
  <si>
    <t xml:space="preserve">Verified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</si>
  <si>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</si>
  <si>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6.7330</t>
    </r>
    <r>
      <rPr>
        <sz val="11"/>
        <color theme="1"/>
        <rFont val="Noto Sans CJK SC"/>
        <family val="2"/>
      </rPr>
      <t xml:space="preserve">（中國經濟網）；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中間價：未找到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</si>
  <si>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金額與勝宏份額（本專案權威：每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金額、勝宏份額，規則第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條；與台光電的每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金額口徑分開）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</si>
  <si>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</si>
  <si>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</si>
  <si>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</si>
  <si>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</si>
  <si>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</si>
  <si>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</si>
  <si>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</si>
  <si>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</si>
  <si>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</si>
  <si>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</si>
  <si>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</si>
  <si>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</si>
  <si>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</si>
  <si>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</si>
  <si>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</si>
  <si>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</si>
  <si>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</si>
  <si>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</si>
  <si>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</si>
  <si>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</si>
  <si>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</si>
  <si>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</si>
  <si>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</si>
  <si>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</si>
  <si>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</si>
  <si>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</si>
  <si>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</si>
  <si>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</si>
  <si>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</si>
  <si>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</si>
  <si>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</si>
  <si>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</si>
  <si>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</si>
  <si>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</si>
  <si>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</si>
  <si>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</si>
  <si>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</si>
  <si>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</si>
  <si>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</si>
  <si>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</si>
  <si>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</si>
  <si>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 → 1H25 13.8%</t>
    </r>
    <r>
      <rPr>
        <sz val="11"/>
        <color theme="1"/>
        <rFont val="Noto Sans CJK SC"/>
        <family val="2"/>
      </rPr>
      <t xml:space="preserve">（第一）、高階 </t>
    </r>
    <r>
      <rPr>
        <sz val="11"/>
        <color theme="1"/>
        <rFont val="Calibri"/>
        <family val="2"/>
        <charset val="1"/>
      </rPr>
      <t xml:space="preserve">HDI 44.6%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）；市場傳聞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55% →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，公司否認，未證實）</t>
    </r>
  </si>
  <si>
    <r>
      <rPr>
        <sz val="11"/>
        <color theme="1"/>
        <rFont val="Noto Sans CJK SC"/>
        <family val="2"/>
      </rPr>
      <t xml:space="preserve">對手：沪电股份、深南电路、生益电子、鹏鼎控股、景旺电子、臺灣與美國廠（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等）擴產；勝宏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，低於沪电 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、深南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（外刊庫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</si>
  <si>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</si>
  <si>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</si>
  <si>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</si>
  <si>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</si>
  <si>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</si>
  <si>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</si>
  <si>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市場傳聞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廠統一降價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否認；新浪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</si>
  <si>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公司：新一代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單價提升數倍（世代升級，已在每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金額指數內）；高多層與高階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</si>
  <si>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</si>
  <si>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</si>
  <si>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</si>
  <si>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</si>
  <si>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</si>
  <si>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</si>
  <si>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</si>
  <si>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</si>
  <si>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億元）產值目標；在產＋在建＋規劃產能約等於該目標（界面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年固定資產投資不超過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</si>
  <si>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東方財富財富號（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，產能整理，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各約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萬㎡、產值各逾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年底投產）、廠房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）、越南一期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年中）、泰國 </t>
    </r>
    <r>
      <rPr>
        <sz val="11"/>
        <color theme="1"/>
        <rFont val="Calibri"/>
        <family val="2"/>
        <charset val="1"/>
      </rPr>
      <t xml:space="preserve">A2 36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）、泰國二期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萬㎡（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</si>
  <si>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</si>
  <si>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</si>
  <si>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新廠爬坡：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低於預期主因新產能爬坡慢、原料上漲（財信證券，經界面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）；低值反映延遲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</si>
  <si>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</si>
  <si>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</si>
  <si>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Noto Sans CJK SC"/>
        <family val="2"/>
      </rPr>
      <t xml:space="preserve">億，向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年千億收斂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</si>
  <si>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</si>
  <si>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</si>
  <si>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</si>
  <si>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6.6% 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43.2%</t>
    </r>
    <r>
      <rPr>
        <sz val="11"/>
        <color theme="1"/>
        <rFont val="Noto Sans CJK SC"/>
        <family val="2"/>
      </rPr>
      <t xml:space="preserve">（招股書口徑）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</si>
  <si>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、全年更高（界面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）；業績交流會：去年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產品約占一半（同花順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</si>
  <si>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</si>
  <si>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金額大致持平）</t>
    </r>
  </si>
  <si>
    <r>
      <rPr>
        <sz val="11"/>
        <color theme="1"/>
        <rFont val="Calibri"/>
        <family val="2"/>
        <charset val="1"/>
      </rPr>
      <t xml:space="preserve">https://news.10jqka.com.cn/20260828/c679385007.shtml</t>
    </r>
    <r>
      <rPr>
        <sz val="11"/>
        <color theme="1"/>
        <rFont val="Noto Sans CJK SC"/>
        <family val="2"/>
      </rPr>
      <t xml:space="preserve">：預期非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營收絕對額大致持平，成長來自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</si>
  <si>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</si>
  <si>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</si>
  <si>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</si>
  <si>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</si>
  <si>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；新產能另含長沙、益陽單雙面板（界面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</si>
  <si>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</si>
  <si>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</si>
  <si>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</si>
  <si>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</si>
  <si>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</si>
  <si>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</si>
  <si>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相關（高多層、高階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</si>
  <si>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</si>
  <si>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部門別毛利率未揭露：未找到；摩根大通：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43.5%</t>
    </r>
    <r>
      <rPr>
        <sz val="11"/>
        <color theme="1"/>
        <rFont val="Noto Sans CJK SC"/>
        <family val="2"/>
      </rPr>
      <t xml:space="preserve">、多層板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</si>
  <si>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22.5% → 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</si>
  <si>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</si>
  <si>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</si>
  <si>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毛利率承壓來自上半年人員增加逾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、新廠設備折舊（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）；毛利率 </t>
    </r>
    <r>
      <rPr>
        <sz val="11"/>
        <color theme="1"/>
        <rFont val="Calibri"/>
        <family val="2"/>
        <charset val="1"/>
      </rPr>
      <t xml:space="preserve">2Q25 38.8% → 4Q25 33.5%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</si>
  <si>
    <r>
      <rPr>
        <sz val="11"/>
        <color theme="1"/>
        <rFont val="Noto Sans CJK SC"/>
        <family val="2"/>
      </rPr>
      <t xml:space="preserve">摩根大通：毛利率 </t>
    </r>
    <r>
      <rPr>
        <sz val="11"/>
        <color theme="1"/>
        <rFont val="Calibri"/>
        <family val="2"/>
        <charset val="1"/>
      </rPr>
      <t xml:space="preserve">2026 38.3%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2027 41.3%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</si>
  <si>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</si>
  <si>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</si>
  <si>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</si>
  <si>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</si>
  <si>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季報預計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公布，截至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</si>
  <si>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</si>
  <si>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</si>
  <si>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</si>
  <si>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https://www.itiger.com/news/1110866401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27.99%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</si>
  <si>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億元（同）；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億（公司半年報）→ </t>
    </r>
    <r>
      <rPr>
        <sz val="11"/>
        <color theme="1"/>
        <rFont val="Calibri"/>
        <family val="2"/>
        <charset val="1"/>
      </rPr>
      <t xml:space="preserve">2Q26 61.10 </t>
    </r>
    <r>
      <rPr>
        <sz val="11"/>
        <color theme="1"/>
        <rFont val="Noto Sans CJK SC"/>
        <family val="2"/>
      </rPr>
      <t xml:space="preserve">億</t>
    </r>
  </si>
  <si>
    <t xml:space="preserve">q3g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</si>
  <si>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</si>
  <si>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存貨增加約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億元，為下半年新產品大規模上量備貨；</t>
    </r>
    <r>
      <rPr>
        <sz val="11"/>
        <color theme="1"/>
        <rFont val="Calibri"/>
        <family val="2"/>
        <charset val="1"/>
      </rPr>
      <t xml:space="preserve">VR200 2026 Q3 </t>
    </r>
    <r>
      <rPr>
        <sz val="11"/>
        <color theme="1"/>
        <rFont val="Noto Sans CJK SC"/>
        <family val="2"/>
      </rPr>
      <t xml:space="preserve">起出貨（國金證券）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</si>
  <si>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316 </t>
    </r>
    <r>
      <rPr>
        <sz val="11"/>
        <color theme="1"/>
        <rFont val="Noto Sans CJK SC"/>
        <family val="2"/>
      </rPr>
      <t xml:space="preserve">億（同花順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</si>
  <si>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</si>
  <si>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</si>
  <si>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11 2026 </t>
    </r>
    <r>
      <rPr>
        <sz val="11"/>
        <color theme="1"/>
        <rFont val="Noto Sans CJK SC"/>
        <family val="2"/>
      </rPr>
      <t xml:space="preserve">年底投產；越南一期、泰國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爬坡（東方財富財富號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</si>
  <si>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淨利年增 </t>
    </r>
    <r>
      <rPr>
        <sz val="11"/>
        <color theme="1"/>
        <rFont val="Calibri"/>
        <family val="2"/>
        <charset val="1"/>
      </rPr>
      <t xml:space="preserve">217%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</si>
  <si>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</si>
  <si>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</si>
  <si>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億、營收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億；公司半年報）；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</si>
  <si>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新產品上量與新廠爬坡相抵（公司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</si>
  <si>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</si>
  <si>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營業費用（銷售＋管理＋研發）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</si>
  <si>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2.92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7.56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（公司半年報；研發投入是否全數費用化未載明）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</si>
  <si>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</si>
  <si>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營業外與財務淨額（每季；財務費用、公允價值變動、稅金及附加等）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</si>
  <si>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+1.86 </t>
    </r>
    <r>
      <rPr>
        <sz val="11"/>
        <color theme="1"/>
        <rFont val="Noto Sans CJK SC"/>
        <family val="2"/>
      </rPr>
      <t xml:space="preserve">億（稅前 − 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營業費用；含公允價值變動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</si>
  <si>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股募資約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億港元、交易性金融資產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億元（鳳凰網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）；公允價值變動不外推</t>
    </r>
  </si>
  <si>
    <t xml:space="preserve">q_nir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</si>
  <si>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</si>
  <si>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（歸母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0.867</t>
    </r>
    <r>
      <rPr>
        <sz val="11"/>
        <color theme="1"/>
        <rFont val="Noto Sans CJK SC"/>
        <family val="2"/>
      </rPr>
      <t xml:space="preserve">（公司半年報；少數股東損益未載明，視為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</si>
  <si>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高新技術企業稅率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</si>
  <si>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</si>
  <si>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</si>
  <si>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</si>
  <si>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3.14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</si>
  <si>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億股（含超額配售）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</si>
  <si>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</si>
  <si>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8.7234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億；十億股）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</si>
  <si>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年度分派基數 </t>
    </r>
    <r>
      <rPr>
        <sz val="11"/>
        <color theme="1"/>
        <rFont val="Calibri"/>
        <family val="2"/>
        <charset val="1"/>
      </rPr>
      <t xml:space="preserve">872,339,870 </t>
    </r>
    <r>
      <rPr>
        <sz val="11"/>
        <color theme="1"/>
        <rFont val="Noto Sans CJK SC"/>
        <family val="2"/>
      </rPr>
      <t xml:space="preserve">股（公司半年報）；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</si>
  <si>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：總股數 </t>
    </r>
    <r>
      <rPr>
        <sz val="11"/>
        <color theme="1"/>
        <rFont val="Calibri"/>
        <family val="2"/>
        <charset val="1"/>
      </rPr>
      <t xml:space="preserve">982.57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</si>
  <si>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</si>
  <si>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</si>
  <si>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</si>
  <si>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營業費用（不含財務費用）年增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7.56 ÷ 7.02 </t>
    </r>
    <r>
      <rPr>
        <sz val="11"/>
        <color theme="1"/>
        <rFont val="Noto Sans CJK SC"/>
        <family val="2"/>
      </rPr>
      <t xml:space="preserve">億）、營收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</si>
  <si>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Noto Sans CJK SC"/>
        <family val="2"/>
      </rPr>
      <t xml:space="preserve">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（公司）；新廠開出期間費用可能較快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</si>
  <si>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</si>
  <si>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</si>
  <si>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</si>
  <si>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</si>
  <si>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</si>
  <si>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營業外與財務淨額（每年）</t>
  </si>
  <si>
    <r>
      <rPr>
        <sz val="11"/>
        <color theme="1"/>
        <rFont val="Noto Sans CJK SC"/>
        <family val="2"/>
      </rPr>
      <t xml:space="preserve">借款：短期 </t>
    </r>
    <r>
      <rPr>
        <sz val="11"/>
        <color theme="1"/>
        <rFont val="Calibri"/>
        <family val="2"/>
        <charset val="1"/>
      </rPr>
      <t xml:space="preserve">32.4 </t>
    </r>
    <r>
      <rPr>
        <sz val="11"/>
        <color theme="1"/>
        <rFont val="Noto Sans CJK SC"/>
        <family val="2"/>
      </rPr>
      <t xml:space="preserve">億、長期 </t>
    </r>
    <r>
      <rPr>
        <sz val="11"/>
        <color theme="1"/>
        <rFont val="Calibri"/>
        <family val="2"/>
        <charset val="1"/>
      </rPr>
      <t xml:space="preserve">59.9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，鳳凰網）；交易性金融資產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</t>
    </r>
  </si>
  <si>
    <t xml:space="preserve">公允價值變動、匯兌不外推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</si>
  <si>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</si>
  <si>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</si>
  <si>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</si>
  <si>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</si>
  <si>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</si>
  <si>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限制性股票不超過 </t>
    </r>
    <r>
      <rPr>
        <sz val="11"/>
        <color theme="1"/>
        <rFont val="Calibri"/>
        <family val="2"/>
        <charset val="1"/>
      </rPr>
      <t xml:space="preserve">486.24 </t>
    </r>
    <r>
      <rPr>
        <sz val="11"/>
        <color theme="1"/>
        <rFont val="Noto Sans CJK SC"/>
        <family val="2"/>
      </rPr>
      <t xml:space="preserve">萬股（財聯社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</si>
  <si>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</si>
  <si>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</si>
  <si>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</si>
  <si>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</si>
  <si>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共識、券商、研調與上游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</si>
  <si>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</si>
  <si>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</si>
  <si>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https://basic.10jqka.com.cn/300476/worth.html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擷取；最新報告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</si>
  <si>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</si>
  <si>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</si>
  <si>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RMB</t>
  </si>
  <si>
    <t xml:space="preserve">https://basic.10jqka.com.cn/300476/worth.html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</si>
  <si>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7.18–10.00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</si>
  <si>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</si>
  <si>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</si>
  <si>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</si>
  <si>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</si>
  <si>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10.42–17.45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</si>
  <si>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</si>
  <si>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</si>
  <si>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</si>
  <si>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</si>
  <si>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14.70–26.17</t>
    </r>
  </si>
  <si>
    <t xml:space="preserve">jpm_rev26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</si>
  <si>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</si>
  <si>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https://finance.sina.com.cn/stock/hkstock/marketalerts/2026-06-11/doc-iniazihq5543947.shtml</t>
  </si>
  <si>
    <t xml:space="preserve">jpm_eps26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</si>
  <si>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</si>
  <si>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港元＝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P/E</t>
    </r>
  </si>
  <si>
    <t xml:space="preserve">jpm_rev27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</si>
  <si>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</si>
  <si>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</si>
  <si>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</si>
  <si>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jpm_rev28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</si>
  <si>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</si>
  <si>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</si>
  <si>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</si>
  <si>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gs_eps27</t>
  </si>
  <si>
    <r>
      <rPr>
        <sz val="11"/>
        <color theme="1"/>
        <rFont val="Noto Sans CJK SC"/>
        <family val="2"/>
      </rPr>
      <t xml:space="preserve">高盛隱含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</si>
  <si>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https://news.qq.com/rain/a/20260903A09PBG00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</si>
  <si>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jpm_sh</t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</si>
  <si>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</si>
  <si>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HDI 44.6%</t>
    </r>
  </si>
  <si>
    <t xml:space="preserve">ms_ccl_gb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</si>
  <si>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（台光電模型所引）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</si>
  <si>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</si>
  <si>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 </t>
    </r>
    <r>
      <rPr>
        <sz val="11"/>
        <color theme="1"/>
        <rFont val="Noto Sans CJK SC"/>
        <family val="2"/>
      </rPr>
      <t xml:space="preserve">轉述；與台光電模型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</si>
  <si>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r>
      <rPr>
        <sz val="11"/>
        <color theme="1"/>
        <rFont val="Calibri"/>
        <family val="2"/>
        <charset val="1"/>
      </rPr>
      <t xml:space="preserve">VR200 18.75K</t>
    </r>
    <r>
      <rPr>
        <sz val="11"/>
        <color theme="1"/>
        <rFont val="Noto Sans CJK SC"/>
        <family val="2"/>
      </rPr>
      <t xml:space="preserve">；用於對照每架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</si>
  <si>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</si>
  <si>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</si>
  <si>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Calibri"/>
        <family val="2"/>
        <charset val="1"/>
      </rPr>
      <t xml:space="preserve">https://pdf.dfcfw.com/pdf/H3_AP202605241822839616_1.pdf</t>
    </r>
    <r>
      <rPr>
        <sz val="11"/>
        <color theme="1"/>
        <rFont val="Noto Sans CJK SC"/>
        <family val="2"/>
      </rPr>
      <t xml:space="preserve">（國金證券轉引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供應鏈調查）</t>
    </r>
  </si>
  <si>
    <r>
      <rPr>
        <sz val="11"/>
        <color theme="1"/>
        <rFont val="Noto Sans CJK SC"/>
        <family val="2"/>
      </rPr>
      <t xml:space="preserve">整櫃 </t>
    </r>
    <r>
      <rPr>
        <sz val="11"/>
        <color theme="1"/>
        <rFont val="Calibri"/>
        <family val="2"/>
        <charset val="1"/>
      </rPr>
      <t xml:space="preserve">BOM 3.995 </t>
    </r>
    <r>
      <rPr>
        <sz val="11"/>
        <color theme="1"/>
        <rFont val="Noto Sans CJK SC"/>
        <family val="2"/>
      </rPr>
      <t xml:space="preserve">百萬美元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</si>
  <si>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</si>
  <si>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 NVL72</t>
    </r>
  </si>
  <si>
    <t xml:space="preserve">https://pdf.dfcfw.com/pdf/H3_AP202605241822839616_1.pdf</t>
  </si>
  <si>
    <r>
      <rPr>
        <sz val="11"/>
        <color theme="1"/>
        <rFont val="Calibri"/>
        <family val="2"/>
        <charset val="1"/>
      </rPr>
      <t xml:space="preserve">+233%</t>
    </r>
    <r>
      <rPr>
        <sz val="11"/>
        <color theme="1"/>
        <rFont val="Noto Sans CJK SC"/>
        <family val="2"/>
      </rPr>
      <t xml:space="preserve">；整櫃 </t>
    </r>
    <r>
      <rPr>
        <sz val="11"/>
        <color theme="1"/>
        <rFont val="Calibri"/>
        <family val="2"/>
        <charset val="1"/>
      </rPr>
      <t xml:space="preserve">BOM 7.803 </t>
    </r>
    <r>
      <rPr>
        <sz val="11"/>
        <color theme="1"/>
        <rFont val="Noto Sans CJK SC"/>
        <family val="2"/>
      </rPr>
      <t xml:space="preserve">百萬美元</t>
    </r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</si>
  <si>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</si>
  <si>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</si>
  <si>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</si>
  <si>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口徑；與本模型每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金額分開，只在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</si>
  <si>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</si>
  <si>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</si>
  <si>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</si>
  <si>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</si>
  <si>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</si>
  <si>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</si>
  <si>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</si>
  <si>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</si>
  <si>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emc/dist/20261030_</t>
    </r>
    <r>
      <rPr>
        <sz val="11"/>
        <color theme="1"/>
        <rFont val="Noto Sans CJK SC"/>
        <family val="2"/>
      </rPr>
      <t xml:space="preserve">台光電個股模型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</si>
  <si>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</si>
  <si>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</si>
  <si>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</si>
  <si>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</si>
  <si>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</si>
  <si>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</si>
  <si>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</si>
  <si>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收盤，深交所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</si>
  <si>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177.99</t>
    </r>
  </si>
  <si>
    <r>
      <rPr>
        <sz val="11"/>
        <color theme="1"/>
        <rFont val="Noto Sans CJK SC"/>
        <family val="2"/>
      </rPr>
      <t xml:space="preserve">搜狐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：當日 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、總市值 </t>
    </r>
    <r>
      <rPr>
        <sz val="11"/>
        <color theme="1"/>
        <rFont val="Calibri"/>
        <family val="2"/>
        <charset val="1"/>
      </rPr>
      <t xml:space="preserve">1,803.21 </t>
    </r>
    <r>
      <rPr>
        <sz val="11"/>
        <color theme="1"/>
        <rFont val="Noto Sans CJK SC"/>
        <family val="2"/>
      </rPr>
      <t xml:space="preserve">億元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</si>
  <si>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</si>
  <si>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</si>
  <si>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https://stockanalysis.com/quote/she/300476/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</si>
  <si>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5.11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</si>
  <si>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</si>
  <si>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</si>
  <si>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</si>
  <si>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</si>
  <si>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</si>
  <si>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</si>
  <si>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</si>
  <si>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</si>
  <si>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</si>
  <si>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日：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416.68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09-03</t>
    </r>
    <r>
      <rPr>
        <sz val="11"/>
        <color theme="1"/>
        <rFont val="Noto Sans CJK SC"/>
        <family val="2"/>
      </rPr>
      <t xml:space="preserve">）、摩根大通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</si>
  <si>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</si>
  <si>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年缺，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</si>
  <si>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2021–2025 stockanalysis </t>
    </r>
    <r>
      <rPr>
        <sz val="11"/>
        <color theme="1"/>
        <rFont val="Noto Sans CJK SC"/>
        <family val="2"/>
      </rPr>
      <t xml:space="preserve">年報數字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</si>
  <si>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年營收與淨利：未找到（付費）；單一來源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</si>
  <si>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</si>
  <si>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</si>
  <si>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</si>
  <si>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</si>
  <si>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</si>
  <si>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</si>
  <si>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</si>
  <si>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</si>
  <si>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</si>
  <si>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</si>
  <si>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</si>
  <si>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</si>
  <si>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</si>
  <si>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</si>
  <si>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</si>
  <si>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</si>
  <si>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</si>
  <si>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</si>
  <si>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</si>
  <si>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加權平均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</si>
  <si>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35.56%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13.95%</t>
    </r>
    <r>
      <rPr>
        <sz val="11"/>
        <color theme="1"/>
        <rFont val="Noto Sans CJK SC"/>
        <family val="2"/>
      </rPr>
      <t xml:space="preserve">（華爾街見聞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年報）；</t>
    </r>
    <r>
      <rPr>
        <sz val="11"/>
        <color theme="1"/>
        <rFont val="Calibri"/>
        <family val="2"/>
        <charset val="1"/>
      </rPr>
      <t xml:space="preserve">FY2023 9.35%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業績快報，巨潮）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</si>
  <si>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11.80%</t>
    </r>
    <r>
      <rPr>
        <sz val="11"/>
        <color theme="1"/>
        <rFont val="Noto Sans CJK SC"/>
        <family val="2"/>
      </rPr>
      <t xml:space="preserve">（半年）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</si>
  <si>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</si>
  <si>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</si>
  <si>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</si>
  <si>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</si>
  <si>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</si>
  <si>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</si>
  <si>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</si>
  <si>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</si>
  <si>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</si>
  <si>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</si>
  <si>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</si>
  <si>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</si>
  <si>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</si>
  <si>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</si>
  <si>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</si>
  <si>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</si>
  <si>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</si>
  <si>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</si>
  <si>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</si>
  <si>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</si>
  <si>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</si>
  <si>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</si>
  <si>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</si>
  <si>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</si>
  <si>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</si>
  <si>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</si>
  <si>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</si>
  <si>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</si>
  <si>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</si>
  <si>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</si>
  <si>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</si>
  <si>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</si>
  <si>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</si>
  <si>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</si>
  <si>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</si>
  <si>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</si>
  <si>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</si>
  <si>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</si>
  <si>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</si>
  <si>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</si>
  <si>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為人民幣；股數為十億股）。藍字＝輸入；黑字＝公式。實績取自勝宏科技定期報告（深交所）與年報摘要（經轉述）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</si>
  <si>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假設（營收季增、毛利率、營業費用率、營業外、淨利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營業外淨額＝稅前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營業費用＝毛利 − 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，含財務費用；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起不含財務費用，口徑不同）。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</si>
  <si>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</si>
  <si>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</si>
  <si>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</si>
  <si>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</si>
  <si>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</si>
  <si>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</si>
  <si>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</si>
  <si>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：證券之星 </t>
    </r>
    <r>
      <rPr>
        <sz val="11"/>
        <color theme="1"/>
        <rFont val="Calibri"/>
        <family val="2"/>
        <charset val="1"/>
      </rPr>
      <t xml:space="preserve">2026-03-14 </t>
    </r>
    <r>
      <rPr>
        <sz val="11"/>
        <color theme="1"/>
        <rFont val="Noto Sans CJK SC"/>
        <family val="2"/>
      </rPr>
      <t xml:space="preserve">年報簡析（營收 </t>
    </r>
    <r>
      <rPr>
        <sz val="11"/>
        <color theme="1"/>
        <rFont val="Calibri"/>
        <family val="2"/>
        <charset val="1"/>
      </rPr>
      <t xml:space="preserve">192.92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43.12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5.01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：公司半年報（深交所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</si>
  <si>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1H26 116.29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28.77%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116.29 − 1Q26 55.19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61.10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</si>
  <si>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</si>
  <si>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</si>
  <si>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億（公司半年報）；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（證券之星）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</si>
  <si>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</si>
  <si>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36.18 </t>
    </r>
    <r>
      <rPr>
        <sz val="11"/>
        <color theme="1"/>
        <rFont val="Noto Sans CJK SC"/>
        <family val="2"/>
      </rPr>
      <t xml:space="preserve">億）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</si>
  <si>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</si>
  <si>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</si>
  <si>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1.047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2.917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3.592 </t>
    </r>
    <r>
      <rPr>
        <sz val="11"/>
        <color theme="1"/>
        <rFont val="Noto Sans CJK SC"/>
        <family val="2"/>
      </rPr>
      <t xml:space="preserve">億（不含財務費用）；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＝毛利 − 營業利益（含財務費用）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</si>
  <si>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</si>
  <si>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</si>
  <si>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stockanalysis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</t>
    </r>
  </si>
  <si>
    <t xml:space="preserve">營業利益率</t>
  </si>
  <si>
    <t xml:space="preserve">營業外與財務淨額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</si>
  <si>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</si>
  <si>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</si>
  <si>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</si>
  <si>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</si>
  <si>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＝歸母淨利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 </t>
    </r>
    <r>
      <rPr>
        <sz val="11"/>
        <color theme="1"/>
        <rFont val="Noto Sans CJK SC"/>
        <family val="2"/>
      </rPr>
      <t xml:space="preserve">億（少數股東損益未載明）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</si>
  <si>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</si>
  <si>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</si>
  <si>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43.12 </t>
    </r>
    <r>
      <rPr>
        <sz val="11"/>
        <color theme="1"/>
        <rFont val="Noto Sans CJK SC"/>
        <family val="2"/>
      </rPr>
      <t xml:space="preserve">億（公司年報）；</t>
    </r>
    <r>
      <rPr>
        <sz val="11"/>
        <color theme="1"/>
        <rFont val="Calibri"/>
        <family val="2"/>
        <charset val="1"/>
      </rPr>
      <t xml:space="preserve">1H26 28.57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33.30%</t>
    </r>
    <r>
      <rPr>
        <sz val="11"/>
        <color theme="1"/>
        <rFont val="Noto Sans CJK SC"/>
        <family val="2"/>
      </rPr>
      <t xml:space="preserve">；扣非 </t>
    </r>
    <r>
      <rPr>
        <sz val="11"/>
        <color theme="1"/>
        <rFont val="Calibri"/>
        <family val="2"/>
        <charset val="1"/>
      </rPr>
      <t xml:space="preserve">24.18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+12.50%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</si>
  <si>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</si>
  <si>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</si>
  <si>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月下旬上市，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</si>
  <si>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</si>
  <si>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</si>
  <si>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</si>
  <si>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5.01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3.14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</si>
  <si>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</si>
  <si>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</si>
  <si>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</si>
  <si>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</si>
  <si>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</si>
  <si>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</si>
  <si>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</si>
  <si>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</si>
  <si>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</si>
  <si>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</si>
  <si>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營收（不含財務費用）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</si>
  <si>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</si>
  <si>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</si>
  <si>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</si>
  <si>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</si>
  <si>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</si>
  <si>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金額（加速器卡／運算板、交換器板、中板／背板／其他）、勝宏份額與產能（本專案權威，規則第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金額口徑分開）。部署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</si>
  <si>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</si>
  <si>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</si>
  <si>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</si>
  <si>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</si>
  <si>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</si>
  <si>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</si>
  <si>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</si>
  <si>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</si>
  <si>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</si>
  <si>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</si>
  <si>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</si>
  <si>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</si>
  <si>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</si>
  <si>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</si>
  <si>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</si>
  <si>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US$116.7K</t>
    </r>
    <r>
      <rPr>
        <sz val="11"/>
        <color theme="1"/>
        <rFont val="Noto Sans CJK SC"/>
        <family val="2"/>
      </rPr>
      <t xml:space="preserve">（只含機架內）</t>
    </r>
  </si>
  <si>
    <r>
      <rPr>
        <sz val="11"/>
        <color theme="1"/>
        <rFont val="Noto Sans CJK SC"/>
        <family val="2"/>
      </rPr>
      <t xml:space="preserve">對照：台光電模型每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</si>
  <si>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emc/dist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見下一列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</si>
  <si>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</si>
  <si>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、銅箔以外的製程價值；兩模型範圍不同（見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</si>
  <si>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</si>
  <si>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</si>
  <si>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勝宏有效份額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</si>
  <si>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</si>
  <si>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</si>
  <si>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</si>
  <si>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</si>
  <si>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</si>
  <si>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</si>
  <si>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</si>
  <si>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</si>
  <si>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</si>
  <si>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</si>
  <si>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（沪电、深南、生益电子、鹏鼎、臺美廠等）＝ 市場 − 勝宏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</si>
  <si>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</si>
  <si>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需求面高於產能時，營收由產值產能指數決定，擴產進度比需求更關鍵；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起擴產趕上需求，份額與每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</si>
  <si>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勝宏科技損益（十億人民幣；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人民幣；歸屬母公司）。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</si>
  <si>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</si>
  <si>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</si>
  <si>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</si>
  <si>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</si>
  <si>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</si>
  <si>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</si>
  <si>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</si>
  <si>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</si>
  <si>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</si>
  <si>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</si>
  <si>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</si>
  <si>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</si>
  <si>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</si>
  <si>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</si>
  <si>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</si>
  <si>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</si>
  <si>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</si>
  <si>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</si>
  <si>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</si>
  <si>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</si>
  <si>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</si>
  <si>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</si>
  <si>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</si>
  <si>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</si>
  <si>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</si>
  <si>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</si>
  <si>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</si>
  <si>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</si>
  <si>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</si>
  <si>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</si>
  <si>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市場（人民幣）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</si>
  <si>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</si>
  <si>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勝宏有效份額（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</si>
  <si>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持平）；分母為本模型的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</si>
  <si>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</si>
  <si>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</si>
  <si>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</si>
  <si>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</si>
  <si>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校準：公司稱在產產能滿載，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</si>
  <si>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</si>
  <si>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</si>
  <si>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</si>
  <si>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</si>
  <si>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</si>
  <si>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</si>
  <si>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</si>
  <si>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</si>
  <si>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</si>
  <si>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</si>
  <si>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</si>
  <si>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</si>
  <si>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</si>
  <si>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</si>
  <si>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</si>
  <si>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</si>
  <si>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含財務費用、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起不含（口徑見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</si>
  <si>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</si>
  <si>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</si>
  <si>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</si>
  <si>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股期末股數（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</si>
  <si>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</si>
  <si>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</si>
  <si>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</si>
  <si>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</si>
  <si>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</si>
  <si>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循環位置：勝宏不是設備股，不套設備市場見頂年；以本模型營收最高的會計年度為見頂年（比照台光電、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</si>
  <si>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</si>
  <si>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</si>
  <si>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</si>
  <si>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</si>
  <si>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</si>
  <si>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</si>
  <si>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</si>
  <si>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</si>
  <si>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</si>
  <si>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</si>
  <si>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</si>
  <si>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</si>
  <si>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</si>
  <si>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</si>
  <si>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</si>
  <si>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</si>
  <si>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</si>
  <si>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</si>
  <si>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</si>
  <si>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</si>
  <si>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</si>
  <si>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股公司只用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</si>
  <si>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</si>
  <si>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</si>
  <si>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</si>
  <si>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</si>
  <si>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</si>
  <si>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沪电股份（</t>
    </r>
    <r>
      <rPr>
        <sz val="11"/>
        <color theme="1"/>
        <rFont val="Calibri"/>
        <family val="2"/>
        <charset val="1"/>
      </rPr>
      <t xml:space="preserve">WUS Printed Circuit</t>
    </r>
    <r>
      <rPr>
        <sz val="11"/>
        <color theme="1"/>
        <rFont val="Noto Sans CJK SC"/>
        <family val="2"/>
      </rPr>
      <t xml:space="preserve">）</t>
    </r>
  </si>
  <si>
    <t xml:space="preserve">002463.SZ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</si>
  <si>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</si>
  <si>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</si>
  <si>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深南电路（</t>
    </r>
    <r>
      <rPr>
        <sz val="11"/>
        <color theme="1"/>
        <rFont val="Calibri"/>
        <family val="2"/>
        <charset val="1"/>
      </rPr>
      <t xml:space="preserve">Shennan Circuits</t>
    </r>
    <r>
      <rPr>
        <sz val="11"/>
        <color theme="1"/>
        <rFont val="Noto Sans CJK SC"/>
        <family val="2"/>
      </rPr>
      <t xml:space="preserve">）</t>
    </r>
  </si>
  <si>
    <t xml:space="preserve">002916.SZ</t>
  </si>
  <si>
    <t xml:space="preserve">2026-09-14</t>
  </si>
  <si>
    <r>
      <rPr>
        <sz val="11"/>
        <color theme="1"/>
        <rFont val="Noto Sans CJK SC"/>
        <family val="2"/>
      </rPr>
      <t xml:space="preserve">生益电子（</t>
    </r>
    <r>
      <rPr>
        <sz val="11"/>
        <color theme="1"/>
        <rFont val="Calibri"/>
        <family val="2"/>
        <charset val="1"/>
      </rPr>
      <t xml:space="preserve">Shengyi Electronics</t>
    </r>
    <r>
      <rPr>
        <sz val="11"/>
        <color theme="1"/>
        <rFont val="Noto Sans CJK SC"/>
        <family val="2"/>
      </rPr>
      <t xml:space="preserve">）</t>
    </r>
  </si>
  <si>
    <t xml:space="preserve">688183.SS</t>
  </si>
  <si>
    <t xml:space="preserve">2026-09-28</t>
  </si>
  <si>
    <r>
      <rPr>
        <sz val="11"/>
        <color theme="1"/>
        <rFont val="Noto Sans CJK SC"/>
        <family val="2"/>
      </rPr>
      <t xml:space="preserve">鹏鼎控股（</t>
    </r>
    <r>
      <rPr>
        <sz val="11"/>
        <color theme="1"/>
        <rFont val="Calibri"/>
        <family val="2"/>
        <charset val="1"/>
      </rPr>
      <t xml:space="preserve">Avary</t>
    </r>
    <r>
      <rPr>
        <sz val="11"/>
        <color theme="1"/>
        <rFont val="Noto Sans CJK SC"/>
        <family val="2"/>
      </rPr>
      <t xml:space="preserve">）</t>
    </r>
  </si>
  <si>
    <t xml:space="preserve">002938.SZ</t>
  </si>
  <si>
    <t xml:space="preserve">2026-09-18</t>
  </si>
  <si>
    <r>
      <rPr>
        <sz val="11"/>
        <color theme="1"/>
        <rFont val="Noto Sans CJK SC"/>
        <family val="2"/>
      </rPr>
      <t xml:space="preserve">並列參考（非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股，不進目標價）：金像電 </t>
    </r>
    <r>
      <rPr>
        <sz val="11"/>
        <color theme="1"/>
        <rFont val="Calibri"/>
        <family val="2"/>
        <charset val="1"/>
      </rPr>
      <t xml:space="preserve">2368.TW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TTM Technologies TTMI 10.3x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</si>
  <si>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</si>
  <si>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同業：沪电、深南、生益电子、鹏鼎（券商常用比較組；摩根大通稱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年平均約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</si>
  <si>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</si>
  <si>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</si>
  <si>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</si>
  <si>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</si>
  <si>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</si>
  <si>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</si>
  <si>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</si>
  <si>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</si>
  <si>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</si>
  <si>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</si>
  <si>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擷取）；多數目標價訂於 </t>
    </r>
    <r>
      <rPr>
        <sz val="11"/>
        <color theme="1"/>
        <rFont val="Calibri"/>
        <family val="2"/>
        <charset val="1"/>
      </rPr>
      <t xml:space="preserve">9–10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</si>
  <si>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</si>
  <si>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</si>
  <si>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</si>
  <si>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</si>
  <si>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</si>
  <si>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</si>
  <si>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</si>
  <si>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</si>
  <si>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</si>
  <si>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</si>
  <si>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</si>
  <si>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為近三年加權平均約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明確期＋永續；勝宏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年固定資產投資最高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億元（約營收的六成），但本模型未建資本支出與折舊，未改用淨利＋折舊－資本支出，擴產期現金流偏高估。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：沪电、深南、生益电子、鹏鼎前瞻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股倍數含結構性溢價，且部分價格為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</si>
  <si>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</si>
  <si>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</si>
  <si>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</si>
  <si>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</si>
  <si>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</si>
  <si>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</si>
  <si>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</si>
  <si>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</si>
  <si>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</si>
  <si>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</si>
  <si>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</si>
  <si>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</si>
  <si>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</si>
  <si>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</si>
  <si>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</si>
  <si>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</si>
  <si>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</si>
  <si>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</si>
  <si>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</si>
  <si>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</si>
  <si>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</si>
  <si>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</si>
  <si>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</si>
  <si>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</si>
  <si>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</si>
  <si>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</si>
  <si>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</si>
  <si>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</si>
  <si>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</si>
  <si>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</si>
  <si>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</si>
  <si>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</si>
  <si>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</si>
  <si>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</si>
  <si>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</si>
  <si>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，與採用值同量級（差 </t>
    </r>
    <r>
      <rPr>
        <sz val="11"/>
        <color theme="1"/>
        <rFont val="Calibri"/>
        <family val="2"/>
        <charset val="1"/>
      </rPr>
      <t xml:space="preserve">0–4 </t>
    </r>
    <r>
      <rPr>
        <sz val="11"/>
        <color theme="1"/>
        <rFont val="Noto Sans CJK SC"/>
        <family val="2"/>
      </rPr>
      <t xml:space="preserve">倍），只作核對。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年勝宏以汽車、手機、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板為主（</t>
    </r>
    <r>
      <rPr>
        <sz val="11"/>
        <color theme="1"/>
        <rFont val="Calibri"/>
        <family val="2"/>
        <charset val="1"/>
      </rPr>
      <t xml:space="preserve">14–35x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轉型後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；十年分布含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股結構性溢價。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</si>
  <si>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</si>
  <si>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</si>
  <si>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</si>
  <si>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歸母淨利）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</si>
  <si>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</si>
  <si>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</si>
  <si>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歸母淨利）：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年底市值為付費資料：未找到；只作核對，不採用）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</si>
  <si>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</si>
  <si>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</si>
  <si>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</si>
  <si>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</si>
  <si>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</si>
  <si>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</si>
  <si>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</si>
  <si>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</si>
  <si>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</si>
  <si>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</si>
  <si>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</si>
  <si>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</si>
  <si>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</si>
  <si>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</si>
  <si>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</si>
  <si>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</si>
  <si>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</si>
  <si>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</si>
  <si>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</si>
  <si>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</si>
  <si>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</si>
  <si>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</si>
  <si>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</si>
  <si>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</si>
  <si>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</si>
  <si>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</si>
  <si>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</si>
  <si>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</si>
  <si>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</si>
  <si>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</si>
  <si>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</si>
  <si>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</si>
  <si>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</si>
  <si>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</si>
  <si>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</si>
  <si>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</si>
  <si>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</si>
  <si>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</si>
  <si>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</si>
  <si>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</si>
  <si>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</si>
  <si>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</si>
  <si>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</si>
  <si>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</si>
  <si>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</si>
  <si>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</si>
  <si>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</si>
  <si>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</si>
  <si>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</si>
  <si>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</si>
  <si>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</si>
  <si>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</si>
  <si>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</si>
  <si>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</si>
  <si>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勝宏科技</t>
  </si>
  <si>
    <t xml:space="preserve">300476.SZ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</si>
  <si>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</si>
  <si>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300476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</si>
  <si>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</si>
  <si>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002463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</si>
  <si>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002916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</si>
  <si>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688183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</si>
  <si>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002938 CH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</si>
  <si>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</si>
  <si>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</si>
  <si>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</si>
  <si>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</si>
  <si>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</si>
  <si>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</si>
  <si>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</si>
  <si>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</si>
  <si>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</si>
  <si>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</si>
  <si>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</si>
  <si>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</si>
  <si>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</si>
  <si>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</si>
  <si>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共識、券商估計、研調每架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金額。只作事後對照，不為對上數字而調參數。共識取自同花順（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</si>
  <si>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</si>
  <si>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</si>
  <si>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</si>
  <si>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</si>
  <si>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</si>
  <si>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</si>
  <si>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</si>
  <si>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</si>
  <si>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</si>
  <si>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</si>
  <si>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</si>
  <si>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3Q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+25%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</si>
  <si>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</si>
  <si>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</si>
  <si>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）前；共識最新報告 </t>
    </r>
    <r>
      <rPr>
        <sz val="11"/>
        <color theme="1"/>
        <rFont val="Calibri"/>
        <family val="2"/>
        <charset val="1"/>
      </rPr>
      <t xml:space="preserve">2026-09-07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</si>
  <si>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摩根大通（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</si>
  <si>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</si>
  <si>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</si>
  <si>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</si>
  <si>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</si>
  <si>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</si>
  <si>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高盛隱含（目標價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</si>
  <si>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（騰訊新聞轉述）</t>
    </r>
  </si>
  <si>
    <t xml:space="preserve">由目標價推算，非原文數字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</si>
  <si>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</si>
  <si>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</si>
  <si>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摩根大通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</si>
  <si>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金額（口徑分開；機制檢查）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</si>
  <si>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</si>
  <si>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</si>
  <si>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與銅箔、鑽孔、電鍍、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增層等製程；本模型範圍含光模組板與電源板，台光電範圍含非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高速材料，比例只作量級檢查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</si>
  <si>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</si>
  <si>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</si>
  <si>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</si>
  <si>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35.1K</t>
    </r>
    <r>
      <rPr>
        <sz val="11"/>
        <color theme="1"/>
        <rFont val="Noto Sans CJK SC"/>
        <family val="2"/>
      </rPr>
      <t xml:space="preserve">（國金證券轉引）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6.695K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</si>
  <si>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兩模型的比例遠低於每架口徑：台光電每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金額範圍較寬（含非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高速材料）或本模型每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偏低；水準只影響校準份額，不影響營收成長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</si>
  <si>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（本模型）</t>
    </r>
    <r>
      <rPr>
        <sz val="11"/>
        <color theme="1"/>
        <rFont val="Calibri"/>
        <family val="2"/>
        <charset val="1"/>
      </rPr>
      <t xml:space="preserve">vs CCL</t>
    </r>
    <r>
      <rPr>
        <sz val="11"/>
        <color theme="1"/>
        <rFont val="Noto Sans CJK SC"/>
        <family val="2"/>
      </rPr>
      <t xml:space="preserve">（台光電模型）</t>
    </r>
  </si>
  <si>
    <t xml:space="preserve">emc/dist</t>
  </si>
  <si>
    <t xml:space="preserve">兩者世代升級幅度的對照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</si>
  <si>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</si>
  <si>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</si>
  <si>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</si>
  <si>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VR200 116.7K </t>
    </r>
    <r>
      <rPr>
        <sz val="11"/>
        <color theme="1"/>
        <rFont val="Noto Sans CJK SC"/>
        <family val="2"/>
      </rPr>
      <t xml:space="preserve">美元（國金證券轉引）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</si>
  <si>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</si>
  <si>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</si>
  <si>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；本模型另含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</si>
  <si>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勝宏有效份額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</si>
  <si>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</si>
  <si>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</si>
  <si>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</si>
  <si>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</si>
  <si>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</si>
  <si>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</si>
  <si>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</si>
  <si>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</si>
  <si>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</si>
  <si>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摩根大通預估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41.3%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</si>
  <si>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</si>
  <si>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</si>
  <si>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</si>
  <si>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</si>
  <si>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</si>
  <si>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</si>
  <si>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</si>
  <si>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</si>
  <si>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</si>
  <si>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</si>
  <si>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</si>
  <si>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</si>
  <si>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</si>
  <si>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</si>
  <si>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</si>
  <si>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</si>
  <si>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</si>
  <si>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</si>
  <si>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</si>
  <si>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</si>
  <si>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</si>
  <si>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</si>
  <si>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2027 1.75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</si>
  <si>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</si>
  <si>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</si>
  <si>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</si>
  <si>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</si>
  <si>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</si>
  <si>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份額傳聞情境）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</si>
  <si>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</si>
  <si>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2029 0.95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</si>
  <si>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</si>
  <si>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</si>
  <si>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</si>
  <si>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</si>
  <si>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</si>
  <si>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2029 2.40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</si>
  <si>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</si>
  <si>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</si>
  <si>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</si>
  <si>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</si>
  <si>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</si>
  <si>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+4pt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</si>
  <si>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</si>
  <si>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</si>
  <si>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</si>
  <si>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</si>
  <si>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</si>
  <si>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</si>
  <si>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20pt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</si>
  <si>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</si>
  <si>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</si>
  <si>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</si>
  <si>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</si>
  <si>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+5%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</si>
  <si>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</si>
  <si>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</si>
  <si>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</si>
  <si>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</si>
  <si>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</si>
  <si>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</si>
  <si>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</si>
  <si>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</si>
  <si>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</si>
  <si>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</si>
  <si>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</si>
  <si>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</si>
  <si>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</si>
  <si>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</si>
  <si>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</si>
  <si>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</si>
  <si>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</si>
  <si>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</si>
  <si>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</si>
  <si>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</si>
  <si>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</si>
  <si>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</si>
  <si>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</si>
  <si>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</si>
  <si>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</si>
  <si>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</si>
  <si>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</si>
  <si>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</si>
  <si>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</si>
  <si>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</si>
  <si>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</si>
  <si>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</si>
  <si>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</si>
  <si>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</si>
  <si>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</si>
  <si>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</si>
  <si>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</si>
  <si>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20pt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</si>
  <si>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</si>
  <si>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</si>
  <si>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</si>
  <si>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來源（公司原文＝勝宏科技定期報告與業績交流會，經媒體轉述；券商與研調皆為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</si>
  <si>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年半年度報告（深交所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；營收、營業成本、費用、公允價值變動、所得稅、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</si>
  <si>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https://disc.static.szse.cn/disc/disk03/finalpage/2026-08-28/296a3692-b153-48c1-9201-2bbb41886183.PDF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</si>
  <si>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營收、歸母、扣非、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股上市）</t>
    </r>
  </si>
  <si>
    <t xml:space="preserve">https://wallstreetcn.com/articles/3780462</t>
  </si>
  <si>
    <r>
      <rPr>
        <sz val="11"/>
        <color theme="1"/>
        <rFont val="Noto Sans CJK SC"/>
        <family val="2"/>
      </rPr>
      <t xml:space="preserve">二手：鳳凰網（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毛利率、公允價值變動、財務費用、交易性金融資產、借款）</t>
    </r>
  </si>
  <si>
    <t xml:space="preserve">https://finance.ifeng.com/c/8wJ1y4oRRjn</t>
  </si>
  <si>
    <r>
      <rPr>
        <sz val="11"/>
        <color theme="1"/>
        <rFont val="Noto Sans CJK SC"/>
        <family val="2"/>
      </rPr>
      <t xml:space="preserve">二手：老虎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億）</t>
    </r>
  </si>
  <si>
    <t xml:space="preserve">https://www.itiger.com/news/1110866401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</si>
  <si>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半年度業績交流會（同花順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；固投、排單到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持平、毛利率承壓原因）</t>
    </r>
  </si>
  <si>
    <t xml:space="preserve">https://news.10jqka.com.cn/20260828/c679385007.shtml</t>
  </si>
  <si>
    <r>
      <rPr>
        <sz val="11"/>
        <color theme="1"/>
        <rFont val="Noto Sans CJK SC"/>
        <family val="2"/>
      </rPr>
      <t xml:space="preserve">二手：證券之星 </t>
    </r>
    <r>
      <rPr>
        <sz val="11"/>
        <color theme="1"/>
        <rFont val="Calibri"/>
        <family val="2"/>
        <charset val="1"/>
      </rPr>
      <t xml:space="preserve">2026-03-14 FY2025 </t>
    </r>
    <r>
      <rPr>
        <sz val="11"/>
        <color theme="1"/>
        <rFont val="Noto Sans CJK SC"/>
        <family val="2"/>
      </rPr>
      <t xml:space="preserve">年報簡析（營收、歸母、毛利率、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</si>
  <si>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https://stock.stockstar.com/RB2026031400003895.shtml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</si>
  <si>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年報（加權 </t>
    </r>
    <r>
      <rPr>
        <sz val="11"/>
        <color theme="1"/>
        <rFont val="Calibri"/>
        <family val="2"/>
        <charset val="1"/>
      </rPr>
      <t xml:space="preserve">ROE 35.56%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13.95%</t>
    </r>
    <r>
      <rPr>
        <sz val="11"/>
        <color theme="1"/>
        <rFont val="Noto Sans CJK SC"/>
        <family val="2"/>
      </rPr>
      <t xml:space="preserve">、扣非）</t>
    </r>
  </si>
  <si>
    <t xml:space="preserve">https://wallstreetcn.com/articles/3767370</t>
  </si>
  <si>
    <r>
      <rPr>
        <sz val="11"/>
        <color theme="1"/>
        <rFont val="Noto Sans CJK SC"/>
        <family val="2"/>
      </rPr>
      <t xml:space="preserve">二手：界面新聞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低於預期、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千億產值、季毛利率、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占比、產銷量）</t>
    </r>
  </si>
  <si>
    <t xml:space="preserve">https://m.jiemian.com/article/14114673.html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</si>
  <si>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年度業績快報（巨潮 </t>
    </r>
    <r>
      <rPr>
        <sz val="11"/>
        <color theme="1"/>
        <rFont val="Calibri"/>
        <family val="2"/>
        <charset val="1"/>
      </rPr>
      <t xml:space="preserve">2025-03-10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9.35%</t>
    </r>
    <r>
      <rPr>
        <sz val="11"/>
        <color theme="1"/>
        <rFont val="Noto Sans CJK SC"/>
        <family val="2"/>
      </rPr>
      <t xml:space="preserve">）</t>
    </r>
  </si>
  <si>
    <t xml:space="preserve">https://static.cninfo.com.cn/finalpage/2025-03-10/1222758016.PDF</t>
  </si>
  <si>
    <r>
      <rPr>
        <sz val="11"/>
        <color theme="1"/>
        <rFont val="Noto Sans CJK SC"/>
        <family val="2"/>
      </rPr>
      <t xml:space="preserve">券商：摩根大通首次覆蓋（新浪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預估、份額、毛利率、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股同業倍數）</t>
    </r>
  </si>
  <si>
    <r>
      <rPr>
        <sz val="11"/>
        <color theme="1"/>
        <rFont val="Noto Sans CJK SC"/>
        <family val="2"/>
      </rPr>
      <t xml:space="preserve">券商：高盛（騰訊新聞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</si>
  <si>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t xml:space="preserve">https://news.qq.com/rain/a/20260903A09PBG00</t>
  </si>
  <si>
    <r>
      <rPr>
        <sz val="11"/>
        <color theme="1"/>
        <rFont val="Noto Sans CJK SC"/>
        <family val="2"/>
      </rPr>
      <t xml:space="preserve">研調：國金證券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3.51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VR200 11.67 </t>
    </r>
    <r>
      <rPr>
        <sz val="11"/>
        <color theme="1"/>
        <rFont val="Noto Sans CJK SC"/>
        <family val="2"/>
      </rPr>
      <t xml:space="preserve">萬美元；層數）</t>
    </r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</si>
  <si>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</si>
  <si>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市場傳聞與股價：新浪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份額傳聞、降價傳聞、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低於預期）</t>
    </r>
  </si>
  <si>
    <t xml:space="preserve">https://finance.sina.com.cn/wm/2026-07-21/doc-iniiqvau9153021.shtml</t>
  </si>
  <si>
    <r>
      <rPr>
        <sz val="11"/>
        <color theme="1"/>
        <rFont val="Noto Sans CJK SC"/>
        <family val="2"/>
      </rPr>
      <t xml:space="preserve">產能整理：東方財富財富號 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（各廠產能與產值）</t>
    </r>
  </si>
  <si>
    <t xml:space="preserve">https://caifuhao.eastmoney.com/news/20260105193303948073610</t>
  </si>
  <si>
    <r>
      <rPr>
        <sz val="11"/>
        <color theme="1"/>
        <rFont val="Noto Sans CJK SC"/>
        <family val="2"/>
      </rPr>
      <t xml:space="preserve">研報摘要：外刊庫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（同業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營收成長、每平方米營收）</t>
    </r>
  </si>
  <si>
    <t xml:space="preserve">https://waikanstore.com/victory-giant-300476-company-research-2026-10/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</si>
  <si>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、共識目標價、股數；同業前瞻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；年底市值、年度財報）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</si>
  <si>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</si>
  <si>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https://companiesmarketcap.com/victory-giant-technology/pe-ratio/</t>
  </si>
  <si>
    <r>
      <rPr>
        <sz val="11"/>
        <color theme="1"/>
        <rFont val="Noto Sans CJK SC"/>
        <family val="2"/>
      </rPr>
      <t xml:space="preserve">券商歷史數字：民生證券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營收與淨利）</t>
    </r>
  </si>
  <si>
    <t xml:space="preserve">https://pdf.dfcfw.com/pdf/H3_AP201711201052546282_1.pdf</t>
  </si>
  <si>
    <r>
      <rPr>
        <sz val="11"/>
        <color theme="1"/>
        <rFont val="Noto Sans CJK SC"/>
        <family val="2"/>
      </rPr>
      <t xml:space="preserve">匯率：中國經濟網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（人民幣中間價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）</t>
    </r>
  </si>
  <si>
    <t xml:space="preserve">https://cj.sina.com.cn/articles/view/1663612603/6328b6bb0200248kg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</si>
  <si>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</si>
  <si>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eniu.com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（權限請求逾時）；</t>
    </r>
    <r>
      <rPr>
        <sz val="11"/>
        <color theme="1"/>
        <rFont val="Calibri"/>
        <family val="2"/>
        <charset val="1"/>
      </rPr>
      <t xml:space="preserve">pdf.dfcfw.com 2021-04 </t>
    </r>
    <r>
      <rPr>
        <sz val="11"/>
        <color theme="1"/>
        <rFont val="Noto Sans CJK SC"/>
        <family val="2"/>
      </rPr>
      <t xml:space="preserve">報告（權限請求逾時）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</si>
  <si>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</si>
  <si>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）；分產品（高多層、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）營收與毛利率；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年營收與淨利；產能（萬㎡）與產值的公司原文；資本支出與折舊；前瞻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</si>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</sst>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00"/>
    <numFmt numFmtId="170" formatCode="0.0"/>
    <numFmt numFmtId="171" formatCode="#,##0"/>
    <numFmt numFmtId="172" formatCode="#,##0.0"/>
    <numFmt numFmtId="173" formatCode="#,##0.00"/>
    <numFmt numFmtId="174" formatCode="0.0000"/>
    <numFmt numFmtId="175" formatCode="@"/>
    <numFmt numFmtId="176" formatCode="0%"/>
    <numFmt numFmtId="17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"投資建議："&amp;Val!B119&amp;"（依上檔空間固定規則）"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人民幣"&amp;TEXT(Val!$B$39,"0.00")&amp;"（DCF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"&amp;Val!$B$118&amp;"、投資建議 "&amp;Val!$B$119&amp;"。相對倍數調整係數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相對倍數調整前撰寫的說明，其中數字為調整前：主因是倍數不是 EPS：本模型前瞻 EPS 14.39 比共識前瞻 EPS 12.36 高 16.4%，但 A 股 PCB 同業（沪电、深南、生益电子、鹏鼎）前瞻 P/E 中位數 30.8 倍、共識目標價 388.30 隱含 31.4 倍，現價只隱含 14.8 倍；DCF 單獨僅 +10.5%，上檔空間主要來自 Compar"&amp;"able，市場對份額（Rubin 份額傳聞）與擴產的折價未計入 Comparable。"</f>
        <v>重點觀察 1：目標價 人民幣303.24（DCF 202.71、Comparable（相對倍數調整後）403.77；DCF 權重 50%），比現價 183.48（2026-10-23）高 65.3%，級距 大於 50%、投資建議 強力買進。相對倍數調整係數 0.91（本公司 10 年前瞻倍數中位數 ÷ 同業的中位數，夾在 0.5–2.0；Val 第 0.5 節），調整前加權上檔空間 +76.0%；Comparable 單獨（市場主流同業法、未調整）為 +141.4%。以下為 2026-10-29 相對倍數調整前撰寫的說明，其中數字為調整前：主因是倍數不是 EPS：本模型前瞻 EPS 14.39 比共識前瞻 EPS 12.36 高 16.4%，但 A 股 PCB 同業（沪电、深南、生益电子、鹏鼎）前瞻 P/E 中位數 30.8 倍、共識目標價 388.30 隱含 31.4 倍，現價只隱含 14.8 倍；DCF 單獨僅 +10.5%，上檔空間主要來自 Comparable，市場對份額（Rubin 份額傳聞）與擴產的折價未計入 Comparable。</v>
      </c>
    </row>
    <row r="21" customFormat="false" ht="17.15" hidden="false" customHeight="false" outlineLevel="0" collapsed="false">
      <c r="A21" s="3" t="s">
        <v>15</v>
      </c>
    </row>
    <row r="22" customFormat="false" ht="17.15" hidden="false" customHeight="false" outlineLevel="0" collapsed="false">
      <c r="A22" s="3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3" t="s">
        <v>21</v>
      </c>
    </row>
    <row r="3" customFormat="false" ht="17.15" hidden="false" customHeight="false" outlineLevel="0" collapsed="false">
      <c r="A3" s="4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5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6" t="n">
        <v>781.872916666666</v>
      </c>
      <c r="G5" s="7" t="s">
        <v>35</v>
      </c>
      <c r="H5" s="7" t="s">
        <v>36</v>
      </c>
      <c r="I5" s="3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6" t="n">
        <v>1565.35</v>
      </c>
      <c r="G6" s="7" t="s">
        <v>35</v>
      </c>
      <c r="H6" s="7" t="s">
        <v>36</v>
      </c>
      <c r="I6" s="3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6" t="n">
        <v>1984.26388888889</v>
      </c>
      <c r="G7" s="7" t="s">
        <v>35</v>
      </c>
      <c r="H7" s="7" t="s">
        <v>36</v>
      </c>
      <c r="I7" s="3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6" t="n">
        <v>2260.39027777778</v>
      </c>
      <c r="G8" s="7" t="s">
        <v>35</v>
      </c>
      <c r="H8" s="7" t="s">
        <v>36</v>
      </c>
      <c r="I8" s="3" t="s">
        <v>40</v>
      </c>
    </row>
    <row r="9" customFormat="false" ht="17.15" hidden="false" customHeight="false" outlineLevel="0" collapsed="false">
      <c r="A9" s="0" t="s">
        <v>45</v>
      </c>
      <c r="B9" s="3" t="s">
        <v>46</v>
      </c>
      <c r="C9" s="0" t="s">
        <v>34</v>
      </c>
      <c r="E9" s="6" t="n">
        <v>32.237224</v>
      </c>
      <c r="G9" s="7" t="s">
        <v>35</v>
      </c>
      <c r="H9" s="7" t="s">
        <v>47</v>
      </c>
      <c r="I9" s="7" t="s">
        <v>48</v>
      </c>
    </row>
    <row r="10" customFormat="false" ht="17.15" hidden="false" customHeight="false" outlineLevel="0" collapsed="false">
      <c r="A10" s="0" t="s">
        <v>49</v>
      </c>
      <c r="B10" s="3" t="s">
        <v>50</v>
      </c>
      <c r="C10" s="0" t="s">
        <v>34</v>
      </c>
      <c r="E10" s="6" t="n">
        <v>37.586352</v>
      </c>
      <c r="G10" s="7" t="s">
        <v>35</v>
      </c>
      <c r="H10" s="7" t="s">
        <v>47</v>
      </c>
      <c r="I10" s="3" t="s">
        <v>51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54</v>
      </c>
      <c r="D11" s="6" t="n">
        <v>0.15</v>
      </c>
      <c r="E11" s="6" t="n">
        <v>0.22</v>
      </c>
      <c r="F11" s="6" t="n">
        <v>0.3</v>
      </c>
      <c r="G11" s="7" t="s">
        <v>55</v>
      </c>
      <c r="H11" s="7" t="s">
        <v>56</v>
      </c>
      <c r="I11" s="7" t="s">
        <v>57</v>
      </c>
    </row>
    <row r="12" customFormat="false" ht="17.15" hidden="false" customHeight="false" outlineLevel="0" collapsed="false">
      <c r="A12" s="0" t="s">
        <v>58</v>
      </c>
      <c r="B12" s="3" t="s">
        <v>59</v>
      </c>
      <c r="C12" s="3" t="s">
        <v>60</v>
      </c>
      <c r="E12" s="6" t="n">
        <v>6764</v>
      </c>
      <c r="G12" s="7" t="s">
        <v>35</v>
      </c>
      <c r="H12" s="7" t="s">
        <v>61</v>
      </c>
      <c r="I12" s="7" t="s">
        <v>62</v>
      </c>
    </row>
    <row r="13" customFormat="false" ht="17.15" hidden="false" customHeight="false" outlineLevel="0" collapsed="false">
      <c r="A13" s="0" t="s">
        <v>63</v>
      </c>
      <c r="B13" s="3" t="s">
        <v>64</v>
      </c>
      <c r="C13" s="3" t="s">
        <v>60</v>
      </c>
      <c r="E13" s="6" t="n">
        <v>4052</v>
      </c>
      <c r="G13" s="7" t="s">
        <v>35</v>
      </c>
      <c r="H13" s="7" t="s">
        <v>61</v>
      </c>
      <c r="I13" s="3" t="s">
        <v>40</v>
      </c>
    </row>
    <row r="14" customFormat="false" ht="17.15" hidden="false" customHeight="false" outlineLevel="0" collapsed="false">
      <c r="A14" s="0" t="s">
        <v>65</v>
      </c>
      <c r="B14" s="3" t="s">
        <v>66</v>
      </c>
      <c r="C14" s="0" t="s">
        <v>67</v>
      </c>
      <c r="E14" s="6" t="n">
        <v>1</v>
      </c>
      <c r="G14" s="7" t="s">
        <v>68</v>
      </c>
      <c r="H14" s="7" t="s">
        <v>69</v>
      </c>
      <c r="I14" s="7" t="s">
        <v>70</v>
      </c>
    </row>
    <row r="15" customFormat="false" ht="17.15" hidden="false" customHeight="false" outlineLevel="0" collapsed="false">
      <c r="A15" s="0" t="s">
        <v>71</v>
      </c>
      <c r="B15" s="3" t="s">
        <v>72</v>
      </c>
      <c r="C15" s="0" t="s">
        <v>67</v>
      </c>
      <c r="E15" s="6" t="n">
        <v>1</v>
      </c>
      <c r="G15" s="7" t="s">
        <v>68</v>
      </c>
      <c r="H15" s="7" t="s">
        <v>73</v>
      </c>
      <c r="I15" s="3" t="s">
        <v>40</v>
      </c>
    </row>
    <row r="16" customFormat="false" ht="17.15" hidden="false" customHeight="false" outlineLevel="0" collapsed="false">
      <c r="A16" s="0" t="s">
        <v>74</v>
      </c>
      <c r="B16" s="3" t="s">
        <v>75</v>
      </c>
      <c r="C16" s="0" t="s">
        <v>67</v>
      </c>
      <c r="E16" s="6" t="n">
        <v>0.8</v>
      </c>
      <c r="G16" s="7" t="s">
        <v>68</v>
      </c>
      <c r="H16" s="7" t="s">
        <v>76</v>
      </c>
      <c r="I16" s="7" t="s">
        <v>70</v>
      </c>
    </row>
    <row r="17" customFormat="false" ht="17.15" hidden="false" customHeight="false" outlineLevel="0" collapsed="false">
      <c r="A17" s="0" t="s">
        <v>77</v>
      </c>
      <c r="B17" s="3" t="s">
        <v>78</v>
      </c>
      <c r="C17" s="0" t="s">
        <v>67</v>
      </c>
      <c r="E17" s="6" t="n">
        <v>0.85</v>
      </c>
      <c r="G17" s="7" t="s">
        <v>68</v>
      </c>
      <c r="H17" s="7" t="s">
        <v>79</v>
      </c>
      <c r="I17" s="3" t="s">
        <v>40</v>
      </c>
    </row>
    <row r="18" customFormat="false" ht="17.15" hidden="false" customHeight="false" outlineLevel="0" collapsed="false">
      <c r="A18" s="0" t="s">
        <v>80</v>
      </c>
      <c r="B18" s="3" t="s">
        <v>81</v>
      </c>
      <c r="C18" s="0" t="s">
        <v>67</v>
      </c>
      <c r="E18" s="6" t="n">
        <v>0.6</v>
      </c>
      <c r="G18" s="7" t="s">
        <v>68</v>
      </c>
      <c r="H18" s="7" t="s">
        <v>82</v>
      </c>
      <c r="I18" s="7" t="s">
        <v>70</v>
      </c>
    </row>
    <row r="19" customFormat="false" ht="17.15" hidden="false" customHeight="false" outlineLevel="0" collapsed="false">
      <c r="A19" s="0" t="s">
        <v>83</v>
      </c>
      <c r="B19" s="3" t="s">
        <v>84</v>
      </c>
      <c r="C19" s="0" t="s">
        <v>67</v>
      </c>
      <c r="E19" s="6" t="n">
        <v>0.6</v>
      </c>
      <c r="G19" s="7" t="s">
        <v>68</v>
      </c>
      <c r="H19" s="7" t="s">
        <v>85</v>
      </c>
      <c r="I19" s="3" t="s">
        <v>40</v>
      </c>
    </row>
    <row r="20" customFormat="false" ht="17.15" hidden="false" customHeight="false" outlineLevel="0" collapsed="false">
      <c r="A20" s="0" t="s">
        <v>86</v>
      </c>
      <c r="B20" s="3" t="s">
        <v>87</v>
      </c>
      <c r="C20" s="0" t="s">
        <v>88</v>
      </c>
      <c r="D20" s="6" t="n">
        <v>6.5</v>
      </c>
      <c r="E20" s="6" t="n">
        <v>6.72</v>
      </c>
      <c r="F20" s="6" t="n">
        <v>7</v>
      </c>
      <c r="G20" s="7" t="s">
        <v>89</v>
      </c>
      <c r="H20" s="3" t="s">
        <v>90</v>
      </c>
      <c r="I20" s="7" t="s">
        <v>91</v>
      </c>
    </row>
    <row r="21" customFormat="false" ht="17.15" hidden="false" customHeight="false" outlineLevel="0" collapsed="false">
      <c r="A21" s="5" t="s">
        <v>92</v>
      </c>
    </row>
    <row r="22" customFormat="false" ht="17.15" hidden="false" customHeight="false" outlineLevel="0" collapsed="false">
      <c r="A22" s="0" t="s">
        <v>93</v>
      </c>
      <c r="B22" s="3" t="s">
        <v>94</v>
      </c>
      <c r="C22" s="0" t="s">
        <v>95</v>
      </c>
      <c r="D22" s="6" t="n">
        <v>200</v>
      </c>
      <c r="E22" s="6" t="n">
        <v>280</v>
      </c>
      <c r="F22" s="6" t="n">
        <v>360</v>
      </c>
      <c r="G22" s="7" t="s">
        <v>68</v>
      </c>
      <c r="H22" s="3" t="s">
        <v>96</v>
      </c>
      <c r="I22" s="3" t="s">
        <v>97</v>
      </c>
    </row>
    <row r="23" customFormat="false" ht="17.15" hidden="false" customHeight="false" outlineLevel="0" collapsed="false">
      <c r="A23" s="0" t="s">
        <v>98</v>
      </c>
      <c r="B23" s="3" t="s">
        <v>99</v>
      </c>
      <c r="C23" s="0" t="s">
        <v>95</v>
      </c>
      <c r="D23" s="6" t="n">
        <v>80</v>
      </c>
      <c r="E23" s="6" t="n">
        <v>120</v>
      </c>
      <c r="F23" s="6" t="n">
        <v>160</v>
      </c>
      <c r="G23" s="7" t="s">
        <v>68</v>
      </c>
      <c r="H23" s="3" t="s">
        <v>100</v>
      </c>
      <c r="I23" s="3" t="s">
        <v>101</v>
      </c>
    </row>
    <row r="24" customFormat="false" ht="17.15" hidden="false" customHeight="false" outlineLevel="0" collapsed="false">
      <c r="A24" s="0" t="s">
        <v>102</v>
      </c>
      <c r="B24" s="3" t="s">
        <v>103</v>
      </c>
      <c r="C24" s="0" t="s">
        <v>95</v>
      </c>
      <c r="D24" s="6" t="n">
        <v>30</v>
      </c>
      <c r="E24" s="6" t="n">
        <v>50</v>
      </c>
      <c r="F24" s="6" t="n">
        <v>80</v>
      </c>
      <c r="G24" s="7" t="s">
        <v>68</v>
      </c>
      <c r="H24" s="3" t="s">
        <v>104</v>
      </c>
      <c r="I24" s="7" t="s">
        <v>105</v>
      </c>
    </row>
    <row r="25" customFormat="false" ht="17.15" hidden="false" customHeight="false" outlineLevel="0" collapsed="false">
      <c r="A25" s="0" t="s">
        <v>106</v>
      </c>
      <c r="B25" s="3" t="s">
        <v>107</v>
      </c>
      <c r="C25" s="0" t="s">
        <v>67</v>
      </c>
      <c r="D25" s="6" t="n">
        <v>1.25</v>
      </c>
      <c r="E25" s="6" t="n">
        <v>1.5</v>
      </c>
      <c r="F25" s="6" t="n">
        <v>1.75</v>
      </c>
      <c r="G25" s="7" t="s">
        <v>108</v>
      </c>
      <c r="H25" s="7" t="s">
        <v>109</v>
      </c>
      <c r="I25" s="7" t="s">
        <v>110</v>
      </c>
    </row>
    <row r="26" customFormat="false" ht="17.15" hidden="false" customHeight="false" outlineLevel="0" collapsed="false">
      <c r="A26" s="0" t="s">
        <v>111</v>
      </c>
      <c r="B26" s="3" t="s">
        <v>112</v>
      </c>
      <c r="C26" s="0" t="s">
        <v>67</v>
      </c>
      <c r="D26" s="6" t="n">
        <v>1.35</v>
      </c>
      <c r="E26" s="6" t="n">
        <v>1.65</v>
      </c>
      <c r="F26" s="6" t="n">
        <v>2</v>
      </c>
      <c r="G26" s="7" t="s">
        <v>108</v>
      </c>
      <c r="H26" s="3" t="s">
        <v>40</v>
      </c>
      <c r="I26" s="7" t="s">
        <v>113</v>
      </c>
    </row>
    <row r="27" customFormat="false" ht="17.15" hidden="false" customHeight="false" outlineLevel="0" collapsed="false">
      <c r="A27" s="0" t="s">
        <v>114</v>
      </c>
      <c r="B27" s="3" t="s">
        <v>115</v>
      </c>
      <c r="C27" s="0" t="s">
        <v>67</v>
      </c>
      <c r="D27" s="6" t="n">
        <v>1.4</v>
      </c>
      <c r="E27" s="6" t="n">
        <v>1.8</v>
      </c>
      <c r="F27" s="6" t="n">
        <v>2.2</v>
      </c>
      <c r="G27" s="7" t="s">
        <v>108</v>
      </c>
      <c r="H27" s="3" t="s">
        <v>40</v>
      </c>
      <c r="I27" s="7" t="s">
        <v>113</v>
      </c>
    </row>
    <row r="28" customFormat="false" ht="17.15" hidden="false" customHeight="false" outlineLevel="0" collapsed="false">
      <c r="A28" s="0" t="s">
        <v>116</v>
      </c>
      <c r="B28" s="3" t="s">
        <v>117</v>
      </c>
      <c r="C28" s="0" t="s">
        <v>67</v>
      </c>
      <c r="D28" s="6" t="n">
        <v>1.15</v>
      </c>
      <c r="E28" s="6" t="n">
        <v>1.35</v>
      </c>
      <c r="F28" s="6" t="n">
        <v>1.6</v>
      </c>
      <c r="G28" s="7" t="s">
        <v>68</v>
      </c>
      <c r="H28" s="3" t="s">
        <v>118</v>
      </c>
      <c r="I28" s="3" t="s">
        <v>119</v>
      </c>
    </row>
    <row r="29" customFormat="false" ht="17.15" hidden="false" customHeight="false" outlineLevel="0" collapsed="false">
      <c r="A29" s="0" t="s">
        <v>120</v>
      </c>
      <c r="B29" s="3" t="s">
        <v>121</v>
      </c>
      <c r="C29" s="0" t="s">
        <v>67</v>
      </c>
      <c r="D29" s="6" t="n">
        <v>1.25</v>
      </c>
      <c r="E29" s="6" t="n">
        <v>1.5</v>
      </c>
      <c r="F29" s="6" t="n">
        <v>1.85</v>
      </c>
      <c r="G29" s="7" t="s">
        <v>68</v>
      </c>
      <c r="H29" s="3" t="s">
        <v>40</v>
      </c>
      <c r="I29" s="7" t="s">
        <v>113</v>
      </c>
    </row>
    <row r="30" customFormat="false" ht="17.15" hidden="false" customHeight="false" outlineLevel="0" collapsed="false">
      <c r="A30" s="0" t="s">
        <v>122</v>
      </c>
      <c r="B30" s="3" t="s">
        <v>123</v>
      </c>
      <c r="C30" s="0" t="s">
        <v>67</v>
      </c>
      <c r="D30" s="6" t="n">
        <v>1.3</v>
      </c>
      <c r="E30" s="6" t="n">
        <v>1.65</v>
      </c>
      <c r="F30" s="6" t="n">
        <v>2.1</v>
      </c>
      <c r="G30" s="7" t="s">
        <v>68</v>
      </c>
      <c r="H30" s="3" t="s">
        <v>40</v>
      </c>
      <c r="I30" s="7" t="s">
        <v>113</v>
      </c>
    </row>
    <row r="31" customFormat="false" ht="17.15" hidden="false" customHeight="false" outlineLevel="0" collapsed="false">
      <c r="A31" s="0" t="s">
        <v>124</v>
      </c>
      <c r="B31" s="3" t="s">
        <v>125</v>
      </c>
      <c r="C31" s="0" t="s">
        <v>67</v>
      </c>
      <c r="D31" s="6" t="n">
        <v>1.4</v>
      </c>
      <c r="E31" s="6" t="n">
        <v>2</v>
      </c>
      <c r="F31" s="6" t="n">
        <v>2.6</v>
      </c>
      <c r="G31" s="7" t="s">
        <v>68</v>
      </c>
      <c r="H31" s="7" t="s">
        <v>126</v>
      </c>
      <c r="I31" s="3" t="s">
        <v>127</v>
      </c>
    </row>
    <row r="32" customFormat="false" ht="17.15" hidden="false" customHeight="false" outlineLevel="0" collapsed="false">
      <c r="A32" s="0" t="s">
        <v>128</v>
      </c>
      <c r="B32" s="3" t="s">
        <v>129</v>
      </c>
      <c r="C32" s="0" t="s">
        <v>67</v>
      </c>
      <c r="D32" s="6" t="n">
        <v>1.8</v>
      </c>
      <c r="E32" s="6" t="n">
        <v>3</v>
      </c>
      <c r="F32" s="6" t="n">
        <v>4</v>
      </c>
      <c r="G32" s="7" t="s">
        <v>68</v>
      </c>
      <c r="H32" s="3" t="s">
        <v>40</v>
      </c>
      <c r="I32" s="7" t="s">
        <v>113</v>
      </c>
    </row>
    <row r="33" customFormat="false" ht="17.15" hidden="false" customHeight="false" outlineLevel="0" collapsed="false">
      <c r="A33" s="0" t="s">
        <v>130</v>
      </c>
      <c r="B33" s="3" t="s">
        <v>131</v>
      </c>
      <c r="C33" s="0" t="s">
        <v>67</v>
      </c>
      <c r="D33" s="6" t="n">
        <v>2</v>
      </c>
      <c r="E33" s="6" t="n">
        <v>3.5</v>
      </c>
      <c r="F33" s="6" t="n">
        <v>5</v>
      </c>
      <c r="G33" s="7" t="s">
        <v>68</v>
      </c>
      <c r="H33" s="3" t="s">
        <v>40</v>
      </c>
      <c r="I33" s="7" t="s">
        <v>113</v>
      </c>
    </row>
    <row r="34" customFormat="false" ht="17.15" hidden="false" customHeight="false" outlineLevel="0" collapsed="false">
      <c r="A34" s="0" t="s">
        <v>132</v>
      </c>
      <c r="B34" s="3" t="s">
        <v>133</v>
      </c>
      <c r="C34" s="0" t="s">
        <v>67</v>
      </c>
      <c r="D34" s="6" t="n">
        <v>0.7</v>
      </c>
      <c r="E34" s="6" t="n">
        <v>0.9</v>
      </c>
      <c r="F34" s="6" t="n">
        <v>1</v>
      </c>
      <c r="G34" s="7" t="s">
        <v>68</v>
      </c>
      <c r="H34" s="3" t="s">
        <v>134</v>
      </c>
      <c r="I34" s="3" t="s">
        <v>135</v>
      </c>
    </row>
    <row r="35" customFormat="false" ht="17.15" hidden="false" customHeight="false" outlineLevel="0" collapsed="false">
      <c r="A35" s="0" t="s">
        <v>136</v>
      </c>
      <c r="B35" s="3" t="s">
        <v>137</v>
      </c>
      <c r="C35" s="0" t="s">
        <v>67</v>
      </c>
      <c r="D35" s="6" t="n">
        <v>0.6</v>
      </c>
      <c r="E35" s="6" t="n">
        <v>0.8</v>
      </c>
      <c r="F35" s="6" t="n">
        <v>1</v>
      </c>
      <c r="G35" s="7" t="s">
        <v>68</v>
      </c>
      <c r="H35" s="3" t="s">
        <v>40</v>
      </c>
      <c r="I35" s="7" t="s">
        <v>113</v>
      </c>
    </row>
    <row r="36" customFormat="false" ht="17.15" hidden="false" customHeight="false" outlineLevel="0" collapsed="false">
      <c r="A36" s="0" t="s">
        <v>138</v>
      </c>
      <c r="B36" s="3" t="s">
        <v>139</v>
      </c>
      <c r="C36" s="0" t="s">
        <v>67</v>
      </c>
      <c r="D36" s="6" t="n">
        <v>0.55</v>
      </c>
      <c r="E36" s="6" t="n">
        <v>0.75</v>
      </c>
      <c r="F36" s="6" t="n">
        <v>0.95</v>
      </c>
      <c r="G36" s="7" t="s">
        <v>68</v>
      </c>
      <c r="H36" s="3" t="s">
        <v>40</v>
      </c>
      <c r="I36" s="7" t="s">
        <v>113</v>
      </c>
    </row>
    <row r="37" customFormat="false" ht="17.15" hidden="false" customHeight="false" outlineLevel="0" collapsed="false">
      <c r="A37" s="0" t="s">
        <v>140</v>
      </c>
      <c r="B37" s="0" t="s">
        <v>141</v>
      </c>
      <c r="C37" s="0" t="s">
        <v>67</v>
      </c>
      <c r="D37" s="6" t="n">
        <v>0.95</v>
      </c>
      <c r="E37" s="6" t="n">
        <v>1</v>
      </c>
      <c r="F37" s="6" t="n">
        <v>1.03</v>
      </c>
      <c r="G37" s="7" t="s">
        <v>68</v>
      </c>
      <c r="H37" s="3" t="s">
        <v>142</v>
      </c>
      <c r="I37" s="3" t="s">
        <v>143</v>
      </c>
    </row>
    <row r="38" customFormat="false" ht="17.15" hidden="false" customHeight="false" outlineLevel="0" collapsed="false">
      <c r="A38" s="0" t="s">
        <v>144</v>
      </c>
      <c r="B38" s="0" t="s">
        <v>145</v>
      </c>
      <c r="C38" s="0" t="s">
        <v>67</v>
      </c>
      <c r="D38" s="6" t="n">
        <v>0.9</v>
      </c>
      <c r="E38" s="6" t="n">
        <v>0.97</v>
      </c>
      <c r="F38" s="6" t="n">
        <v>1.02</v>
      </c>
      <c r="G38" s="7" t="s">
        <v>68</v>
      </c>
      <c r="H38" s="3" t="s">
        <v>40</v>
      </c>
      <c r="I38" s="3" t="s">
        <v>146</v>
      </c>
    </row>
    <row r="39" customFormat="false" ht="17.15" hidden="false" customHeight="false" outlineLevel="0" collapsed="false">
      <c r="A39" s="0" t="s">
        <v>147</v>
      </c>
      <c r="B39" s="0" t="s">
        <v>148</v>
      </c>
      <c r="C39" s="0" t="s">
        <v>67</v>
      </c>
      <c r="D39" s="6" t="n">
        <v>0.85</v>
      </c>
      <c r="E39" s="6" t="n">
        <v>0.94</v>
      </c>
      <c r="F39" s="6" t="n">
        <v>1</v>
      </c>
      <c r="G39" s="7" t="s">
        <v>68</v>
      </c>
      <c r="H39" s="3" t="s">
        <v>40</v>
      </c>
      <c r="I39" s="3" t="s">
        <v>146</v>
      </c>
    </row>
    <row r="40" customFormat="false" ht="17.15" hidden="false" customHeight="false" outlineLevel="0" collapsed="false">
      <c r="A40" s="5" t="s">
        <v>149</v>
      </c>
    </row>
    <row r="41" customFormat="false" ht="17.15" hidden="false" customHeight="false" outlineLevel="0" collapsed="false">
      <c r="A41" s="0" t="s">
        <v>150</v>
      </c>
      <c r="B41" s="3" t="s">
        <v>151</v>
      </c>
      <c r="C41" s="0" t="s">
        <v>67</v>
      </c>
      <c r="D41" s="6" t="n">
        <v>1.45</v>
      </c>
      <c r="E41" s="6" t="n">
        <v>1.7</v>
      </c>
      <c r="F41" s="6" t="n">
        <v>1.9</v>
      </c>
      <c r="G41" s="7" t="s">
        <v>68</v>
      </c>
      <c r="H41" s="3" t="s">
        <v>152</v>
      </c>
      <c r="I41" s="3" t="s">
        <v>153</v>
      </c>
    </row>
    <row r="42" customFormat="false" ht="17.15" hidden="false" customHeight="false" outlineLevel="0" collapsed="false">
      <c r="A42" s="0" t="s">
        <v>154</v>
      </c>
      <c r="B42" s="3" t="s">
        <v>155</v>
      </c>
      <c r="C42" s="0" t="s">
        <v>67</v>
      </c>
      <c r="D42" s="6" t="n">
        <v>1.95</v>
      </c>
      <c r="E42" s="6" t="n">
        <v>2.4</v>
      </c>
      <c r="F42" s="6" t="n">
        <v>2.8</v>
      </c>
      <c r="G42" s="7" t="s">
        <v>68</v>
      </c>
      <c r="H42" s="3" t="s">
        <v>40</v>
      </c>
      <c r="I42" s="3" t="s">
        <v>156</v>
      </c>
    </row>
    <row r="43" customFormat="false" ht="17.15" hidden="false" customHeight="false" outlineLevel="0" collapsed="false">
      <c r="A43" s="0" t="s">
        <v>157</v>
      </c>
      <c r="B43" s="3" t="s">
        <v>158</v>
      </c>
      <c r="C43" s="0" t="s">
        <v>67</v>
      </c>
      <c r="D43" s="6" t="n">
        <v>2.4</v>
      </c>
      <c r="E43" s="6" t="n">
        <v>3</v>
      </c>
      <c r="F43" s="6" t="n">
        <v>3.4</v>
      </c>
      <c r="G43" s="7" t="s">
        <v>68</v>
      </c>
      <c r="H43" s="3" t="s">
        <v>159</v>
      </c>
      <c r="I43" s="7" t="s">
        <v>113</v>
      </c>
    </row>
    <row r="44" customFormat="false" ht="17.15" hidden="false" customHeight="false" outlineLevel="0" collapsed="false">
      <c r="A44" s="5" t="s">
        <v>160</v>
      </c>
    </row>
    <row r="45" customFormat="false" ht="17.15" hidden="false" customHeight="false" outlineLevel="0" collapsed="false">
      <c r="A45" s="0" t="s">
        <v>161</v>
      </c>
      <c r="B45" s="0" t="s">
        <v>162</v>
      </c>
      <c r="C45" s="0" t="s">
        <v>54</v>
      </c>
      <c r="D45" s="6" t="n">
        <v>0.4</v>
      </c>
      <c r="E45" s="6" t="n">
        <v>0.45</v>
      </c>
      <c r="F45" s="6" t="n">
        <v>0.5</v>
      </c>
      <c r="G45" s="7" t="s">
        <v>55</v>
      </c>
      <c r="H45" s="3" t="s">
        <v>163</v>
      </c>
      <c r="I45" s="3" t="s">
        <v>164</v>
      </c>
    </row>
    <row r="46" customFormat="false" ht="17.15" hidden="false" customHeight="false" outlineLevel="0" collapsed="false">
      <c r="A46" s="0" t="s">
        <v>165</v>
      </c>
      <c r="B46" s="0" t="s">
        <v>166</v>
      </c>
      <c r="C46" s="0" t="s">
        <v>54</v>
      </c>
      <c r="D46" s="6" t="n">
        <v>-0.05</v>
      </c>
      <c r="E46" s="6" t="n">
        <v>0</v>
      </c>
      <c r="F46" s="6" t="n">
        <v>0.05</v>
      </c>
      <c r="G46" s="7" t="s">
        <v>55</v>
      </c>
      <c r="H46" s="7" t="s">
        <v>167</v>
      </c>
      <c r="I46" s="7" t="s">
        <v>168</v>
      </c>
    </row>
    <row r="47" customFormat="false" ht="17.15" hidden="false" customHeight="false" outlineLevel="0" collapsed="false">
      <c r="A47" s="0" t="s">
        <v>169</v>
      </c>
      <c r="B47" s="3" t="s">
        <v>170</v>
      </c>
      <c r="C47" s="0" t="s">
        <v>54</v>
      </c>
      <c r="D47" s="6" t="n">
        <v>-0.05</v>
      </c>
      <c r="E47" s="6" t="n">
        <v>0</v>
      </c>
      <c r="F47" s="6" t="n">
        <v>0.05</v>
      </c>
      <c r="G47" s="7" t="s">
        <v>68</v>
      </c>
      <c r="H47" s="3" t="s">
        <v>171</v>
      </c>
      <c r="I47" s="3" t="s">
        <v>172</v>
      </c>
    </row>
    <row r="48" customFormat="false" ht="17.15" hidden="false" customHeight="false" outlineLevel="0" collapsed="false">
      <c r="A48" s="0" t="s">
        <v>173</v>
      </c>
      <c r="B48" s="3" t="s">
        <v>174</v>
      </c>
      <c r="C48" s="0" t="s">
        <v>54</v>
      </c>
      <c r="D48" s="6" t="n">
        <v>-0.05</v>
      </c>
      <c r="E48" s="6" t="n">
        <v>0</v>
      </c>
      <c r="F48" s="6" t="n">
        <v>0.05</v>
      </c>
      <c r="G48" s="7" t="s">
        <v>68</v>
      </c>
      <c r="H48" s="3" t="s">
        <v>40</v>
      </c>
      <c r="I48" s="7" t="s">
        <v>113</v>
      </c>
    </row>
    <row r="49" customFormat="false" ht="17.15" hidden="false" customHeight="false" outlineLevel="0" collapsed="false">
      <c r="A49" s="0" t="s">
        <v>175</v>
      </c>
      <c r="B49" s="3" t="s">
        <v>176</v>
      </c>
      <c r="C49" s="0" t="s">
        <v>54</v>
      </c>
      <c r="D49" s="6" t="n">
        <v>-0.05</v>
      </c>
      <c r="E49" s="6" t="n">
        <v>0</v>
      </c>
      <c r="F49" s="6" t="n">
        <v>0.05</v>
      </c>
      <c r="G49" s="7" t="s">
        <v>68</v>
      </c>
      <c r="H49" s="3" t="s">
        <v>40</v>
      </c>
      <c r="I49" s="7" t="s">
        <v>113</v>
      </c>
    </row>
    <row r="50" customFormat="false" ht="17.15" hidden="false" customHeight="false" outlineLevel="0" collapsed="false">
      <c r="A50" s="5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180</v>
      </c>
      <c r="D51" s="6" t="n">
        <v>0.1</v>
      </c>
      <c r="E51" s="6" t="n">
        <v>0.15</v>
      </c>
      <c r="F51" s="6" t="n">
        <v>0.2</v>
      </c>
      <c r="G51" s="7" t="s">
        <v>68</v>
      </c>
      <c r="H51" s="3" t="s">
        <v>181</v>
      </c>
      <c r="I51" s="3" t="s">
        <v>182</v>
      </c>
    </row>
    <row r="52" customFormat="false" ht="17.15" hidden="false" customHeight="false" outlineLevel="0" collapsed="false">
      <c r="A52" s="0" t="s">
        <v>183</v>
      </c>
      <c r="B52" s="0" t="s">
        <v>184</v>
      </c>
      <c r="C52" s="0" t="s">
        <v>180</v>
      </c>
      <c r="D52" s="6" t="n">
        <v>-0.01</v>
      </c>
      <c r="E52" s="6" t="n">
        <v>0.01</v>
      </c>
      <c r="F52" s="6" t="n">
        <v>0.03</v>
      </c>
      <c r="G52" s="7" t="s">
        <v>68</v>
      </c>
      <c r="H52" s="3" t="s">
        <v>185</v>
      </c>
      <c r="I52" s="3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0" t="s">
        <v>180</v>
      </c>
      <c r="D53" s="6" t="n">
        <v>-0.01</v>
      </c>
      <c r="E53" s="6" t="n">
        <v>0.02</v>
      </c>
      <c r="F53" s="6" t="n">
        <v>0.04</v>
      </c>
      <c r="G53" s="7" t="s">
        <v>68</v>
      </c>
      <c r="H53" s="3" t="s">
        <v>40</v>
      </c>
      <c r="I53" s="7" t="s">
        <v>113</v>
      </c>
    </row>
    <row r="54" customFormat="false" ht="17.15" hidden="false" customHeight="false" outlineLevel="0" collapsed="false">
      <c r="A54" s="0" t="s">
        <v>189</v>
      </c>
      <c r="B54" s="0" t="s">
        <v>190</v>
      </c>
      <c r="C54" s="0" t="s">
        <v>180</v>
      </c>
      <c r="D54" s="6" t="n">
        <v>-0.01</v>
      </c>
      <c r="E54" s="6" t="n">
        <v>0.03</v>
      </c>
      <c r="F54" s="6" t="n">
        <v>0.05</v>
      </c>
      <c r="G54" s="7" t="s">
        <v>68</v>
      </c>
      <c r="H54" s="3" t="s">
        <v>40</v>
      </c>
      <c r="I54" s="7" t="s">
        <v>113</v>
      </c>
    </row>
    <row r="55" customFormat="false" ht="17.15" hidden="false" customHeight="false" outlineLevel="0" collapsed="false">
      <c r="A55" s="5" t="s">
        <v>191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194</v>
      </c>
      <c r="E56" s="6" t="n">
        <v>5.519</v>
      </c>
      <c r="G56" s="7" t="s">
        <v>89</v>
      </c>
      <c r="H56" s="7" t="s">
        <v>195</v>
      </c>
      <c r="I56" s="7" t="s">
        <v>196</v>
      </c>
    </row>
    <row r="57" customFormat="false" ht="17.15" hidden="false" customHeight="false" outlineLevel="0" collapsed="false">
      <c r="A57" s="0" t="s">
        <v>197</v>
      </c>
      <c r="B57" s="0" t="s">
        <v>198</v>
      </c>
      <c r="C57" s="0" t="s">
        <v>54</v>
      </c>
      <c r="D57" s="6" t="n">
        <v>0.1</v>
      </c>
      <c r="E57" s="6" t="n">
        <v>0.2</v>
      </c>
      <c r="F57" s="6" t="n">
        <v>0.35</v>
      </c>
      <c r="G57" s="7" t="s">
        <v>68</v>
      </c>
      <c r="H57" s="3" t="s">
        <v>199</v>
      </c>
      <c r="I57" s="3" t="s">
        <v>200</v>
      </c>
    </row>
    <row r="58" customFormat="false" ht="17.15" hidden="false" customHeight="false" outlineLevel="0" collapsed="false">
      <c r="A58" s="0" t="s">
        <v>201</v>
      </c>
      <c r="B58" s="0" t="s">
        <v>202</v>
      </c>
      <c r="C58" s="0" t="s">
        <v>54</v>
      </c>
      <c r="D58" s="6" t="n">
        <v>0.1</v>
      </c>
      <c r="E58" s="6" t="n">
        <v>0.25</v>
      </c>
      <c r="F58" s="6" t="n">
        <v>0.4</v>
      </c>
      <c r="G58" s="7" t="s">
        <v>68</v>
      </c>
      <c r="H58" s="3" t="s">
        <v>203</v>
      </c>
      <c r="I58" s="3" t="s">
        <v>204</v>
      </c>
    </row>
    <row r="59" customFormat="false" ht="17.15" hidden="false" customHeight="false" outlineLevel="0" collapsed="false">
      <c r="A59" s="0" t="s">
        <v>205</v>
      </c>
      <c r="B59" s="0" t="s">
        <v>206</v>
      </c>
      <c r="C59" s="0" t="s">
        <v>54</v>
      </c>
      <c r="D59" s="6" t="n">
        <v>0.3</v>
      </c>
      <c r="E59" s="6" t="n">
        <v>0.33</v>
      </c>
      <c r="F59" s="6" t="n">
        <v>0.36</v>
      </c>
      <c r="G59" s="7" t="s">
        <v>68</v>
      </c>
      <c r="H59" s="7" t="s">
        <v>207</v>
      </c>
      <c r="I59" s="3" t="s">
        <v>208</v>
      </c>
    </row>
    <row r="60" customFormat="false" ht="17.15" hidden="false" customHeight="false" outlineLevel="0" collapsed="false">
      <c r="A60" s="0" t="s">
        <v>209</v>
      </c>
      <c r="B60" s="0" t="s">
        <v>210</v>
      </c>
      <c r="C60" s="0" t="s">
        <v>54</v>
      </c>
      <c r="D60" s="6" t="n">
        <v>0.06</v>
      </c>
      <c r="E60" s="6" t="n">
        <v>0.065</v>
      </c>
      <c r="F60" s="6" t="n">
        <v>0.07</v>
      </c>
      <c r="G60" s="7" t="s">
        <v>68</v>
      </c>
      <c r="H60" s="7" t="s">
        <v>211</v>
      </c>
      <c r="I60" s="7" t="s">
        <v>113</v>
      </c>
    </row>
    <row r="61" customFormat="false" ht="17.15" hidden="false" customHeight="false" outlineLevel="0" collapsed="false">
      <c r="A61" s="0" t="s">
        <v>212</v>
      </c>
      <c r="B61" s="0" t="s">
        <v>213</v>
      </c>
      <c r="C61" s="0" t="s">
        <v>194</v>
      </c>
      <c r="D61" s="6" t="n">
        <v>-0.12</v>
      </c>
      <c r="E61" s="6" t="n">
        <v>-0.06</v>
      </c>
      <c r="F61" s="6" t="n">
        <v>0.06</v>
      </c>
      <c r="G61" s="7" t="s">
        <v>68</v>
      </c>
      <c r="H61" s="7" t="s">
        <v>214</v>
      </c>
      <c r="I61" s="7" t="s">
        <v>215</v>
      </c>
    </row>
    <row r="62" customFormat="false" ht="17.15" hidden="false" customHeight="false" outlineLevel="0" collapsed="false">
      <c r="A62" s="0" t="s">
        <v>216</v>
      </c>
      <c r="B62" s="3" t="s">
        <v>217</v>
      </c>
      <c r="C62" s="0" t="s">
        <v>54</v>
      </c>
      <c r="D62" s="6" t="n">
        <v>0.84</v>
      </c>
      <c r="E62" s="7" t="n">
        <f aca="false">2.8568/(2.8568+0.4372)</f>
        <v>0.867273831208258</v>
      </c>
      <c r="F62" s="6" t="n">
        <v>0.88</v>
      </c>
      <c r="G62" s="7" t="s">
        <v>35</v>
      </c>
      <c r="H62" s="7" t="s">
        <v>218</v>
      </c>
      <c r="I62" s="3" t="s">
        <v>219</v>
      </c>
    </row>
    <row r="63" customFormat="false" ht="17.15" hidden="false" customHeight="false" outlineLevel="0" collapsed="false">
      <c r="A63" s="0" t="s">
        <v>220</v>
      </c>
      <c r="B63" s="0" t="s">
        <v>221</v>
      </c>
      <c r="C63" s="3" t="s">
        <v>222</v>
      </c>
      <c r="E63" s="0" t="n">
        <f aca="false">2.8568/3.14</f>
        <v>0.909808917197452</v>
      </c>
      <c r="G63" s="0" t="s">
        <v>35</v>
      </c>
      <c r="H63" s="0" t="s">
        <v>223</v>
      </c>
      <c r="I63" s="0" t="s">
        <v>224</v>
      </c>
    </row>
    <row r="64" customFormat="false" ht="17.15" hidden="false" customHeight="false" outlineLevel="0" collapsed="false">
      <c r="A64" s="0" t="s">
        <v>225</v>
      </c>
      <c r="B64" s="3" t="s">
        <v>226</v>
      </c>
      <c r="C64" s="3" t="s">
        <v>222</v>
      </c>
      <c r="E64" s="0" t="n">
        <f aca="false">0.87234+0.11</f>
        <v>0.98234</v>
      </c>
      <c r="G64" s="0" t="s">
        <v>35</v>
      </c>
      <c r="H64" s="0" t="s">
        <v>227</v>
      </c>
      <c r="I64" s="0" t="s">
        <v>228</v>
      </c>
    </row>
    <row r="65" customFormat="false" ht="17.15" hidden="false" customHeight="false" outlineLevel="0" collapsed="false">
      <c r="A65" s="5" t="s">
        <v>229</v>
      </c>
    </row>
    <row r="66" customFormat="false" ht="17.15" hidden="false" customHeight="false" outlineLevel="0" collapsed="false">
      <c r="A66" s="0" t="s">
        <v>230</v>
      </c>
      <c r="B66" s="3" t="s">
        <v>231</v>
      </c>
      <c r="C66" s="0" t="s">
        <v>67</v>
      </c>
      <c r="D66" s="6" t="n">
        <v>0.4</v>
      </c>
      <c r="E66" s="6" t="n">
        <v>0.6</v>
      </c>
      <c r="F66" s="6" t="n">
        <v>1</v>
      </c>
      <c r="G66" s="7" t="s">
        <v>68</v>
      </c>
      <c r="H66" s="7" t="s">
        <v>232</v>
      </c>
      <c r="I66" s="3" t="s">
        <v>233</v>
      </c>
    </row>
    <row r="67" customFormat="false" ht="17.15" hidden="false" customHeight="false" outlineLevel="0" collapsed="false">
      <c r="A67" s="0" t="s">
        <v>234</v>
      </c>
      <c r="B67" s="3" t="s">
        <v>235</v>
      </c>
      <c r="C67" s="0" t="s">
        <v>180</v>
      </c>
      <c r="D67" s="6" t="n">
        <v>-0.01</v>
      </c>
      <c r="E67" s="6" t="n">
        <v>0</v>
      </c>
      <c r="F67" s="6" t="n">
        <v>0.01</v>
      </c>
      <c r="G67" s="7" t="s">
        <v>68</v>
      </c>
      <c r="H67" s="3" t="s">
        <v>236</v>
      </c>
      <c r="I67" s="7" t="s">
        <v>237</v>
      </c>
    </row>
    <row r="68" customFormat="false" ht="17.15" hidden="false" customHeight="false" outlineLevel="0" collapsed="false">
      <c r="A68" s="0" t="s">
        <v>238</v>
      </c>
      <c r="B68" s="3" t="s">
        <v>239</v>
      </c>
      <c r="C68" s="0" t="s">
        <v>194</v>
      </c>
      <c r="D68" s="6" t="n">
        <v>-0.5</v>
      </c>
      <c r="E68" s="6" t="n">
        <v>-0.2</v>
      </c>
      <c r="F68" s="6" t="n">
        <v>0.2</v>
      </c>
      <c r="G68" s="7" t="s">
        <v>68</v>
      </c>
      <c r="H68" s="3" t="s">
        <v>240</v>
      </c>
      <c r="I68" s="3" t="s">
        <v>241</v>
      </c>
    </row>
    <row r="69" customFormat="false" ht="17.15" hidden="false" customHeight="false" outlineLevel="0" collapsed="false">
      <c r="A69" s="0" t="s">
        <v>242</v>
      </c>
      <c r="B69" s="3" t="s">
        <v>243</v>
      </c>
      <c r="C69" s="0" t="s">
        <v>54</v>
      </c>
      <c r="D69" s="6" t="n">
        <v>0.84</v>
      </c>
      <c r="E69" s="6" t="n">
        <v>0.867</v>
      </c>
      <c r="F69" s="6" t="n">
        <v>0.88</v>
      </c>
      <c r="G69" s="7" t="s">
        <v>35</v>
      </c>
      <c r="H69" s="3" t="s">
        <v>244</v>
      </c>
      <c r="I69" s="7" t="s">
        <v>113</v>
      </c>
    </row>
    <row r="70" customFormat="false" ht="17.15" hidden="false" customHeight="false" outlineLevel="0" collapsed="false">
      <c r="A70" s="0" t="s">
        <v>245</v>
      </c>
      <c r="B70" s="3" t="s">
        <v>246</v>
      </c>
      <c r="C70" s="0" t="s">
        <v>54</v>
      </c>
      <c r="D70" s="6" t="n">
        <v>0</v>
      </c>
      <c r="E70" s="6" t="n">
        <v>0</v>
      </c>
      <c r="F70" s="6" t="n">
        <v>0.01</v>
      </c>
      <c r="G70" s="7" t="s">
        <v>68</v>
      </c>
      <c r="H70" s="3" t="s">
        <v>247</v>
      </c>
      <c r="I70" s="7" t="s">
        <v>113</v>
      </c>
    </row>
    <row r="71" customFormat="false" ht="17.15" hidden="false" customHeight="false" outlineLevel="0" collapsed="false">
      <c r="A71" s="0" t="s">
        <v>248</v>
      </c>
      <c r="B71" s="0" t="s">
        <v>249</v>
      </c>
      <c r="C71" s="0" t="s">
        <v>67</v>
      </c>
      <c r="D71" s="6" t="n">
        <v>0.8</v>
      </c>
      <c r="E71" s="6" t="n">
        <v>1</v>
      </c>
      <c r="F71" s="6" t="n">
        <v>1.2</v>
      </c>
      <c r="G71" s="7" t="s">
        <v>68</v>
      </c>
      <c r="H71" s="3" t="s">
        <v>250</v>
      </c>
      <c r="I71" s="7" t="s">
        <v>251</v>
      </c>
    </row>
    <row r="72" customFormat="false" ht="17.15" hidden="false" customHeight="false" outlineLevel="0" collapsed="false">
      <c r="A72" s="5" t="s">
        <v>252</v>
      </c>
    </row>
    <row r="73" customFormat="false" ht="17.15" hidden="false" customHeight="false" outlineLevel="0" collapsed="false">
      <c r="A73" s="0" t="s">
        <v>253</v>
      </c>
      <c r="B73" s="3" t="s">
        <v>254</v>
      </c>
      <c r="C73" s="0" t="s">
        <v>194</v>
      </c>
      <c r="E73" s="6" t="n">
        <v>31.604</v>
      </c>
      <c r="G73" s="7" t="s">
        <v>55</v>
      </c>
      <c r="H73" s="7" t="s">
        <v>255</v>
      </c>
      <c r="I73" s="7" t="s">
        <v>113</v>
      </c>
    </row>
    <row r="74" customFormat="false" ht="17.15" hidden="false" customHeight="false" outlineLevel="0" collapsed="false">
      <c r="A74" s="0" t="s">
        <v>256</v>
      </c>
      <c r="B74" s="3" t="s">
        <v>257</v>
      </c>
      <c r="C74" s="0" t="s">
        <v>258</v>
      </c>
      <c r="E74" s="6" t="n">
        <v>8.61</v>
      </c>
      <c r="G74" s="7" t="s">
        <v>55</v>
      </c>
      <c r="H74" s="7" t="s">
        <v>259</v>
      </c>
      <c r="I74" s="3" t="s">
        <v>260</v>
      </c>
    </row>
    <row r="75" customFormat="false" ht="17.15" hidden="false" customHeight="false" outlineLevel="0" collapsed="false">
      <c r="A75" s="0" t="s">
        <v>261</v>
      </c>
      <c r="B75" s="3" t="s">
        <v>262</v>
      </c>
      <c r="C75" s="0" t="s">
        <v>194</v>
      </c>
      <c r="E75" s="6" t="n">
        <v>51.477</v>
      </c>
      <c r="G75" s="7" t="s">
        <v>55</v>
      </c>
      <c r="H75" s="7" t="s">
        <v>255</v>
      </c>
      <c r="I75" s="7" t="s">
        <v>113</v>
      </c>
    </row>
    <row r="76" customFormat="false" ht="17.15" hidden="false" customHeight="false" outlineLevel="0" collapsed="false">
      <c r="A76" s="0" t="s">
        <v>263</v>
      </c>
      <c r="B76" s="3" t="s">
        <v>264</v>
      </c>
      <c r="C76" s="0" t="s">
        <v>258</v>
      </c>
      <c r="E76" s="6" t="n">
        <v>14.77</v>
      </c>
      <c r="G76" s="7" t="s">
        <v>55</v>
      </c>
      <c r="H76" s="7" t="s">
        <v>259</v>
      </c>
      <c r="I76" s="3" t="s">
        <v>265</v>
      </c>
    </row>
    <row r="77" customFormat="false" ht="17.15" hidden="false" customHeight="false" outlineLevel="0" collapsed="false">
      <c r="A77" s="0" t="s">
        <v>266</v>
      </c>
      <c r="B77" s="3" t="s">
        <v>267</v>
      </c>
      <c r="C77" s="0" t="s">
        <v>194</v>
      </c>
      <c r="E77" s="6" t="n">
        <v>74.435</v>
      </c>
      <c r="G77" s="7" t="s">
        <v>55</v>
      </c>
      <c r="H77" s="7" t="s">
        <v>255</v>
      </c>
      <c r="I77" s="7" t="s">
        <v>113</v>
      </c>
    </row>
    <row r="78" customFormat="false" ht="17.15" hidden="false" customHeight="false" outlineLevel="0" collapsed="false">
      <c r="A78" s="0" t="s">
        <v>268</v>
      </c>
      <c r="B78" s="3" t="s">
        <v>269</v>
      </c>
      <c r="C78" s="0" t="s">
        <v>258</v>
      </c>
      <c r="E78" s="6" t="n">
        <v>22.13</v>
      </c>
      <c r="G78" s="7" t="s">
        <v>55</v>
      </c>
      <c r="H78" s="7" t="s">
        <v>259</v>
      </c>
      <c r="I78" s="3" t="s">
        <v>270</v>
      </c>
    </row>
    <row r="79" customFormat="false" ht="17.15" hidden="false" customHeight="false" outlineLevel="0" collapsed="false">
      <c r="A79" s="0" t="s">
        <v>271</v>
      </c>
      <c r="B79" s="3" t="s">
        <v>272</v>
      </c>
      <c r="C79" s="0" t="s">
        <v>194</v>
      </c>
      <c r="E79" s="6" t="n">
        <v>35.5</v>
      </c>
      <c r="G79" s="7" t="s">
        <v>55</v>
      </c>
      <c r="H79" s="7" t="s">
        <v>273</v>
      </c>
      <c r="I79" s="7" t="s">
        <v>113</v>
      </c>
    </row>
    <row r="80" customFormat="false" ht="17.15" hidden="false" customHeight="false" outlineLevel="0" collapsed="false">
      <c r="A80" s="0" t="s">
        <v>274</v>
      </c>
      <c r="B80" s="3" t="s">
        <v>275</v>
      </c>
      <c r="C80" s="0" t="s">
        <v>258</v>
      </c>
      <c r="E80" s="6" t="n">
        <v>9.2</v>
      </c>
      <c r="G80" s="7" t="s">
        <v>55</v>
      </c>
      <c r="H80" s="7" t="s">
        <v>273</v>
      </c>
      <c r="I80" s="3" t="s">
        <v>276</v>
      </c>
    </row>
    <row r="81" customFormat="false" ht="17.15" hidden="false" customHeight="false" outlineLevel="0" collapsed="false">
      <c r="A81" s="0" t="s">
        <v>277</v>
      </c>
      <c r="B81" s="3" t="s">
        <v>278</v>
      </c>
      <c r="C81" s="0" t="s">
        <v>194</v>
      </c>
      <c r="E81" s="6" t="n">
        <v>60</v>
      </c>
      <c r="G81" s="7" t="s">
        <v>55</v>
      </c>
      <c r="H81" s="7" t="s">
        <v>273</v>
      </c>
      <c r="I81" s="7" t="s">
        <v>113</v>
      </c>
    </row>
    <row r="82" customFormat="false" ht="17.15" hidden="false" customHeight="false" outlineLevel="0" collapsed="false">
      <c r="A82" s="0" t="s">
        <v>279</v>
      </c>
      <c r="B82" s="3" t="s">
        <v>280</v>
      </c>
      <c r="C82" s="0" t="s">
        <v>258</v>
      </c>
      <c r="E82" s="6" t="n">
        <v>17.55</v>
      </c>
      <c r="G82" s="7" t="s">
        <v>55</v>
      </c>
      <c r="H82" s="7" t="s">
        <v>273</v>
      </c>
      <c r="I82" s="7" t="s">
        <v>113</v>
      </c>
    </row>
    <row r="83" customFormat="false" ht="17.15" hidden="false" customHeight="false" outlineLevel="0" collapsed="false">
      <c r="A83" s="0" t="s">
        <v>281</v>
      </c>
      <c r="B83" s="3" t="s">
        <v>282</v>
      </c>
      <c r="C83" s="0" t="s">
        <v>194</v>
      </c>
      <c r="E83" s="6" t="n">
        <v>84.2</v>
      </c>
      <c r="G83" s="7" t="s">
        <v>55</v>
      </c>
      <c r="H83" s="7" t="s">
        <v>273</v>
      </c>
      <c r="I83" s="7" t="s">
        <v>113</v>
      </c>
    </row>
    <row r="84" customFormat="false" ht="17.15" hidden="false" customHeight="false" outlineLevel="0" collapsed="false">
      <c r="A84" s="0" t="s">
        <v>283</v>
      </c>
      <c r="B84" s="3" t="s">
        <v>284</v>
      </c>
      <c r="C84" s="0" t="s">
        <v>258</v>
      </c>
      <c r="E84" s="6" t="n">
        <v>26.06</v>
      </c>
      <c r="G84" s="7" t="s">
        <v>55</v>
      </c>
      <c r="H84" s="7" t="s">
        <v>273</v>
      </c>
      <c r="I84" s="7" t="s">
        <v>113</v>
      </c>
    </row>
    <row r="85" customFormat="false" ht="17.15" hidden="false" customHeight="false" outlineLevel="0" collapsed="false">
      <c r="A85" s="0" t="s">
        <v>285</v>
      </c>
      <c r="B85" s="3" t="s">
        <v>286</v>
      </c>
      <c r="C85" s="0" t="s">
        <v>258</v>
      </c>
      <c r="E85" s="0" t="n">
        <f aca="false">550/26.3</f>
        <v>20.9125475285171</v>
      </c>
      <c r="G85" s="0" t="s">
        <v>35</v>
      </c>
      <c r="H85" s="0" t="s">
        <v>287</v>
      </c>
      <c r="I85" s="0" t="s">
        <v>113</v>
      </c>
    </row>
    <row r="86" customFormat="false" ht="17.15" hidden="false" customHeight="false" outlineLevel="0" collapsed="false">
      <c r="A86" s="0" t="s">
        <v>288</v>
      </c>
      <c r="B86" s="3" t="s">
        <v>289</v>
      </c>
      <c r="C86" s="0" t="s">
        <v>54</v>
      </c>
      <c r="E86" s="6" t="n">
        <v>0.138</v>
      </c>
      <c r="G86" s="7" t="s">
        <v>55</v>
      </c>
      <c r="H86" s="7" t="s">
        <v>273</v>
      </c>
      <c r="I86" s="7" t="s">
        <v>290</v>
      </c>
    </row>
    <row r="87" customFormat="false" ht="17.15" hidden="false" customHeight="false" outlineLevel="0" collapsed="false">
      <c r="A87" s="0" t="s">
        <v>291</v>
      </c>
      <c r="B87" s="0" t="s">
        <v>292</v>
      </c>
      <c r="C87" s="0" t="s">
        <v>293</v>
      </c>
      <c r="E87" s="6" t="n">
        <v>6.695</v>
      </c>
      <c r="G87" s="7" t="s">
        <v>55</v>
      </c>
      <c r="H87" s="7" t="s">
        <v>294</v>
      </c>
      <c r="I87" s="7" t="s">
        <v>295</v>
      </c>
    </row>
    <row r="88" customFormat="false" ht="17.15" hidden="false" customHeight="false" outlineLevel="0" collapsed="false">
      <c r="A88" s="0" t="s">
        <v>296</v>
      </c>
      <c r="B88" s="0" t="s">
        <v>297</v>
      </c>
      <c r="C88" s="0" t="s">
        <v>293</v>
      </c>
      <c r="E88" s="6" t="n">
        <v>35.1</v>
      </c>
      <c r="G88" s="7" t="s">
        <v>55</v>
      </c>
      <c r="H88" s="7" t="s">
        <v>298</v>
      </c>
      <c r="I88" s="3" t="s">
        <v>299</v>
      </c>
    </row>
    <row r="89" customFormat="false" ht="17.15" hidden="false" customHeight="false" outlineLevel="0" collapsed="false">
      <c r="A89" s="0" t="s">
        <v>300</v>
      </c>
      <c r="B89" s="0" t="s">
        <v>301</v>
      </c>
      <c r="C89" s="0" t="s">
        <v>293</v>
      </c>
      <c r="E89" s="6" t="n">
        <v>116.7</v>
      </c>
      <c r="G89" s="7" t="s">
        <v>55</v>
      </c>
      <c r="H89" s="7" t="s">
        <v>302</v>
      </c>
      <c r="I89" s="7" t="s">
        <v>303</v>
      </c>
    </row>
    <row r="90" customFormat="false" ht="17.15" hidden="false" customHeight="false" outlineLevel="0" collapsed="false">
      <c r="A90" s="0" t="s">
        <v>304</v>
      </c>
      <c r="B90" s="3" t="s">
        <v>305</v>
      </c>
      <c r="C90" s="0" t="s">
        <v>95</v>
      </c>
      <c r="E90" s="6" t="n">
        <v>350</v>
      </c>
      <c r="G90" s="7" t="s">
        <v>35</v>
      </c>
      <c r="H90" s="7" t="s">
        <v>306</v>
      </c>
      <c r="I90" s="3" t="s">
        <v>307</v>
      </c>
    </row>
    <row r="91" customFormat="false" ht="17.15" hidden="false" customHeight="false" outlineLevel="0" collapsed="false">
      <c r="A91" s="0" t="s">
        <v>308</v>
      </c>
      <c r="B91" s="3" t="s">
        <v>309</v>
      </c>
      <c r="C91" s="0" t="s">
        <v>95</v>
      </c>
      <c r="E91" s="6" t="n">
        <v>527.5</v>
      </c>
      <c r="G91" s="7" t="s">
        <v>35</v>
      </c>
      <c r="H91" s="7" t="s">
        <v>306</v>
      </c>
      <c r="I91" s="3" t="s">
        <v>40</v>
      </c>
    </row>
    <row r="92" customFormat="false" ht="17.15" hidden="false" customHeight="false" outlineLevel="0" collapsed="false">
      <c r="A92" s="0" t="s">
        <v>310</v>
      </c>
      <c r="B92" s="3" t="s">
        <v>311</v>
      </c>
      <c r="C92" s="0" t="s">
        <v>95</v>
      </c>
      <c r="E92" s="6" t="n">
        <v>609</v>
      </c>
      <c r="G92" s="7" t="s">
        <v>35</v>
      </c>
      <c r="H92" s="7" t="s">
        <v>306</v>
      </c>
      <c r="I92" s="3" t="s">
        <v>40</v>
      </c>
    </row>
    <row r="93" customFormat="false" ht="17.15" hidden="false" customHeight="false" outlineLevel="0" collapsed="false">
      <c r="A93" s="0" t="s">
        <v>312</v>
      </c>
      <c r="B93" s="3" t="s">
        <v>313</v>
      </c>
      <c r="C93" s="0" t="s">
        <v>95</v>
      </c>
      <c r="E93" s="6" t="n">
        <v>662.5</v>
      </c>
      <c r="G93" s="7" t="s">
        <v>35</v>
      </c>
      <c r="H93" s="7" t="s">
        <v>306</v>
      </c>
      <c r="I93" s="3" t="s">
        <v>40</v>
      </c>
    </row>
    <row r="94" customFormat="false" ht="17.15" hidden="false" customHeight="false" outlineLevel="0" collapsed="false">
      <c r="A94" s="0" t="s">
        <v>314</v>
      </c>
      <c r="B94" s="3" t="s">
        <v>315</v>
      </c>
      <c r="C94" s="0" t="s">
        <v>95</v>
      </c>
      <c r="E94" s="6" t="n">
        <v>160.757158009399</v>
      </c>
      <c r="G94" s="7" t="s">
        <v>35</v>
      </c>
      <c r="H94" s="7" t="s">
        <v>316</v>
      </c>
      <c r="I94" s="3" t="s">
        <v>317</v>
      </c>
    </row>
    <row r="95" customFormat="false" ht="17.15" hidden="false" customHeight="false" outlineLevel="0" collapsed="false">
      <c r="A95" s="0" t="s">
        <v>318</v>
      </c>
      <c r="B95" s="3" t="s">
        <v>319</v>
      </c>
      <c r="C95" s="0" t="s">
        <v>95</v>
      </c>
      <c r="E95" s="6" t="n">
        <v>180.408412082255</v>
      </c>
      <c r="G95" s="7" t="s">
        <v>35</v>
      </c>
      <c r="H95" s="7" t="s">
        <v>316</v>
      </c>
      <c r="I95" s="3" t="s">
        <v>317</v>
      </c>
    </row>
    <row r="96" customFormat="false" ht="17.15" hidden="false" customHeight="false" outlineLevel="0" collapsed="false">
      <c r="A96" s="0" t="s">
        <v>320</v>
      </c>
      <c r="B96" s="3" t="s">
        <v>321</v>
      </c>
      <c r="C96" s="0" t="s">
        <v>95</v>
      </c>
      <c r="E96" s="6" t="n">
        <v>226.080719682557</v>
      </c>
      <c r="G96" s="7" t="s">
        <v>35</v>
      </c>
      <c r="H96" s="7" t="s">
        <v>316</v>
      </c>
      <c r="I96" s="3" t="s">
        <v>317</v>
      </c>
    </row>
    <row r="97" customFormat="false" ht="17.15" hidden="false" customHeight="false" outlineLevel="0" collapsed="false">
      <c r="A97" s="5" t="s">
        <v>322</v>
      </c>
    </row>
    <row r="98" customFormat="false" ht="17.15" hidden="false" customHeight="false" outlineLevel="0" collapsed="false">
      <c r="A98" s="0" t="s">
        <v>323</v>
      </c>
      <c r="B98" s="3" t="s">
        <v>324</v>
      </c>
      <c r="C98" s="0" t="s">
        <v>258</v>
      </c>
      <c r="E98" s="6" t="n">
        <v>183.48</v>
      </c>
      <c r="G98" s="7" t="s">
        <v>55</v>
      </c>
      <c r="H98" s="7" t="s">
        <v>325</v>
      </c>
      <c r="I98" s="3" t="s">
        <v>326</v>
      </c>
    </row>
    <row r="99" customFormat="false" ht="17.15" hidden="false" customHeight="false" outlineLevel="0" collapsed="false">
      <c r="A99" s="0" t="s">
        <v>327</v>
      </c>
      <c r="B99" s="3" t="s">
        <v>328</v>
      </c>
      <c r="C99" s="0" t="s">
        <v>67</v>
      </c>
      <c r="E99" s="6" t="n">
        <v>35.87</v>
      </c>
      <c r="G99" s="7" t="s">
        <v>55</v>
      </c>
      <c r="H99" s="7" t="s">
        <v>329</v>
      </c>
      <c r="I99" s="3" t="s">
        <v>330</v>
      </c>
    </row>
    <row r="100" customFormat="false" ht="17.15" hidden="false" customHeight="false" outlineLevel="0" collapsed="false">
      <c r="A100" s="0" t="s">
        <v>331</v>
      </c>
      <c r="B100" s="3" t="s">
        <v>332</v>
      </c>
      <c r="C100" s="0" t="s">
        <v>67</v>
      </c>
      <c r="E100" s="6" t="n">
        <v>14.84</v>
      </c>
      <c r="G100" s="7" t="s">
        <v>55</v>
      </c>
      <c r="H100" s="7" t="s">
        <v>329</v>
      </c>
      <c r="I100" s="7" t="s">
        <v>113</v>
      </c>
    </row>
    <row r="101" customFormat="false" ht="17.15" hidden="false" customHeight="false" outlineLevel="0" collapsed="false">
      <c r="A101" s="0" t="s">
        <v>333</v>
      </c>
      <c r="B101" s="3" t="s">
        <v>334</v>
      </c>
      <c r="C101" s="0" t="s">
        <v>258</v>
      </c>
      <c r="E101" s="0" t="n">
        <f aca="false">px/fpe</f>
        <v>12.3638814016173</v>
      </c>
      <c r="G101" s="0" t="s">
        <v>35</v>
      </c>
      <c r="H101" s="0" t="s">
        <v>335</v>
      </c>
      <c r="I101" s="3" t="s">
        <v>336</v>
      </c>
    </row>
    <row r="102" customFormat="false" ht="17.15" hidden="false" customHeight="false" outlineLevel="0" collapsed="false">
      <c r="A102" s="0" t="s">
        <v>337</v>
      </c>
      <c r="B102" s="3" t="s">
        <v>338</v>
      </c>
      <c r="C102" s="0" t="s">
        <v>258</v>
      </c>
      <c r="E102" s="6" t="n">
        <v>388.3</v>
      </c>
      <c r="G102" s="7" t="s">
        <v>55</v>
      </c>
      <c r="H102" s="7" t="s">
        <v>339</v>
      </c>
      <c r="I102" s="7" t="s">
        <v>340</v>
      </c>
    </row>
    <row r="103" customFormat="false" ht="17.15" hidden="false" customHeight="false" outlineLevel="0" collapsed="false">
      <c r="A103" s="0" t="s">
        <v>341</v>
      </c>
      <c r="B103" s="3" t="s">
        <v>342</v>
      </c>
      <c r="C103" s="0" t="s">
        <v>54</v>
      </c>
      <c r="E103" s="0" t="n">
        <f aca="false">AVERAGE(0.232/1.818,0.282/2.442,0.38/3.304,0.463/3.885,0.67/7.432,0.791/7.885,0.671/7.931,1.154/10.731,4.312/19.292)</f>
        <v>0.120378224246286</v>
      </c>
      <c r="G103" s="0" t="s">
        <v>35</v>
      </c>
      <c r="H103" s="0" t="s">
        <v>343</v>
      </c>
      <c r="I103" s="0" t="s">
        <v>344</v>
      </c>
    </row>
    <row r="104" customFormat="false" ht="17.15" hidden="false" customHeight="false" outlineLevel="0" collapsed="false">
      <c r="A104" s="5" t="s">
        <v>345</v>
      </c>
    </row>
    <row r="105" customFormat="false" ht="17.15" hidden="false" customHeight="false" outlineLevel="0" collapsed="false">
      <c r="A105" s="8" t="s">
        <v>346</v>
      </c>
      <c r="B105" s="9" t="s">
        <v>347</v>
      </c>
      <c r="C105" s="8" t="s">
        <v>54</v>
      </c>
      <c r="D105" s="8"/>
      <c r="E105" s="10" t="n">
        <v>0.3</v>
      </c>
      <c r="F105" s="8"/>
      <c r="G105" s="8" t="s">
        <v>348</v>
      </c>
      <c r="H105" s="8" t="s">
        <v>349</v>
      </c>
      <c r="I105" s="9" t="s">
        <v>350</v>
      </c>
    </row>
    <row r="106" customFormat="false" ht="17.15" hidden="false" customHeight="false" outlineLevel="0" collapsed="false">
      <c r="A106" s="8" t="s">
        <v>351</v>
      </c>
      <c r="B106" s="9" t="s">
        <v>352</v>
      </c>
      <c r="C106" s="8" t="s">
        <v>54</v>
      </c>
      <c r="D106" s="8"/>
      <c r="E106" s="10" t="n">
        <v>0.5</v>
      </c>
      <c r="F106" s="8"/>
      <c r="G106" s="8" t="s">
        <v>348</v>
      </c>
      <c r="H106" s="8" t="s">
        <v>349</v>
      </c>
      <c r="I106" s="9" t="s">
        <v>350</v>
      </c>
    </row>
    <row r="107" customFormat="false" ht="17.15" hidden="false" customHeight="false" outlineLevel="0" collapsed="false">
      <c r="A107" s="8" t="s">
        <v>353</v>
      </c>
      <c r="B107" s="9" t="s">
        <v>354</v>
      </c>
      <c r="C107" s="8" t="s">
        <v>54</v>
      </c>
      <c r="D107" s="8"/>
      <c r="E107" s="10" t="n">
        <v>0.2</v>
      </c>
      <c r="F107" s="8"/>
      <c r="G107" s="8" t="s">
        <v>348</v>
      </c>
      <c r="H107" s="8" t="s">
        <v>349</v>
      </c>
      <c r="I107" s="9" t="s">
        <v>350</v>
      </c>
    </row>
    <row r="108" customFormat="false" ht="17.15" hidden="false" customHeight="false" outlineLevel="0" collapsed="false">
      <c r="A108" s="8" t="s">
        <v>355</v>
      </c>
      <c r="B108" s="9" t="s">
        <v>356</v>
      </c>
      <c r="C108" s="8" t="s">
        <v>54</v>
      </c>
      <c r="D108" s="8"/>
      <c r="E108" s="10" t="n">
        <v>0.1</v>
      </c>
      <c r="F108" s="8"/>
      <c r="G108" s="8" t="s">
        <v>348</v>
      </c>
      <c r="H108" s="8" t="s">
        <v>357</v>
      </c>
      <c r="I108" s="8" t="s">
        <v>358</v>
      </c>
    </row>
    <row r="109" customFormat="false" ht="17.15" hidden="false" customHeight="false" outlineLevel="0" collapsed="false">
      <c r="A109" s="8" t="s">
        <v>359</v>
      </c>
      <c r="B109" s="9" t="s">
        <v>360</v>
      </c>
      <c r="C109" s="8" t="s">
        <v>54</v>
      </c>
      <c r="D109" s="8"/>
      <c r="E109" s="10" t="n">
        <v>0.04</v>
      </c>
      <c r="F109" s="8"/>
      <c r="G109" s="8" t="s">
        <v>348</v>
      </c>
      <c r="H109" s="8" t="s">
        <v>361</v>
      </c>
      <c r="I109" s="8" t="s">
        <v>362</v>
      </c>
    </row>
    <row r="110" customFormat="false" ht="17.15" hidden="false" customHeight="false" outlineLevel="0" collapsed="false">
      <c r="A110" s="8" t="s">
        <v>363</v>
      </c>
      <c r="B110" s="8" t="s">
        <v>364</v>
      </c>
      <c r="C110" s="8" t="s">
        <v>54</v>
      </c>
      <c r="D110" s="8"/>
      <c r="E110" s="8" t="n">
        <f aca="false">AVERAGE(0.0935,0.1395,0.3556)</f>
        <v>0.1962</v>
      </c>
      <c r="F110" s="8"/>
      <c r="G110" s="8" t="s">
        <v>35</v>
      </c>
      <c r="H110" s="9" t="s">
        <v>365</v>
      </c>
      <c r="I110" s="8" t="s">
        <v>366</v>
      </c>
    </row>
    <row r="111" customFormat="false" ht="17.15" hidden="false" customHeight="false" outlineLevel="0" collapsed="false">
      <c r="A111" s="8" t="s">
        <v>367</v>
      </c>
      <c r="B111" s="9" t="s">
        <v>368</v>
      </c>
      <c r="C111" s="8" t="s">
        <v>54</v>
      </c>
      <c r="D111" s="8"/>
      <c r="E111" s="10" t="n">
        <v>0.5</v>
      </c>
      <c r="F111" s="8"/>
      <c r="G111" s="8" t="s">
        <v>348</v>
      </c>
      <c r="H111" s="8" t="s">
        <v>369</v>
      </c>
      <c r="I111" s="8" t="s">
        <v>113</v>
      </c>
    </row>
    <row r="112" customFormat="false" ht="17.15" hidden="false" customHeight="false" outlineLevel="0" collapsed="false">
      <c r="A112" s="8" t="s">
        <v>370</v>
      </c>
      <c r="B112" s="9" t="s">
        <v>371</v>
      </c>
      <c r="C112" s="8" t="s">
        <v>54</v>
      </c>
      <c r="D112" s="8"/>
      <c r="E112" s="8" t="n">
        <f aca="false">tp_g+0.02</f>
        <v>0.06</v>
      </c>
      <c r="F112" s="8"/>
      <c r="G112" s="8" t="s">
        <v>348</v>
      </c>
      <c r="H112" s="9" t="s">
        <v>372</v>
      </c>
      <c r="I112" s="8" t="s">
        <v>373</v>
      </c>
    </row>
    <row r="113" customFormat="false" ht="17.15" hidden="false" customHeight="false" outlineLevel="0" collapsed="false">
      <c r="A113" s="8" t="s">
        <v>374</v>
      </c>
      <c r="B113" s="9" t="s">
        <v>375</v>
      </c>
      <c r="C113" s="8" t="s">
        <v>54</v>
      </c>
      <c r="D113" s="8"/>
      <c r="E113" s="8" t="n">
        <f aca="false">tp_g</f>
        <v>0.04</v>
      </c>
      <c r="F113" s="8"/>
      <c r="G113" s="8" t="s">
        <v>348</v>
      </c>
      <c r="H113" s="9" t="s">
        <v>40</v>
      </c>
      <c r="I113" s="8" t="s">
        <v>113</v>
      </c>
    </row>
    <row r="114" customFormat="false" ht="17.15" hidden="false" customHeight="false" outlineLevel="0" collapsed="false">
      <c r="A114" s="8" t="s">
        <v>376</v>
      </c>
      <c r="B114" s="9" t="s">
        <v>377</v>
      </c>
      <c r="C114" s="8" t="s">
        <v>54</v>
      </c>
      <c r="D114" s="8"/>
      <c r="E114" s="8" t="n">
        <f aca="false">tp_g-0.02</f>
        <v>0.02</v>
      </c>
      <c r="F114" s="8"/>
      <c r="G114" s="8" t="s">
        <v>348</v>
      </c>
      <c r="H114" s="9" t="s">
        <v>40</v>
      </c>
      <c r="I114" s="8" t="s">
        <v>113</v>
      </c>
    </row>
    <row r="115" customFormat="false" ht="17.15" hidden="false" customHeight="false" outlineLevel="0" collapsed="false">
      <c r="A115" s="8" t="s">
        <v>378</v>
      </c>
      <c r="B115" s="9" t="s">
        <v>379</v>
      </c>
      <c r="C115" s="8" t="s">
        <v>54</v>
      </c>
      <c r="D115" s="8"/>
      <c r="E115" s="11" t="n">
        <f aca="false">PL!G13</f>
        <v>0.267444242764765</v>
      </c>
      <c r="F115" s="8"/>
      <c r="G115" s="8" t="s">
        <v>35</v>
      </c>
      <c r="H115" s="8" t="s">
        <v>380</v>
      </c>
      <c r="I115" s="8" t="s">
        <v>113</v>
      </c>
    </row>
    <row r="116" customFormat="false" ht="17.15" hidden="false" customHeight="false" outlineLevel="0" collapsed="false">
      <c r="A116" s="8" t="s">
        <v>381</v>
      </c>
      <c r="B116" s="9" t="s">
        <v>382</v>
      </c>
      <c r="C116" s="8" t="s">
        <v>54</v>
      </c>
      <c r="D116" s="8"/>
      <c r="E116" s="12" t="n">
        <f aca="false">(PL!G26+nim_avg)/2</f>
        <v>0.191443966562258</v>
      </c>
      <c r="F116" s="8"/>
      <c r="G116" s="8" t="s">
        <v>35</v>
      </c>
      <c r="H116" s="8" t="s">
        <v>383</v>
      </c>
      <c r="I116" s="8" t="s">
        <v>113</v>
      </c>
    </row>
    <row r="117" customFormat="false" ht="17.15" hidden="false" customHeight="false" outlineLevel="0" collapsed="false">
      <c r="A117" s="8" t="s">
        <v>384</v>
      </c>
      <c r="B117" s="9" t="s">
        <v>385</v>
      </c>
      <c r="C117" s="8" t="s">
        <v>54</v>
      </c>
      <c r="D117" s="8"/>
      <c r="E117" s="8" t="n">
        <f aca="false">nim_avg</f>
        <v>0.120378224246286</v>
      </c>
      <c r="F117" s="8"/>
      <c r="G117" s="8" t="s">
        <v>35</v>
      </c>
      <c r="H117" s="8" t="s">
        <v>386</v>
      </c>
      <c r="I117" s="8" t="s">
        <v>113</v>
      </c>
    </row>
    <row r="119" customFormat="false" ht="17.15" hidden="false" customHeight="false" outlineLevel="0" collapsed="false">
      <c r="A119" s="1" t="s">
        <v>387</v>
      </c>
    </row>
    <row r="120" customFormat="false" ht="17.15" hidden="false" customHeight="false" outlineLevel="0" collapsed="false">
      <c r="A120" s="1" t="s">
        <v>22</v>
      </c>
      <c r="B120" s="1" t="s">
        <v>23</v>
      </c>
      <c r="C120" s="1" t="s">
        <v>24</v>
      </c>
      <c r="D120" s="1" t="s">
        <v>388</v>
      </c>
      <c r="E120" s="1" t="s">
        <v>389</v>
      </c>
      <c r="F120" s="1" t="s">
        <v>390</v>
      </c>
      <c r="G120" s="1" t="s">
        <v>28</v>
      </c>
      <c r="H120" s="1" t="s">
        <v>391</v>
      </c>
    </row>
    <row r="121" customFormat="false" ht="17.15" hidden="false" customHeight="false" outlineLevel="0" collapsed="false">
      <c r="A121" s="0" t="s">
        <v>392</v>
      </c>
      <c r="B121" s="0" t="s">
        <v>393</v>
      </c>
      <c r="C121" s="0" t="s">
        <v>67</v>
      </c>
      <c r="D121" s="0" t="n">
        <f aca="false">E14</f>
        <v>1</v>
      </c>
      <c r="E121" s="0" t="n">
        <f aca="false">E16</f>
        <v>0.8</v>
      </c>
      <c r="F121" s="0" t="n">
        <f aca="false">E18</f>
        <v>0.6</v>
      </c>
      <c r="G121" s="0" t="s">
        <v>35</v>
      </c>
      <c r="H121" s="3" t="s">
        <v>394</v>
      </c>
    </row>
    <row r="122" customFormat="false" ht="17.15" hidden="false" customHeight="false" outlineLevel="0" collapsed="false">
      <c r="A122" s="0" t="s">
        <v>395</v>
      </c>
      <c r="B122" s="0" t="s">
        <v>396</v>
      </c>
      <c r="C122" s="0" t="s">
        <v>67</v>
      </c>
      <c r="D122" s="0" t="n">
        <f aca="false">E15</f>
        <v>1</v>
      </c>
      <c r="E122" s="0" t="n">
        <f aca="false">E17</f>
        <v>0.85</v>
      </c>
      <c r="F122" s="0" t="n">
        <f aca="false">E19</f>
        <v>0.6</v>
      </c>
      <c r="G122" s="0" t="s">
        <v>35</v>
      </c>
      <c r="H122" s="3" t="s">
        <v>397</v>
      </c>
    </row>
    <row r="123" customFormat="false" ht="17.15" hidden="false" customHeight="false" outlineLevel="0" collapsed="false">
      <c r="A123" s="0" t="s">
        <v>398</v>
      </c>
      <c r="B123" s="0" t="s">
        <v>399</v>
      </c>
      <c r="C123" s="0" t="s">
        <v>54</v>
      </c>
      <c r="D123" s="0" t="n">
        <f aca="false">E112</f>
        <v>0.06</v>
      </c>
      <c r="E123" s="0" t="n">
        <f aca="false">E113</f>
        <v>0.04</v>
      </c>
      <c r="F123" s="0" t="n">
        <f aca="false">E114</f>
        <v>0.02</v>
      </c>
      <c r="G123" s="0" t="s">
        <v>35</v>
      </c>
      <c r="H123" s="3" t="s">
        <v>400</v>
      </c>
    </row>
    <row r="124" customFormat="false" ht="17.15" hidden="false" customHeight="false" outlineLevel="0" collapsed="false">
      <c r="A124" s="0" t="s">
        <v>401</v>
      </c>
      <c r="B124" s="0" t="s">
        <v>402</v>
      </c>
      <c r="C124" s="0" t="s">
        <v>54</v>
      </c>
      <c r="D124" s="13" t="n">
        <f aca="false">E115</f>
        <v>0.267444242764765</v>
      </c>
      <c r="E124" s="7" t="n">
        <f aca="false">E116</f>
        <v>0.191443966562258</v>
      </c>
      <c r="F124" s="7" t="n">
        <f aca="false">E117</f>
        <v>0.120378224246286</v>
      </c>
      <c r="G124" s="7" t="s">
        <v>35</v>
      </c>
      <c r="H124" s="3" t="s">
        <v>403</v>
      </c>
    </row>
    <row r="125" customFormat="false" ht="17.15" hidden="false" customHeight="false" outlineLevel="0" collapsed="false">
      <c r="A125" s="0" t="s">
        <v>404</v>
      </c>
      <c r="B125" s="3" t="s">
        <v>405</v>
      </c>
      <c r="C125" s="0" t="s">
        <v>54</v>
      </c>
      <c r="D125" s="0" t="n">
        <f aca="false">E105</f>
        <v>0.3</v>
      </c>
      <c r="E125" s="0" t="n">
        <f aca="false">E106</f>
        <v>0.5</v>
      </c>
      <c r="F125" s="0" t="n">
        <f aca="false">E107</f>
        <v>0.2</v>
      </c>
      <c r="G125" s="0" t="s">
        <v>35</v>
      </c>
      <c r="H125" s="3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407</v>
      </c>
    </row>
    <row r="2" customFormat="false" ht="17.15" hidden="false" customHeight="false" outlineLevel="0" collapsed="false">
      <c r="A2" s="0" t="s">
        <v>408</v>
      </c>
    </row>
    <row r="3" customFormat="false" ht="17.15" hidden="false" customHeight="false" outlineLevel="0" collapsed="false">
      <c r="A3" s="4" t="s">
        <v>23</v>
      </c>
      <c r="B3" s="14" t="s">
        <v>409</v>
      </c>
      <c r="C3" s="14" t="s">
        <v>410</v>
      </c>
      <c r="D3" s="14" t="s">
        <v>411</v>
      </c>
      <c r="E3" s="14" t="s">
        <v>412</v>
      </c>
      <c r="F3" s="14" t="s">
        <v>413</v>
      </c>
      <c r="G3" s="4" t="s">
        <v>28</v>
      </c>
      <c r="H3" s="4" t="s">
        <v>29</v>
      </c>
      <c r="I3" s="4" t="s">
        <v>30</v>
      </c>
    </row>
    <row r="4" customFormat="false" ht="17.15" hidden="false" customHeight="false" outlineLevel="0" collapsed="false">
      <c r="A4" s="3" t="s">
        <v>414</v>
      </c>
      <c r="B4" s="15" t="n">
        <v>19.292</v>
      </c>
      <c r="C4" s="15" t="n">
        <v>11.629</v>
      </c>
      <c r="D4" s="16" t="n">
        <f aca="false">(C4-q1_rev)*(1+q3g)</f>
        <v>7.332</v>
      </c>
      <c r="E4" s="16" t="n">
        <f aca="false">D4*(1+q4g)</f>
        <v>9.165</v>
      </c>
      <c r="F4" s="16" t="n">
        <f aca="false">SUM(C4:E4)</f>
        <v>28.126</v>
      </c>
      <c r="G4" s="7" t="s">
        <v>415</v>
      </c>
      <c r="H4" s="7" t="s">
        <v>416</v>
      </c>
      <c r="I4" s="7" t="s">
        <v>417</v>
      </c>
    </row>
    <row r="5" customFormat="false" ht="17.15" hidden="false" customHeight="false" outlineLevel="0" collapsed="false">
      <c r="A5" s="3" t="s">
        <v>418</v>
      </c>
      <c r="B5" s="16" t="n">
        <f aca="false">B4*0.3522</f>
        <v>6.7946424</v>
      </c>
      <c r="C5" s="16" t="n">
        <f aca="false">11.629-7.766</f>
        <v>3.863</v>
      </c>
      <c r="D5" s="16" t="n">
        <f aca="false">D4*q_gm</f>
        <v>2.41956</v>
      </c>
      <c r="E5" s="16" t="n">
        <f aca="false">E4*q_gm</f>
        <v>3.02445</v>
      </c>
      <c r="F5" s="16" t="n">
        <f aca="false">SUM(C5:E5)</f>
        <v>9.30701</v>
      </c>
      <c r="G5" s="7" t="s">
        <v>419</v>
      </c>
      <c r="H5" s="7" t="s">
        <v>416</v>
      </c>
      <c r="I5" s="7" t="s">
        <v>420</v>
      </c>
    </row>
    <row r="6" customFormat="false" ht="17.15" hidden="false" customHeight="false" outlineLevel="0" collapsed="false">
      <c r="A6" s="3" t="s">
        <v>421</v>
      </c>
      <c r="B6" s="13" t="n">
        <f aca="false">B5/B4</f>
        <v>0.3522</v>
      </c>
      <c r="C6" s="13" t="n">
        <f aca="false">C5/C4</f>
        <v>0.332186774443202</v>
      </c>
      <c r="D6" s="13" t="n">
        <f aca="false">D5/D4</f>
        <v>0.33</v>
      </c>
      <c r="E6" s="13" t="n">
        <f aca="false">E5/E4</f>
        <v>0.33</v>
      </c>
      <c r="F6" s="13" t="n">
        <f aca="false">F5/F4</f>
        <v>0.330904145630378</v>
      </c>
      <c r="G6" s="7" t="s">
        <v>35</v>
      </c>
      <c r="H6" s="7" t="s">
        <v>113</v>
      </c>
      <c r="I6" s="7" t="s">
        <v>422</v>
      </c>
    </row>
    <row r="7" customFormat="false" ht="17.15" hidden="false" customHeight="false" outlineLevel="0" collapsed="false">
      <c r="A7" s="3" t="s">
        <v>423</v>
      </c>
      <c r="B7" s="16" t="n">
        <f aca="false">B5-B8</f>
        <v>1.6466424</v>
      </c>
      <c r="C7" s="16" t="n">
        <f aca="false">0.1047+0.2917+0.3592</f>
        <v>0.7556</v>
      </c>
      <c r="D7" s="16" t="n">
        <f aca="false">D4*q_opx</f>
        <v>0.47658</v>
      </c>
      <c r="E7" s="16" t="n">
        <f aca="false">E4*q_opx</f>
        <v>0.595725</v>
      </c>
      <c r="F7" s="16" t="n">
        <f aca="false">SUM(C7:E7)</f>
        <v>1.827905</v>
      </c>
      <c r="G7" s="7" t="s">
        <v>424</v>
      </c>
      <c r="H7" s="7" t="s">
        <v>416</v>
      </c>
      <c r="I7" s="7" t="s">
        <v>425</v>
      </c>
    </row>
    <row r="8" customFormat="false" ht="17.15" hidden="false" customHeight="false" outlineLevel="0" collapsed="false">
      <c r="A8" s="3" t="s">
        <v>426</v>
      </c>
      <c r="B8" s="15" t="n">
        <v>5.148</v>
      </c>
      <c r="C8" s="16" t="n">
        <f aca="false">C5-C7</f>
        <v>3.1074</v>
      </c>
      <c r="D8" s="16" t="n">
        <f aca="false">D5-D7</f>
        <v>1.94298</v>
      </c>
      <c r="E8" s="16" t="n">
        <f aca="false">E5-E7</f>
        <v>2.428725</v>
      </c>
      <c r="F8" s="16" t="n">
        <f aca="false">SUM(C8:E8)</f>
        <v>7.479105</v>
      </c>
      <c r="G8" s="7" t="s">
        <v>427</v>
      </c>
      <c r="H8" s="7" t="s">
        <v>416</v>
      </c>
      <c r="I8" s="7" t="s">
        <v>428</v>
      </c>
    </row>
    <row r="9" customFormat="false" ht="15" hidden="false" customHeight="false" outlineLevel="0" collapsed="false">
      <c r="A9" s="3" t="s">
        <v>429</v>
      </c>
      <c r="B9" s="13" t="n">
        <f aca="false">B8/B4</f>
        <v>0.266846361185984</v>
      </c>
      <c r="C9" s="13" t="n">
        <f aca="false">C8/C4</f>
        <v>0.267211282139479</v>
      </c>
      <c r="D9" s="13" t="n">
        <f aca="false">D8/D4</f>
        <v>0.265</v>
      </c>
      <c r="E9" s="13" t="n">
        <f aca="false">E8/E4</f>
        <v>0.265</v>
      </c>
      <c r="F9" s="13" t="n">
        <f aca="false">F8/F4</f>
        <v>0.265914278603427</v>
      </c>
      <c r="G9" s="7" t="s">
        <v>35</v>
      </c>
      <c r="H9" s="7" t="s">
        <v>113</v>
      </c>
      <c r="I9" s="7" t="s">
        <v>113</v>
      </c>
    </row>
    <row r="10" customFormat="false" ht="17.15" hidden="false" customHeight="false" outlineLevel="0" collapsed="false">
      <c r="A10" s="3" t="s">
        <v>430</v>
      </c>
      <c r="C10" s="16" t="n">
        <f aca="false">C11-C8</f>
        <v>0.1866</v>
      </c>
      <c r="D10" s="16" t="n">
        <f aca="false">q_nop</f>
        <v>-0.06</v>
      </c>
      <c r="E10" s="16" t="n">
        <f aca="false">q_nop</f>
        <v>-0.06</v>
      </c>
      <c r="F10" s="16" t="n">
        <f aca="false">SUM(C10:E10)</f>
        <v>0.0666000000000003</v>
      </c>
      <c r="G10" s="7" t="s">
        <v>431</v>
      </c>
      <c r="H10" s="7" t="s">
        <v>432</v>
      </c>
      <c r="I10" s="7" t="s">
        <v>433</v>
      </c>
    </row>
    <row r="11" customFormat="false" ht="17.15" hidden="false" customHeight="false" outlineLevel="0" collapsed="false">
      <c r="A11" s="3" t="s">
        <v>434</v>
      </c>
      <c r="C11" s="16" t="n">
        <f aca="false">2.8568+0.4372</f>
        <v>3.294</v>
      </c>
      <c r="D11" s="16" t="n">
        <f aca="false">D8+D10</f>
        <v>1.88298</v>
      </c>
      <c r="E11" s="16" t="n">
        <f aca="false">E8+E10</f>
        <v>2.368725</v>
      </c>
      <c r="F11" s="16" t="n">
        <f aca="false">SUM(C11:E11)</f>
        <v>7.545705</v>
      </c>
      <c r="G11" s="7" t="s">
        <v>35</v>
      </c>
      <c r="H11" s="7" t="s">
        <v>435</v>
      </c>
      <c r="I11" s="7" t="s">
        <v>433</v>
      </c>
    </row>
    <row r="12" customFormat="false" ht="17.15" hidden="false" customHeight="false" outlineLevel="0" collapsed="false">
      <c r="A12" s="3" t="s">
        <v>436</v>
      </c>
      <c r="B12" s="15" t="n">
        <v>4.312</v>
      </c>
      <c r="C12" s="15" t="n">
        <v>2.8568</v>
      </c>
      <c r="D12" s="16" t="n">
        <f aca="false">D11*q_nir</f>
        <v>1.63305927868852</v>
      </c>
      <c r="E12" s="16" t="n">
        <f aca="false">E11*q_nir</f>
        <v>2.05433320582878</v>
      </c>
      <c r="F12" s="16" t="n">
        <f aca="false">SUM(C12:E12)</f>
        <v>6.5441924845173</v>
      </c>
      <c r="G12" s="7" t="s">
        <v>437</v>
      </c>
      <c r="H12" s="7" t="s">
        <v>416</v>
      </c>
      <c r="I12" s="7" t="s">
        <v>438</v>
      </c>
    </row>
    <row r="13" customFormat="false" ht="17.15" hidden="false" customHeight="false" outlineLevel="0" collapsed="false">
      <c r="A13" s="3" t="s">
        <v>439</v>
      </c>
      <c r="B13" s="13" t="n">
        <f aca="false">B12/B8</f>
        <v>0.837606837606838</v>
      </c>
      <c r="C13" s="13" t="n">
        <f aca="false">C12/C8</f>
        <v>0.919353800605008</v>
      </c>
      <c r="D13" s="13" t="n">
        <f aca="false">D12/D8</f>
        <v>0.840492068208898</v>
      </c>
      <c r="E13" s="13" t="n">
        <f aca="false">E12/E8</f>
        <v>0.84584842080877</v>
      </c>
      <c r="F13" s="13" t="n">
        <f aca="false">F12/F8</f>
        <v>0.874996738850077</v>
      </c>
      <c r="G13" s="7" t="s">
        <v>35</v>
      </c>
      <c r="H13" s="7" t="s">
        <v>113</v>
      </c>
      <c r="I13" s="7" t="s">
        <v>113</v>
      </c>
    </row>
    <row r="14" customFormat="false" ht="17.15" hidden="false" customHeight="false" outlineLevel="0" collapsed="false">
      <c r="A14" s="3" t="s">
        <v>440</v>
      </c>
      <c r="B14" s="16" t="n">
        <f aca="false">4.312/5.01</f>
        <v>0.860678642714571</v>
      </c>
      <c r="C14" s="16" t="n">
        <f aca="false">sh_1h</f>
        <v>0.909808917197452</v>
      </c>
      <c r="D14" s="16" t="n">
        <f aca="false">sh_h2</f>
        <v>0.98234</v>
      </c>
      <c r="E14" s="16" t="n">
        <f aca="false">sh_h2</f>
        <v>0.98234</v>
      </c>
      <c r="F14" s="16" t="n">
        <f aca="false">(sh_1h+sh_h2)/2</f>
        <v>0.946074458598726</v>
      </c>
      <c r="G14" s="7" t="s">
        <v>35</v>
      </c>
      <c r="H14" s="7" t="s">
        <v>416</v>
      </c>
      <c r="I14" s="3" t="s">
        <v>441</v>
      </c>
    </row>
    <row r="15" customFormat="false" ht="17.15" hidden="false" customHeight="false" outlineLevel="0" collapsed="false">
      <c r="A15" s="0" t="s">
        <v>442</v>
      </c>
      <c r="B15" s="17" t="n">
        <f aca="false">B12/B14</f>
        <v>5.01</v>
      </c>
      <c r="C15" s="17" t="n">
        <f aca="false">C12/C14</f>
        <v>3.14</v>
      </c>
      <c r="D15" s="17" t="n">
        <f aca="false">D12/D14</f>
        <v>1.6624175730282</v>
      </c>
      <c r="E15" s="17" t="n">
        <f aca="false">E12/E14</f>
        <v>2.09126494475312</v>
      </c>
      <c r="F15" s="17" t="n">
        <f aca="false">F12/F14</f>
        <v>6.91720659514496</v>
      </c>
      <c r="G15" s="7" t="s">
        <v>35</v>
      </c>
      <c r="H15" s="3" t="s">
        <v>443</v>
      </c>
      <c r="I15" s="7" t="s">
        <v>113</v>
      </c>
    </row>
    <row r="16" customFormat="false" ht="17.15" hidden="false" customHeight="false" outlineLevel="0" collapsed="false">
      <c r="A16" s="3" t="s">
        <v>444</v>
      </c>
      <c r="B16" s="18" t="n">
        <v>5.01</v>
      </c>
      <c r="C16" s="18" t="n">
        <v>3.14</v>
      </c>
      <c r="G16" s="7" t="s">
        <v>89</v>
      </c>
      <c r="H16" s="7" t="s">
        <v>416</v>
      </c>
      <c r="I16" s="7" t="s">
        <v>445</v>
      </c>
    </row>
    <row r="17" customFormat="false" ht="17.15" hidden="false" customHeight="false" outlineLevel="0" collapsed="false">
      <c r="A17" s="0" t="s">
        <v>446</v>
      </c>
      <c r="B17" s="16" t="n">
        <f aca="false">B4*ai_25</f>
        <v>8.6814</v>
      </c>
      <c r="F17" s="16" t="n">
        <f aca="false">F4-F18</f>
        <v>17.5154</v>
      </c>
      <c r="G17" s="7" t="s">
        <v>447</v>
      </c>
      <c r="H17" s="7" t="s">
        <v>448</v>
      </c>
      <c r="I17" s="3" t="s">
        <v>449</v>
      </c>
    </row>
    <row r="18" customFormat="false" ht="17.15" hidden="false" customHeight="false" outlineLevel="0" collapsed="false">
      <c r="A18" s="3" t="s">
        <v>450</v>
      </c>
      <c r="B18" s="16" t="n">
        <f aca="false">B4-B17</f>
        <v>10.6106</v>
      </c>
      <c r="F18" s="16" t="n">
        <f aca="false">B18*(1+g_nai26)</f>
        <v>10.6106</v>
      </c>
      <c r="G18" s="7" t="s">
        <v>451</v>
      </c>
      <c r="H18" s="7" t="s">
        <v>113</v>
      </c>
      <c r="I18" s="3" t="s">
        <v>452</v>
      </c>
    </row>
    <row r="23" customFormat="false" ht="17.15" hidden="false" customHeight="false" outlineLevel="0" collapsed="false">
      <c r="A23" s="5" t="s">
        <v>453</v>
      </c>
    </row>
    <row r="24" customFormat="false" ht="17.15" hidden="false" customHeight="false" outlineLevel="0" collapsed="false">
      <c r="A24" s="0" t="s">
        <v>454</v>
      </c>
      <c r="B24" s="13" t="n">
        <f aca="false">F4/B4-1</f>
        <v>0.457910014513788</v>
      </c>
    </row>
    <row r="25" customFormat="false" ht="17.15" hidden="false" customHeight="false" outlineLevel="0" collapsed="false">
      <c r="A25" s="0" t="s">
        <v>455</v>
      </c>
      <c r="B25" s="13" t="n">
        <f aca="false">F17/F4</f>
        <v>0.622747635639622</v>
      </c>
    </row>
    <row r="26" customFormat="false" ht="17.15" hidden="false" customHeight="false" outlineLevel="0" collapsed="false">
      <c r="A26" s="0" t="s">
        <v>456</v>
      </c>
      <c r="B26" s="13" t="n">
        <f aca="false">F7/F4</f>
        <v>0.0649898670269502</v>
      </c>
    </row>
    <row r="27" customFormat="false" ht="17.15" hidden="false" customHeight="false" outlineLevel="0" collapsed="false">
      <c r="A27" s="0" t="s">
        <v>457</v>
      </c>
      <c r="B27" s="13" t="n">
        <f aca="false">F4/cons_rev26-1</f>
        <v>-0.1100493608404</v>
      </c>
    </row>
    <row r="28" customFormat="false" ht="17.15" hidden="false" customHeight="false" outlineLevel="0" collapsed="false">
      <c r="A28" s="0" t="s">
        <v>458</v>
      </c>
      <c r="B28" s="13" t="n">
        <f aca="false">F15/cons_eps26-1</f>
        <v>-0.196607828670737</v>
      </c>
    </row>
    <row r="29" customFormat="false" ht="17.15" hidden="false" customHeight="false" outlineLevel="0" collapsed="false">
      <c r="A29" s="3" t="s">
        <v>459</v>
      </c>
      <c r="B29" s="13" t="n">
        <f aca="false">(D4+E4)/C4-1</f>
        <v>0.418608650786826</v>
      </c>
    </row>
    <row r="31" customFormat="false" ht="15" hidden="false" customHeight="false" outlineLevel="0" collapsed="false">
      <c r="A31" s="1" t="s">
        <v>460</v>
      </c>
      <c r="B31" s="19" t="n">
        <f aca="false">ROUND(B17+B18-B4,6)</f>
        <v>0</v>
      </c>
    </row>
    <row r="32" customFormat="false" ht="17.15" hidden="false" customHeight="false" outlineLevel="0" collapsed="false">
      <c r="A32" s="3" t="s">
        <v>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462</v>
      </c>
    </row>
    <row r="3" customFormat="false" ht="15" hidden="false" customHeight="false" outlineLevel="0" collapsed="false">
      <c r="A3" s="4" t="s">
        <v>23</v>
      </c>
      <c r="B3" s="4" t="s">
        <v>24</v>
      </c>
      <c r="C3" s="14" t="s">
        <v>463</v>
      </c>
      <c r="D3" s="14" t="s">
        <v>464</v>
      </c>
      <c r="E3" s="14" t="s">
        <v>465</v>
      </c>
      <c r="F3" s="14" t="s">
        <v>466</v>
      </c>
      <c r="G3" s="4" t="s">
        <v>391</v>
      </c>
    </row>
    <row r="4" customFormat="false" ht="17.15" hidden="false" customHeight="false" outlineLevel="0" collapsed="false">
      <c r="A4" s="3" t="s">
        <v>467</v>
      </c>
      <c r="B4" s="0" t="s">
        <v>468</v>
      </c>
      <c r="C4" s="20" t="n">
        <f aca="false">PL!D65</f>
        <v>23.3995380420639</v>
      </c>
      <c r="D4" s="20" t="n">
        <f aca="false">PL!E65</f>
        <v>41.6467658260637</v>
      </c>
      <c r="E4" s="20" t="n">
        <f aca="false">PL!F65</f>
        <v>52.792138191248</v>
      </c>
      <c r="F4" s="20" t="n">
        <f aca="false">PL!G65</f>
        <v>60.1385917361116</v>
      </c>
      <c r="G4" s="7" t="s">
        <v>469</v>
      </c>
    </row>
    <row r="5" customFormat="false" ht="17.15" hidden="false" customHeight="false" outlineLevel="0" collapsed="false">
      <c r="A5" s="3" t="s">
        <v>470</v>
      </c>
      <c r="B5" s="0" t="s">
        <v>95</v>
      </c>
      <c r="C5" s="21" t="n">
        <f aca="false">PL!D66</f>
        <v>280</v>
      </c>
      <c r="D5" s="21" t="n">
        <f aca="false">PL!E66</f>
        <v>420</v>
      </c>
      <c r="E5" s="21" t="n">
        <f aca="false">PL!F66</f>
        <v>462</v>
      </c>
      <c r="F5" s="21" t="n">
        <f aca="false">PL!G66</f>
        <v>504</v>
      </c>
      <c r="G5" s="7" t="s">
        <v>471</v>
      </c>
    </row>
    <row r="6" customFormat="false" ht="17.15" hidden="false" customHeight="false" outlineLevel="0" collapsed="false">
      <c r="A6" s="3" t="s">
        <v>472</v>
      </c>
      <c r="B6" s="0" t="s">
        <v>95</v>
      </c>
      <c r="C6" s="21" t="n">
        <f aca="false">PL!D67</f>
        <v>120</v>
      </c>
      <c r="D6" s="21" t="n">
        <f aca="false">PL!E67</f>
        <v>162</v>
      </c>
      <c r="E6" s="21" t="n">
        <f aca="false">PL!F67</f>
        <v>180</v>
      </c>
      <c r="F6" s="21" t="n">
        <f aca="false">PL!G67</f>
        <v>198</v>
      </c>
      <c r="G6" s="7" t="s">
        <v>68</v>
      </c>
    </row>
    <row r="7" customFormat="false" ht="17.15" hidden="false" customHeight="false" outlineLevel="0" collapsed="false">
      <c r="A7" s="3" t="s">
        <v>473</v>
      </c>
      <c r="B7" s="0" t="s">
        <v>95</v>
      </c>
      <c r="C7" s="21" t="n">
        <f aca="false">PL!D68</f>
        <v>50</v>
      </c>
      <c r="D7" s="21" t="n">
        <f aca="false">PL!E68</f>
        <v>100</v>
      </c>
      <c r="E7" s="21" t="n">
        <f aca="false">PL!F68</f>
        <v>150</v>
      </c>
      <c r="F7" s="21" t="n">
        <f aca="false">PL!G68</f>
        <v>175</v>
      </c>
      <c r="G7" s="7" t="s">
        <v>474</v>
      </c>
    </row>
    <row r="8" customFormat="false" ht="17.15" hidden="false" customHeight="false" outlineLevel="0" collapsed="false">
      <c r="A8" s="3" t="s">
        <v>475</v>
      </c>
      <c r="B8" s="0" t="s">
        <v>95</v>
      </c>
      <c r="C8" s="21" t="n">
        <f aca="false">PL!D69</f>
        <v>450</v>
      </c>
      <c r="D8" s="21" t="n">
        <f aca="false">PL!E69</f>
        <v>682</v>
      </c>
      <c r="E8" s="21" t="n">
        <f aca="false">PL!F69</f>
        <v>792</v>
      </c>
      <c r="F8" s="21" t="n">
        <f aca="false">PL!G69</f>
        <v>877</v>
      </c>
    </row>
    <row r="9" customFormat="false" ht="17.15" hidden="false" customHeight="false" outlineLevel="0" collapsed="false">
      <c r="A9" s="3" t="s">
        <v>476</v>
      </c>
      <c r="B9" s="0" t="s">
        <v>477</v>
      </c>
      <c r="C9" s="22" t="n">
        <f aca="false">PL!D69*1000/racks_vr</f>
        <v>111.056268509378</v>
      </c>
      <c r="D9" s="22" t="n">
        <f aca="false">PL!E69*1000/racks_vr</f>
        <v>168.311944718657</v>
      </c>
      <c r="E9" s="22" t="n">
        <f aca="false">PL!F69*1000/racks_vr</f>
        <v>195.459032576505</v>
      </c>
      <c r="F9" s="22" t="n">
        <f aca="false">PL!G69*1000/racks_vr</f>
        <v>216.436327739388</v>
      </c>
      <c r="G9" s="3" t="s">
        <v>478</v>
      </c>
    </row>
    <row r="10" customFormat="false" ht="17.15" hidden="false" customHeight="false" outlineLevel="0" collapsed="false">
      <c r="A10" s="3" t="s">
        <v>479</v>
      </c>
      <c r="B10" s="0" t="s">
        <v>95</v>
      </c>
      <c r="C10" s="21" t="n">
        <f aca="false">emc_ccl26</f>
        <v>350</v>
      </c>
      <c r="D10" s="21" t="n">
        <f aca="false">emc_ccl27</f>
        <v>527.5</v>
      </c>
      <c r="E10" s="21" t="n">
        <f aca="false">emc_ccl28</f>
        <v>609</v>
      </c>
      <c r="F10" s="21" t="n">
        <f aca="false">emc_ccl29</f>
        <v>662.5</v>
      </c>
      <c r="G10" s="3" t="s">
        <v>480</v>
      </c>
    </row>
    <row r="11" customFormat="false" ht="17.15" hidden="false" customHeight="false" outlineLevel="0" collapsed="false">
      <c r="A11" s="3" t="s">
        <v>481</v>
      </c>
      <c r="B11" s="0" t="s">
        <v>67</v>
      </c>
      <c r="C11" s="17" t="n">
        <f aca="false">PL!D69/emc_ccl26</f>
        <v>1.28571428571429</v>
      </c>
      <c r="D11" s="17" t="n">
        <f aca="false">PL!E69/emc_ccl27</f>
        <v>1.29289099526066</v>
      </c>
      <c r="E11" s="17" t="n">
        <f aca="false">PL!F69/emc_ccl28</f>
        <v>1.30049261083744</v>
      </c>
      <c r="F11" s="17" t="n">
        <f aca="false">PL!G69/emc_ccl29</f>
        <v>1.32377358490566</v>
      </c>
      <c r="G11" s="7" t="s">
        <v>482</v>
      </c>
    </row>
    <row r="12" customFormat="false" ht="17.15" hidden="false" customHeight="false" outlineLevel="0" collapsed="false">
      <c r="A12" s="0" t="s">
        <v>483</v>
      </c>
      <c r="B12" s="0" t="s">
        <v>34</v>
      </c>
      <c r="C12" s="22" t="n">
        <f aca="false">PL!D70*PL!D72</f>
        <v>10.5297921189287</v>
      </c>
      <c r="D12" s="22" t="n">
        <f aca="false">PL!E70*PL!E72</f>
        <v>28.4030942933754</v>
      </c>
      <c r="E12" s="22" t="n">
        <f aca="false">PL!F70*PL!F72</f>
        <v>40.5570322440444</v>
      </c>
      <c r="F12" s="22" t="n">
        <f aca="false">PL!G70*PL!G72</f>
        <v>49.5770522554156</v>
      </c>
      <c r="G12" s="3" t="s">
        <v>484</v>
      </c>
    </row>
    <row r="13" customFormat="false" ht="17.15" hidden="false" customHeight="false" outlineLevel="0" collapsed="false">
      <c r="A13" s="3" t="s">
        <v>485</v>
      </c>
      <c r="B13" s="0" t="s">
        <v>54</v>
      </c>
      <c r="C13" s="13" t="n">
        <f aca="false">PL!D75</f>
        <v>0.247531793970355</v>
      </c>
      <c r="D13" s="13" t="n">
        <f aca="false">PL!E75</f>
        <v>0.222778614573319</v>
      </c>
      <c r="E13" s="13" t="n">
        <f aca="false">PL!F75</f>
        <v>0.198025435176284</v>
      </c>
      <c r="F13" s="13" t="n">
        <f aca="false">PL!G75</f>
        <v>0.185648845477766</v>
      </c>
      <c r="G13" s="7" t="s">
        <v>486</v>
      </c>
    </row>
    <row r="14" customFormat="false" ht="17.15" hidden="false" customHeight="false" outlineLevel="0" collapsed="false">
      <c r="A14" s="3" t="s">
        <v>487</v>
      </c>
      <c r="B14" s="0" t="s">
        <v>34</v>
      </c>
      <c r="C14" s="23" t="n">
        <f aca="false">PL!D76/fx</f>
        <v>2.60645833333333</v>
      </c>
      <c r="D14" s="23" t="n">
        <f aca="false">PL!E76/fx</f>
        <v>6.32760199627352</v>
      </c>
      <c r="E14" s="23" t="n">
        <f aca="false">PL!F76/fx</f>
        <v>8.03132395958545</v>
      </c>
      <c r="F14" s="23" t="n">
        <f aca="false">PL!G76/fx</f>
        <v>9.20392251340878</v>
      </c>
    </row>
    <row r="15" customFormat="false" ht="17.15" hidden="false" customHeight="false" outlineLevel="0" collapsed="false">
      <c r="A15" s="3" t="s">
        <v>488</v>
      </c>
      <c r="B15" s="0" t="s">
        <v>34</v>
      </c>
      <c r="C15" s="23" t="n">
        <f aca="false">PL!D81/fx</f>
        <v>2.60645833333333</v>
      </c>
      <c r="D15" s="23" t="n">
        <f aca="false">PL!E81/fx</f>
        <v>5.53625</v>
      </c>
      <c r="E15" s="23" t="n">
        <f aca="false">PL!F81/fx</f>
        <v>8.03132395958545</v>
      </c>
      <c r="F15" s="23" t="n">
        <f aca="false">PL!G81/fx</f>
        <v>9.20392251340878</v>
      </c>
    </row>
    <row r="16" customFormat="false" ht="17.15" hidden="false" customHeight="false" outlineLevel="0" collapsed="false">
      <c r="A16" s="3" t="s">
        <v>489</v>
      </c>
      <c r="B16" s="0" t="s">
        <v>95</v>
      </c>
      <c r="C16" s="21" t="n">
        <f aca="false">PL!D87</f>
        <v>111.38930728666</v>
      </c>
      <c r="D16" s="21" t="n">
        <f aca="false">PL!E87</f>
        <v>132.933491717507</v>
      </c>
      <c r="E16" s="21" t="n">
        <f aca="false">PL!F87</f>
        <v>152.131060319828</v>
      </c>
      <c r="F16" s="21" t="n">
        <f aca="false">PL!G87</f>
        <v>153.045195234961</v>
      </c>
    </row>
    <row r="17" customFormat="false" ht="17.15" hidden="false" customHeight="false" outlineLevel="0" collapsed="false">
      <c r="A17" s="3" t="s">
        <v>490</v>
      </c>
      <c r="B17" s="0" t="s">
        <v>67</v>
      </c>
      <c r="C17" s="17" t="n">
        <f aca="false">PL!D78</f>
        <v>1</v>
      </c>
      <c r="D17" s="17" t="n">
        <f aca="false">PL!E78</f>
        <v>1.7</v>
      </c>
      <c r="E17" s="17" t="n">
        <f aca="false">PL!F78</f>
        <v>2.4</v>
      </c>
      <c r="F17" s="17" t="n">
        <f aca="false">PL!G78</f>
        <v>3</v>
      </c>
      <c r="G17" s="3" t="s">
        <v>491</v>
      </c>
    </row>
    <row r="18" customFormat="false" ht="17.15" hidden="false" customHeight="false" outlineLevel="0" collapsed="false">
      <c r="A18" s="3" t="s">
        <v>492</v>
      </c>
      <c r="B18" s="0" t="s">
        <v>194</v>
      </c>
      <c r="C18" s="22" t="n">
        <f aca="false">PL!D79</f>
        <v>28.126</v>
      </c>
      <c r="D18" s="22" t="n">
        <f aca="false">PL!E79</f>
        <v>47.8142</v>
      </c>
      <c r="E18" s="22" t="n">
        <f aca="false">PL!F79</f>
        <v>65.477328</v>
      </c>
      <c r="F18" s="22" t="n">
        <f aca="false">PL!G79</f>
        <v>79.31532</v>
      </c>
      <c r="G18" s="7" t="s">
        <v>493</v>
      </c>
    </row>
    <row r="19" customFormat="false" ht="17.15" hidden="false" customHeight="false" outlineLevel="0" collapsed="false">
      <c r="A19" s="3" t="s">
        <v>494</v>
      </c>
      <c r="B19" s="0" t="s">
        <v>54</v>
      </c>
      <c r="C19" s="13" t="n">
        <f aca="false">PL!D86</f>
        <v>1</v>
      </c>
      <c r="D19" s="13" t="n">
        <f aca="false">PL!E86</f>
        <v>1.11121979275943</v>
      </c>
      <c r="E19" s="13" t="n">
        <f aca="false">PL!F86</f>
        <v>0.986312346288997</v>
      </c>
      <c r="F19" s="13" t="n">
        <f aca="false">PL!G86</f>
        <v>0.913580873028149</v>
      </c>
      <c r="G19" s="3" t="s">
        <v>495</v>
      </c>
    </row>
    <row r="20" customFormat="false" ht="17.15" hidden="false" customHeight="false" outlineLevel="0" collapsed="false">
      <c r="A20" s="3" t="s">
        <v>496</v>
      </c>
      <c r="B20" s="0" t="s">
        <v>34</v>
      </c>
      <c r="C20" s="22" t="n">
        <f aca="false">PL!D70*PL!D72-PL!D81/fx</f>
        <v>7.92333378559542</v>
      </c>
      <c r="D20" s="22" t="n">
        <f aca="false">PL!E70*PL!E72-PL!E81/fx</f>
        <v>22.8668442933754</v>
      </c>
      <c r="E20" s="22" t="n">
        <f aca="false">PL!F70*PL!F72-PL!F81/fx</f>
        <v>32.5257082844589</v>
      </c>
      <c r="F20" s="22" t="n">
        <f aca="false">PL!G70*PL!G72-PL!G81/fx</f>
        <v>40.3731297420069</v>
      </c>
      <c r="G20" s="3" t="s">
        <v>497</v>
      </c>
    </row>
    <row r="22" customFormat="false" ht="17.15" hidden="false" customHeight="false" outlineLevel="0" collapsed="false">
      <c r="A22" s="1" t="s">
        <v>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499</v>
      </c>
    </row>
    <row r="2" customFormat="false" ht="17.15" hidden="false" customHeight="false" outlineLevel="0" collapsed="false">
      <c r="A2" s="3" t="s">
        <v>500</v>
      </c>
    </row>
    <row r="3" customFormat="false" ht="17.15" hidden="false" customHeight="false" outlineLevel="0" collapsed="false">
      <c r="A3" s="4" t="s">
        <v>501</v>
      </c>
      <c r="B3" s="4" t="s">
        <v>24</v>
      </c>
      <c r="C3" s="14" t="s">
        <v>409</v>
      </c>
      <c r="D3" s="14" t="s">
        <v>502</v>
      </c>
      <c r="E3" s="14" t="s">
        <v>503</v>
      </c>
      <c r="F3" s="14" t="s">
        <v>504</v>
      </c>
      <c r="G3" s="14" t="s">
        <v>505</v>
      </c>
      <c r="H3" s="14" t="s">
        <v>506</v>
      </c>
      <c r="I3" s="14" t="s">
        <v>507</v>
      </c>
      <c r="J3" s="14" t="s">
        <v>508</v>
      </c>
      <c r="K3" s="4" t="s">
        <v>391</v>
      </c>
    </row>
    <row r="4" customFormat="false" ht="17.15" hidden="false" customHeight="false" outlineLevel="0" collapsed="false">
      <c r="A4" s="1" t="s">
        <v>509</v>
      </c>
    </row>
    <row r="5" customFormat="false" ht="15" hidden="false" customHeight="false" outlineLevel="0" collapsed="false">
      <c r="A5" s="3" t="s">
        <v>414</v>
      </c>
      <c r="B5" s="0" t="s">
        <v>194</v>
      </c>
      <c r="C5" s="22" t="n">
        <f aca="false">C83</f>
        <v>19.292</v>
      </c>
      <c r="D5" s="22" t="n">
        <f aca="false">D83</f>
        <v>28.126</v>
      </c>
      <c r="E5" s="22" t="n">
        <f aca="false">E83</f>
        <v>47.8142</v>
      </c>
      <c r="F5" s="22" t="n">
        <f aca="false">F83</f>
        <v>64.5810970084142</v>
      </c>
      <c r="G5" s="22" t="n">
        <f aca="false">G83</f>
        <v>72.460959290107</v>
      </c>
      <c r="H5" s="24" t="n">
        <f aca="false">H83</f>
        <v>79.8043942392926</v>
      </c>
      <c r="I5" s="24" t="n">
        <f aca="false">I83</f>
        <v>86.2423476187719</v>
      </c>
      <c r="J5" s="24" t="n">
        <f aca="false">J83</f>
        <v>91.4168884758983</v>
      </c>
    </row>
    <row r="6" customFormat="false" ht="15" hidden="false" customHeight="false" outlineLevel="0" collapsed="false">
      <c r="A6" s="3" t="s">
        <v>510</v>
      </c>
      <c r="B6" s="0" t="s">
        <v>54</v>
      </c>
      <c r="D6" s="13" t="n">
        <f aca="false">D84</f>
        <v>0.457910014513788</v>
      </c>
      <c r="E6" s="13" t="n">
        <f aca="false">E84</f>
        <v>0.7</v>
      </c>
      <c r="F6" s="13" t="n">
        <f aca="false">F84</f>
        <v>0.350667730682815</v>
      </c>
      <c r="G6" s="13" t="n">
        <f aca="false">G84</f>
        <v>0.122014995822479</v>
      </c>
      <c r="H6" s="25" t="n">
        <f aca="false">H84</f>
        <v>0.101343330548319</v>
      </c>
      <c r="I6" s="25" t="n">
        <f aca="false">I84</f>
        <v>0.0806716652741597</v>
      </c>
      <c r="J6" s="25" t="n">
        <f aca="false">J84</f>
        <v>0.06</v>
      </c>
    </row>
    <row r="7" customFormat="false" ht="17.15" hidden="false" customHeight="false" outlineLevel="0" collapsed="false">
      <c r="A7" s="0" t="s">
        <v>511</v>
      </c>
      <c r="B7" s="0" t="s">
        <v>194</v>
      </c>
      <c r="C7" s="22" t="n">
        <f aca="false">C81</f>
        <v>8.6814</v>
      </c>
      <c r="D7" s="22" t="n">
        <f aca="false">D81</f>
        <v>17.5154</v>
      </c>
      <c r="E7" s="22" t="n">
        <f aca="false">E81</f>
        <v>37.2036</v>
      </c>
      <c r="F7" s="22" t="n">
        <f aca="false">F81</f>
        <v>53.9704970084142</v>
      </c>
      <c r="G7" s="22" t="n">
        <f aca="false">G81</f>
        <v>61.850359290107</v>
      </c>
    </row>
    <row r="8" customFormat="false" ht="17.15" hidden="false" customHeight="false" outlineLevel="0" collapsed="false">
      <c r="A8" s="3" t="s">
        <v>512</v>
      </c>
      <c r="B8" s="0" t="s">
        <v>194</v>
      </c>
      <c r="C8" s="22" t="n">
        <f aca="false">C80</f>
        <v>10.6106</v>
      </c>
      <c r="D8" s="22" t="n">
        <f aca="false">D80</f>
        <v>10.6106</v>
      </c>
      <c r="E8" s="22" t="n">
        <f aca="false">E80</f>
        <v>10.6106</v>
      </c>
      <c r="F8" s="22" t="n">
        <f aca="false">F80</f>
        <v>10.6106</v>
      </c>
      <c r="G8" s="22" t="n">
        <f aca="false">G80</f>
        <v>10.6106</v>
      </c>
    </row>
    <row r="9" customFormat="false" ht="17.15" hidden="false" customHeight="false" outlineLevel="0" collapsed="false">
      <c r="A9" s="3" t="s">
        <v>513</v>
      </c>
      <c r="B9" s="0" t="s">
        <v>54</v>
      </c>
      <c r="D9" s="13" t="n">
        <f aca="false">D86</f>
        <v>1</v>
      </c>
      <c r="E9" s="13" t="n">
        <f aca="false">E86</f>
        <v>1.11121979275943</v>
      </c>
      <c r="F9" s="13" t="n">
        <f aca="false">F86</f>
        <v>0.986312346288997</v>
      </c>
      <c r="G9" s="13" t="n">
        <f aca="false">G86</f>
        <v>0.913580873028149</v>
      </c>
    </row>
    <row r="10" customFormat="false" ht="15" hidden="false" customHeight="false" outlineLevel="0" collapsed="false">
      <c r="A10" s="3" t="s">
        <v>421</v>
      </c>
      <c r="B10" s="0" t="s">
        <v>54</v>
      </c>
      <c r="C10" s="13" t="n">
        <f aca="false">C92</f>
        <v>0.3522</v>
      </c>
      <c r="D10" s="13" t="n">
        <f aca="false">D92</f>
        <v>0.330904145630378</v>
      </c>
      <c r="E10" s="13" t="n">
        <f aca="false">E92</f>
        <v>0.361985895403458</v>
      </c>
      <c r="F10" s="13" t="n">
        <f aca="false">F92</f>
        <v>0.363730052217466</v>
      </c>
      <c r="G10" s="13" t="n">
        <f aca="false">G92</f>
        <v>0.357762934044276</v>
      </c>
    </row>
    <row r="11" customFormat="false" ht="15" hidden="false" customHeight="false" outlineLevel="0" collapsed="false">
      <c r="A11" s="3" t="s">
        <v>429</v>
      </c>
      <c r="B11" s="0" t="s">
        <v>54</v>
      </c>
      <c r="C11" s="13" t="n">
        <f aca="false">C96</f>
        <v>0.266846361185984</v>
      </c>
      <c r="D11" s="13" t="n">
        <f aca="false">D96</f>
        <v>0.265914278603427</v>
      </c>
      <c r="E11" s="13" t="n">
        <f aca="false">E96</f>
        <v>0.307700241769182</v>
      </c>
      <c r="F11" s="13" t="n">
        <f aca="false">F96</f>
        <v>0.315081973698408</v>
      </c>
      <c r="G11" s="13" t="n">
        <f aca="false">G96</f>
        <v>0.311230975227495</v>
      </c>
    </row>
    <row r="12" customFormat="false" ht="15" hidden="false" customHeight="false" outlineLevel="0" collapsed="false">
      <c r="A12" s="3" t="s">
        <v>436</v>
      </c>
      <c r="B12" s="0" t="s">
        <v>194</v>
      </c>
      <c r="C12" s="22" t="n">
        <f aca="false">C98</f>
        <v>4.312</v>
      </c>
      <c r="D12" s="22" t="n">
        <f aca="false">D98</f>
        <v>6.5441924845173</v>
      </c>
      <c r="E12" s="22" t="n">
        <f aca="false">E98</f>
        <v>12.5822862603</v>
      </c>
      <c r="F12" s="22" t="n">
        <f aca="false">F98</f>
        <v>17.4686103543199</v>
      </c>
      <c r="G12" s="22" t="n">
        <f aca="false">G98</f>
        <v>19.3792663873511</v>
      </c>
      <c r="H12" s="24" t="n">
        <f aca="false">H98</f>
        <v>21.3432257866284</v>
      </c>
      <c r="I12" s="24" t="n">
        <f aca="false">I98</f>
        <v>23.0650193531581</v>
      </c>
      <c r="J12" s="24" t="n">
        <f aca="false">J98</f>
        <v>24.4489205143476</v>
      </c>
    </row>
    <row r="13" customFormat="false" ht="15" hidden="false" customHeight="false" outlineLevel="0" collapsed="false">
      <c r="A13" s="3" t="s">
        <v>514</v>
      </c>
      <c r="B13" s="0" t="s">
        <v>54</v>
      </c>
      <c r="C13" s="13" t="n">
        <f aca="false">C103</f>
        <v>0.223512336719884</v>
      </c>
      <c r="D13" s="13" t="n">
        <f aca="false">D103</f>
        <v>0.23267412659167</v>
      </c>
      <c r="E13" s="13" t="n">
        <f aca="false">E103</f>
        <v>0.263149571890777</v>
      </c>
      <c r="F13" s="13" t="n">
        <f aca="false">F103</f>
        <v>0.27049107499744</v>
      </c>
      <c r="G13" s="13" t="n">
        <f aca="false">G103</f>
        <v>0.267444242764765</v>
      </c>
      <c r="H13" s="25" t="n">
        <f aca="false">H103</f>
        <v>0.267444242764765</v>
      </c>
      <c r="I13" s="25" t="n">
        <f aca="false">I103</f>
        <v>0.267444242764765</v>
      </c>
      <c r="J13" s="25" t="n">
        <f aca="false">J103</f>
        <v>0.267444242764765</v>
      </c>
    </row>
    <row r="14" customFormat="false" ht="15" hidden="false" customHeight="false" outlineLevel="0" collapsed="false">
      <c r="A14" s="0" t="s">
        <v>442</v>
      </c>
      <c r="B14" s="0" t="s">
        <v>258</v>
      </c>
      <c r="C14" s="17" t="n">
        <f aca="false">C101</f>
        <v>5.01</v>
      </c>
      <c r="D14" s="17" t="n">
        <f aca="false">D101</f>
        <v>6.91720659514496</v>
      </c>
      <c r="E14" s="17" t="n">
        <f aca="false">E101</f>
        <v>12.8084840893173</v>
      </c>
      <c r="F14" s="17" t="n">
        <f aca="false">F101</f>
        <v>17.7826519884357</v>
      </c>
      <c r="G14" s="17" t="n">
        <f aca="false">G101</f>
        <v>19.7276568065549</v>
      </c>
      <c r="H14" s="26" t="n">
        <f aca="false">H101</f>
        <v>21.7269232512454</v>
      </c>
      <c r="I14" s="26" t="n">
        <f aca="false">I101</f>
        <v>23.4796703312072</v>
      </c>
      <c r="J14" s="26" t="n">
        <f aca="false">J101</f>
        <v>24.8884505510796</v>
      </c>
    </row>
    <row r="15" customFormat="false" ht="17.15" hidden="false" customHeight="false" outlineLevel="0" collapsed="false">
      <c r="A15" s="0" t="s">
        <v>515</v>
      </c>
      <c r="B15" s="0" t="s">
        <v>54</v>
      </c>
      <c r="D15" s="13" t="n">
        <f aca="false">D102</f>
        <v>0.38067995911077</v>
      </c>
      <c r="E15" s="13" t="n">
        <f aca="false">E102</f>
        <v>0.851684478862804</v>
      </c>
      <c r="F15" s="13" t="n">
        <f aca="false">F102</f>
        <v>0.38834946153128</v>
      </c>
      <c r="G15" s="13" t="n">
        <f aca="false">G102</f>
        <v>0.109376532779477</v>
      </c>
      <c r="H15" s="25" t="n">
        <f aca="false">H102</f>
        <v>0.10134333054832</v>
      </c>
      <c r="I15" s="25" t="n">
        <f aca="false">I102</f>
        <v>0.0806716652741597</v>
      </c>
      <c r="J15" s="25" t="n">
        <f aca="false">J102</f>
        <v>0.0599999999999998</v>
      </c>
    </row>
    <row r="17" customFormat="false" ht="17.15" hidden="false" customHeight="false" outlineLevel="0" collapsed="false">
      <c r="A17" s="1" t="s">
        <v>516</v>
      </c>
    </row>
    <row r="18" customFormat="false" ht="15" hidden="false" customHeight="false" outlineLevel="0" collapsed="false">
      <c r="A18" s="3" t="s">
        <v>414</v>
      </c>
      <c r="B18" s="0" t="s">
        <v>194</v>
      </c>
      <c r="C18" s="22" t="n">
        <f aca="false">C129</f>
        <v>19.292</v>
      </c>
      <c r="D18" s="22" t="n">
        <f aca="false">D129</f>
        <v>28.126</v>
      </c>
      <c r="E18" s="22" t="n">
        <f aca="false">E129</f>
        <v>47.8142</v>
      </c>
      <c r="F18" s="22" t="n">
        <f aca="false">F129</f>
        <v>53.7869976067314</v>
      </c>
      <c r="G18" s="22" t="n">
        <f aca="false">G129</f>
        <v>63.183405396591</v>
      </c>
      <c r="H18" s="24" t="n">
        <f aca="false">H129</f>
        <v>71.3844699115164</v>
      </c>
      <c r="I18" s="24" t="n">
        <f aca="false">I129</f>
        <v>77.4449314706762</v>
      </c>
      <c r="J18" s="24" t="n">
        <f aca="false">J129</f>
        <v>80.5427287295033</v>
      </c>
    </row>
    <row r="19" customFormat="false" ht="15" hidden="false" customHeight="false" outlineLevel="0" collapsed="false">
      <c r="A19" s="3" t="s">
        <v>510</v>
      </c>
      <c r="B19" s="0" t="s">
        <v>54</v>
      </c>
      <c r="D19" s="13" t="n">
        <f aca="false">D130</f>
        <v>0.457910014513788</v>
      </c>
      <c r="E19" s="13" t="n">
        <f aca="false">E130</f>
        <v>0.7</v>
      </c>
      <c r="F19" s="13" t="n">
        <f aca="false">F130</f>
        <v>0.124916815647473</v>
      </c>
      <c r="G19" s="13" t="n">
        <f aca="false">G130</f>
        <v>0.174696640600063</v>
      </c>
      <c r="H19" s="25" t="n">
        <f aca="false">H130</f>
        <v>0.129797760400042</v>
      </c>
      <c r="I19" s="25" t="n">
        <f aca="false">I130</f>
        <v>0.0848988802000209</v>
      </c>
      <c r="J19" s="25" t="n">
        <f aca="false">J130</f>
        <v>0.04</v>
      </c>
    </row>
    <row r="20" customFormat="false" ht="17.15" hidden="false" customHeight="false" outlineLevel="0" collapsed="false">
      <c r="A20" s="0" t="s">
        <v>511</v>
      </c>
      <c r="B20" s="0" t="s">
        <v>194</v>
      </c>
      <c r="C20" s="22" t="n">
        <f aca="false">C127</f>
        <v>8.6814</v>
      </c>
      <c r="D20" s="22" t="n">
        <f aca="false">D127</f>
        <v>17.5154</v>
      </c>
      <c r="E20" s="22" t="n">
        <f aca="false">E127</f>
        <v>37.2036</v>
      </c>
      <c r="F20" s="22" t="n">
        <f aca="false">F127</f>
        <v>43.1763976067314</v>
      </c>
      <c r="G20" s="22" t="n">
        <f aca="false">G127</f>
        <v>52.572805396591</v>
      </c>
    </row>
    <row r="21" customFormat="false" ht="17.15" hidden="false" customHeight="false" outlineLevel="0" collapsed="false">
      <c r="A21" s="3" t="s">
        <v>512</v>
      </c>
      <c r="B21" s="0" t="s">
        <v>194</v>
      </c>
      <c r="C21" s="22" t="n">
        <f aca="false">C126</f>
        <v>10.6106</v>
      </c>
      <c r="D21" s="22" t="n">
        <f aca="false">D126</f>
        <v>10.6106</v>
      </c>
      <c r="E21" s="22" t="n">
        <f aca="false">E126</f>
        <v>10.6106</v>
      </c>
      <c r="F21" s="22" t="n">
        <f aca="false">F126</f>
        <v>10.6106</v>
      </c>
      <c r="G21" s="22" t="n">
        <f aca="false">G126</f>
        <v>10.6106</v>
      </c>
    </row>
    <row r="22" customFormat="false" ht="17.15" hidden="false" customHeight="false" outlineLevel="0" collapsed="false">
      <c r="A22" s="3" t="s">
        <v>513</v>
      </c>
      <c r="B22" s="0" t="s">
        <v>54</v>
      </c>
      <c r="D22" s="13" t="n">
        <f aca="false">D132</f>
        <v>1</v>
      </c>
      <c r="E22" s="13" t="n">
        <f aca="false">E132</f>
        <v>1.11121979275943</v>
      </c>
      <c r="F22" s="13" t="n">
        <f aca="false">F132</f>
        <v>0.821459873969374</v>
      </c>
      <c r="G22" s="13" t="n">
        <f aca="false">G132</f>
        <v>0.796610357199479</v>
      </c>
    </row>
    <row r="23" customFormat="false" ht="15" hidden="false" customHeight="false" outlineLevel="0" collapsed="false">
      <c r="A23" s="3" t="s">
        <v>421</v>
      </c>
      <c r="B23" s="0" t="s">
        <v>54</v>
      </c>
      <c r="C23" s="13" t="n">
        <f aca="false">C138</f>
        <v>0.3522</v>
      </c>
      <c r="D23" s="13" t="n">
        <f aca="false">D138</f>
        <v>0.330904145630378</v>
      </c>
      <c r="E23" s="13" t="n">
        <f aca="false">E138</f>
        <v>0.361985895403458</v>
      </c>
      <c r="F23" s="13" t="n">
        <f aca="false">F138</f>
        <v>0.358749437818298</v>
      </c>
      <c r="G23" s="13" t="n">
        <f aca="false">G138</f>
        <v>0.354733309188488</v>
      </c>
    </row>
    <row r="24" customFormat="false" ht="15" hidden="false" customHeight="false" outlineLevel="0" collapsed="false">
      <c r="A24" s="3" t="s">
        <v>429</v>
      </c>
      <c r="B24" s="0" t="s">
        <v>54</v>
      </c>
      <c r="C24" s="13" t="n">
        <f aca="false">C142</f>
        <v>0.266846361185984</v>
      </c>
      <c r="D24" s="13" t="n">
        <f aca="false">D142</f>
        <v>0.265914278603427</v>
      </c>
      <c r="E24" s="13" t="n">
        <f aca="false">E142</f>
        <v>0.307700241769182</v>
      </c>
      <c r="F24" s="13" t="n">
        <f aca="false">F142</f>
        <v>0.30687505260601</v>
      </c>
      <c r="G24" s="13" t="n">
        <f aca="false">G142</f>
        <v>0.305944752441719</v>
      </c>
    </row>
    <row r="25" customFormat="false" ht="15" hidden="false" customHeight="false" outlineLevel="0" collapsed="false">
      <c r="A25" s="3" t="s">
        <v>436</v>
      </c>
      <c r="B25" s="0" t="s">
        <v>194</v>
      </c>
      <c r="C25" s="22" t="n">
        <f aca="false">C144</f>
        <v>4.312</v>
      </c>
      <c r="D25" s="22" t="n">
        <f aca="false">D144</f>
        <v>6.5441924845173</v>
      </c>
      <c r="E25" s="22" t="n">
        <f aca="false">E144</f>
        <v>12.5822862603</v>
      </c>
      <c r="F25" s="22" t="n">
        <f aca="false">F144</f>
        <v>14.1372046533137</v>
      </c>
      <c r="G25" s="22" t="n">
        <f aca="false">G144</f>
        <v>16.5862573565943</v>
      </c>
      <c r="H25" s="24" t="n">
        <f aca="false">H144</f>
        <v>17.0481196335343</v>
      </c>
      <c r="I25" s="24" t="n">
        <f aca="false">I144</f>
        <v>16.6609253854129</v>
      </c>
      <c r="J25" s="24" t="n">
        <f aca="false">J144</f>
        <v>15.4194194657241</v>
      </c>
    </row>
    <row r="26" customFormat="false" ht="15" hidden="false" customHeight="false" outlineLevel="0" collapsed="false">
      <c r="A26" s="3" t="s">
        <v>514</v>
      </c>
      <c r="B26" s="0" t="s">
        <v>54</v>
      </c>
      <c r="C26" s="13" t="n">
        <f aca="false">C149</f>
        <v>0.223512336719884</v>
      </c>
      <c r="D26" s="13" t="n">
        <f aca="false">D149</f>
        <v>0.23267412659167</v>
      </c>
      <c r="E26" s="13" t="n">
        <f aca="false">E149</f>
        <v>0.263149571890777</v>
      </c>
      <c r="F26" s="13" t="n">
        <f aca="false">F149</f>
        <v>0.262836843147096</v>
      </c>
      <c r="G26" s="13" t="n">
        <f aca="false">G149</f>
        <v>0.26250970887823</v>
      </c>
      <c r="H26" s="25" t="n">
        <f aca="false">H149</f>
        <v>0.23882112810624</v>
      </c>
      <c r="I26" s="25" t="n">
        <f aca="false">I149</f>
        <v>0.215132547334249</v>
      </c>
      <c r="J26" s="25" t="n">
        <f aca="false">J149</f>
        <v>0.191443966562258</v>
      </c>
    </row>
    <row r="27" customFormat="false" ht="15" hidden="false" customHeight="false" outlineLevel="0" collapsed="false">
      <c r="A27" s="0" t="s">
        <v>442</v>
      </c>
      <c r="B27" s="0" t="s">
        <v>258</v>
      </c>
      <c r="C27" s="17" t="n">
        <f aca="false">C147</f>
        <v>5.01</v>
      </c>
      <c r="D27" s="17" t="n">
        <f aca="false">D147</f>
        <v>6.91720659514496</v>
      </c>
      <c r="E27" s="17" t="n">
        <f aca="false">E147</f>
        <v>12.8084840893173</v>
      </c>
      <c r="F27" s="17" t="n">
        <f aca="false">F147</f>
        <v>14.3913560002786</v>
      </c>
      <c r="G27" s="17" t="n">
        <f aca="false">G147</f>
        <v>16.8844365052775</v>
      </c>
      <c r="H27" s="26" t="n">
        <f aca="false">H147</f>
        <v>17.3546019031438</v>
      </c>
      <c r="I27" s="26" t="n">
        <f aca="false">I147</f>
        <v>16.9604468772654</v>
      </c>
      <c r="J27" s="26" t="n">
        <f aca="false">J147</f>
        <v>15.6966218068327</v>
      </c>
    </row>
    <row r="28" customFormat="false" ht="17.15" hidden="false" customHeight="false" outlineLevel="0" collapsed="false">
      <c r="A28" s="0" t="s">
        <v>515</v>
      </c>
      <c r="B28" s="0" t="s">
        <v>54</v>
      </c>
      <c r="D28" s="13" t="n">
        <f aca="false">D148</f>
        <v>0.38067995911077</v>
      </c>
      <c r="E28" s="13" t="n">
        <f aca="false">E148</f>
        <v>0.851684478862804</v>
      </c>
      <c r="F28" s="13" t="n">
        <f aca="false">F148</f>
        <v>0.123579956841375</v>
      </c>
      <c r="G28" s="13" t="n">
        <f aca="false">G148</f>
        <v>0.17323457948998</v>
      </c>
      <c r="H28" s="25" t="n">
        <f aca="false">H148</f>
        <v>0.0278460816693127</v>
      </c>
      <c r="I28" s="25" t="n">
        <f aca="false">I148</f>
        <v>-0.0227118448511895</v>
      </c>
      <c r="J28" s="25" t="n">
        <f aca="false">J148</f>
        <v>-0.0745160242285116</v>
      </c>
    </row>
    <row r="30" customFormat="false" ht="17.15" hidden="false" customHeight="false" outlineLevel="0" collapsed="false">
      <c r="A30" s="1" t="s">
        <v>517</v>
      </c>
    </row>
    <row r="31" customFormat="false" ht="15" hidden="false" customHeight="false" outlineLevel="0" collapsed="false">
      <c r="A31" s="3" t="s">
        <v>414</v>
      </c>
      <c r="B31" s="0" t="s">
        <v>194</v>
      </c>
      <c r="C31" s="22" t="n">
        <f aca="false">C175</f>
        <v>19.292</v>
      </c>
      <c r="D31" s="22" t="n">
        <f aca="false">D175</f>
        <v>28.126</v>
      </c>
      <c r="E31" s="22" t="n">
        <f aca="false">E175</f>
        <v>47.8142</v>
      </c>
      <c r="F31" s="22" t="n">
        <f aca="false">F175</f>
        <v>42.9928982050485</v>
      </c>
      <c r="G31" s="22" t="n">
        <f aca="false">G175</f>
        <v>47.7208155740642</v>
      </c>
      <c r="H31" s="24" t="n">
        <f aca="false">H175</f>
        <v>51.5375177854337</v>
      </c>
      <c r="I31" s="24" t="n">
        <f aca="false">I175</f>
        <v>54.1138736457626</v>
      </c>
      <c r="J31" s="24" t="n">
        <f aca="false">J175</f>
        <v>55.1961511186779</v>
      </c>
    </row>
    <row r="32" customFormat="false" ht="15" hidden="false" customHeight="false" outlineLevel="0" collapsed="false">
      <c r="A32" s="3" t="s">
        <v>510</v>
      </c>
      <c r="B32" s="0" t="s">
        <v>54</v>
      </c>
      <c r="D32" s="13" t="n">
        <f aca="false">D176</f>
        <v>0.457910014513788</v>
      </c>
      <c r="E32" s="13" t="n">
        <f aca="false">E176</f>
        <v>0.7</v>
      </c>
      <c r="F32" s="13" t="n">
        <f aca="false">F176</f>
        <v>-0.100834099387869</v>
      </c>
      <c r="G32" s="13" t="n">
        <f aca="false">G176</f>
        <v>0.109969729104247</v>
      </c>
      <c r="H32" s="25" t="n">
        <f aca="false">H176</f>
        <v>0.0799798194028316</v>
      </c>
      <c r="I32" s="25" t="n">
        <f aca="false">I176</f>
        <v>0.0499899097014158</v>
      </c>
      <c r="J32" s="25" t="n">
        <f aca="false">J176</f>
        <v>0.02</v>
      </c>
    </row>
    <row r="33" customFormat="false" ht="17.15" hidden="false" customHeight="false" outlineLevel="0" collapsed="false">
      <c r="A33" s="0" t="s">
        <v>511</v>
      </c>
      <c r="B33" s="0" t="s">
        <v>194</v>
      </c>
      <c r="C33" s="22" t="n">
        <f aca="false">C173</f>
        <v>8.6814</v>
      </c>
      <c r="D33" s="22" t="n">
        <f aca="false">D173</f>
        <v>17.5154</v>
      </c>
      <c r="E33" s="22" t="n">
        <f aca="false">E173</f>
        <v>37.2036</v>
      </c>
      <c r="F33" s="22" t="n">
        <f aca="false">F173</f>
        <v>32.3822982050485</v>
      </c>
      <c r="G33" s="22" t="n">
        <f aca="false">G173</f>
        <v>37.1102155740642</v>
      </c>
    </row>
    <row r="34" customFormat="false" ht="17.15" hidden="false" customHeight="false" outlineLevel="0" collapsed="false">
      <c r="A34" s="3" t="s">
        <v>512</v>
      </c>
      <c r="B34" s="0" t="s">
        <v>194</v>
      </c>
      <c r="C34" s="22" t="n">
        <f aca="false">C172</f>
        <v>10.6106</v>
      </c>
      <c r="D34" s="22" t="n">
        <f aca="false">D172</f>
        <v>10.6106</v>
      </c>
      <c r="E34" s="22" t="n">
        <f aca="false">E172</f>
        <v>10.6106</v>
      </c>
      <c r="F34" s="22" t="n">
        <f aca="false">F172</f>
        <v>10.6106</v>
      </c>
      <c r="G34" s="22" t="n">
        <f aca="false">G172</f>
        <v>10.6106</v>
      </c>
    </row>
    <row r="35" customFormat="false" ht="17.15" hidden="false" customHeight="false" outlineLevel="0" collapsed="false">
      <c r="A35" s="3" t="s">
        <v>513</v>
      </c>
      <c r="B35" s="0" t="s">
        <v>54</v>
      </c>
      <c r="D35" s="13" t="n">
        <f aca="false">D178</f>
        <v>1</v>
      </c>
      <c r="E35" s="13" t="n">
        <f aca="false">E178</f>
        <v>1.11121979275943</v>
      </c>
      <c r="F35" s="13" t="n">
        <f aca="false">F178</f>
        <v>0.656607401649752</v>
      </c>
      <c r="G35" s="13" t="n">
        <f aca="false">G178</f>
        <v>0.601659497485028</v>
      </c>
    </row>
    <row r="36" customFormat="false" ht="15" hidden="false" customHeight="false" outlineLevel="0" collapsed="false">
      <c r="A36" s="3" t="s">
        <v>421</v>
      </c>
      <c r="B36" s="0" t="s">
        <v>54</v>
      </c>
      <c r="C36" s="13" t="n">
        <f aca="false">C184</f>
        <v>0.3522</v>
      </c>
      <c r="D36" s="13" t="n">
        <f aca="false">D184</f>
        <v>0.330904145630378</v>
      </c>
      <c r="E36" s="13" t="n">
        <f aca="false">E184</f>
        <v>0.361985895403458</v>
      </c>
      <c r="F36" s="13" t="n">
        <f aca="false">F184</f>
        <v>0.351267887257549</v>
      </c>
      <c r="G36" s="13" t="n">
        <f aca="false">G184</f>
        <v>0.347066161540281</v>
      </c>
    </row>
    <row r="37" customFormat="false" ht="15" hidden="false" customHeight="false" outlineLevel="0" collapsed="false">
      <c r="A37" s="3" t="s">
        <v>429</v>
      </c>
      <c r="B37" s="0" t="s">
        <v>54</v>
      </c>
      <c r="C37" s="13" t="n">
        <f aca="false">C188</f>
        <v>0.266846361185984</v>
      </c>
      <c r="D37" s="13" t="n">
        <f aca="false">D188</f>
        <v>0.265914278603427</v>
      </c>
      <c r="E37" s="13" t="n">
        <f aca="false">E188</f>
        <v>0.307700241769182</v>
      </c>
      <c r="F37" s="13" t="n">
        <f aca="false">F188</f>
        <v>0.290894541696602</v>
      </c>
      <c r="G37" s="13" t="n">
        <f aca="false">G188</f>
        <v>0.289085400311094</v>
      </c>
    </row>
    <row r="38" customFormat="false" ht="15" hidden="false" customHeight="false" outlineLevel="0" collapsed="false">
      <c r="A38" s="3" t="s">
        <v>436</v>
      </c>
      <c r="B38" s="0" t="s">
        <v>194</v>
      </c>
      <c r="C38" s="22" t="n">
        <f aca="false">C190</f>
        <v>4.312</v>
      </c>
      <c r="D38" s="22" t="n">
        <f aca="false">D190</f>
        <v>6.5441924845173</v>
      </c>
      <c r="E38" s="22" t="n">
        <f aca="false">E190</f>
        <v>12.5822862603</v>
      </c>
      <c r="F38" s="22" t="n">
        <f aca="false">F190</f>
        <v>10.6696482967639</v>
      </c>
      <c r="G38" s="22" t="n">
        <f aca="false">G190</f>
        <v>11.787204060638</v>
      </c>
      <c r="H38" s="24" t="n">
        <f aca="false">H190</f>
        <v>10.5546266328054</v>
      </c>
      <c r="I38" s="24" t="n">
        <f aca="false">I190</f>
        <v>8.79819174083815</v>
      </c>
      <c r="J38" s="24" t="n">
        <f aca="false">J190</f>
        <v>6.64441465689611</v>
      </c>
    </row>
    <row r="39" customFormat="false" ht="15" hidden="false" customHeight="false" outlineLevel="0" collapsed="false">
      <c r="A39" s="3" t="s">
        <v>514</v>
      </c>
      <c r="B39" s="0" t="s">
        <v>54</v>
      </c>
      <c r="C39" s="13" t="n">
        <f aca="false">C195</f>
        <v>0.223512336719884</v>
      </c>
      <c r="D39" s="13" t="n">
        <f aca="false">D195</f>
        <v>0.23267412659167</v>
      </c>
      <c r="E39" s="13" t="n">
        <f aca="false">E195</f>
        <v>0.263149571890777</v>
      </c>
      <c r="F39" s="13" t="n">
        <f aca="false">F195</f>
        <v>0.248172343392078</v>
      </c>
      <c r="G39" s="13" t="n">
        <f aca="false">G195</f>
        <v>0.247003407608235</v>
      </c>
      <c r="H39" s="25" t="n">
        <f aca="false">H195</f>
        <v>0.204795013154252</v>
      </c>
      <c r="I39" s="25" t="n">
        <f aca="false">I195</f>
        <v>0.162586618700269</v>
      </c>
      <c r="J39" s="25" t="n">
        <f aca="false">J195</f>
        <v>0.120378224246286</v>
      </c>
    </row>
    <row r="40" customFormat="false" ht="15" hidden="false" customHeight="false" outlineLevel="0" collapsed="false">
      <c r="A40" s="0" t="s">
        <v>442</v>
      </c>
      <c r="B40" s="0" t="s">
        <v>258</v>
      </c>
      <c r="C40" s="17" t="n">
        <f aca="false">C193</f>
        <v>5.01</v>
      </c>
      <c r="D40" s="17" t="n">
        <f aca="false">D193</f>
        <v>6.91720659514496</v>
      </c>
      <c r="E40" s="17" t="n">
        <f aca="false">E193</f>
        <v>12.8084840893173</v>
      </c>
      <c r="F40" s="17" t="n">
        <f aca="false">F193</f>
        <v>10.8614617105727</v>
      </c>
      <c r="G40" s="17" t="n">
        <f aca="false">G193</f>
        <v>11.9991083134536</v>
      </c>
      <c r="H40" s="26" t="n">
        <f aca="false">H193</f>
        <v>10.7443722466818</v>
      </c>
      <c r="I40" s="26" t="n">
        <f aca="false">I193</f>
        <v>8.9563610774662</v>
      </c>
      <c r="J40" s="26" t="n">
        <f aca="false">J193</f>
        <v>6.76386450403741</v>
      </c>
    </row>
    <row r="41" customFormat="false" ht="17.15" hidden="false" customHeight="false" outlineLevel="0" collapsed="false">
      <c r="A41" s="0" t="s">
        <v>515</v>
      </c>
      <c r="B41" s="0" t="s">
        <v>54</v>
      </c>
      <c r="D41" s="13" t="n">
        <f aca="false">D194</f>
        <v>0.38067995911077</v>
      </c>
      <c r="E41" s="13" t="n">
        <f aca="false">E194</f>
        <v>0.851684478862804</v>
      </c>
      <c r="F41" s="13" t="n">
        <f aca="false">F194</f>
        <v>-0.152010367906735</v>
      </c>
      <c r="G41" s="13" t="n">
        <f aca="false">G194</f>
        <v>0.104741574678989</v>
      </c>
      <c r="H41" s="25" t="n">
        <f aca="false">H194</f>
        <v>-0.104569109136631</v>
      </c>
      <c r="I41" s="25" t="n">
        <f aca="false">I194</f>
        <v>-0.166413739971433</v>
      </c>
      <c r="J41" s="25" t="n">
        <f aca="false">J194</f>
        <v>-0.244797697911601</v>
      </c>
    </row>
    <row r="43" customFormat="false" ht="17.15" hidden="false" customHeight="false" outlineLevel="0" collapsed="false">
      <c r="A43" s="1" t="s">
        <v>518</v>
      </c>
    </row>
    <row r="44" customFormat="false" ht="17.15" hidden="false" customHeight="false" outlineLevel="0" collapsed="false">
      <c r="A44" s="3" t="s">
        <v>519</v>
      </c>
      <c r="D44" s="27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520</v>
      </c>
      <c r="D45" s="27" t="n">
        <f aca="false">D81-a26_ai</f>
        <v>0</v>
      </c>
    </row>
    <row r="46" customFormat="false" ht="17.15" hidden="false" customHeight="false" outlineLevel="0" collapsed="false">
      <c r="A46" s="3" t="s">
        <v>521</v>
      </c>
      <c r="D46" s="27" t="n">
        <f aca="false">D90*D81+D89*D80-a26_gp</f>
        <v>0</v>
      </c>
    </row>
    <row r="47" customFormat="false" ht="17.15" hidden="false" customHeight="false" outlineLevel="0" collapsed="false">
      <c r="A47" s="3" t="s">
        <v>522</v>
      </c>
      <c r="D47" s="27" t="n">
        <f aca="false">D79-D83</f>
        <v>0</v>
      </c>
    </row>
    <row r="60" customFormat="false" ht="17.15" hidden="false" customHeight="false" outlineLevel="0" collapsed="false">
      <c r="A60" s="1" t="s">
        <v>523</v>
      </c>
    </row>
    <row r="61" customFormat="false" ht="17.15" hidden="false" customHeight="false" outlineLevel="0" collapsed="false">
      <c r="A61" s="4" t="s">
        <v>23</v>
      </c>
      <c r="B61" s="4" t="s">
        <v>24</v>
      </c>
      <c r="C61" s="14" t="s">
        <v>409</v>
      </c>
      <c r="D61" s="14" t="s">
        <v>502</v>
      </c>
      <c r="E61" s="14" t="s">
        <v>503</v>
      </c>
      <c r="F61" s="14" t="s">
        <v>504</v>
      </c>
      <c r="G61" s="14" t="s">
        <v>505</v>
      </c>
      <c r="H61" s="14" t="s">
        <v>506</v>
      </c>
      <c r="I61" s="14" t="s">
        <v>507</v>
      </c>
      <c r="J61" s="14" t="s">
        <v>508</v>
      </c>
      <c r="K61" s="4" t="s">
        <v>391</v>
      </c>
    </row>
    <row r="62" customFormat="false" ht="17.15" hidden="false" customHeight="false" outlineLevel="0" collapsed="false">
      <c r="A62" s="5" t="s">
        <v>524</v>
      </c>
    </row>
    <row r="63" customFormat="false" ht="17.15" hidden="false" customHeight="false" outlineLevel="0" collapsed="false">
      <c r="A63" s="0" t="s">
        <v>525</v>
      </c>
      <c r="B63" s="0" t="s">
        <v>34</v>
      </c>
      <c r="D63" s="23" t="n">
        <f aca="false">itc_26*1</f>
        <v>781.872916666666</v>
      </c>
      <c r="E63" s="23" t="n">
        <f aca="false">itc_27*1*1</f>
        <v>1565.35</v>
      </c>
      <c r="F63" s="23" t="n">
        <f aca="false">itc_28*um28_A*1</f>
        <v>1984.26388888889</v>
      </c>
      <c r="G63" s="23" t="n">
        <f aca="false">itc_29*um29_A*1</f>
        <v>2260.39027777778</v>
      </c>
    </row>
    <row r="64" customFormat="false" ht="17.15" hidden="false" customHeight="false" outlineLevel="0" collapsed="false">
      <c r="A64" s="3" t="s">
        <v>526</v>
      </c>
      <c r="B64" s="0" t="s">
        <v>34</v>
      </c>
      <c r="D64" s="23" t="n">
        <f aca="false">itpg_gb*(1-vr26)+itpg_vr*vr26</f>
        <v>33.41403216</v>
      </c>
      <c r="E64" s="23" t="n">
        <f aca="false">itpg_vr</f>
        <v>37.586352</v>
      </c>
      <c r="F64" s="23" t="n">
        <f aca="false">itpg_vr</f>
        <v>37.586352</v>
      </c>
      <c r="G64" s="23" t="n">
        <f aca="false">itpg_vr</f>
        <v>37.586352</v>
      </c>
    </row>
    <row r="65" customFormat="false" ht="17.15" hidden="false" customHeight="false" outlineLevel="0" collapsed="false">
      <c r="A65" s="3" t="s">
        <v>527</v>
      </c>
      <c r="B65" s="0" t="s">
        <v>468</v>
      </c>
      <c r="D65" s="20" t="n">
        <f aca="false">D63/D64</f>
        <v>23.3995380420639</v>
      </c>
      <c r="E65" s="20" t="n">
        <f aca="false">E63/E64</f>
        <v>41.6467658260637</v>
      </c>
      <c r="F65" s="20" t="n">
        <f aca="false">F63/F64</f>
        <v>52.792138191248</v>
      </c>
      <c r="G65" s="20" t="n">
        <f aca="false">G63/G64</f>
        <v>60.1385917361116</v>
      </c>
    </row>
    <row r="66" customFormat="false" ht="17.15" hidden="false" customHeight="false" outlineLevel="0" collapsed="false">
      <c r="A66" s="3" t="s">
        <v>470</v>
      </c>
      <c r="B66" s="0" t="s">
        <v>95</v>
      </c>
      <c r="D66" s="21" t="n">
        <f aca="false">cmp_26</f>
        <v>280</v>
      </c>
      <c r="E66" s="21" t="n">
        <f aca="false">cmp_26*cmpx_27</f>
        <v>420</v>
      </c>
      <c r="F66" s="21" t="n">
        <f aca="false">cmp_26*cmpx_28</f>
        <v>462</v>
      </c>
      <c r="G66" s="21" t="n">
        <f aca="false">cmp_26*cmpx_29</f>
        <v>504</v>
      </c>
    </row>
    <row r="67" customFormat="false" ht="17.15" hidden="false" customHeight="false" outlineLevel="0" collapsed="false">
      <c r="A67" s="3" t="s">
        <v>472</v>
      </c>
      <c r="B67" s="0" t="s">
        <v>95</v>
      </c>
      <c r="D67" s="21" t="n">
        <f aca="false">sw_26</f>
        <v>120</v>
      </c>
      <c r="E67" s="21" t="n">
        <f aca="false">sw_26*swx_27</f>
        <v>162</v>
      </c>
      <c r="F67" s="21" t="n">
        <f aca="false">sw_26*swx_28</f>
        <v>180</v>
      </c>
      <c r="G67" s="21" t="n">
        <f aca="false">sw_26*swx_29</f>
        <v>198</v>
      </c>
    </row>
    <row r="68" customFormat="false" ht="17.15" hidden="false" customHeight="false" outlineLevel="0" collapsed="false">
      <c r="A68" s="3" t="s">
        <v>473</v>
      </c>
      <c r="B68" s="0" t="s">
        <v>95</v>
      </c>
      <c r="D68" s="21" t="n">
        <f aca="false">mid_26</f>
        <v>50</v>
      </c>
      <c r="E68" s="21" t="n">
        <f aca="false">mid_26*midx_27</f>
        <v>100</v>
      </c>
      <c r="F68" s="21" t="n">
        <f aca="false">mid_26*midx_28</f>
        <v>150</v>
      </c>
      <c r="G68" s="21" t="n">
        <f aca="false">mid_26*midx_29</f>
        <v>175</v>
      </c>
    </row>
    <row r="69" customFormat="false" ht="17.15" hidden="false" customHeight="false" outlineLevel="0" collapsed="false">
      <c r="A69" s="3" t="s">
        <v>528</v>
      </c>
      <c r="B69" s="0" t="s">
        <v>95</v>
      </c>
      <c r="D69" s="21" t="n">
        <f aca="false">D66+D67+D68</f>
        <v>450</v>
      </c>
      <c r="E69" s="21" t="n">
        <f aca="false">E66+E67+E68</f>
        <v>682</v>
      </c>
      <c r="F69" s="21" t="n">
        <f aca="false">F66+F67+F68</f>
        <v>792</v>
      </c>
      <c r="G69" s="21" t="n">
        <f aca="false">G66+G67+G68</f>
        <v>877</v>
      </c>
    </row>
    <row r="70" customFormat="false" ht="17.15" hidden="false" customHeight="false" outlineLevel="0" collapsed="false">
      <c r="A70" s="0" t="s">
        <v>529</v>
      </c>
      <c r="B70" s="0" t="s">
        <v>34</v>
      </c>
      <c r="D70" s="23" t="n">
        <f aca="false">D65*D69/1000</f>
        <v>10.5297921189287</v>
      </c>
      <c r="E70" s="23" t="n">
        <f aca="false">E65*E69/1000</f>
        <v>28.4030942933754</v>
      </c>
      <c r="F70" s="23" t="n">
        <f aca="false">F65*F69/1000</f>
        <v>41.8113734474684</v>
      </c>
      <c r="G70" s="23" t="n">
        <f aca="false">G65*G69/1000</f>
        <v>52.7415449525698</v>
      </c>
    </row>
    <row r="71" customFormat="false" ht="17.15" hidden="false" customHeight="false" outlineLevel="0" collapsed="false">
      <c r="A71" s="0" t="s">
        <v>530</v>
      </c>
      <c r="B71" s="0" t="s">
        <v>194</v>
      </c>
      <c r="D71" s="22" t="n">
        <f aca="false">D70*fx</f>
        <v>70.7602030392012</v>
      </c>
      <c r="E71" s="22" t="n">
        <f aca="false">E70*fx</f>
        <v>190.868793651483</v>
      </c>
      <c r="F71" s="22" t="n">
        <f aca="false">F70*fx</f>
        <v>280.972429566988</v>
      </c>
      <c r="G71" s="22" t="n">
        <f aca="false">G70*fx</f>
        <v>354.423182081269</v>
      </c>
    </row>
    <row r="72" customFormat="false" ht="17.15" hidden="false" customHeight="false" outlineLevel="0" collapsed="false">
      <c r="A72" s="0" t="s">
        <v>531</v>
      </c>
      <c r="B72" s="0" t="s">
        <v>67</v>
      </c>
      <c r="D72" s="17" t="n">
        <f aca="false">1</f>
        <v>1</v>
      </c>
      <c r="E72" s="17" t="n">
        <f aca="false">pp_27</f>
        <v>1</v>
      </c>
      <c r="F72" s="17" t="n">
        <f aca="false">pp_28</f>
        <v>0.97</v>
      </c>
      <c r="G72" s="17" t="n">
        <f aca="false">pp_29</f>
        <v>0.94</v>
      </c>
    </row>
    <row r="73" customFormat="false" ht="17.15" hidden="false" customHeight="false" outlineLevel="0" collapsed="false">
      <c r="A73" s="3" t="s">
        <v>532</v>
      </c>
      <c r="B73" s="0" t="s">
        <v>54</v>
      </c>
      <c r="D73" s="13" t="n">
        <f aca="false">a26_ai/D71</f>
        <v>0.247531793970355</v>
      </c>
      <c r="K73" s="7" t="s">
        <v>533</v>
      </c>
    </row>
    <row r="74" customFormat="false" ht="17.15" hidden="false" customHeight="false" outlineLevel="0" collapsed="false">
      <c r="A74" s="3" t="s">
        <v>534</v>
      </c>
      <c r="B74" s="0" t="s">
        <v>67</v>
      </c>
      <c r="D74" s="17" t="n">
        <f aca="false">1</f>
        <v>1</v>
      </c>
      <c r="E74" s="17" t="n">
        <f aca="false">rel_27</f>
        <v>0.9</v>
      </c>
      <c r="F74" s="17" t="n">
        <f aca="false">rel_28</f>
        <v>0.8</v>
      </c>
      <c r="G74" s="17" t="n">
        <f aca="false">rel_29</f>
        <v>0.75</v>
      </c>
    </row>
    <row r="75" customFormat="false" ht="15" hidden="false" customHeight="false" outlineLevel="0" collapsed="false">
      <c r="A75" s="3" t="s">
        <v>485</v>
      </c>
      <c r="B75" s="0" t="s">
        <v>54</v>
      </c>
      <c r="D75" s="13" t="n">
        <f aca="false">$D$73*D74</f>
        <v>0.247531793970355</v>
      </c>
      <c r="E75" s="13" t="n">
        <f aca="false">$D$73*E74</f>
        <v>0.222778614573319</v>
      </c>
      <c r="F75" s="13" t="n">
        <f aca="false">$D$73*F74</f>
        <v>0.198025435176284</v>
      </c>
      <c r="G75" s="13" t="n">
        <f aca="false">$D$73*G74</f>
        <v>0.185648845477766</v>
      </c>
    </row>
    <row r="76" customFormat="false" ht="17.15" hidden="false" customHeight="false" outlineLevel="0" collapsed="false">
      <c r="A76" s="0" t="s">
        <v>535</v>
      </c>
      <c r="B76" s="0" t="s">
        <v>194</v>
      </c>
      <c r="D76" s="22" t="n">
        <f aca="false">D71*D75*D72</f>
        <v>17.5154</v>
      </c>
      <c r="E76" s="22" t="n">
        <f aca="false">E71*E75*E72</f>
        <v>42.5214854149581</v>
      </c>
      <c r="F76" s="22" t="n">
        <f aca="false">F71*F75*F72</f>
        <v>53.9704970084142</v>
      </c>
      <c r="G76" s="22" t="n">
        <f aca="false">G71*G75*G72</f>
        <v>61.850359290107</v>
      </c>
    </row>
    <row r="77" customFormat="false" ht="17.15" hidden="false" customHeight="false" outlineLevel="0" collapsed="false">
      <c r="A77" s="5" t="s">
        <v>536</v>
      </c>
    </row>
    <row r="78" customFormat="false" ht="17.15" hidden="false" customHeight="false" outlineLevel="0" collapsed="false">
      <c r="A78" s="3" t="s">
        <v>537</v>
      </c>
      <c r="B78" s="0" t="s">
        <v>67</v>
      </c>
      <c r="D78" s="17" t="n">
        <f aca="false">1</f>
        <v>1</v>
      </c>
      <c r="E78" s="17" t="n">
        <f aca="false">cx_27</f>
        <v>1.7</v>
      </c>
      <c r="F78" s="17" t="n">
        <f aca="false">cx_28</f>
        <v>2.4</v>
      </c>
      <c r="G78" s="17" t="n">
        <f aca="false">cx_29</f>
        <v>3</v>
      </c>
      <c r="K78" s="7" t="s">
        <v>538</v>
      </c>
    </row>
    <row r="79" customFormat="false" ht="17.15" hidden="false" customHeight="false" outlineLevel="0" collapsed="false">
      <c r="A79" s="3" t="s">
        <v>539</v>
      </c>
      <c r="B79" s="0" t="s">
        <v>194</v>
      </c>
      <c r="D79" s="22" t="n">
        <f aca="false">a26_rev*D78*D72</f>
        <v>28.126</v>
      </c>
      <c r="E79" s="22" t="n">
        <f aca="false">a26_rev*E78*E72</f>
        <v>47.8142</v>
      </c>
      <c r="F79" s="22" t="n">
        <f aca="false">a26_rev*F78*F72</f>
        <v>65.477328</v>
      </c>
      <c r="G79" s="22" t="n">
        <f aca="false">a26_rev*G78*G72</f>
        <v>79.31532</v>
      </c>
    </row>
    <row r="80" customFormat="false" ht="17.15" hidden="false" customHeight="false" outlineLevel="0" collapsed="false">
      <c r="A80" s="3" t="s">
        <v>540</v>
      </c>
      <c r="B80" s="0" t="s">
        <v>194</v>
      </c>
      <c r="C80" s="22" t="n">
        <f aca="false">a25_nai</f>
        <v>10.6106</v>
      </c>
      <c r="D80" s="22" t="n">
        <f aca="false">a26_nai</f>
        <v>10.6106</v>
      </c>
      <c r="E80" s="22" t="n">
        <f aca="false">D80*(1+g_nai27)</f>
        <v>10.6106</v>
      </c>
      <c r="F80" s="22" t="n">
        <f aca="false">E80*(1+g_nai28)</f>
        <v>10.6106</v>
      </c>
      <c r="G80" s="22" t="n">
        <f aca="false">F80*(1+g_nai29)</f>
        <v>10.6106</v>
      </c>
    </row>
    <row r="81" customFormat="false" ht="17.15" hidden="false" customHeight="false" outlineLevel="0" collapsed="false">
      <c r="A81" s="0" t="s">
        <v>541</v>
      </c>
      <c r="B81" s="0" t="s">
        <v>194</v>
      </c>
      <c r="C81" s="22" t="n">
        <f aca="false">a25_ai</f>
        <v>8.6814</v>
      </c>
      <c r="D81" s="22" t="n">
        <f aca="false">D76</f>
        <v>17.5154</v>
      </c>
      <c r="E81" s="22" t="n">
        <f aca="false">MIN(E76,E79-E80)</f>
        <v>37.2036</v>
      </c>
      <c r="F81" s="22" t="n">
        <f aca="false">MIN(F76,F79-F80)</f>
        <v>53.9704970084142</v>
      </c>
      <c r="G81" s="22" t="n">
        <f aca="false">MIN(G76,G79-G80)</f>
        <v>61.850359290107</v>
      </c>
      <c r="K81" s="3" t="s">
        <v>542</v>
      </c>
    </row>
    <row r="82" customFormat="false" ht="15" hidden="false" customHeight="false" outlineLevel="0" collapsed="false">
      <c r="A82" s="3" t="s">
        <v>543</v>
      </c>
      <c r="E82" s="0" t="str">
        <f aca="false">IF(E76&gt;E79-E80+0.0001,"受限","未受限")</f>
        <v>受限</v>
      </c>
      <c r="F82" s="0" t="str">
        <f aca="false">IF(F76&gt;F79-F80+0.0001,"受限","未受限")</f>
        <v>未受限</v>
      </c>
      <c r="G82" s="0" t="str">
        <f aca="false">IF(G76&gt;G79-G80+0.0001,"受限","未受限")</f>
        <v>未受限</v>
      </c>
    </row>
    <row r="83" customFormat="false" ht="17.15" hidden="false" customHeight="false" outlineLevel="0" collapsed="false">
      <c r="A83" s="3" t="s">
        <v>414</v>
      </c>
      <c r="B83" s="0" t="s">
        <v>194</v>
      </c>
      <c r="C83" s="22" t="n">
        <f aca="false">C81+C80</f>
        <v>19.292</v>
      </c>
      <c r="D83" s="22" t="n">
        <f aca="false">D81+D80</f>
        <v>28.126</v>
      </c>
      <c r="E83" s="22" t="n">
        <f aca="false">E81+E80</f>
        <v>47.8142</v>
      </c>
      <c r="F83" s="22" t="n">
        <f aca="false">F81+F80</f>
        <v>64.5810970084142</v>
      </c>
      <c r="G83" s="22" t="n">
        <f aca="false">G81+G80</f>
        <v>72.460959290107</v>
      </c>
      <c r="H83" s="24" t="n">
        <f aca="false">G83*(1+H84)</f>
        <v>79.8043942392926</v>
      </c>
      <c r="I83" s="24" t="n">
        <f aca="false">H83*(1+I84)</f>
        <v>86.2423476187719</v>
      </c>
      <c r="J83" s="24" t="n">
        <f aca="false">I83*(1+J84)</f>
        <v>91.4168884758983</v>
      </c>
      <c r="K83" s="7" t="s">
        <v>544</v>
      </c>
    </row>
    <row r="84" customFormat="false" ht="15" hidden="false" customHeight="false" outlineLevel="0" collapsed="false">
      <c r="A84" s="3" t="s">
        <v>545</v>
      </c>
      <c r="B84" s="0" t="s">
        <v>54</v>
      </c>
      <c r="D84" s="13" t="n">
        <f aca="false">D83/C83-1</f>
        <v>0.457910014513788</v>
      </c>
      <c r="E84" s="13" t="n">
        <f aca="false">E83/D83-1</f>
        <v>0.7</v>
      </c>
      <c r="F84" s="13" t="n">
        <f aca="false">F83/E83-1</f>
        <v>0.350667730682815</v>
      </c>
      <c r="G84" s="13" t="n">
        <f aca="false">G83/F83-1</f>
        <v>0.122014995822479</v>
      </c>
      <c r="H84" s="25" t="n">
        <f aca="false">$G84+(fade_gA-$G84)*1/3</f>
        <v>0.101343330548319</v>
      </c>
      <c r="I84" s="25" t="n">
        <f aca="false">$G84+(fade_gA-$G84)*2/3</f>
        <v>0.0806716652741597</v>
      </c>
      <c r="J84" s="25" t="n">
        <f aca="false">$G84+(fade_gA-$G84)*3/3</f>
        <v>0.06</v>
      </c>
    </row>
    <row r="85" customFormat="false" ht="17.15" hidden="false" customHeight="false" outlineLevel="0" collapsed="false">
      <c r="A85" s="0" t="s">
        <v>546</v>
      </c>
      <c r="B85" s="0" t="s">
        <v>54</v>
      </c>
      <c r="C85" s="13" t="n">
        <f aca="false">C81/C83</f>
        <v>0.45</v>
      </c>
      <c r="D85" s="13" t="n">
        <f aca="false">D81/D83</f>
        <v>0.622747635639622</v>
      </c>
      <c r="E85" s="13" t="n">
        <f aca="false">E81/E83</f>
        <v>0.778086844493895</v>
      </c>
      <c r="F85" s="13" t="n">
        <f aca="false">F81/F83</f>
        <v>0.835701149538888</v>
      </c>
      <c r="G85" s="13" t="n">
        <f aca="false">G81/G83</f>
        <v>0.853568044034318</v>
      </c>
    </row>
    <row r="86" customFormat="false" ht="17.15" hidden="false" customHeight="false" outlineLevel="0" collapsed="false">
      <c r="A86" s="3" t="s">
        <v>547</v>
      </c>
      <c r="B86" s="0" t="s">
        <v>54</v>
      </c>
      <c r="D86" s="13" t="n">
        <f aca="false">(D76+D80)/D79</f>
        <v>1</v>
      </c>
      <c r="E86" s="13" t="n">
        <f aca="false">(E76+E80)/E79</f>
        <v>1.11121979275943</v>
      </c>
      <c r="F86" s="13" t="n">
        <f aca="false">(F76+F80)/F79</f>
        <v>0.986312346288997</v>
      </c>
      <c r="G86" s="13" t="n">
        <f aca="false">(G76+G80)/G79</f>
        <v>0.913580873028149</v>
      </c>
      <c r="K86" s="3" t="s">
        <v>548</v>
      </c>
    </row>
    <row r="87" customFormat="false" ht="17.15" hidden="false" customHeight="false" outlineLevel="0" collapsed="false">
      <c r="A87" s="3" t="s">
        <v>489</v>
      </c>
      <c r="B87" s="0" t="s">
        <v>95</v>
      </c>
      <c r="D87" s="21" t="n">
        <f aca="false">D81/fx/D65*1000</f>
        <v>111.38930728666</v>
      </c>
      <c r="E87" s="21" t="n">
        <f aca="false">E81/fx/E65*1000</f>
        <v>132.933491717507</v>
      </c>
      <c r="F87" s="21" t="n">
        <f aca="false">F81/fx/F65*1000</f>
        <v>152.131060319828</v>
      </c>
      <c r="G87" s="21" t="n">
        <f aca="false">G81/fx/G65*1000</f>
        <v>153.045195234961</v>
      </c>
    </row>
    <row r="88" customFormat="false" ht="17.15" hidden="false" customHeight="false" outlineLevel="0" collapsed="false">
      <c r="A88" s="5" t="s">
        <v>549</v>
      </c>
    </row>
    <row r="89" customFormat="false" ht="17.15" hidden="false" customHeight="false" outlineLevel="0" collapsed="false">
      <c r="A89" s="3" t="s">
        <v>550</v>
      </c>
      <c r="B89" s="0" t="s">
        <v>54</v>
      </c>
      <c r="D89" s="13" t="n">
        <f aca="false">a26_gp/D83-d_ai*D85</f>
        <v>0.237492000284434</v>
      </c>
      <c r="K89" s="7" t="s">
        <v>551</v>
      </c>
    </row>
    <row r="90" customFormat="false" ht="17.15" hidden="false" customHeight="false" outlineLevel="0" collapsed="false">
      <c r="A90" s="0" t="s">
        <v>552</v>
      </c>
      <c r="B90" s="0" t="s">
        <v>54</v>
      </c>
      <c r="D90" s="13" t="n">
        <f aca="false">D89+d_ai</f>
        <v>0.387492000284434</v>
      </c>
      <c r="E90" s="13" t="n">
        <f aca="false">1-(1-$D$90)/E72+gmu_27</f>
        <v>0.397492000284434</v>
      </c>
      <c r="F90" s="13" t="n">
        <f aca="false">1-(1-$D$90)/F72+gmu_28</f>
        <v>0.388548453901479</v>
      </c>
      <c r="G90" s="13" t="n">
        <f aca="false">1-(1-$D$90)/G72+gmu_29</f>
        <v>0.378395744983441</v>
      </c>
      <c r="K90" s="7" t="s">
        <v>553</v>
      </c>
    </row>
    <row r="91" customFormat="false" ht="15" hidden="false" customHeight="false" outlineLevel="0" collapsed="false">
      <c r="A91" s="3" t="s">
        <v>418</v>
      </c>
      <c r="B91" s="0" t="s">
        <v>194</v>
      </c>
      <c r="C91" s="22" t="n">
        <f aca="false">a25_gp</f>
        <v>6.7946424</v>
      </c>
      <c r="D91" s="22" t="n">
        <f aca="false">a26_gp</f>
        <v>9.30701</v>
      </c>
      <c r="E91" s="22" t="n">
        <f aca="false">E81*E90+E80*$D$89</f>
        <v>17.308066</v>
      </c>
      <c r="F91" s="22" t="n">
        <f aca="false">F81*F90+F80*$D$89</f>
        <v>23.4900857871317</v>
      </c>
      <c r="G91" s="22" t="n">
        <f aca="false">G81*G90+G80*$D$89</f>
        <v>25.9238453992915</v>
      </c>
    </row>
    <row r="92" customFormat="false" ht="15" hidden="false" customHeight="false" outlineLevel="0" collapsed="false">
      <c r="A92" s="3" t="s">
        <v>421</v>
      </c>
      <c r="B92" s="0" t="s">
        <v>54</v>
      </c>
      <c r="C92" s="13" t="n">
        <f aca="false">C91/C83</f>
        <v>0.3522</v>
      </c>
      <c r="D92" s="13" t="n">
        <f aca="false">D91/D83</f>
        <v>0.330904145630378</v>
      </c>
      <c r="E92" s="13" t="n">
        <f aca="false">E91/E83</f>
        <v>0.361985895403458</v>
      </c>
      <c r="F92" s="13" t="n">
        <f aca="false">F91/F83</f>
        <v>0.363730052217466</v>
      </c>
      <c r="G92" s="13" t="n">
        <f aca="false">G91/G83</f>
        <v>0.357762934044276</v>
      </c>
    </row>
    <row r="93" customFormat="false" ht="17.15" hidden="false" customHeight="false" outlineLevel="0" collapsed="false">
      <c r="A93" s="3" t="s">
        <v>554</v>
      </c>
      <c r="B93" s="0" t="s">
        <v>194</v>
      </c>
      <c r="C93" s="22" t="n">
        <f aca="false">a25_opx</f>
        <v>1.6466424</v>
      </c>
      <c r="D93" s="22" t="n">
        <f aca="false">a26_opx</f>
        <v>1.827905</v>
      </c>
      <c r="E93" s="22" t="n">
        <f aca="false">D93*(1+MAX(0,phi*E84))</f>
        <v>2.5956251</v>
      </c>
      <c r="F93" s="22" t="n">
        <f aca="false">E93*(1+MAX(0,phi*F84))</f>
        <v>3.14174627811221</v>
      </c>
      <c r="G93" s="22" t="n">
        <f aca="false">F93*(1+MAX(0,phi*G84))</f>
        <v>3.3717503735117</v>
      </c>
      <c r="K93" s="7" t="s">
        <v>555</v>
      </c>
    </row>
    <row r="94" customFormat="false" ht="15" hidden="false" customHeight="false" outlineLevel="0" collapsed="false">
      <c r="A94" s="3" t="s">
        <v>423</v>
      </c>
      <c r="B94" s="0" t="s">
        <v>194</v>
      </c>
      <c r="C94" s="22" t="n">
        <f aca="false">C93</f>
        <v>1.6466424</v>
      </c>
      <c r="D94" s="22" t="n">
        <f aca="false">D93</f>
        <v>1.827905</v>
      </c>
      <c r="E94" s="22" t="n">
        <f aca="false">E93+0*E83</f>
        <v>2.5956251</v>
      </c>
      <c r="F94" s="22" t="n">
        <f aca="false">F93+0*F83</f>
        <v>3.14174627811221</v>
      </c>
      <c r="G94" s="22" t="n">
        <f aca="false">G93+0*G83</f>
        <v>3.3717503735117</v>
      </c>
    </row>
    <row r="95" customFormat="false" ht="15" hidden="false" customHeight="false" outlineLevel="0" collapsed="false">
      <c r="A95" s="3" t="s">
        <v>556</v>
      </c>
      <c r="B95" s="0" t="s">
        <v>194</v>
      </c>
      <c r="C95" s="22" t="n">
        <f aca="false">C91-C94</f>
        <v>5.148</v>
      </c>
      <c r="D95" s="22" t="n">
        <f aca="false">D91-D94</f>
        <v>7.479105</v>
      </c>
      <c r="E95" s="22" t="n">
        <f aca="false">E91-E94</f>
        <v>14.7124409</v>
      </c>
      <c r="F95" s="22" t="n">
        <f aca="false">F91-F94</f>
        <v>20.3483395090195</v>
      </c>
      <c r="G95" s="22" t="n">
        <f aca="false">G91-G94</f>
        <v>22.5520950257798</v>
      </c>
    </row>
    <row r="96" customFormat="false" ht="15" hidden="false" customHeight="false" outlineLevel="0" collapsed="false">
      <c r="A96" s="3" t="s">
        <v>429</v>
      </c>
      <c r="B96" s="0" t="s">
        <v>54</v>
      </c>
      <c r="C96" s="13" t="n">
        <f aca="false">C95/C83</f>
        <v>0.266846361185984</v>
      </c>
      <c r="D96" s="13" t="n">
        <f aca="false">D95/D83</f>
        <v>0.265914278603427</v>
      </c>
      <c r="E96" s="13" t="n">
        <f aca="false">E95/E83</f>
        <v>0.307700241769182</v>
      </c>
      <c r="F96" s="13" t="n">
        <f aca="false">F95/F83</f>
        <v>0.315081973698408</v>
      </c>
      <c r="G96" s="13" t="n">
        <f aca="false">G95/G83</f>
        <v>0.311230975227495</v>
      </c>
    </row>
    <row r="97" customFormat="false" ht="17.15" hidden="false" customHeight="false" outlineLevel="0" collapsed="false">
      <c r="A97" s="3" t="s">
        <v>430</v>
      </c>
      <c r="B97" s="0" t="s">
        <v>194</v>
      </c>
      <c r="E97" s="22" t="n">
        <f aca="false">nop_f</f>
        <v>-0.2</v>
      </c>
      <c r="F97" s="22" t="n">
        <f aca="false">nop_f</f>
        <v>-0.2</v>
      </c>
      <c r="G97" s="22" t="n">
        <f aca="false">nop_f</f>
        <v>-0.2</v>
      </c>
      <c r="K97" s="7" t="s">
        <v>557</v>
      </c>
    </row>
    <row r="98" customFormat="false" ht="15" hidden="false" customHeight="false" outlineLevel="0" collapsed="false">
      <c r="A98" s="3" t="s">
        <v>436</v>
      </c>
      <c r="B98" s="0" t="s">
        <v>194</v>
      </c>
      <c r="C98" s="22" t="n">
        <f aca="false">a25_ni</f>
        <v>4.312</v>
      </c>
      <c r="D98" s="22" t="n">
        <f aca="false">a26_ni</f>
        <v>6.5441924845173</v>
      </c>
      <c r="E98" s="22" t="n">
        <f aca="false">(E95+E97)*nir_f</f>
        <v>12.5822862603</v>
      </c>
      <c r="F98" s="22" t="n">
        <f aca="false">(F95+F97)*nir_f</f>
        <v>17.4686103543199</v>
      </c>
      <c r="G98" s="22" t="n">
        <f aca="false">(G95+G97)*nir_f</f>
        <v>19.3792663873511</v>
      </c>
      <c r="H98" s="24" t="n">
        <f aca="false">H83*H103</f>
        <v>21.3432257866284</v>
      </c>
      <c r="I98" s="24" t="n">
        <f aca="false">I83*I103</f>
        <v>23.0650193531581</v>
      </c>
      <c r="J98" s="24" t="n">
        <f aca="false">J83*J103</f>
        <v>24.4489205143476</v>
      </c>
    </row>
    <row r="99" customFormat="false" ht="17.15" hidden="false" customHeight="false" outlineLevel="0" collapsed="false">
      <c r="A99" s="3" t="s">
        <v>439</v>
      </c>
      <c r="B99" s="0" t="s">
        <v>54</v>
      </c>
      <c r="C99" s="13" t="n">
        <f aca="false">C98/C95</f>
        <v>0.837606837606838</v>
      </c>
      <c r="D99" s="13" t="n">
        <f aca="false">D98/D95</f>
        <v>0.874996738850077</v>
      </c>
      <c r="E99" s="13" t="n">
        <f aca="false">E98/E95</f>
        <v>0.85521405630931</v>
      </c>
      <c r="F99" s="13" t="n">
        <f aca="false">F98/F95</f>
        <v>0.858478420147102</v>
      </c>
      <c r="G99" s="13" t="n">
        <f aca="false">G98/G95</f>
        <v>0.859311135626123</v>
      </c>
    </row>
    <row r="100" customFormat="false" ht="17.15" hidden="false" customHeight="false" outlineLevel="0" collapsed="false">
      <c r="A100" s="3" t="s">
        <v>558</v>
      </c>
      <c r="B100" s="3" t="s">
        <v>222</v>
      </c>
      <c r="C100" s="27" t="n">
        <f aca="false">a25_sh</f>
        <v>0.860678642714571</v>
      </c>
      <c r="D100" s="27" t="n">
        <f aca="false">a26_sh</f>
        <v>0.946074458598726</v>
      </c>
      <c r="E100" s="27" t="n">
        <f aca="false">sh_h2*(1+sh_g)</f>
        <v>0.98234</v>
      </c>
      <c r="F100" s="27" t="n">
        <f aca="false">E100*(1+sh_g)</f>
        <v>0.98234</v>
      </c>
      <c r="G100" s="27" t="n">
        <f aca="false">F100*(1+sh_g)</f>
        <v>0.98234</v>
      </c>
      <c r="H100" s="28" t="n">
        <f aca="false">G100*(1+sh_g)</f>
        <v>0.98234</v>
      </c>
      <c r="I100" s="28" t="n">
        <f aca="false">H100*(1+sh_g)</f>
        <v>0.98234</v>
      </c>
      <c r="J100" s="28" t="n">
        <f aca="false">I100*(1+sh_g)</f>
        <v>0.98234</v>
      </c>
      <c r="K100" s="7" t="s">
        <v>559</v>
      </c>
    </row>
    <row r="101" customFormat="false" ht="15" hidden="false" customHeight="false" outlineLevel="0" collapsed="false">
      <c r="A101" s="0" t="s">
        <v>442</v>
      </c>
      <c r="B101" s="0" t="s">
        <v>258</v>
      </c>
      <c r="C101" s="23" t="n">
        <f aca="false">C98/C100</f>
        <v>5.01</v>
      </c>
      <c r="D101" s="23" t="n">
        <f aca="false">D98/D100</f>
        <v>6.91720659514496</v>
      </c>
      <c r="E101" s="23" t="n">
        <f aca="false">E98/E100</f>
        <v>12.8084840893173</v>
      </c>
      <c r="F101" s="23" t="n">
        <f aca="false">F98/F100</f>
        <v>17.7826519884357</v>
      </c>
      <c r="G101" s="23" t="n">
        <f aca="false">G98/G100</f>
        <v>19.7276568065549</v>
      </c>
      <c r="H101" s="29" t="n">
        <f aca="false">H98/H100</f>
        <v>21.7269232512454</v>
      </c>
      <c r="I101" s="29" t="n">
        <f aca="false">I98/I100</f>
        <v>23.4796703312072</v>
      </c>
      <c r="J101" s="29" t="n">
        <f aca="false">J98/J100</f>
        <v>24.8884505510796</v>
      </c>
    </row>
    <row r="102" customFormat="false" ht="17.15" hidden="false" customHeight="false" outlineLevel="0" collapsed="false">
      <c r="A102" s="0" t="s">
        <v>560</v>
      </c>
      <c r="B102" s="0" t="s">
        <v>54</v>
      </c>
      <c r="D102" s="13" t="n">
        <f aca="false">D101/C101-1</f>
        <v>0.38067995911077</v>
      </c>
      <c r="E102" s="13" t="n">
        <f aca="false">E101/D101-1</f>
        <v>0.851684478862804</v>
      </c>
      <c r="F102" s="13" t="n">
        <f aca="false">F101/E101-1</f>
        <v>0.38834946153128</v>
      </c>
      <c r="G102" s="13" t="n">
        <f aca="false">G101/F101-1</f>
        <v>0.109376532779477</v>
      </c>
      <c r="H102" s="25" t="n">
        <f aca="false">H101/G101-1</f>
        <v>0.10134333054832</v>
      </c>
      <c r="I102" s="25" t="n">
        <f aca="false">I101/H101-1</f>
        <v>0.0806716652741597</v>
      </c>
      <c r="J102" s="25" t="n">
        <f aca="false">J101/I101-1</f>
        <v>0.0599999999999998</v>
      </c>
    </row>
    <row r="103" customFormat="false" ht="17.15" hidden="false" customHeight="false" outlineLevel="0" collapsed="false">
      <c r="A103" s="3" t="s">
        <v>561</v>
      </c>
      <c r="B103" s="0" t="s">
        <v>54</v>
      </c>
      <c r="C103" s="13" t="n">
        <f aca="false">C98/C83</f>
        <v>0.223512336719884</v>
      </c>
      <c r="D103" s="13" t="n">
        <f aca="false">D98/D83</f>
        <v>0.23267412659167</v>
      </c>
      <c r="E103" s="13" t="n">
        <f aca="false">E98/E83</f>
        <v>0.263149571890777</v>
      </c>
      <c r="F103" s="13" t="n">
        <f aca="false">F98/F83</f>
        <v>0.27049107499744</v>
      </c>
      <c r="G103" s="13" t="n">
        <f aca="false">G98/G83</f>
        <v>0.267444242764765</v>
      </c>
      <c r="H103" s="25" t="n">
        <f aca="false">$G103+(fade_mA-$G103)*1/3</f>
        <v>0.267444242764765</v>
      </c>
      <c r="I103" s="25" t="n">
        <f aca="false">$G103+(fade_mA-$G103)*2/3</f>
        <v>0.267444242764765</v>
      </c>
      <c r="J103" s="25" t="n">
        <f aca="false">$G103+(fade_mA-$G103)*3/3</f>
        <v>0.267444242764765</v>
      </c>
    </row>
    <row r="106" customFormat="false" ht="17.15" hidden="false" customHeight="false" outlineLevel="0" collapsed="false">
      <c r="A106" s="1" t="s">
        <v>562</v>
      </c>
    </row>
    <row r="107" customFormat="false" ht="17.15" hidden="false" customHeight="false" outlineLevel="0" collapsed="false">
      <c r="A107" s="4" t="s">
        <v>23</v>
      </c>
      <c r="B107" s="4" t="s">
        <v>24</v>
      </c>
      <c r="C107" s="14" t="s">
        <v>409</v>
      </c>
      <c r="D107" s="14" t="s">
        <v>502</v>
      </c>
      <c r="E107" s="14" t="s">
        <v>503</v>
      </c>
      <c r="F107" s="14" t="s">
        <v>504</v>
      </c>
      <c r="G107" s="14" t="s">
        <v>505</v>
      </c>
      <c r="H107" s="14" t="s">
        <v>506</v>
      </c>
      <c r="I107" s="14" t="s">
        <v>507</v>
      </c>
      <c r="J107" s="14" t="s">
        <v>508</v>
      </c>
      <c r="K107" s="4" t="s">
        <v>391</v>
      </c>
    </row>
    <row r="108" customFormat="false" ht="17.15" hidden="false" customHeight="false" outlineLevel="0" collapsed="false">
      <c r="A108" s="5" t="s">
        <v>524</v>
      </c>
    </row>
    <row r="109" customFormat="false" ht="17.15" hidden="false" customHeight="false" outlineLevel="0" collapsed="false">
      <c r="A109" s="0" t="s">
        <v>525</v>
      </c>
      <c r="B109" s="0" t="s">
        <v>34</v>
      </c>
      <c r="D109" s="23" t="n">
        <f aca="false">itc_26*1</f>
        <v>781.872916666666</v>
      </c>
      <c r="E109" s="23" t="n">
        <f aca="false">itc_27*1*1</f>
        <v>1565.35</v>
      </c>
      <c r="F109" s="23" t="n">
        <f aca="false">itc_28*um28_B*1</f>
        <v>1587.41111111111</v>
      </c>
      <c r="G109" s="23" t="n">
        <f aca="false">itc_29*um29_B*1</f>
        <v>1921.33173611111</v>
      </c>
    </row>
    <row r="110" customFormat="false" ht="17.15" hidden="false" customHeight="false" outlineLevel="0" collapsed="false">
      <c r="A110" s="3" t="s">
        <v>526</v>
      </c>
      <c r="B110" s="0" t="s">
        <v>34</v>
      </c>
      <c r="D110" s="23" t="n">
        <f aca="false">itpg_gb*(1-vr26)+itpg_vr*vr26</f>
        <v>33.41403216</v>
      </c>
      <c r="E110" s="23" t="n">
        <f aca="false">itpg_vr</f>
        <v>37.586352</v>
      </c>
      <c r="F110" s="23" t="n">
        <f aca="false">itpg_vr</f>
        <v>37.586352</v>
      </c>
      <c r="G110" s="23" t="n">
        <f aca="false">itpg_vr</f>
        <v>37.586352</v>
      </c>
    </row>
    <row r="111" customFormat="false" ht="17.15" hidden="false" customHeight="false" outlineLevel="0" collapsed="false">
      <c r="A111" s="3" t="s">
        <v>527</v>
      </c>
      <c r="B111" s="0" t="s">
        <v>468</v>
      </c>
      <c r="D111" s="20" t="n">
        <f aca="false">D109/D110</f>
        <v>23.3995380420639</v>
      </c>
      <c r="E111" s="20" t="n">
        <f aca="false">E109/E110</f>
        <v>41.6467658260637</v>
      </c>
      <c r="F111" s="20" t="n">
        <f aca="false">F109/F110</f>
        <v>42.2337105529984</v>
      </c>
      <c r="G111" s="20" t="n">
        <f aca="false">G109/G110</f>
        <v>51.1178029756948</v>
      </c>
    </row>
    <row r="112" customFormat="false" ht="17.15" hidden="false" customHeight="false" outlineLevel="0" collapsed="false">
      <c r="A112" s="3" t="s">
        <v>470</v>
      </c>
      <c r="B112" s="0" t="s">
        <v>95</v>
      </c>
      <c r="D112" s="21" t="n">
        <f aca="false">cmp_26</f>
        <v>280</v>
      </c>
      <c r="E112" s="21" t="n">
        <f aca="false">cmp_26*cmpx_27</f>
        <v>420</v>
      </c>
      <c r="F112" s="21" t="n">
        <f aca="false">cmp_26*cmpx_28</f>
        <v>462</v>
      </c>
      <c r="G112" s="21" t="n">
        <f aca="false">cmp_26*cmpx_29</f>
        <v>504</v>
      </c>
    </row>
    <row r="113" customFormat="false" ht="17.15" hidden="false" customHeight="false" outlineLevel="0" collapsed="false">
      <c r="A113" s="3" t="s">
        <v>472</v>
      </c>
      <c r="B113" s="0" t="s">
        <v>95</v>
      </c>
      <c r="D113" s="21" t="n">
        <f aca="false">sw_26</f>
        <v>120</v>
      </c>
      <c r="E113" s="21" t="n">
        <f aca="false">sw_26*swx_27</f>
        <v>162</v>
      </c>
      <c r="F113" s="21" t="n">
        <f aca="false">sw_26*swx_28</f>
        <v>180</v>
      </c>
      <c r="G113" s="21" t="n">
        <f aca="false">sw_26*swx_29</f>
        <v>198</v>
      </c>
    </row>
    <row r="114" customFormat="false" ht="17.15" hidden="false" customHeight="false" outlineLevel="0" collapsed="false">
      <c r="A114" s="3" t="s">
        <v>473</v>
      </c>
      <c r="B114" s="0" t="s">
        <v>95</v>
      </c>
      <c r="D114" s="21" t="n">
        <f aca="false">mid_26</f>
        <v>50</v>
      </c>
      <c r="E114" s="21" t="n">
        <f aca="false">mid_26*midx_27</f>
        <v>100</v>
      </c>
      <c r="F114" s="21" t="n">
        <f aca="false">mid_26*midx_28</f>
        <v>150</v>
      </c>
      <c r="G114" s="21" t="n">
        <f aca="false">mid_26*midx_29</f>
        <v>175</v>
      </c>
    </row>
    <row r="115" customFormat="false" ht="17.15" hidden="false" customHeight="false" outlineLevel="0" collapsed="false">
      <c r="A115" s="3" t="s">
        <v>528</v>
      </c>
      <c r="B115" s="0" t="s">
        <v>95</v>
      </c>
      <c r="D115" s="21" t="n">
        <f aca="false">D112+D113+D114</f>
        <v>450</v>
      </c>
      <c r="E115" s="21" t="n">
        <f aca="false">E112+E113+E114</f>
        <v>682</v>
      </c>
      <c r="F115" s="21" t="n">
        <f aca="false">F112+F113+F114</f>
        <v>792</v>
      </c>
      <c r="G115" s="21" t="n">
        <f aca="false">G112+G113+G114</f>
        <v>877</v>
      </c>
    </row>
    <row r="116" customFormat="false" ht="17.15" hidden="false" customHeight="false" outlineLevel="0" collapsed="false">
      <c r="A116" s="0" t="s">
        <v>529</v>
      </c>
      <c r="B116" s="0" t="s">
        <v>34</v>
      </c>
      <c r="D116" s="23" t="n">
        <f aca="false">D111*D115/1000</f>
        <v>10.5297921189287</v>
      </c>
      <c r="E116" s="23" t="n">
        <f aca="false">E111*E115/1000</f>
        <v>28.4030942933754</v>
      </c>
      <c r="F116" s="23" t="n">
        <f aca="false">F111*F115/1000</f>
        <v>33.4490987579747</v>
      </c>
      <c r="G116" s="23" t="n">
        <f aca="false">G111*G115/1000</f>
        <v>44.8303132096844</v>
      </c>
    </row>
    <row r="117" customFormat="false" ht="17.15" hidden="false" customHeight="false" outlineLevel="0" collapsed="false">
      <c r="A117" s="0" t="s">
        <v>530</v>
      </c>
      <c r="B117" s="0" t="s">
        <v>194</v>
      </c>
      <c r="D117" s="22" t="n">
        <f aca="false">D116*fx</f>
        <v>70.7602030392012</v>
      </c>
      <c r="E117" s="22" t="n">
        <f aca="false">E116*fx</f>
        <v>190.868793651483</v>
      </c>
      <c r="F117" s="22" t="n">
        <f aca="false">F116*fx</f>
        <v>224.77794365359</v>
      </c>
      <c r="G117" s="22" t="n">
        <f aca="false">G116*fx</f>
        <v>301.259704769079</v>
      </c>
    </row>
    <row r="118" customFormat="false" ht="17.15" hidden="false" customHeight="false" outlineLevel="0" collapsed="false">
      <c r="A118" s="0" t="s">
        <v>531</v>
      </c>
      <c r="B118" s="0" t="s">
        <v>67</v>
      </c>
      <c r="D118" s="17" t="n">
        <f aca="false">1</f>
        <v>1</v>
      </c>
      <c r="E118" s="17" t="n">
        <f aca="false">pp_27</f>
        <v>1</v>
      </c>
      <c r="F118" s="17" t="n">
        <f aca="false">pp_28</f>
        <v>0.97</v>
      </c>
      <c r="G118" s="17" t="n">
        <f aca="false">pp_29</f>
        <v>0.94</v>
      </c>
    </row>
    <row r="119" customFormat="false" ht="17.15" hidden="false" customHeight="false" outlineLevel="0" collapsed="false">
      <c r="A119" s="3" t="s">
        <v>532</v>
      </c>
      <c r="B119" s="0" t="s">
        <v>54</v>
      </c>
      <c r="D119" s="13" t="n">
        <f aca="false">a26_ai/D117</f>
        <v>0.247531793970355</v>
      </c>
      <c r="K119" s="7" t="s">
        <v>533</v>
      </c>
    </row>
    <row r="120" customFormat="false" ht="17.15" hidden="false" customHeight="false" outlineLevel="0" collapsed="false">
      <c r="A120" s="3" t="s">
        <v>534</v>
      </c>
      <c r="B120" s="0" t="s">
        <v>67</v>
      </c>
      <c r="D120" s="17" t="n">
        <f aca="false">1</f>
        <v>1</v>
      </c>
      <c r="E120" s="17" t="n">
        <f aca="false">rel_27</f>
        <v>0.9</v>
      </c>
      <c r="F120" s="17" t="n">
        <f aca="false">rel_28</f>
        <v>0.8</v>
      </c>
      <c r="G120" s="17" t="n">
        <f aca="false">rel_29</f>
        <v>0.75</v>
      </c>
    </row>
    <row r="121" customFormat="false" ht="15" hidden="false" customHeight="false" outlineLevel="0" collapsed="false">
      <c r="A121" s="3" t="s">
        <v>485</v>
      </c>
      <c r="B121" s="0" t="s">
        <v>54</v>
      </c>
      <c r="D121" s="13" t="n">
        <f aca="false">$D$119*D120</f>
        <v>0.247531793970355</v>
      </c>
      <c r="E121" s="13" t="n">
        <f aca="false">$D$119*E120</f>
        <v>0.222778614573319</v>
      </c>
      <c r="F121" s="13" t="n">
        <f aca="false">$D$119*F120</f>
        <v>0.198025435176284</v>
      </c>
      <c r="G121" s="13" t="n">
        <f aca="false">$D$119*G120</f>
        <v>0.185648845477766</v>
      </c>
    </row>
    <row r="122" customFormat="false" ht="17.15" hidden="false" customHeight="false" outlineLevel="0" collapsed="false">
      <c r="A122" s="0" t="s">
        <v>535</v>
      </c>
      <c r="B122" s="0" t="s">
        <v>194</v>
      </c>
      <c r="D122" s="22" t="n">
        <f aca="false">D117*D121*D118</f>
        <v>17.5154</v>
      </c>
      <c r="E122" s="22" t="n">
        <f aca="false">E117*E121*E118</f>
        <v>42.5214854149581</v>
      </c>
      <c r="F122" s="22" t="n">
        <f aca="false">F117*F121*F118</f>
        <v>43.1763976067314</v>
      </c>
      <c r="G122" s="22" t="n">
        <f aca="false">G117*G121*G118</f>
        <v>52.572805396591</v>
      </c>
    </row>
    <row r="123" customFormat="false" ht="17.15" hidden="false" customHeight="false" outlineLevel="0" collapsed="false">
      <c r="A123" s="5" t="s">
        <v>536</v>
      </c>
    </row>
    <row r="124" customFormat="false" ht="17.15" hidden="false" customHeight="false" outlineLevel="0" collapsed="false">
      <c r="A124" s="3" t="s">
        <v>537</v>
      </c>
      <c r="B124" s="0" t="s">
        <v>67</v>
      </c>
      <c r="D124" s="17" t="n">
        <f aca="false">1</f>
        <v>1</v>
      </c>
      <c r="E124" s="17" t="n">
        <f aca="false">cx_27</f>
        <v>1.7</v>
      </c>
      <c r="F124" s="17" t="n">
        <f aca="false">cx_28</f>
        <v>2.4</v>
      </c>
      <c r="G124" s="17" t="n">
        <f aca="false">cx_29</f>
        <v>3</v>
      </c>
      <c r="K124" s="7" t="s">
        <v>538</v>
      </c>
    </row>
    <row r="125" customFormat="false" ht="17.15" hidden="false" customHeight="false" outlineLevel="0" collapsed="false">
      <c r="A125" s="3" t="s">
        <v>539</v>
      </c>
      <c r="B125" s="0" t="s">
        <v>194</v>
      </c>
      <c r="D125" s="22" t="n">
        <f aca="false">a26_rev*D124*D118</f>
        <v>28.126</v>
      </c>
      <c r="E125" s="22" t="n">
        <f aca="false">a26_rev*E124*E118</f>
        <v>47.8142</v>
      </c>
      <c r="F125" s="22" t="n">
        <f aca="false">a26_rev*F124*F118</f>
        <v>65.477328</v>
      </c>
      <c r="G125" s="22" t="n">
        <f aca="false">a26_rev*G124*G118</f>
        <v>79.31532</v>
      </c>
    </row>
    <row r="126" customFormat="false" ht="17.15" hidden="false" customHeight="false" outlineLevel="0" collapsed="false">
      <c r="A126" s="3" t="s">
        <v>540</v>
      </c>
      <c r="B126" s="0" t="s">
        <v>194</v>
      </c>
      <c r="C126" s="22" t="n">
        <f aca="false">a25_nai</f>
        <v>10.6106</v>
      </c>
      <c r="D126" s="22" t="n">
        <f aca="false">a26_nai</f>
        <v>10.6106</v>
      </c>
      <c r="E126" s="22" t="n">
        <f aca="false">D126*(1+g_nai27)</f>
        <v>10.6106</v>
      </c>
      <c r="F126" s="22" t="n">
        <f aca="false">E126*(1+g_nai28)</f>
        <v>10.6106</v>
      </c>
      <c r="G126" s="22" t="n">
        <f aca="false">F126*(1+g_nai29)</f>
        <v>10.6106</v>
      </c>
    </row>
    <row r="127" customFormat="false" ht="17.15" hidden="false" customHeight="false" outlineLevel="0" collapsed="false">
      <c r="A127" s="0" t="s">
        <v>541</v>
      </c>
      <c r="B127" s="0" t="s">
        <v>194</v>
      </c>
      <c r="C127" s="22" t="n">
        <f aca="false">a25_ai</f>
        <v>8.6814</v>
      </c>
      <c r="D127" s="22" t="n">
        <f aca="false">D122</f>
        <v>17.5154</v>
      </c>
      <c r="E127" s="22" t="n">
        <f aca="false">MIN(E122,E125-E126)</f>
        <v>37.2036</v>
      </c>
      <c r="F127" s="22" t="n">
        <f aca="false">MIN(F122,F125-F126)</f>
        <v>43.1763976067314</v>
      </c>
      <c r="G127" s="22" t="n">
        <f aca="false">MIN(G122,G125-G126)</f>
        <v>52.572805396591</v>
      </c>
      <c r="K127" s="3" t="s">
        <v>542</v>
      </c>
    </row>
    <row r="128" customFormat="false" ht="15" hidden="false" customHeight="false" outlineLevel="0" collapsed="false">
      <c r="A128" s="3" t="s">
        <v>543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未受限</v>
      </c>
      <c r="G128" s="0" t="str">
        <f aca="false">IF(G122&gt;G125-G126+0.0001,"受限","未受限")</f>
        <v>未受限</v>
      </c>
    </row>
    <row r="129" customFormat="false" ht="17.15" hidden="false" customHeight="false" outlineLevel="0" collapsed="false">
      <c r="A129" s="3" t="s">
        <v>414</v>
      </c>
      <c r="B129" s="0" t="s">
        <v>194</v>
      </c>
      <c r="C129" s="22" t="n">
        <f aca="false">C127+C126</f>
        <v>19.292</v>
      </c>
      <c r="D129" s="22" t="n">
        <f aca="false">D127+D126</f>
        <v>28.126</v>
      </c>
      <c r="E129" s="22" t="n">
        <f aca="false">E127+E126</f>
        <v>47.8142</v>
      </c>
      <c r="F129" s="22" t="n">
        <f aca="false">F127+F126</f>
        <v>53.7869976067314</v>
      </c>
      <c r="G129" s="22" t="n">
        <f aca="false">G127+G126</f>
        <v>63.183405396591</v>
      </c>
      <c r="H129" s="24" t="n">
        <f aca="false">G129*(1+H130)</f>
        <v>71.3844699115164</v>
      </c>
      <c r="I129" s="24" t="n">
        <f aca="false">H129*(1+I130)</f>
        <v>77.4449314706762</v>
      </c>
      <c r="J129" s="24" t="n">
        <f aca="false">I129*(1+J130)</f>
        <v>80.5427287295033</v>
      </c>
      <c r="K129" s="7" t="s">
        <v>544</v>
      </c>
    </row>
    <row r="130" customFormat="false" ht="15" hidden="false" customHeight="false" outlineLevel="0" collapsed="false">
      <c r="A130" s="3" t="s">
        <v>545</v>
      </c>
      <c r="B130" s="0" t="s">
        <v>54</v>
      </c>
      <c r="D130" s="13" t="n">
        <f aca="false">D129/C129-1</f>
        <v>0.457910014513788</v>
      </c>
      <c r="E130" s="13" t="n">
        <f aca="false">E129/D129-1</f>
        <v>0.7</v>
      </c>
      <c r="F130" s="13" t="n">
        <f aca="false">F129/E129-1</f>
        <v>0.124916815647473</v>
      </c>
      <c r="G130" s="13" t="n">
        <f aca="false">G129/F129-1</f>
        <v>0.174696640600063</v>
      </c>
      <c r="H130" s="25" t="n">
        <f aca="false">$G130+(fade_gB-$G130)*1/3</f>
        <v>0.129797760400042</v>
      </c>
      <c r="I130" s="25" t="n">
        <f aca="false">$G130+(fade_gB-$G130)*2/3</f>
        <v>0.0848988802000209</v>
      </c>
      <c r="J130" s="25" t="n">
        <f aca="false">$G130+(fade_gB-$G130)*3/3</f>
        <v>0.04</v>
      </c>
    </row>
    <row r="131" customFormat="false" ht="17.15" hidden="false" customHeight="false" outlineLevel="0" collapsed="false">
      <c r="A131" s="0" t="s">
        <v>546</v>
      </c>
      <c r="B131" s="0" t="s">
        <v>54</v>
      </c>
      <c r="C131" s="13" t="n">
        <f aca="false">C127/C129</f>
        <v>0.45</v>
      </c>
      <c r="D131" s="13" t="n">
        <f aca="false">D127/D129</f>
        <v>0.622747635639622</v>
      </c>
      <c r="E131" s="13" t="n">
        <f aca="false">E127/E129</f>
        <v>0.778086844493895</v>
      </c>
      <c r="F131" s="13" t="n">
        <f aca="false">F127/F129</f>
        <v>0.802729275250119</v>
      </c>
      <c r="G131" s="13" t="n">
        <f aca="false">G127/G129</f>
        <v>0.832066664761116</v>
      </c>
    </row>
    <row r="132" customFormat="false" ht="17.15" hidden="false" customHeight="false" outlineLevel="0" collapsed="false">
      <c r="A132" s="3" t="s">
        <v>547</v>
      </c>
      <c r="B132" s="0" t="s">
        <v>54</v>
      </c>
      <c r="D132" s="13" t="n">
        <f aca="false">(D122+D126)/D125</f>
        <v>1</v>
      </c>
      <c r="E132" s="13" t="n">
        <f aca="false">(E122+E126)/E125</f>
        <v>1.11121979275943</v>
      </c>
      <c r="F132" s="13" t="n">
        <f aca="false">(F122+F126)/F125</f>
        <v>0.821459873969374</v>
      </c>
      <c r="G132" s="13" t="n">
        <f aca="false">(G122+G126)/G125</f>
        <v>0.796610357199479</v>
      </c>
      <c r="K132" s="3" t="s">
        <v>548</v>
      </c>
    </row>
    <row r="133" customFormat="false" ht="17.15" hidden="false" customHeight="false" outlineLevel="0" collapsed="false">
      <c r="A133" s="3" t="s">
        <v>489</v>
      </c>
      <c r="B133" s="0" t="s">
        <v>95</v>
      </c>
      <c r="D133" s="21" t="n">
        <f aca="false">D127/fx/D111*1000</f>
        <v>111.38930728666</v>
      </c>
      <c r="E133" s="21" t="n">
        <f aca="false">E127/fx/E111*1000</f>
        <v>132.933491717507</v>
      </c>
      <c r="F133" s="21" t="n">
        <f aca="false">F127/fx/F111*1000</f>
        <v>152.131060319828</v>
      </c>
      <c r="G133" s="21" t="n">
        <f aca="false">G127/fx/G111*1000</f>
        <v>153.045195234961</v>
      </c>
    </row>
    <row r="134" customFormat="false" ht="17.15" hidden="false" customHeight="false" outlineLevel="0" collapsed="false">
      <c r="A134" s="5" t="s">
        <v>549</v>
      </c>
    </row>
    <row r="135" customFormat="false" ht="17.15" hidden="false" customHeight="false" outlineLevel="0" collapsed="false">
      <c r="A135" s="3" t="s">
        <v>550</v>
      </c>
      <c r="B135" s="0" t="s">
        <v>54</v>
      </c>
      <c r="D135" s="13" t="n">
        <f aca="false">a26_gp/D129-d_ai*D131</f>
        <v>0.237492000284434</v>
      </c>
      <c r="K135" s="7" t="s">
        <v>551</v>
      </c>
    </row>
    <row r="136" customFormat="false" ht="17.15" hidden="false" customHeight="false" outlineLevel="0" collapsed="false">
      <c r="A136" s="0" t="s">
        <v>552</v>
      </c>
      <c r="B136" s="0" t="s">
        <v>54</v>
      </c>
      <c r="D136" s="13" t="n">
        <f aca="false">D135+d_ai</f>
        <v>0.387492000284434</v>
      </c>
      <c r="E136" s="13" t="n">
        <f aca="false">1-(1-$D$136)/E118+gmu_27</f>
        <v>0.397492000284434</v>
      </c>
      <c r="F136" s="13" t="n">
        <f aca="false">1-(1-$D$136)/F118+gmu_28</f>
        <v>0.388548453901479</v>
      </c>
      <c r="G136" s="13" t="n">
        <f aca="false">1-(1-$D$136)/G118+gmu_29</f>
        <v>0.378395744983441</v>
      </c>
      <c r="K136" s="7" t="s">
        <v>553</v>
      </c>
    </row>
    <row r="137" customFormat="false" ht="15" hidden="false" customHeight="false" outlineLevel="0" collapsed="false">
      <c r="A137" s="3" t="s">
        <v>418</v>
      </c>
      <c r="B137" s="0" t="s">
        <v>194</v>
      </c>
      <c r="C137" s="22" t="n">
        <f aca="false">a25_gp</f>
        <v>6.7946424</v>
      </c>
      <c r="D137" s="22" t="n">
        <f aca="false">a26_gp</f>
        <v>9.30701</v>
      </c>
      <c r="E137" s="22" t="n">
        <f aca="false">E127*E136+E126*$D$135</f>
        <v>17.308066</v>
      </c>
      <c r="F137" s="22" t="n">
        <f aca="false">F127*F136+F126*$D$135</f>
        <v>19.296055153349</v>
      </c>
      <c r="G137" s="22" t="n">
        <f aca="false">G127*G136+G126*$D$135</f>
        <v>22.4132584821305</v>
      </c>
    </row>
    <row r="138" customFormat="false" ht="15" hidden="false" customHeight="false" outlineLevel="0" collapsed="false">
      <c r="A138" s="3" t="s">
        <v>421</v>
      </c>
      <c r="B138" s="0" t="s">
        <v>54</v>
      </c>
      <c r="C138" s="13" t="n">
        <f aca="false">C137/C129</f>
        <v>0.3522</v>
      </c>
      <c r="D138" s="13" t="n">
        <f aca="false">D137/D129</f>
        <v>0.330904145630378</v>
      </c>
      <c r="E138" s="13" t="n">
        <f aca="false">E137/E129</f>
        <v>0.361985895403458</v>
      </c>
      <c r="F138" s="13" t="n">
        <f aca="false">F137/F129</f>
        <v>0.358749437818298</v>
      </c>
      <c r="G138" s="13" t="n">
        <f aca="false">G137/G129</f>
        <v>0.354733309188488</v>
      </c>
    </row>
    <row r="139" customFormat="false" ht="17.15" hidden="false" customHeight="false" outlineLevel="0" collapsed="false">
      <c r="A139" s="3" t="s">
        <v>554</v>
      </c>
      <c r="B139" s="0" t="s">
        <v>194</v>
      </c>
      <c r="C139" s="22" t="n">
        <f aca="false">a25_opx</f>
        <v>1.6466424</v>
      </c>
      <c r="D139" s="22" t="n">
        <f aca="false">a26_opx</f>
        <v>1.827905</v>
      </c>
      <c r="E139" s="22" t="n">
        <f aca="false">D139*(1+MAX(0,phi*E130))</f>
        <v>2.5956251</v>
      </c>
      <c r="F139" s="22" t="n">
        <f aca="false">E139*(1+MAX(0,phi*F130))</f>
        <v>2.79016743326399</v>
      </c>
      <c r="G139" s="22" t="n">
        <f aca="false">F139*(1+MAX(0,phi*G130))</f>
        <v>3.08262715964574</v>
      </c>
      <c r="K139" s="7" t="s">
        <v>555</v>
      </c>
    </row>
    <row r="140" customFormat="false" ht="15" hidden="false" customHeight="false" outlineLevel="0" collapsed="false">
      <c r="A140" s="3" t="s">
        <v>423</v>
      </c>
      <c r="B140" s="0" t="s">
        <v>194</v>
      </c>
      <c r="C140" s="22" t="n">
        <f aca="false">C139</f>
        <v>1.6466424</v>
      </c>
      <c r="D140" s="22" t="n">
        <f aca="false">D139</f>
        <v>1.827905</v>
      </c>
      <c r="E140" s="22" t="n">
        <f aca="false">E139+0*E129</f>
        <v>2.5956251</v>
      </c>
      <c r="F140" s="22" t="n">
        <f aca="false">F139+0*F129</f>
        <v>2.79016743326399</v>
      </c>
      <c r="G140" s="22" t="n">
        <f aca="false">G139+0*G129</f>
        <v>3.08262715964574</v>
      </c>
    </row>
    <row r="141" customFormat="false" ht="15" hidden="false" customHeight="false" outlineLevel="0" collapsed="false">
      <c r="A141" s="3" t="s">
        <v>556</v>
      </c>
      <c r="B141" s="0" t="s">
        <v>194</v>
      </c>
      <c r="C141" s="22" t="n">
        <f aca="false">C137-C140</f>
        <v>5.148</v>
      </c>
      <c r="D141" s="22" t="n">
        <f aca="false">D137-D140</f>
        <v>7.479105</v>
      </c>
      <c r="E141" s="22" t="n">
        <f aca="false">E137-E140</f>
        <v>14.7124409</v>
      </c>
      <c r="F141" s="22" t="n">
        <f aca="false">F137-F140</f>
        <v>16.505887720085</v>
      </c>
      <c r="G141" s="22" t="n">
        <f aca="false">G137-G140</f>
        <v>19.3306313224848</v>
      </c>
    </row>
    <row r="142" customFormat="false" ht="15" hidden="false" customHeight="false" outlineLevel="0" collapsed="false">
      <c r="A142" s="3" t="s">
        <v>429</v>
      </c>
      <c r="B142" s="0" t="s">
        <v>54</v>
      </c>
      <c r="C142" s="13" t="n">
        <f aca="false">C141/C129</f>
        <v>0.266846361185984</v>
      </c>
      <c r="D142" s="13" t="n">
        <f aca="false">D141/D129</f>
        <v>0.265914278603427</v>
      </c>
      <c r="E142" s="13" t="n">
        <f aca="false">E141/E129</f>
        <v>0.307700241769182</v>
      </c>
      <c r="F142" s="13" t="n">
        <f aca="false">F141/F129</f>
        <v>0.30687505260601</v>
      </c>
      <c r="G142" s="13" t="n">
        <f aca="false">G141/G129</f>
        <v>0.305944752441719</v>
      </c>
    </row>
    <row r="143" customFormat="false" ht="17.15" hidden="false" customHeight="false" outlineLevel="0" collapsed="false">
      <c r="A143" s="3" t="s">
        <v>430</v>
      </c>
      <c r="B143" s="0" t="s">
        <v>194</v>
      </c>
      <c r="E143" s="22" t="n">
        <f aca="false">nop_f</f>
        <v>-0.2</v>
      </c>
      <c r="F143" s="22" t="n">
        <f aca="false">nop_f</f>
        <v>-0.2</v>
      </c>
      <c r="G143" s="22" t="n">
        <f aca="false">nop_f</f>
        <v>-0.2</v>
      </c>
      <c r="K143" s="7" t="s">
        <v>557</v>
      </c>
    </row>
    <row r="144" customFormat="false" ht="15" hidden="false" customHeight="false" outlineLevel="0" collapsed="false">
      <c r="A144" s="3" t="s">
        <v>436</v>
      </c>
      <c r="B144" s="0" t="s">
        <v>194</v>
      </c>
      <c r="C144" s="22" t="n">
        <f aca="false">a25_ni</f>
        <v>4.312</v>
      </c>
      <c r="D144" s="22" t="n">
        <f aca="false">a26_ni</f>
        <v>6.5441924845173</v>
      </c>
      <c r="E144" s="22" t="n">
        <f aca="false">(E141+E143)*nir_f</f>
        <v>12.5822862603</v>
      </c>
      <c r="F144" s="22" t="n">
        <f aca="false">(F141+F143)*nir_f</f>
        <v>14.1372046533137</v>
      </c>
      <c r="G144" s="22" t="n">
        <f aca="false">(G141+G143)*nir_f</f>
        <v>16.5862573565943</v>
      </c>
      <c r="H144" s="24" t="n">
        <f aca="false">H129*H149</f>
        <v>17.0481196335343</v>
      </c>
      <c r="I144" s="24" t="n">
        <f aca="false">I129*I149</f>
        <v>16.6609253854129</v>
      </c>
      <c r="J144" s="24" t="n">
        <f aca="false">J129*J149</f>
        <v>15.4194194657241</v>
      </c>
    </row>
    <row r="145" customFormat="false" ht="17.15" hidden="false" customHeight="false" outlineLevel="0" collapsed="false">
      <c r="A145" s="3" t="s">
        <v>439</v>
      </c>
      <c r="B145" s="0" t="s">
        <v>54</v>
      </c>
      <c r="C145" s="13" t="n">
        <f aca="false">C144/C141</f>
        <v>0.837606837606838</v>
      </c>
      <c r="D145" s="13" t="n">
        <f aca="false">D144/D141</f>
        <v>0.874996738850077</v>
      </c>
      <c r="E145" s="13" t="n">
        <f aca="false">E144/E141</f>
        <v>0.85521405630931</v>
      </c>
      <c r="F145" s="13" t="n">
        <f aca="false">F144/F141</f>
        <v>0.856494657728163</v>
      </c>
      <c r="G145" s="13" t="n">
        <f aca="false">G144/G141</f>
        <v>0.858029780812264</v>
      </c>
    </row>
    <row r="146" customFormat="false" ht="17.15" hidden="false" customHeight="false" outlineLevel="0" collapsed="false">
      <c r="A146" s="3" t="s">
        <v>558</v>
      </c>
      <c r="B146" s="3" t="s">
        <v>222</v>
      </c>
      <c r="C146" s="27" t="n">
        <f aca="false">a25_sh</f>
        <v>0.860678642714571</v>
      </c>
      <c r="D146" s="27" t="n">
        <f aca="false">a26_sh</f>
        <v>0.946074458598726</v>
      </c>
      <c r="E146" s="27" t="n">
        <f aca="false">sh_h2*(1+sh_g)</f>
        <v>0.98234</v>
      </c>
      <c r="F146" s="27" t="n">
        <f aca="false">E146*(1+sh_g)</f>
        <v>0.98234</v>
      </c>
      <c r="G146" s="27" t="n">
        <f aca="false">F146*(1+sh_g)</f>
        <v>0.98234</v>
      </c>
      <c r="H146" s="28" t="n">
        <f aca="false">G146*(1+sh_g)</f>
        <v>0.98234</v>
      </c>
      <c r="I146" s="28" t="n">
        <f aca="false">H146*(1+sh_g)</f>
        <v>0.98234</v>
      </c>
      <c r="J146" s="28" t="n">
        <f aca="false">I146*(1+sh_g)</f>
        <v>0.98234</v>
      </c>
      <c r="K146" s="7" t="s">
        <v>559</v>
      </c>
    </row>
    <row r="147" customFormat="false" ht="15" hidden="false" customHeight="false" outlineLevel="0" collapsed="false">
      <c r="A147" s="0" t="s">
        <v>442</v>
      </c>
      <c r="B147" s="0" t="s">
        <v>258</v>
      </c>
      <c r="C147" s="23" t="n">
        <f aca="false">C144/C146</f>
        <v>5.01</v>
      </c>
      <c r="D147" s="23" t="n">
        <f aca="false">D144/D146</f>
        <v>6.91720659514496</v>
      </c>
      <c r="E147" s="23" t="n">
        <f aca="false">E144/E146</f>
        <v>12.8084840893173</v>
      </c>
      <c r="F147" s="23" t="n">
        <f aca="false">F144/F146</f>
        <v>14.3913560002786</v>
      </c>
      <c r="G147" s="23" t="n">
        <f aca="false">G144/G146</f>
        <v>16.8844365052775</v>
      </c>
      <c r="H147" s="29" t="n">
        <f aca="false">H144/H146</f>
        <v>17.3546019031438</v>
      </c>
      <c r="I147" s="29" t="n">
        <f aca="false">I144/I146</f>
        <v>16.9604468772654</v>
      </c>
      <c r="J147" s="29" t="n">
        <f aca="false">J144/J146</f>
        <v>15.6966218068327</v>
      </c>
    </row>
    <row r="148" customFormat="false" ht="17.15" hidden="false" customHeight="false" outlineLevel="0" collapsed="false">
      <c r="A148" s="0" t="s">
        <v>560</v>
      </c>
      <c r="B148" s="0" t="s">
        <v>54</v>
      </c>
      <c r="D148" s="13" t="n">
        <f aca="false">D147/C147-1</f>
        <v>0.38067995911077</v>
      </c>
      <c r="E148" s="13" t="n">
        <f aca="false">E147/D147-1</f>
        <v>0.851684478862804</v>
      </c>
      <c r="F148" s="13" t="n">
        <f aca="false">F147/E147-1</f>
        <v>0.123579956841375</v>
      </c>
      <c r="G148" s="13" t="n">
        <f aca="false">G147/F147-1</f>
        <v>0.17323457948998</v>
      </c>
      <c r="H148" s="25" t="n">
        <f aca="false">H147/G147-1</f>
        <v>0.0278460816693127</v>
      </c>
      <c r="I148" s="25" t="n">
        <f aca="false">I147/H147-1</f>
        <v>-0.0227118448511895</v>
      </c>
      <c r="J148" s="25" t="n">
        <f aca="false">J147/I147-1</f>
        <v>-0.0745160242285116</v>
      </c>
    </row>
    <row r="149" customFormat="false" ht="17.15" hidden="false" customHeight="false" outlineLevel="0" collapsed="false">
      <c r="A149" s="3" t="s">
        <v>561</v>
      </c>
      <c r="B149" s="0" t="s">
        <v>54</v>
      </c>
      <c r="C149" s="13" t="n">
        <f aca="false">C144/C129</f>
        <v>0.223512336719884</v>
      </c>
      <c r="D149" s="13" t="n">
        <f aca="false">D144/D129</f>
        <v>0.23267412659167</v>
      </c>
      <c r="E149" s="13" t="n">
        <f aca="false">E144/E129</f>
        <v>0.263149571890777</v>
      </c>
      <c r="F149" s="13" t="n">
        <f aca="false">F144/F129</f>
        <v>0.262836843147096</v>
      </c>
      <c r="G149" s="13" t="n">
        <f aca="false">G144/G129</f>
        <v>0.26250970887823</v>
      </c>
      <c r="H149" s="25" t="n">
        <f aca="false">$G149+(fade_mB-$G149)*1/3</f>
        <v>0.23882112810624</v>
      </c>
      <c r="I149" s="25" t="n">
        <f aca="false">$G149+(fade_mB-$G149)*2/3</f>
        <v>0.215132547334249</v>
      </c>
      <c r="J149" s="25" t="n">
        <f aca="false">$G149+(fade_mB-$G149)*3/3</f>
        <v>0.191443966562258</v>
      </c>
    </row>
    <row r="152" customFormat="false" ht="17.15" hidden="false" customHeight="false" outlineLevel="0" collapsed="false">
      <c r="A152" s="1" t="s">
        <v>563</v>
      </c>
    </row>
    <row r="153" customFormat="false" ht="17.15" hidden="false" customHeight="false" outlineLevel="0" collapsed="false">
      <c r="A153" s="4" t="s">
        <v>23</v>
      </c>
      <c r="B153" s="4" t="s">
        <v>24</v>
      </c>
      <c r="C153" s="14" t="s">
        <v>409</v>
      </c>
      <c r="D153" s="14" t="s">
        <v>502</v>
      </c>
      <c r="E153" s="14" t="s">
        <v>503</v>
      </c>
      <c r="F153" s="14" t="s">
        <v>504</v>
      </c>
      <c r="G153" s="14" t="s">
        <v>505</v>
      </c>
      <c r="H153" s="14" t="s">
        <v>506</v>
      </c>
      <c r="I153" s="14" t="s">
        <v>507</v>
      </c>
      <c r="J153" s="14" t="s">
        <v>508</v>
      </c>
      <c r="K153" s="4" t="s">
        <v>391</v>
      </c>
    </row>
    <row r="154" customFormat="false" ht="17.15" hidden="false" customHeight="false" outlineLevel="0" collapsed="false">
      <c r="A154" s="5" t="s">
        <v>524</v>
      </c>
    </row>
    <row r="155" customFormat="false" ht="17.15" hidden="false" customHeight="false" outlineLevel="0" collapsed="false">
      <c r="A155" s="0" t="s">
        <v>525</v>
      </c>
      <c r="B155" s="0" t="s">
        <v>34</v>
      </c>
      <c r="D155" s="23" t="n">
        <f aca="false">itc_26*1</f>
        <v>781.872916666666</v>
      </c>
      <c r="E155" s="23" t="n">
        <f aca="false">itc_27*1*1</f>
        <v>1565.35</v>
      </c>
      <c r="F155" s="23" t="n">
        <f aca="false">itc_28*um28_C*1</f>
        <v>1190.55833333333</v>
      </c>
      <c r="G155" s="23" t="n">
        <f aca="false">itc_29*um29_C*1</f>
        <v>1356.23416666667</v>
      </c>
    </row>
    <row r="156" customFormat="false" ht="17.15" hidden="false" customHeight="false" outlineLevel="0" collapsed="false">
      <c r="A156" s="3" t="s">
        <v>526</v>
      </c>
      <c r="B156" s="0" t="s">
        <v>34</v>
      </c>
      <c r="D156" s="23" t="n">
        <f aca="false">itpg_gb*(1-vr26)+itpg_vr*vr26</f>
        <v>33.41403216</v>
      </c>
      <c r="E156" s="23" t="n">
        <f aca="false">itpg_vr</f>
        <v>37.586352</v>
      </c>
      <c r="F156" s="23" t="n">
        <f aca="false">itpg_vr</f>
        <v>37.586352</v>
      </c>
      <c r="G156" s="23" t="n">
        <f aca="false">itpg_vr</f>
        <v>37.586352</v>
      </c>
    </row>
    <row r="157" customFormat="false" ht="17.15" hidden="false" customHeight="false" outlineLevel="0" collapsed="false">
      <c r="A157" s="3" t="s">
        <v>527</v>
      </c>
      <c r="B157" s="0" t="s">
        <v>468</v>
      </c>
      <c r="D157" s="20" t="n">
        <f aca="false">D155/D156</f>
        <v>23.3995380420639</v>
      </c>
      <c r="E157" s="20" t="n">
        <f aca="false">E155/E156</f>
        <v>41.6467658260637</v>
      </c>
      <c r="F157" s="20" t="n">
        <f aca="false">F155/F156</f>
        <v>31.6752829147488</v>
      </c>
      <c r="G157" s="20" t="n">
        <f aca="false">G155/G156</f>
        <v>36.0831550416669</v>
      </c>
    </row>
    <row r="158" customFormat="false" ht="17.15" hidden="false" customHeight="false" outlineLevel="0" collapsed="false">
      <c r="A158" s="3" t="s">
        <v>470</v>
      </c>
      <c r="B158" s="0" t="s">
        <v>95</v>
      </c>
      <c r="D158" s="21" t="n">
        <f aca="false">cmp_26</f>
        <v>280</v>
      </c>
      <c r="E158" s="21" t="n">
        <f aca="false">cmp_26*cmpx_27</f>
        <v>420</v>
      </c>
      <c r="F158" s="21" t="n">
        <f aca="false">cmp_26*cmpx_28</f>
        <v>462</v>
      </c>
      <c r="G158" s="21" t="n">
        <f aca="false">cmp_26*cmpx_29</f>
        <v>504</v>
      </c>
    </row>
    <row r="159" customFormat="false" ht="17.15" hidden="false" customHeight="false" outlineLevel="0" collapsed="false">
      <c r="A159" s="3" t="s">
        <v>472</v>
      </c>
      <c r="B159" s="0" t="s">
        <v>95</v>
      </c>
      <c r="D159" s="21" t="n">
        <f aca="false">sw_26</f>
        <v>120</v>
      </c>
      <c r="E159" s="21" t="n">
        <f aca="false">sw_26*swx_27</f>
        <v>162</v>
      </c>
      <c r="F159" s="21" t="n">
        <f aca="false">sw_26*swx_28</f>
        <v>180</v>
      </c>
      <c r="G159" s="21" t="n">
        <f aca="false">sw_26*swx_29</f>
        <v>198</v>
      </c>
    </row>
    <row r="160" customFormat="false" ht="17.15" hidden="false" customHeight="false" outlineLevel="0" collapsed="false">
      <c r="A160" s="3" t="s">
        <v>473</v>
      </c>
      <c r="B160" s="0" t="s">
        <v>95</v>
      </c>
      <c r="D160" s="21" t="n">
        <f aca="false">mid_26</f>
        <v>50</v>
      </c>
      <c r="E160" s="21" t="n">
        <f aca="false">mid_26*midx_27</f>
        <v>100</v>
      </c>
      <c r="F160" s="21" t="n">
        <f aca="false">mid_26*midx_28</f>
        <v>150</v>
      </c>
      <c r="G160" s="21" t="n">
        <f aca="false">mid_26*midx_29</f>
        <v>175</v>
      </c>
    </row>
    <row r="161" customFormat="false" ht="17.15" hidden="false" customHeight="false" outlineLevel="0" collapsed="false">
      <c r="A161" s="3" t="s">
        <v>528</v>
      </c>
      <c r="B161" s="0" t="s">
        <v>95</v>
      </c>
      <c r="D161" s="21" t="n">
        <f aca="false">D158+D159+D160</f>
        <v>450</v>
      </c>
      <c r="E161" s="21" t="n">
        <f aca="false">E158+E159+E160</f>
        <v>682</v>
      </c>
      <c r="F161" s="21" t="n">
        <f aca="false">F158+F159+F160</f>
        <v>792</v>
      </c>
      <c r="G161" s="21" t="n">
        <f aca="false">G158+G159+G160</f>
        <v>877</v>
      </c>
    </row>
    <row r="162" customFormat="false" ht="17.15" hidden="false" customHeight="false" outlineLevel="0" collapsed="false">
      <c r="A162" s="0" t="s">
        <v>529</v>
      </c>
      <c r="B162" s="0" t="s">
        <v>34</v>
      </c>
      <c r="D162" s="23" t="n">
        <f aca="false">D157*D161/1000</f>
        <v>10.5297921189287</v>
      </c>
      <c r="E162" s="23" t="n">
        <f aca="false">E157*E161/1000</f>
        <v>28.4030942933754</v>
      </c>
      <c r="F162" s="23" t="n">
        <f aca="false">F157*F161/1000</f>
        <v>25.086824068481</v>
      </c>
      <c r="G162" s="23" t="n">
        <f aca="false">G157*G161/1000</f>
        <v>31.6449269715419</v>
      </c>
    </row>
    <row r="163" customFormat="false" ht="17.15" hidden="false" customHeight="false" outlineLevel="0" collapsed="false">
      <c r="A163" s="0" t="s">
        <v>530</v>
      </c>
      <c r="B163" s="0" t="s">
        <v>194</v>
      </c>
      <c r="D163" s="22" t="n">
        <f aca="false">D162*fx</f>
        <v>70.7602030392012</v>
      </c>
      <c r="E163" s="22" t="n">
        <f aca="false">E162*fx</f>
        <v>190.868793651483</v>
      </c>
      <c r="F163" s="22" t="n">
        <f aca="false">F162*fx</f>
        <v>168.583457740193</v>
      </c>
      <c r="G163" s="22" t="n">
        <f aca="false">G162*fx</f>
        <v>212.653909248762</v>
      </c>
    </row>
    <row r="164" customFormat="false" ht="17.15" hidden="false" customHeight="false" outlineLevel="0" collapsed="false">
      <c r="A164" s="0" t="s">
        <v>531</v>
      </c>
      <c r="B164" s="0" t="s">
        <v>67</v>
      </c>
      <c r="D164" s="17" t="n">
        <f aca="false">1</f>
        <v>1</v>
      </c>
      <c r="E164" s="17" t="n">
        <f aca="false">pp_27</f>
        <v>1</v>
      </c>
      <c r="F164" s="17" t="n">
        <f aca="false">pp_28</f>
        <v>0.97</v>
      </c>
      <c r="G164" s="17" t="n">
        <f aca="false">pp_29</f>
        <v>0.94</v>
      </c>
    </row>
    <row r="165" customFormat="false" ht="17.15" hidden="false" customHeight="false" outlineLevel="0" collapsed="false">
      <c r="A165" s="3" t="s">
        <v>532</v>
      </c>
      <c r="B165" s="0" t="s">
        <v>54</v>
      </c>
      <c r="D165" s="13" t="n">
        <f aca="false">a26_ai/D163</f>
        <v>0.247531793970355</v>
      </c>
      <c r="K165" s="7" t="s">
        <v>533</v>
      </c>
    </row>
    <row r="166" customFormat="false" ht="17.15" hidden="false" customHeight="false" outlineLevel="0" collapsed="false">
      <c r="A166" s="3" t="s">
        <v>534</v>
      </c>
      <c r="B166" s="0" t="s">
        <v>67</v>
      </c>
      <c r="D166" s="17" t="n">
        <f aca="false">1</f>
        <v>1</v>
      </c>
      <c r="E166" s="17" t="n">
        <f aca="false">rel_27</f>
        <v>0.9</v>
      </c>
      <c r="F166" s="17" t="n">
        <f aca="false">rel_28</f>
        <v>0.8</v>
      </c>
      <c r="G166" s="17" t="n">
        <f aca="false">rel_29</f>
        <v>0.75</v>
      </c>
    </row>
    <row r="167" customFormat="false" ht="15" hidden="false" customHeight="false" outlineLevel="0" collapsed="false">
      <c r="A167" s="3" t="s">
        <v>485</v>
      </c>
      <c r="B167" s="0" t="s">
        <v>54</v>
      </c>
      <c r="D167" s="13" t="n">
        <f aca="false">$D$165*D166</f>
        <v>0.247531793970355</v>
      </c>
      <c r="E167" s="13" t="n">
        <f aca="false">$D$165*E166</f>
        <v>0.222778614573319</v>
      </c>
      <c r="F167" s="13" t="n">
        <f aca="false">$D$165*F166</f>
        <v>0.198025435176284</v>
      </c>
      <c r="G167" s="13" t="n">
        <f aca="false">$D$165*G166</f>
        <v>0.185648845477766</v>
      </c>
    </row>
    <row r="168" customFormat="false" ht="17.15" hidden="false" customHeight="false" outlineLevel="0" collapsed="false">
      <c r="A168" s="0" t="s">
        <v>535</v>
      </c>
      <c r="B168" s="0" t="s">
        <v>194</v>
      </c>
      <c r="D168" s="22" t="n">
        <f aca="false">D163*D167*D164</f>
        <v>17.5154</v>
      </c>
      <c r="E168" s="22" t="n">
        <f aca="false">E163*E167*E164</f>
        <v>42.5214854149581</v>
      </c>
      <c r="F168" s="22" t="n">
        <f aca="false">F163*F167*F164</f>
        <v>32.3822982050485</v>
      </c>
      <c r="G168" s="22" t="n">
        <f aca="false">G163*G167*G164</f>
        <v>37.1102155740642</v>
      </c>
    </row>
    <row r="169" customFormat="false" ht="17.15" hidden="false" customHeight="false" outlineLevel="0" collapsed="false">
      <c r="A169" s="5" t="s">
        <v>536</v>
      </c>
    </row>
    <row r="170" customFormat="false" ht="17.15" hidden="false" customHeight="false" outlineLevel="0" collapsed="false">
      <c r="A170" s="3" t="s">
        <v>537</v>
      </c>
      <c r="B170" s="0" t="s">
        <v>67</v>
      </c>
      <c r="D170" s="17" t="n">
        <f aca="false">1</f>
        <v>1</v>
      </c>
      <c r="E170" s="17" t="n">
        <f aca="false">cx_27</f>
        <v>1.7</v>
      </c>
      <c r="F170" s="17" t="n">
        <f aca="false">cx_28</f>
        <v>2.4</v>
      </c>
      <c r="G170" s="17" t="n">
        <f aca="false">cx_29</f>
        <v>3</v>
      </c>
      <c r="K170" s="7" t="s">
        <v>538</v>
      </c>
    </row>
    <row r="171" customFormat="false" ht="17.15" hidden="false" customHeight="false" outlineLevel="0" collapsed="false">
      <c r="A171" s="3" t="s">
        <v>539</v>
      </c>
      <c r="B171" s="0" t="s">
        <v>194</v>
      </c>
      <c r="D171" s="22" t="n">
        <f aca="false">a26_rev*D170*D164</f>
        <v>28.126</v>
      </c>
      <c r="E171" s="22" t="n">
        <f aca="false">a26_rev*E170*E164</f>
        <v>47.8142</v>
      </c>
      <c r="F171" s="22" t="n">
        <f aca="false">a26_rev*F170*F164</f>
        <v>65.477328</v>
      </c>
      <c r="G171" s="22" t="n">
        <f aca="false">a26_rev*G170*G164</f>
        <v>79.31532</v>
      </c>
    </row>
    <row r="172" customFormat="false" ht="17.15" hidden="false" customHeight="false" outlineLevel="0" collapsed="false">
      <c r="A172" s="3" t="s">
        <v>540</v>
      </c>
      <c r="B172" s="0" t="s">
        <v>194</v>
      </c>
      <c r="C172" s="22" t="n">
        <f aca="false">a25_nai</f>
        <v>10.6106</v>
      </c>
      <c r="D172" s="22" t="n">
        <f aca="false">a26_nai</f>
        <v>10.6106</v>
      </c>
      <c r="E172" s="22" t="n">
        <f aca="false">D172*(1+g_nai27)</f>
        <v>10.6106</v>
      </c>
      <c r="F172" s="22" t="n">
        <f aca="false">E172*(1+g_nai28)</f>
        <v>10.6106</v>
      </c>
      <c r="G172" s="22" t="n">
        <f aca="false">F172*(1+g_nai29)</f>
        <v>10.6106</v>
      </c>
    </row>
    <row r="173" customFormat="false" ht="17.15" hidden="false" customHeight="false" outlineLevel="0" collapsed="false">
      <c r="A173" s="0" t="s">
        <v>541</v>
      </c>
      <c r="B173" s="0" t="s">
        <v>194</v>
      </c>
      <c r="C173" s="22" t="n">
        <f aca="false">a25_ai</f>
        <v>8.6814</v>
      </c>
      <c r="D173" s="22" t="n">
        <f aca="false">D168</f>
        <v>17.5154</v>
      </c>
      <c r="E173" s="22" t="n">
        <f aca="false">MIN(E168,E171-E172)</f>
        <v>37.2036</v>
      </c>
      <c r="F173" s="22" t="n">
        <f aca="false">MIN(F168,F171-F172)</f>
        <v>32.3822982050485</v>
      </c>
      <c r="G173" s="22" t="n">
        <f aca="false">MIN(G168,G171-G172)</f>
        <v>37.1102155740642</v>
      </c>
      <c r="K173" s="3" t="s">
        <v>542</v>
      </c>
    </row>
    <row r="174" customFormat="false" ht="15" hidden="false" customHeight="false" outlineLevel="0" collapsed="false">
      <c r="A174" s="3" t="s">
        <v>543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414</v>
      </c>
      <c r="B175" s="0" t="s">
        <v>194</v>
      </c>
      <c r="C175" s="22" t="n">
        <f aca="false">C173+C172</f>
        <v>19.292</v>
      </c>
      <c r="D175" s="22" t="n">
        <f aca="false">D173+D172</f>
        <v>28.126</v>
      </c>
      <c r="E175" s="22" t="n">
        <f aca="false">E173+E172</f>
        <v>47.8142</v>
      </c>
      <c r="F175" s="22" t="n">
        <f aca="false">F173+F172</f>
        <v>42.9928982050485</v>
      </c>
      <c r="G175" s="22" t="n">
        <f aca="false">G173+G172</f>
        <v>47.7208155740642</v>
      </c>
      <c r="H175" s="24" t="n">
        <f aca="false">G175*(1+H176)</f>
        <v>51.5375177854337</v>
      </c>
      <c r="I175" s="24" t="n">
        <f aca="false">H175*(1+I176)</f>
        <v>54.1138736457626</v>
      </c>
      <c r="J175" s="24" t="n">
        <f aca="false">I175*(1+J176)</f>
        <v>55.1961511186779</v>
      </c>
      <c r="K175" s="7" t="s">
        <v>544</v>
      </c>
    </row>
    <row r="176" customFormat="false" ht="15" hidden="false" customHeight="false" outlineLevel="0" collapsed="false">
      <c r="A176" s="3" t="s">
        <v>545</v>
      </c>
      <c r="B176" s="0" t="s">
        <v>54</v>
      </c>
      <c r="D176" s="13" t="n">
        <f aca="false">D175/C175-1</f>
        <v>0.457910014513788</v>
      </c>
      <c r="E176" s="13" t="n">
        <f aca="false">E175/D175-1</f>
        <v>0.7</v>
      </c>
      <c r="F176" s="13" t="n">
        <f aca="false">F175/E175-1</f>
        <v>-0.100834099387869</v>
      </c>
      <c r="G176" s="13" t="n">
        <f aca="false">G175/F175-1</f>
        <v>0.109969729104247</v>
      </c>
      <c r="H176" s="25" t="n">
        <f aca="false">$G176+(fade_gC-$G176)*1/3</f>
        <v>0.0799798194028316</v>
      </c>
      <c r="I176" s="25" t="n">
        <f aca="false">$G176+(fade_gC-$G176)*2/3</f>
        <v>0.0499899097014158</v>
      </c>
      <c r="J176" s="25" t="n">
        <f aca="false">$G176+(fade_gC-$G176)*3/3</f>
        <v>0.02</v>
      </c>
    </row>
    <row r="177" customFormat="false" ht="17.15" hidden="false" customHeight="false" outlineLevel="0" collapsed="false">
      <c r="A177" s="0" t="s">
        <v>546</v>
      </c>
      <c r="B177" s="0" t="s">
        <v>54</v>
      </c>
      <c r="C177" s="13" t="n">
        <f aca="false">C173/C175</f>
        <v>0.45</v>
      </c>
      <c r="D177" s="13" t="n">
        <f aca="false">D173/D175</f>
        <v>0.622747635639622</v>
      </c>
      <c r="E177" s="13" t="n">
        <f aca="false">E173/E175</f>
        <v>0.778086844493895</v>
      </c>
      <c r="F177" s="13" t="n">
        <f aca="false">F173/F175</f>
        <v>0.753201099646871</v>
      </c>
      <c r="G177" s="13" t="n">
        <f aca="false">G173/G175</f>
        <v>0.777652584676974</v>
      </c>
    </row>
    <row r="178" customFormat="false" ht="17.15" hidden="false" customHeight="false" outlineLevel="0" collapsed="false">
      <c r="A178" s="3" t="s">
        <v>547</v>
      </c>
      <c r="B178" s="0" t="s">
        <v>54</v>
      </c>
      <c r="D178" s="13" t="n">
        <f aca="false">(D168+D172)/D171</f>
        <v>1</v>
      </c>
      <c r="E178" s="13" t="n">
        <f aca="false">(E168+E172)/E171</f>
        <v>1.11121979275943</v>
      </c>
      <c r="F178" s="13" t="n">
        <f aca="false">(F168+F172)/F171</f>
        <v>0.656607401649752</v>
      </c>
      <c r="G178" s="13" t="n">
        <f aca="false">(G168+G172)/G171</f>
        <v>0.601659497485028</v>
      </c>
      <c r="K178" s="3" t="s">
        <v>548</v>
      </c>
    </row>
    <row r="179" customFormat="false" ht="17.15" hidden="false" customHeight="false" outlineLevel="0" collapsed="false">
      <c r="A179" s="3" t="s">
        <v>489</v>
      </c>
      <c r="B179" s="0" t="s">
        <v>95</v>
      </c>
      <c r="D179" s="21" t="n">
        <f aca="false">D173/fx/D157*1000</f>
        <v>111.38930728666</v>
      </c>
      <c r="E179" s="21" t="n">
        <f aca="false">E173/fx/E157*1000</f>
        <v>132.933491717507</v>
      </c>
      <c r="F179" s="21" t="n">
        <f aca="false">F173/fx/F157*1000</f>
        <v>152.131060319828</v>
      </c>
      <c r="G179" s="21" t="n">
        <f aca="false">G173/fx/G157*1000</f>
        <v>153.045195234961</v>
      </c>
    </row>
    <row r="180" customFormat="false" ht="17.15" hidden="false" customHeight="false" outlineLevel="0" collapsed="false">
      <c r="A180" s="5" t="s">
        <v>549</v>
      </c>
    </row>
    <row r="181" customFormat="false" ht="17.15" hidden="false" customHeight="false" outlineLevel="0" collapsed="false">
      <c r="A181" s="3" t="s">
        <v>550</v>
      </c>
      <c r="B181" s="0" t="s">
        <v>54</v>
      </c>
      <c r="D181" s="13" t="n">
        <f aca="false">a26_gp/D175-d_ai*D177</f>
        <v>0.237492000284434</v>
      </c>
      <c r="K181" s="7" t="s">
        <v>551</v>
      </c>
    </row>
    <row r="182" customFormat="false" ht="17.15" hidden="false" customHeight="false" outlineLevel="0" collapsed="false">
      <c r="A182" s="0" t="s">
        <v>552</v>
      </c>
      <c r="B182" s="0" t="s">
        <v>54</v>
      </c>
      <c r="D182" s="13" t="n">
        <f aca="false">D181+d_ai</f>
        <v>0.387492000284434</v>
      </c>
      <c r="E182" s="13" t="n">
        <f aca="false">1-(1-$D$182)/E164+gmu_27</f>
        <v>0.397492000284434</v>
      </c>
      <c r="F182" s="13" t="n">
        <f aca="false">1-(1-$D$182)/F164+gmu_28</f>
        <v>0.388548453901479</v>
      </c>
      <c r="G182" s="13" t="n">
        <f aca="false">1-(1-$D$182)/G164+gmu_29</f>
        <v>0.378395744983441</v>
      </c>
      <c r="K182" s="7" t="s">
        <v>553</v>
      </c>
    </row>
    <row r="183" customFormat="false" ht="15" hidden="false" customHeight="false" outlineLevel="0" collapsed="false">
      <c r="A183" s="3" t="s">
        <v>418</v>
      </c>
      <c r="B183" s="0" t="s">
        <v>194</v>
      </c>
      <c r="C183" s="22" t="n">
        <f aca="false">a25_gp</f>
        <v>6.7946424</v>
      </c>
      <c r="D183" s="22" t="n">
        <f aca="false">a26_gp</f>
        <v>9.30701</v>
      </c>
      <c r="E183" s="22" t="n">
        <f aca="false">E173*E182+E172*$D$181</f>
        <v>17.308066</v>
      </c>
      <c r="F183" s="22" t="n">
        <f aca="false">F173*F182+F172*$D$181</f>
        <v>15.1020245195663</v>
      </c>
      <c r="G183" s="22" t="n">
        <f aca="false">G173*G182+G172*$D$181</f>
        <v>16.5622802868621</v>
      </c>
    </row>
    <row r="184" customFormat="false" ht="15" hidden="false" customHeight="false" outlineLevel="0" collapsed="false">
      <c r="A184" s="3" t="s">
        <v>421</v>
      </c>
      <c r="B184" s="0" t="s">
        <v>54</v>
      </c>
      <c r="C184" s="13" t="n">
        <f aca="false">C183/C175</f>
        <v>0.3522</v>
      </c>
      <c r="D184" s="13" t="n">
        <f aca="false">D183/D175</f>
        <v>0.330904145630378</v>
      </c>
      <c r="E184" s="13" t="n">
        <f aca="false">E183/E175</f>
        <v>0.361985895403458</v>
      </c>
      <c r="F184" s="13" t="n">
        <f aca="false">F183/F175</f>
        <v>0.351267887257549</v>
      </c>
      <c r="G184" s="13" t="n">
        <f aca="false">G183/G175</f>
        <v>0.347066161540281</v>
      </c>
    </row>
    <row r="185" customFormat="false" ht="17.15" hidden="false" customHeight="false" outlineLevel="0" collapsed="false">
      <c r="A185" s="3" t="s">
        <v>554</v>
      </c>
      <c r="B185" s="0" t="s">
        <v>194</v>
      </c>
      <c r="C185" s="22" t="n">
        <f aca="false">a25_opx</f>
        <v>1.6466424</v>
      </c>
      <c r="D185" s="22" t="n">
        <f aca="false">a26_opx</f>
        <v>1.827905</v>
      </c>
      <c r="E185" s="22" t="n">
        <f aca="false">D185*(1+MAX(0,phi*E176))</f>
        <v>2.5956251</v>
      </c>
      <c r="F185" s="22" t="n">
        <f aca="false">E185*(1+MAX(0,phi*F176))</f>
        <v>2.5956251</v>
      </c>
      <c r="G185" s="22" t="n">
        <f aca="false">F185*(1+MAX(0,phi*G176))</f>
        <v>2.76688921346191</v>
      </c>
      <c r="K185" s="7" t="s">
        <v>555</v>
      </c>
    </row>
    <row r="186" customFormat="false" ht="15" hidden="false" customHeight="false" outlineLevel="0" collapsed="false">
      <c r="A186" s="3" t="s">
        <v>423</v>
      </c>
      <c r="B186" s="0" t="s">
        <v>194</v>
      </c>
      <c r="C186" s="22" t="n">
        <f aca="false">C185</f>
        <v>1.6466424</v>
      </c>
      <c r="D186" s="22" t="n">
        <f aca="false">D185</f>
        <v>1.827905</v>
      </c>
      <c r="E186" s="22" t="n">
        <f aca="false">E185+0*E175</f>
        <v>2.5956251</v>
      </c>
      <c r="F186" s="22" t="n">
        <f aca="false">F185+0*F175</f>
        <v>2.5956251</v>
      </c>
      <c r="G186" s="22" t="n">
        <f aca="false">G185+0*G175</f>
        <v>2.76688921346191</v>
      </c>
    </row>
    <row r="187" customFormat="false" ht="15" hidden="false" customHeight="false" outlineLevel="0" collapsed="false">
      <c r="A187" s="3" t="s">
        <v>556</v>
      </c>
      <c r="B187" s="0" t="s">
        <v>194</v>
      </c>
      <c r="C187" s="22" t="n">
        <f aca="false">C183-C186</f>
        <v>5.148</v>
      </c>
      <c r="D187" s="22" t="n">
        <f aca="false">D183-D186</f>
        <v>7.479105</v>
      </c>
      <c r="E187" s="22" t="n">
        <f aca="false">E183-E186</f>
        <v>14.7124409</v>
      </c>
      <c r="F187" s="22" t="n">
        <f aca="false">F183-F186</f>
        <v>12.5063994195663</v>
      </c>
      <c r="G187" s="22" t="n">
        <f aca="false">G183-G186</f>
        <v>13.7953910734002</v>
      </c>
    </row>
    <row r="188" customFormat="false" ht="15" hidden="false" customHeight="false" outlineLevel="0" collapsed="false">
      <c r="A188" s="3" t="s">
        <v>429</v>
      </c>
      <c r="B188" s="0" t="s">
        <v>54</v>
      </c>
      <c r="C188" s="13" t="n">
        <f aca="false">C187/C175</f>
        <v>0.266846361185984</v>
      </c>
      <c r="D188" s="13" t="n">
        <f aca="false">D187/D175</f>
        <v>0.265914278603427</v>
      </c>
      <c r="E188" s="13" t="n">
        <f aca="false">E187/E175</f>
        <v>0.307700241769182</v>
      </c>
      <c r="F188" s="13" t="n">
        <f aca="false">F187/F175</f>
        <v>0.290894541696602</v>
      </c>
      <c r="G188" s="13" t="n">
        <f aca="false">G187/G175</f>
        <v>0.289085400311094</v>
      </c>
    </row>
    <row r="189" customFormat="false" ht="17.15" hidden="false" customHeight="false" outlineLevel="0" collapsed="false">
      <c r="A189" s="3" t="s">
        <v>430</v>
      </c>
      <c r="B189" s="0" t="s">
        <v>194</v>
      </c>
      <c r="E189" s="22" t="n">
        <f aca="false">nop_f</f>
        <v>-0.2</v>
      </c>
      <c r="F189" s="22" t="n">
        <f aca="false">nop_f</f>
        <v>-0.2</v>
      </c>
      <c r="G189" s="22" t="n">
        <f aca="false">nop_f</f>
        <v>-0.2</v>
      </c>
      <c r="K189" s="7" t="s">
        <v>557</v>
      </c>
    </row>
    <row r="190" customFormat="false" ht="15" hidden="false" customHeight="false" outlineLevel="0" collapsed="false">
      <c r="A190" s="3" t="s">
        <v>436</v>
      </c>
      <c r="B190" s="0" t="s">
        <v>194</v>
      </c>
      <c r="C190" s="22" t="n">
        <f aca="false">a25_ni</f>
        <v>4.312</v>
      </c>
      <c r="D190" s="22" t="n">
        <f aca="false">a26_ni</f>
        <v>6.5441924845173</v>
      </c>
      <c r="E190" s="22" t="n">
        <f aca="false">(E187+E189)*nir_f</f>
        <v>12.5822862603</v>
      </c>
      <c r="F190" s="22" t="n">
        <f aca="false">(F187+F189)*nir_f</f>
        <v>10.6696482967639</v>
      </c>
      <c r="G190" s="22" t="n">
        <f aca="false">(G187+G189)*nir_f</f>
        <v>11.787204060638</v>
      </c>
      <c r="H190" s="24" t="n">
        <f aca="false">H175*H195</f>
        <v>10.5546266328054</v>
      </c>
      <c r="I190" s="24" t="n">
        <f aca="false">I175*I195</f>
        <v>8.79819174083815</v>
      </c>
      <c r="J190" s="24" t="n">
        <f aca="false">J175*J195</f>
        <v>6.64441465689611</v>
      </c>
    </row>
    <row r="191" customFormat="false" ht="17.15" hidden="false" customHeight="false" outlineLevel="0" collapsed="false">
      <c r="A191" s="3" t="s">
        <v>439</v>
      </c>
      <c r="B191" s="0" t="s">
        <v>54</v>
      </c>
      <c r="C191" s="13" t="n">
        <f aca="false">C190/C187</f>
        <v>0.837606837606838</v>
      </c>
      <c r="D191" s="13" t="n">
        <f aca="false">D190/D187</f>
        <v>0.874996738850077</v>
      </c>
      <c r="E191" s="13" t="n">
        <f aca="false">E190/E187</f>
        <v>0.85521405630931</v>
      </c>
      <c r="F191" s="13" t="n">
        <f aca="false">F190/F187</f>
        <v>0.853135098185916</v>
      </c>
      <c r="G191" s="13" t="n">
        <f aca="false">G190/G187</f>
        <v>0.854430584672997</v>
      </c>
    </row>
    <row r="192" customFormat="false" ht="17.15" hidden="false" customHeight="false" outlineLevel="0" collapsed="false">
      <c r="A192" s="3" t="s">
        <v>558</v>
      </c>
      <c r="B192" s="3" t="s">
        <v>222</v>
      </c>
      <c r="C192" s="27" t="n">
        <f aca="false">a25_sh</f>
        <v>0.860678642714571</v>
      </c>
      <c r="D192" s="27" t="n">
        <f aca="false">a26_sh</f>
        <v>0.946074458598726</v>
      </c>
      <c r="E192" s="27" t="n">
        <f aca="false">sh_h2*(1+sh_g)</f>
        <v>0.98234</v>
      </c>
      <c r="F192" s="27" t="n">
        <f aca="false">E192*(1+sh_g)</f>
        <v>0.98234</v>
      </c>
      <c r="G192" s="27" t="n">
        <f aca="false">F192*(1+sh_g)</f>
        <v>0.98234</v>
      </c>
      <c r="H192" s="28" t="n">
        <f aca="false">G192*(1+sh_g)</f>
        <v>0.98234</v>
      </c>
      <c r="I192" s="28" t="n">
        <f aca="false">H192*(1+sh_g)</f>
        <v>0.98234</v>
      </c>
      <c r="J192" s="28" t="n">
        <f aca="false">I192*(1+sh_g)</f>
        <v>0.98234</v>
      </c>
      <c r="K192" s="7" t="s">
        <v>559</v>
      </c>
    </row>
    <row r="193" customFormat="false" ht="15" hidden="false" customHeight="false" outlineLevel="0" collapsed="false">
      <c r="A193" s="0" t="s">
        <v>442</v>
      </c>
      <c r="B193" s="0" t="s">
        <v>258</v>
      </c>
      <c r="C193" s="23" t="n">
        <f aca="false">C190/C192</f>
        <v>5.01</v>
      </c>
      <c r="D193" s="23" t="n">
        <f aca="false">D190/D192</f>
        <v>6.91720659514496</v>
      </c>
      <c r="E193" s="23" t="n">
        <f aca="false">E190/E192</f>
        <v>12.8084840893173</v>
      </c>
      <c r="F193" s="23" t="n">
        <f aca="false">F190/F192</f>
        <v>10.8614617105727</v>
      </c>
      <c r="G193" s="23" t="n">
        <f aca="false">G190/G192</f>
        <v>11.9991083134536</v>
      </c>
      <c r="H193" s="29" t="n">
        <f aca="false">H190/H192</f>
        <v>10.7443722466818</v>
      </c>
      <c r="I193" s="29" t="n">
        <f aca="false">I190/I192</f>
        <v>8.9563610774662</v>
      </c>
      <c r="J193" s="29" t="n">
        <f aca="false">J190/J192</f>
        <v>6.76386450403741</v>
      </c>
    </row>
    <row r="194" customFormat="false" ht="17.15" hidden="false" customHeight="false" outlineLevel="0" collapsed="false">
      <c r="A194" s="0" t="s">
        <v>560</v>
      </c>
      <c r="B194" s="0" t="s">
        <v>54</v>
      </c>
      <c r="D194" s="13" t="n">
        <f aca="false">D193/C193-1</f>
        <v>0.38067995911077</v>
      </c>
      <c r="E194" s="13" t="n">
        <f aca="false">E193/D193-1</f>
        <v>0.851684478862804</v>
      </c>
      <c r="F194" s="13" t="n">
        <f aca="false">F193/E193-1</f>
        <v>-0.152010367906735</v>
      </c>
      <c r="G194" s="13" t="n">
        <f aca="false">G193/F193-1</f>
        <v>0.104741574678989</v>
      </c>
      <c r="H194" s="25" t="n">
        <f aca="false">H193/G193-1</f>
        <v>-0.104569109136631</v>
      </c>
      <c r="I194" s="25" t="n">
        <f aca="false">I193/H193-1</f>
        <v>-0.166413739971433</v>
      </c>
      <c r="J194" s="25" t="n">
        <f aca="false">J193/I193-1</f>
        <v>-0.244797697911601</v>
      </c>
    </row>
    <row r="195" customFormat="false" ht="17.15" hidden="false" customHeight="false" outlineLevel="0" collapsed="false">
      <c r="A195" s="3" t="s">
        <v>561</v>
      </c>
      <c r="B195" s="0" t="s">
        <v>54</v>
      </c>
      <c r="C195" s="13" t="n">
        <f aca="false">C190/C175</f>
        <v>0.223512336719884</v>
      </c>
      <c r="D195" s="13" t="n">
        <f aca="false">D190/D175</f>
        <v>0.23267412659167</v>
      </c>
      <c r="E195" s="13" t="n">
        <f aca="false">E190/E175</f>
        <v>0.263149571890777</v>
      </c>
      <c r="F195" s="13" t="n">
        <f aca="false">F190/F175</f>
        <v>0.248172343392078</v>
      </c>
      <c r="G195" s="13" t="n">
        <f aca="false">G190/G175</f>
        <v>0.247003407608235</v>
      </c>
      <c r="H195" s="25" t="n">
        <f aca="false">$G195+(fade_mC-$G195)*1/3</f>
        <v>0.204795013154252</v>
      </c>
      <c r="I195" s="25" t="n">
        <f aca="false">$G195+(fade_mC-$G195)*2/3</f>
        <v>0.162586618700269</v>
      </c>
      <c r="J195" s="25" t="n">
        <f aca="false">$G195+(fade_mC-$G195)*3/3</f>
        <v>0.120378224246286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564</v>
      </c>
    </row>
    <row r="2" customFormat="false" ht="17.15" hidden="false" customHeight="false" outlineLevel="0" collapsed="false">
      <c r="A2" s="3" t="s">
        <v>565</v>
      </c>
    </row>
    <row r="4" customFormat="false" ht="17.15" hidden="false" customHeight="false" outlineLevel="0" collapsed="false">
      <c r="A4" s="5" t="s">
        <v>566</v>
      </c>
    </row>
    <row r="5" customFormat="false" ht="17.15" hidden="false" customHeight="false" outlineLevel="0" collapsed="false">
      <c r="A5" s="5" t="s">
        <v>567</v>
      </c>
    </row>
    <row r="6" customFormat="false" ht="17.15" hidden="false" customHeight="false" outlineLevel="0" collapsed="false">
      <c r="A6" s="4" t="s">
        <v>23</v>
      </c>
      <c r="B6" s="14" t="s">
        <v>568</v>
      </c>
      <c r="C6" s="14" t="s">
        <v>569</v>
      </c>
      <c r="D6" s="14" t="s">
        <v>570</v>
      </c>
      <c r="E6" s="4" t="s">
        <v>391</v>
      </c>
    </row>
    <row r="7" customFormat="false" ht="17.15" hidden="false" customHeight="false" outlineLevel="0" collapsed="false">
      <c r="A7" s="3" t="s">
        <v>571</v>
      </c>
      <c r="E7" s="0" t="s">
        <v>572</v>
      </c>
    </row>
    <row r="8" customFormat="false" ht="15" hidden="false" customHeight="false" outlineLevel="0" collapsed="false">
      <c r="A8" s="0" t="s">
        <v>573</v>
      </c>
      <c r="B8" s="17" t="n">
        <f aca="false">PL!E14</f>
        <v>12.8084840893173</v>
      </c>
      <c r="C8" s="17" t="n">
        <f aca="false">PL!E27</f>
        <v>12.8084840893173</v>
      </c>
      <c r="D8" s="17" t="n">
        <f aca="false">PL!E40</f>
        <v>12.8084840893173</v>
      </c>
    </row>
    <row r="9" customFormat="false" ht="15" hidden="false" customHeight="false" outlineLevel="0" collapsed="false">
      <c r="A9" s="0" t="s">
        <v>574</v>
      </c>
      <c r="B9" s="17" t="n">
        <f aca="false">PL!F14</f>
        <v>17.7826519884357</v>
      </c>
      <c r="C9" s="17" t="n">
        <f aca="false">PL!F27</f>
        <v>14.3913560002786</v>
      </c>
      <c r="D9" s="17" t="n">
        <f aca="false">PL!F40</f>
        <v>10.8614617105727</v>
      </c>
    </row>
    <row r="10" customFormat="false" ht="15" hidden="false" customHeight="false" outlineLevel="0" collapsed="false">
      <c r="A10" s="0" t="s">
        <v>575</v>
      </c>
      <c r="B10" s="17" t="n">
        <f aca="false">PL!G14</f>
        <v>19.7276568065549</v>
      </c>
      <c r="C10" s="17" t="n">
        <f aca="false">PL!G27</f>
        <v>16.8844365052775</v>
      </c>
      <c r="D10" s="17" t="n">
        <f aca="false">PL!G40</f>
        <v>11.9991083134536</v>
      </c>
    </row>
    <row r="11" customFormat="false" ht="15" hidden="false" customHeight="false" outlineLevel="0" collapsed="false">
      <c r="A11" s="0" t="s">
        <v>576</v>
      </c>
      <c r="B11" s="17" t="n">
        <f aca="false">PL!H14</f>
        <v>21.7269232512454</v>
      </c>
      <c r="C11" s="17" t="n">
        <f aca="false">PL!H27</f>
        <v>17.3546019031438</v>
      </c>
      <c r="D11" s="17" t="n">
        <f aca="false">PL!H40</f>
        <v>10.7443722466818</v>
      </c>
    </row>
    <row r="12" customFormat="false" ht="15" hidden="false" customHeight="false" outlineLevel="0" collapsed="false">
      <c r="A12" s="0" t="s">
        <v>577</v>
      </c>
      <c r="B12" s="17" t="n">
        <f aca="false">PL!I14</f>
        <v>23.4796703312072</v>
      </c>
      <c r="C12" s="17" t="n">
        <f aca="false">PL!I27</f>
        <v>16.9604468772654</v>
      </c>
      <c r="D12" s="17" t="n">
        <f aca="false">PL!I40</f>
        <v>8.9563610774662</v>
      </c>
    </row>
    <row r="13" customFormat="false" ht="15" hidden="false" customHeight="false" outlineLevel="0" collapsed="false">
      <c r="A13" s="0" t="s">
        <v>578</v>
      </c>
      <c r="B13" s="17" t="n">
        <f aca="false">PL!J14</f>
        <v>24.8884505510796</v>
      </c>
      <c r="C13" s="17" t="n">
        <f aca="false">PL!J27</f>
        <v>15.6966218068327</v>
      </c>
      <c r="D13" s="17" t="n">
        <f aca="false">PL!J40</f>
        <v>6.76386450403741</v>
      </c>
    </row>
    <row r="14" customFormat="false" ht="17.15" hidden="false" customHeight="false" outlineLevel="0" collapsed="false">
      <c r="A14" s="3" t="s">
        <v>579</v>
      </c>
    </row>
    <row r="15" customFormat="false" ht="17.15" hidden="false" customHeight="false" outlineLevel="0" collapsed="false">
      <c r="A15" s="3" t="s">
        <v>580</v>
      </c>
      <c r="B15" s="13" t="n">
        <f aca="false">MIN(tp_g/tp_roe,0.8)</f>
        <v>0.203873598369011</v>
      </c>
      <c r="E15" s="7" t="s">
        <v>581</v>
      </c>
    </row>
    <row r="16" customFormat="false" ht="15" hidden="false" customHeight="false" outlineLevel="0" collapsed="false">
      <c r="A16" s="0" t="s">
        <v>573</v>
      </c>
      <c r="B16" s="17" t="n">
        <f aca="false">B8*(1-$B$15)</f>
        <v>10.197172348376</v>
      </c>
      <c r="C16" s="17" t="n">
        <f aca="false">C8*(1-$B$15)</f>
        <v>10.197172348376</v>
      </c>
      <c r="D16" s="17" t="n">
        <f aca="false">D8*(1-$B$15)</f>
        <v>10.197172348376</v>
      </c>
    </row>
    <row r="17" customFormat="false" ht="15" hidden="false" customHeight="false" outlineLevel="0" collapsed="false">
      <c r="A17" s="0" t="s">
        <v>574</v>
      </c>
      <c r="B17" s="17" t="n">
        <f aca="false">B9*(1-$B$15)</f>
        <v>14.1572387390095</v>
      </c>
      <c r="C17" s="17" t="n">
        <f aca="false">C9*(1-$B$15)</f>
        <v>11.4573384670924</v>
      </c>
      <c r="D17" s="17" t="n">
        <f aca="false">D9*(1-$B$15)</f>
        <v>8.64709642809097</v>
      </c>
    </row>
    <row r="18" customFormat="false" ht="15" hidden="false" customHeight="false" outlineLevel="0" collapsed="false">
      <c r="A18" s="0" t="s">
        <v>575</v>
      </c>
      <c r="B18" s="17" t="n">
        <f aca="false">B10*(1-$B$15)</f>
        <v>15.7057084260136</v>
      </c>
      <c r="C18" s="17" t="n">
        <f aca="false">C10*(1-$B$15)</f>
        <v>13.4421456785135</v>
      </c>
      <c r="D18" s="17" t="n">
        <f aca="false">D10*(1-$B$15)</f>
        <v>9.55280692437028</v>
      </c>
    </row>
    <row r="19" customFormat="false" ht="15" hidden="false" customHeight="false" outlineLevel="0" collapsed="false">
      <c r="A19" s="0" t="s">
        <v>576</v>
      </c>
      <c r="B19" s="17" t="n">
        <f aca="false">B11*(1-$B$15)</f>
        <v>17.2973772265266</v>
      </c>
      <c r="C19" s="17" t="n">
        <f aca="false">C11*(1-$B$15)</f>
        <v>13.8164567648882</v>
      </c>
      <c r="D19" s="17" t="n">
        <f aca="false">D11*(1-$B$15)</f>
        <v>8.55387841453464</v>
      </c>
    </row>
    <row r="20" customFormat="false" ht="15" hidden="false" customHeight="false" outlineLevel="0" collapsed="false">
      <c r="A20" s="0" t="s">
        <v>577</v>
      </c>
      <c r="B20" s="17" t="n">
        <f aca="false">B12*(1-$B$15)</f>
        <v>18.6927854522659</v>
      </c>
      <c r="C20" s="17" t="n">
        <f aca="false">C12*(1-$B$15)</f>
        <v>13.5026595424509</v>
      </c>
      <c r="D20" s="17" t="n">
        <f aca="false">D12*(1-$B$15)</f>
        <v>7.13039551631101</v>
      </c>
    </row>
    <row r="21" customFormat="false" ht="15" hidden="false" customHeight="false" outlineLevel="0" collapsed="false">
      <c r="A21" s="0" t="s">
        <v>578</v>
      </c>
      <c r="B21" s="17" t="n">
        <f aca="false">B13*(1-$B$15)</f>
        <v>19.8143525794018</v>
      </c>
      <c r="C21" s="17" t="n">
        <f aca="false">C13*(1-$B$15)</f>
        <v>12.4964950368362</v>
      </c>
      <c r="D21" s="17" t="n">
        <f aca="false">D13*(1-$B$15)</f>
        <v>5.38489110871887</v>
      </c>
    </row>
    <row r="22" customFormat="false" ht="17.15" hidden="false" customHeight="false" outlineLevel="0" collapsed="false">
      <c r="A22" s="0" t="s">
        <v>582</v>
      </c>
      <c r="B22" s="17" t="n">
        <f aca="false">SUMPRODUCT(B16:B21,1/(1+tp_r)^{1;2;3;4;5;6})+B21*(1+tp_g)/(tp_r-tp_g)/(1+tp_r)^6</f>
        <v>261.243942633388</v>
      </c>
      <c r="C22" s="17" t="n">
        <f aca="false">SUMPRODUCT(C16:C21,1/(1+tp_r)^{1;2;3;4;5;6})+C21*(1+tp_g)/(tp_r-tp_g)/(1+tp_r)^6</f>
        <v>175.981566752389</v>
      </c>
      <c r="D22" s="17" t="n">
        <f aca="false">SUMPRODUCT(D16:D21,1/(1+tp_r)^{1;2;3;4;5;6})+D21*(1+tp_g)/(tp_r-tp_g)/(1+tp_r)^6</f>
        <v>89.5900731303426</v>
      </c>
      <c r="E22" s="7" t="s">
        <v>583</v>
      </c>
    </row>
    <row r="23" customFormat="false" ht="17.15" hidden="false" customHeight="false" outlineLevel="0" collapsed="false">
      <c r="A23" s="0" t="s">
        <v>584</v>
      </c>
      <c r="B23" s="17" t="n">
        <f aca="false">B22*(1+tp_r)</f>
        <v>287.368336896727</v>
      </c>
      <c r="C23" s="17" t="n">
        <f aca="false">C22*(1+tp_r)</f>
        <v>193.579723427628</v>
      </c>
      <c r="D23" s="17" t="n">
        <f aca="false">D22*(1+tp_r)</f>
        <v>98.5490804433768</v>
      </c>
    </row>
    <row r="24" customFormat="false" ht="17.15" hidden="false" customHeight="false" outlineLevel="0" collapsed="false">
      <c r="A24" s="0" t="s">
        <v>585</v>
      </c>
      <c r="B24" s="30" t="n">
        <f aca="false">tp_wA*B23+tp_wB*C23+tp_wC*D23</f>
        <v>202.710178871507</v>
      </c>
      <c r="E24" s="7" t="s">
        <v>586</v>
      </c>
    </row>
    <row r="26" customFormat="false" ht="17.15" hidden="false" customHeight="false" outlineLevel="0" collapsed="false">
      <c r="A26" s="5" t="s">
        <v>587</v>
      </c>
    </row>
    <row r="27" customFormat="false" ht="17.15" hidden="false" customHeight="false" outlineLevel="0" collapsed="false">
      <c r="A27" s="4" t="s">
        <v>588</v>
      </c>
      <c r="B27" s="4" t="s">
        <v>589</v>
      </c>
      <c r="C27" s="4" t="s">
        <v>590</v>
      </c>
      <c r="D27" s="4" t="s">
        <v>591</v>
      </c>
      <c r="E27" s="4" t="s">
        <v>592</v>
      </c>
      <c r="F27" s="4" t="s">
        <v>28</v>
      </c>
    </row>
    <row r="28" customFormat="false" ht="17.15" hidden="false" customHeight="false" outlineLevel="0" collapsed="false">
      <c r="A28" s="3" t="s">
        <v>593</v>
      </c>
      <c r="B28" s="0" t="s">
        <v>594</v>
      </c>
      <c r="C28" s="31" t="n">
        <v>20.66</v>
      </c>
      <c r="D28" s="7" t="s">
        <v>595</v>
      </c>
      <c r="E28" s="7" t="s">
        <v>596</v>
      </c>
      <c r="F28" s="7" t="s">
        <v>55</v>
      </c>
    </row>
    <row r="29" customFormat="false" ht="17.15" hidden="false" customHeight="false" outlineLevel="0" collapsed="false">
      <c r="A29" s="3" t="s">
        <v>597</v>
      </c>
      <c r="B29" s="0" t="s">
        <v>598</v>
      </c>
      <c r="C29" s="31" t="n">
        <v>40.68</v>
      </c>
      <c r="D29" s="7" t="s">
        <v>599</v>
      </c>
      <c r="E29" s="7" t="s">
        <v>596</v>
      </c>
      <c r="F29" s="7" t="s">
        <v>55</v>
      </c>
    </row>
    <row r="30" customFormat="false" ht="17.15" hidden="false" customHeight="false" outlineLevel="0" collapsed="false">
      <c r="A30" s="3" t="s">
        <v>600</v>
      </c>
      <c r="B30" s="0" t="s">
        <v>601</v>
      </c>
      <c r="C30" s="31" t="n">
        <v>29.59</v>
      </c>
      <c r="D30" s="7" t="s">
        <v>602</v>
      </c>
      <c r="E30" s="7" t="s">
        <v>596</v>
      </c>
      <c r="F30" s="7" t="s">
        <v>55</v>
      </c>
    </row>
    <row r="31" customFormat="false" ht="17.15" hidden="false" customHeight="false" outlineLevel="0" collapsed="false">
      <c r="A31" s="3" t="s">
        <v>603</v>
      </c>
      <c r="B31" s="0" t="s">
        <v>604</v>
      </c>
      <c r="C31" s="31" t="n">
        <v>31.99</v>
      </c>
      <c r="D31" s="7" t="s">
        <v>605</v>
      </c>
      <c r="E31" s="7" t="s">
        <v>596</v>
      </c>
      <c r="F31" s="7" t="s">
        <v>55</v>
      </c>
    </row>
    <row r="32" customFormat="false" ht="17.15" hidden="false" customHeight="false" outlineLevel="0" collapsed="false">
      <c r="A32" s="3" t="s">
        <v>606</v>
      </c>
    </row>
    <row r="33" customFormat="false" ht="17.15" hidden="false" customHeight="false" outlineLevel="0" collapsed="false">
      <c r="A33" s="3" t="s">
        <v>607</v>
      </c>
      <c r="B33" s="20" t="n">
        <f aca="false">MEDIAN(C28:C31)</f>
        <v>30.79</v>
      </c>
      <c r="E33" s="7" t="s">
        <v>608</v>
      </c>
    </row>
    <row r="34" customFormat="false" ht="17.15" hidden="false" customHeight="false" outlineLevel="0" collapsed="false">
      <c r="A34" s="0" t="s">
        <v>609</v>
      </c>
      <c r="B34" s="17" t="n">
        <f aca="false">tp_wA*(2/12*B8+10/12*B9)+tp_wB*(2/12*C8+10/12*C9)+tp_wC*(2/12*D8+10/12*D9)</f>
        <v>14.3870522972067</v>
      </c>
      <c r="E34" s="3" t="s">
        <v>610</v>
      </c>
    </row>
    <row r="35" customFormat="false" ht="17.15" hidden="false" customHeight="false" outlineLevel="0" collapsed="false">
      <c r="A35" s="0" t="s">
        <v>611</v>
      </c>
      <c r="B35" s="30" t="n">
        <f aca="false">B33*B34</f>
        <v>442.977340230994</v>
      </c>
      <c r="E35" s="3" t="s">
        <v>612</v>
      </c>
    </row>
    <row r="37" customFormat="false" ht="17.15" hidden="false" customHeight="false" outlineLevel="0" collapsed="false">
      <c r="A37" s="5" t="s">
        <v>613</v>
      </c>
    </row>
    <row r="38" customFormat="false" ht="15" hidden="false" customHeight="false" outlineLevel="0" collapsed="false">
      <c r="A38" s="4" t="s">
        <v>23</v>
      </c>
      <c r="B38" s="4" t="s">
        <v>614</v>
      </c>
      <c r="C38" s="4"/>
      <c r="D38" s="4"/>
      <c r="E38" s="4" t="s">
        <v>391</v>
      </c>
    </row>
    <row r="39" customFormat="false" ht="17.15" hidden="false" customHeight="false" outlineLevel="0" collapsed="false">
      <c r="A39" s="3" t="s">
        <v>615</v>
      </c>
      <c r="B39" s="30" t="n">
        <f aca="false">tp_w_dcf*B24+(1-tp_w_dcf)*tp_comp_adj</f>
        <v>303.23769506379</v>
      </c>
      <c r="E39" s="7" t="s">
        <v>616</v>
      </c>
    </row>
    <row r="40" customFormat="false" ht="17.15" hidden="false" customHeight="false" outlineLevel="0" collapsed="false">
      <c r="A40" s="0" t="s">
        <v>617</v>
      </c>
      <c r="B40" s="17" t="n">
        <f aca="false">B35</f>
        <v>442.977340230994</v>
      </c>
    </row>
    <row r="41" customFormat="false" ht="17.15" hidden="false" customHeight="false" outlineLevel="0" collapsed="false">
      <c r="A41" s="3" t="s">
        <v>618</v>
      </c>
      <c r="B41" s="17" t="n">
        <f aca="false">cons_tp</f>
        <v>388.3</v>
      </c>
      <c r="E41" s="7" t="s">
        <v>619</v>
      </c>
    </row>
    <row r="42" customFormat="false" ht="17.15" hidden="false" customHeight="false" outlineLevel="0" collapsed="false">
      <c r="A42" s="3" t="s">
        <v>620</v>
      </c>
      <c r="B42" s="13" t="n">
        <f aca="false">B39/px-1</f>
        <v>0.652701629953071</v>
      </c>
      <c r="E42" s="3" t="s">
        <v>621</v>
      </c>
    </row>
    <row r="43" customFormat="false" ht="17.15" hidden="false" customHeight="false" outlineLevel="0" collapsed="false">
      <c r="A43" s="3" t="s">
        <v>622</v>
      </c>
      <c r="B43" s="13" t="n">
        <f aca="false">B40/px-1</f>
        <v>1.414308590751</v>
      </c>
    </row>
    <row r="44" customFormat="false" ht="17.15" hidden="false" customHeight="false" outlineLevel="0" collapsed="false">
      <c r="A44" s="3" t="s">
        <v>623</v>
      </c>
      <c r="B44" s="13" t="n">
        <f aca="false">B34/cons_feps-1</f>
        <v>0.163635579303179</v>
      </c>
      <c r="E44" s="3" t="s">
        <v>624</v>
      </c>
    </row>
    <row r="45" customFormat="false" ht="17.15" hidden="false" customHeight="false" outlineLevel="0" collapsed="false">
      <c r="A45" s="3" t="s">
        <v>625</v>
      </c>
      <c r="B45" s="13" t="n">
        <f aca="false">(cons_tp/cons_feps)/B33-1</f>
        <v>0.0200063398453048</v>
      </c>
      <c r="E45" s="0" t="str">
        <f aca="false">"共識目標價隱含 "&amp;TEXT(cons_tp/cons_feps,"0.0")&amp;"x，同業中位數 "&amp;TEXT(B33,"0.0")&amp;"x"</f>
        <v>共識目標價隱含 31.4x，同業中位數 30.8x</v>
      </c>
    </row>
    <row r="46" customFormat="false" ht="17.15" hidden="false" customHeight="false" outlineLevel="0" collapsed="false">
      <c r="A46" s="3" t="s">
        <v>626</v>
      </c>
      <c r="B46" s="32" t="str">
        <f aca="false">TEXT(D23,"0.00")&amp;"～"&amp;TEXT(B23,"0.00")</f>
        <v>98.55～287.37</v>
      </c>
      <c r="E46" s="7" t="s">
        <v>627</v>
      </c>
    </row>
    <row r="47" customFormat="false" ht="17.15" hidden="false" customHeight="false" outlineLevel="0" collapsed="false">
      <c r="A47" s="3" t="s">
        <v>628</v>
      </c>
      <c r="B47" s="33" t="n">
        <f aca="false">IF(px/B9&lt;MIN($B$90:$B$99),0,IF(px/B9&gt;MAX($B$90:$B$99),1,PERCENTRANK($B$90:$B$99,px/B9)))</f>
        <v>0</v>
      </c>
      <c r="C47" s="33" t="n">
        <f aca="false">IF(px/C9&lt;MIN($B$90:$B$99),0,IF(px/C9&gt;MAX($B$90:$B$99),1,PERCENTRANK($B$90:$B$99,px/C9)))</f>
        <v>0</v>
      </c>
      <c r="D47" s="33" t="n">
        <f aca="false">IF(px/D9&lt;MIN($B$90:$B$99),0,IF(px/D9&gt;MAX($B$90:$B$99),1,PERCENTRANK($B$90:$B$99,px/D9)))</f>
        <v>0.0452</v>
      </c>
      <c r="E47" s="3" t="s">
        <v>629</v>
      </c>
    </row>
    <row r="48" customFormat="false" ht="17.15" hidden="false" customHeight="false" outlineLevel="0" collapsed="false">
      <c r="A48" s="3" t="s">
        <v>630</v>
      </c>
      <c r="B48" s="0" t="s">
        <v>631</v>
      </c>
    </row>
    <row r="51" customFormat="false" ht="17.15" hidden="false" customHeight="false" outlineLevel="0" collapsed="false">
      <c r="A51" s="5" t="s">
        <v>632</v>
      </c>
    </row>
    <row r="52" customFormat="false" ht="15" hidden="false" customHeight="false" outlineLevel="0" collapsed="false">
      <c r="A52" s="4" t="s">
        <v>23</v>
      </c>
      <c r="B52" s="14" t="s">
        <v>633</v>
      </c>
      <c r="C52" s="14" t="s">
        <v>634</v>
      </c>
      <c r="D52" s="14" t="s">
        <v>635</v>
      </c>
      <c r="E52" s="4" t="s">
        <v>391</v>
      </c>
    </row>
    <row r="53" customFormat="false" ht="17.15" hidden="false" customHeight="false" outlineLevel="0" collapsed="false">
      <c r="A53" s="3" t="s">
        <v>636</v>
      </c>
      <c r="B53" s="17" t="n">
        <f aca="false">px</f>
        <v>183.48</v>
      </c>
    </row>
    <row r="54" customFormat="false" ht="17.15" hidden="false" customHeight="false" outlineLevel="0" collapsed="false">
      <c r="A54" s="3" t="s">
        <v>637</v>
      </c>
      <c r="B54" s="20" t="n">
        <f aca="false">px/PL!D14</f>
        <v>26.5251583101162</v>
      </c>
      <c r="C54" s="20" t="n">
        <f aca="false">px/PL!D27</f>
        <v>26.5251583101162</v>
      </c>
      <c r="D54" s="20" t="n">
        <f aca="false">px/PL!D40</f>
        <v>26.5251583101162</v>
      </c>
      <c r="E54" s="7" t="s">
        <v>638</v>
      </c>
    </row>
    <row r="55" customFormat="false" ht="17.15" hidden="false" customHeight="false" outlineLevel="0" collapsed="false">
      <c r="A55" s="3" t="s">
        <v>639</v>
      </c>
      <c r="B55" s="20" t="n">
        <f aca="false">px/PL!E14</f>
        <v>14.324880190391</v>
      </c>
      <c r="C55" s="20" t="n">
        <f aca="false">px/PL!E27</f>
        <v>14.324880190391</v>
      </c>
      <c r="D55" s="20" t="n">
        <f aca="false">px/PL!E40</f>
        <v>14.324880190391</v>
      </c>
      <c r="E55" s="7" t="s">
        <v>640</v>
      </c>
    </row>
    <row r="56" customFormat="false" ht="17.15" hidden="false" customHeight="false" outlineLevel="0" collapsed="false">
      <c r="A56" s="3" t="s">
        <v>641</v>
      </c>
      <c r="B56" s="20" t="n">
        <f aca="false">px/PL!F14</f>
        <v>10.3179210906967</v>
      </c>
      <c r="C56" s="20" t="n">
        <f aca="false">px/PL!F27</f>
        <v>12.7493197997776</v>
      </c>
      <c r="D56" s="20" t="n">
        <f aca="false">px/PL!F40</f>
        <v>16.8927539302927</v>
      </c>
    </row>
    <row r="57" customFormat="false" ht="17.15" hidden="false" customHeight="false" outlineLevel="0" collapsed="false">
      <c r="A57" s="3" t="s">
        <v>642</v>
      </c>
      <c r="B57" s="20" t="n">
        <f aca="false">px/PL!G14</f>
        <v>9.30064841451598</v>
      </c>
      <c r="C57" s="20" t="n">
        <f aca="false">px/PL!G27</f>
        <v>10.8668121641282</v>
      </c>
      <c r="D57" s="20" t="n">
        <f aca="false">px/PL!G40</f>
        <v>15.2911362417055</v>
      </c>
    </row>
    <row r="58" customFormat="false" ht="17.15" hidden="false" customHeight="false" outlineLevel="0" collapsed="false">
      <c r="A58" s="3" t="s">
        <v>643</v>
      </c>
      <c r="B58" s="17" t="n">
        <f aca="false">0.2*PL!D14+0.8*PL!E14</f>
        <v>11.6302285904829</v>
      </c>
    </row>
    <row r="59" customFormat="false" ht="17.15" hidden="false" customHeight="false" outlineLevel="0" collapsed="false">
      <c r="A59" s="3" t="s">
        <v>644</v>
      </c>
      <c r="B59" s="20" t="n">
        <f aca="false">px/B58</f>
        <v>15.7761301570756</v>
      </c>
    </row>
    <row r="60" customFormat="false" ht="17.15" hidden="false" customHeight="false" outlineLevel="0" collapsed="false">
      <c r="A60" s="3" t="s">
        <v>328</v>
      </c>
      <c r="B60" s="20" t="n">
        <f aca="false">pe_ttm</f>
        <v>35.87</v>
      </c>
    </row>
    <row r="61" customFormat="false" ht="17.15" hidden="false" customHeight="false" outlineLevel="0" collapsed="false">
      <c r="A61" s="3" t="s">
        <v>332</v>
      </c>
      <c r="B61" s="20" t="n">
        <f aca="false">fpe</f>
        <v>14.84</v>
      </c>
    </row>
    <row r="63" customFormat="false" ht="17.15" hidden="false" customHeight="false" outlineLevel="0" collapsed="false">
      <c r="A63" s="5" t="s">
        <v>645</v>
      </c>
    </row>
    <row r="64" customFormat="false" ht="17.15" hidden="false" customHeight="false" outlineLevel="0" collapsed="false">
      <c r="A64" s="4" t="s">
        <v>646</v>
      </c>
      <c r="B64" s="4" t="s">
        <v>647</v>
      </c>
      <c r="C64" s="14" t="s">
        <v>648</v>
      </c>
      <c r="D64" s="4" t="s">
        <v>649</v>
      </c>
      <c r="E64" s="4" t="s">
        <v>650</v>
      </c>
      <c r="F64" s="4" t="s">
        <v>391</v>
      </c>
    </row>
    <row r="65" customFormat="false" ht="17.15" hidden="false" customHeight="false" outlineLevel="0" collapsed="false">
      <c r="A65" s="0" t="s">
        <v>633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20" t="n">
        <f aca="false">IF(C65="見頂",pe_peak,IF(C65="谷底",pe_trough,pe_mid))</f>
        <v>30.65</v>
      </c>
      <c r="E65" s="0" t="str">
        <f aca="false">IF(B65=2029,"是：營收到觀測期末仍在增加","否")</f>
        <v>是：營收到觀測期末仍在增加</v>
      </c>
      <c r="F65" s="7" t="s">
        <v>651</v>
      </c>
    </row>
    <row r="66" customFormat="false" ht="15" hidden="false" customHeight="false" outlineLevel="0" collapsed="false">
      <c r="A66" s="0" t="s">
        <v>634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20" t="n">
        <f aca="false">IF(C66="見頂",pe_peak,IF(C66="谷底",pe_trough,pe_mid))</f>
        <v>30.65</v>
      </c>
      <c r="E66" s="0" t="str">
        <f aca="false">IF(B66=2029,"是：營收到觀測期末仍在增加","否")</f>
        <v>是：營收到觀測期末仍在增加</v>
      </c>
      <c r="F66" s="3" t="s">
        <v>40</v>
      </c>
    </row>
    <row r="67" customFormat="false" ht="15" hidden="false" customHeight="false" outlineLevel="0" collapsed="false">
      <c r="A67" s="0" t="s">
        <v>635</v>
      </c>
      <c r="B67" s="0" t="n">
        <f aca="false">INDEX({2026,2027,2028,2029},MATCH(MAX(PL!D175:G175),PL!D175:G175,0))</f>
        <v>2027</v>
      </c>
      <c r="C67" s="0" t="str">
        <f aca="false">IF(B67=2029,"中段",IF(2027&lt;B67,"中段",IF(2027=B67,"見頂","谷底")))</f>
        <v>見頂</v>
      </c>
      <c r="D67" s="20" t="n">
        <f aca="false">IF(C67="見頂",pe_peak,IF(C67="谷底",pe_trough,pe_mid))</f>
        <v>24.03</v>
      </c>
      <c r="E67" s="0" t="str">
        <f aca="false">IF(B67=2029,"是：營收到觀測期末仍在增加","否")</f>
        <v>否</v>
      </c>
      <c r="F67" s="3" t="s">
        <v>40</v>
      </c>
    </row>
    <row r="69" customFormat="false" ht="17.15" hidden="false" customHeight="false" outlineLevel="0" collapsed="false">
      <c r="A69" s="5" t="s">
        <v>652</v>
      </c>
    </row>
    <row r="70" customFormat="false" ht="17.15" hidden="false" customHeight="false" outlineLevel="0" collapsed="false">
      <c r="A70" s="4" t="s">
        <v>646</v>
      </c>
      <c r="B70" s="14" t="s">
        <v>653</v>
      </c>
      <c r="C70" s="4" t="s">
        <v>654</v>
      </c>
      <c r="D70" s="4" t="s">
        <v>655</v>
      </c>
      <c r="E70" s="4" t="s">
        <v>656</v>
      </c>
      <c r="F70" s="4" t="s">
        <v>657</v>
      </c>
      <c r="G70" s="4" t="s">
        <v>658</v>
      </c>
    </row>
    <row r="71" customFormat="false" ht="15" hidden="false" customHeight="false" outlineLevel="0" collapsed="false">
      <c r="A71" s="8" t="s">
        <v>633</v>
      </c>
      <c r="B71" s="30" t="n">
        <f aca="false">PL!E14</f>
        <v>12.8084840893173</v>
      </c>
      <c r="C71" s="30" t="n">
        <f aca="false">B71</f>
        <v>12.8084840893173</v>
      </c>
      <c r="D71" s="34" t="n">
        <f aca="false">D65</f>
        <v>30.65</v>
      </c>
      <c r="E71" s="30" t="n">
        <f aca="false">C71*D71</f>
        <v>392.580037337577</v>
      </c>
      <c r="F71" s="35" t="n">
        <f aca="false">E71/px-1</f>
        <v>1.13963395104413</v>
      </c>
      <c r="G71" s="34" t="n">
        <f aca="false">px/C71</f>
        <v>14.324880190391</v>
      </c>
    </row>
    <row r="72" customFormat="false" ht="15" hidden="false" customHeight="false" outlineLevel="0" collapsed="false">
      <c r="A72" s="8" t="s">
        <v>634</v>
      </c>
      <c r="B72" s="30" t="n">
        <f aca="false">PL!E27</f>
        <v>12.8084840893173</v>
      </c>
      <c r="C72" s="30" t="n">
        <f aca="false">B72</f>
        <v>12.8084840893173</v>
      </c>
      <c r="D72" s="34" t="n">
        <f aca="false">D66</f>
        <v>30.65</v>
      </c>
      <c r="E72" s="30" t="n">
        <f aca="false">C72*D72</f>
        <v>392.580037337577</v>
      </c>
      <c r="F72" s="35" t="n">
        <f aca="false">E72/px-1</f>
        <v>1.13963395104413</v>
      </c>
      <c r="G72" s="34" t="n">
        <f aca="false">px/C72</f>
        <v>14.324880190391</v>
      </c>
    </row>
    <row r="73" customFormat="false" ht="15" hidden="false" customHeight="false" outlineLevel="0" collapsed="false">
      <c r="A73" s="8" t="s">
        <v>635</v>
      </c>
      <c r="B73" s="30" t="n">
        <f aca="false">PL!E40</f>
        <v>12.8084840893173</v>
      </c>
      <c r="C73" s="30" t="n">
        <f aca="false">B73</f>
        <v>12.8084840893173</v>
      </c>
      <c r="D73" s="34" t="n">
        <f aca="false">D67</f>
        <v>24.03</v>
      </c>
      <c r="E73" s="30" t="n">
        <f aca="false">C73*D73</f>
        <v>307.787872666296</v>
      </c>
      <c r="F73" s="35" t="n">
        <f aca="false">E73/px-1</f>
        <v>0.677500941063308</v>
      </c>
      <c r="G73" s="34" t="n">
        <f aca="false">px/C73</f>
        <v>14.324880190391</v>
      </c>
    </row>
    <row r="75" customFormat="false" ht="17.15" hidden="false" customHeight="false" outlineLevel="0" collapsed="false">
      <c r="A75" s="5" t="s">
        <v>659</v>
      </c>
    </row>
    <row r="76" customFormat="false" ht="17.15" hidden="false" customHeight="false" outlineLevel="0" collapsed="false">
      <c r="A76" s="14" t="s">
        <v>660</v>
      </c>
      <c r="B76" s="4" t="s">
        <v>661</v>
      </c>
      <c r="C76" s="4" t="s">
        <v>662</v>
      </c>
      <c r="D76" s="4" t="s">
        <v>663</v>
      </c>
      <c r="E76" s="4" t="s">
        <v>664</v>
      </c>
    </row>
    <row r="77" customFormat="false" ht="15" hidden="false" customHeight="false" outlineLevel="0" collapsed="false">
      <c r="A77" s="18" t="n">
        <v>1</v>
      </c>
      <c r="B77" s="20" t="n">
        <f aca="false">px*A77/PL!F14</f>
        <v>10.3179210906967</v>
      </c>
      <c r="C77" s="20" t="n">
        <f aca="false">px*A77/PL!F27</f>
        <v>12.7493197997776</v>
      </c>
      <c r="D77" s="20" t="n">
        <f aca="false">px*A77/PL!F40</f>
        <v>16.8927539302927</v>
      </c>
      <c r="E77" s="20" t="n">
        <f aca="false">pe_mid</f>
        <v>30.65</v>
      </c>
    </row>
    <row r="78" customFormat="false" ht="15" hidden="false" customHeight="false" outlineLevel="0" collapsed="false">
      <c r="A78" s="18" t="n">
        <v>1.1</v>
      </c>
      <c r="B78" s="20" t="n">
        <f aca="false">px*A78/PL!F14</f>
        <v>11.3497131997663</v>
      </c>
      <c r="C78" s="20" t="n">
        <f aca="false">px*A78/PL!F27</f>
        <v>14.0242517797553</v>
      </c>
      <c r="D78" s="20" t="n">
        <f aca="false">px*A78/PL!F40</f>
        <v>18.582029323322</v>
      </c>
      <c r="E78" s="20" t="n">
        <f aca="false">pe_mid</f>
        <v>30.65</v>
      </c>
    </row>
    <row r="79" customFormat="false" ht="15" hidden="false" customHeight="false" outlineLevel="0" collapsed="false">
      <c r="A79" s="18" t="n">
        <v>1.21</v>
      </c>
      <c r="B79" s="20" t="n">
        <f aca="false">px*A79/PL!F14</f>
        <v>12.484684519743</v>
      </c>
      <c r="C79" s="20" t="n">
        <f aca="false">px*A79/PL!F27</f>
        <v>15.4266769577309</v>
      </c>
      <c r="D79" s="20" t="n">
        <f aca="false">px*A79/PL!F40</f>
        <v>20.4402322556542</v>
      </c>
      <c r="E79" s="20" t="n">
        <f aca="false">pe_mid</f>
        <v>30.65</v>
      </c>
    </row>
    <row r="80" customFormat="false" ht="15" hidden="false" customHeight="false" outlineLevel="0" collapsed="false">
      <c r="A80" s="18" t="n">
        <v>1.5</v>
      </c>
      <c r="B80" s="20" t="n">
        <f aca="false">px*A80/PL!F14</f>
        <v>15.476881636045</v>
      </c>
      <c r="C80" s="20" t="n">
        <f aca="false">px*A80/PL!F27</f>
        <v>19.1239796996664</v>
      </c>
      <c r="D80" s="20" t="n">
        <f aca="false">px*A80/PL!F40</f>
        <v>25.3391308954391</v>
      </c>
      <c r="E80" s="20" t="n">
        <f aca="false">pe_mid</f>
        <v>30.65</v>
      </c>
    </row>
    <row r="81" customFormat="false" ht="15" hidden="false" customHeight="false" outlineLevel="0" collapsed="false">
      <c r="A81" s="18" t="n">
        <v>2</v>
      </c>
      <c r="B81" s="20" t="n">
        <f aca="false">px*A81/PL!F14</f>
        <v>20.6358421813934</v>
      </c>
      <c r="C81" s="20" t="n">
        <f aca="false">px*A81/PL!F27</f>
        <v>25.4986395995551</v>
      </c>
      <c r="D81" s="20" t="n">
        <f aca="false">px*A81/PL!F40</f>
        <v>33.7855078605854</v>
      </c>
      <c r="E81" s="20" t="n">
        <f aca="false">pe_mid</f>
        <v>30.65</v>
      </c>
    </row>
    <row r="82" customFormat="false" ht="17.15" hidden="false" customHeight="false" outlineLevel="0" collapsed="false">
      <c r="A82" s="3" t="s">
        <v>665</v>
      </c>
    </row>
    <row r="85" customFormat="false" ht="17.15" hidden="false" customHeight="false" outlineLevel="0" collapsed="false">
      <c r="A85" s="5" t="s">
        <v>666</v>
      </c>
    </row>
    <row r="86" customFormat="false" ht="17.15" hidden="false" customHeight="false" outlineLevel="0" collapsed="false">
      <c r="A86" s="3" t="s">
        <v>667</v>
      </c>
    </row>
    <row r="88" customFormat="false" ht="17.15" hidden="false" customHeight="false" outlineLevel="0" collapsed="false">
      <c r="A88" s="5" t="s">
        <v>668</v>
      </c>
    </row>
    <row r="89" customFormat="false" ht="17.15" hidden="false" customHeight="false" outlineLevel="0" collapsed="false">
      <c r="A89" s="4" t="s">
        <v>669</v>
      </c>
      <c r="B89" s="14" t="s">
        <v>670</v>
      </c>
      <c r="C89" s="4" t="s">
        <v>671</v>
      </c>
      <c r="D89" s="4" t="s">
        <v>672</v>
      </c>
    </row>
    <row r="90" customFormat="false" ht="17.15" hidden="false" customHeight="false" outlineLevel="0" collapsed="false">
      <c r="A90" s="0" t="s">
        <v>673</v>
      </c>
      <c r="B90" s="18" t="n">
        <v>33.8</v>
      </c>
      <c r="D90" s="7" t="s">
        <v>674</v>
      </c>
    </row>
    <row r="91" customFormat="false" ht="15" hidden="false" customHeight="false" outlineLevel="0" collapsed="false">
      <c r="A91" s="0" t="s">
        <v>675</v>
      </c>
      <c r="B91" s="18" t="n">
        <v>30.9</v>
      </c>
    </row>
    <row r="92" customFormat="false" ht="15" hidden="false" customHeight="false" outlineLevel="0" collapsed="false">
      <c r="A92" s="0" t="s">
        <v>676</v>
      </c>
      <c r="B92" s="18" t="n">
        <v>21.4</v>
      </c>
    </row>
    <row r="93" customFormat="false" ht="15" hidden="false" customHeight="false" outlineLevel="0" collapsed="false">
      <c r="A93" s="0" t="s">
        <v>677</v>
      </c>
      <c r="B93" s="18" t="n">
        <v>25.9</v>
      </c>
    </row>
    <row r="94" customFormat="false" ht="15" hidden="false" customHeight="false" outlineLevel="0" collapsed="false">
      <c r="A94" s="0" t="s">
        <v>678</v>
      </c>
      <c r="B94" s="18" t="n">
        <v>30.4</v>
      </c>
    </row>
    <row r="95" customFormat="false" ht="15" hidden="false" customHeight="false" outlineLevel="0" collapsed="false">
      <c r="A95" s="0" t="s">
        <v>679</v>
      </c>
      <c r="B95" s="18" t="n">
        <v>34.2</v>
      </c>
      <c r="C95" s="17" t="n">
        <f aca="false">26.13/0.67042</f>
        <v>38.9755675546672</v>
      </c>
    </row>
    <row r="96" customFormat="false" ht="15" hidden="false" customHeight="false" outlineLevel="0" collapsed="false">
      <c r="A96" s="0" t="s">
        <v>680</v>
      </c>
      <c r="B96" s="18" t="n">
        <v>13.8</v>
      </c>
      <c r="C96" s="17" t="n">
        <f aca="false">11.18/0.79065</f>
        <v>14.1402643394675</v>
      </c>
    </row>
    <row r="97" customFormat="false" ht="15" hidden="false" customHeight="false" outlineLevel="0" collapsed="false">
      <c r="A97" s="0" t="s">
        <v>681</v>
      </c>
      <c r="B97" s="18" t="n">
        <v>23.4</v>
      </c>
      <c r="C97" s="17" t="n">
        <f aca="false">15.75/0.67135</f>
        <v>23.4601921501452</v>
      </c>
    </row>
    <row r="98" customFormat="false" ht="15" hidden="false" customHeight="false" outlineLevel="0" collapsed="false">
      <c r="A98" s="0" t="s">
        <v>682</v>
      </c>
      <c r="B98" s="18" t="n">
        <v>34.5</v>
      </c>
      <c r="C98" s="17" t="n">
        <f aca="false">35.93/1.15443</f>
        <v>31.1235847994248</v>
      </c>
    </row>
    <row r="99" customFormat="false" ht="15" hidden="false" customHeight="false" outlineLevel="0" collapsed="false">
      <c r="A99" s="0" t="s">
        <v>683</v>
      </c>
      <c r="B99" s="18" t="n">
        <v>59.2</v>
      </c>
      <c r="C99" s="17" t="n">
        <f aca="false">250.23/4.31199</f>
        <v>58.0312106475201</v>
      </c>
    </row>
    <row r="100" customFormat="false" ht="17.15" hidden="false" customHeight="false" outlineLevel="0" collapsed="false">
      <c r="A100" s="0" t="s">
        <v>684</v>
      </c>
      <c r="B100" s="17" t="n">
        <f aca="false">PERCENTILE(B90:B99,0.25)</f>
        <v>24.025</v>
      </c>
      <c r="C100" s="17" t="n">
        <f aca="false">PERCENTILE(C90:C99,0.25)</f>
        <v>23.4601921501452</v>
      </c>
    </row>
    <row r="101" customFormat="false" ht="15" hidden="false" customHeight="false" outlineLevel="0" collapsed="false">
      <c r="A101" s="3" t="s">
        <v>685</v>
      </c>
      <c r="B101" s="17" t="n">
        <f aca="false">MEDIAN(B90:B99)</f>
        <v>30.65</v>
      </c>
      <c r="C101" s="17" t="n">
        <f aca="false">MEDIAN(C90:C99)</f>
        <v>31.1235847994248</v>
      </c>
    </row>
    <row r="102" customFormat="false" ht="17.15" hidden="false" customHeight="false" outlineLevel="0" collapsed="false">
      <c r="A102" s="0" t="s">
        <v>686</v>
      </c>
      <c r="B102" s="17" t="n">
        <f aca="false">PERCENTILE(B90:B99,0.75)</f>
        <v>34.1</v>
      </c>
      <c r="C102" s="17" t="n">
        <f aca="false">PERCENTILE(C90:C99,0.75)</f>
        <v>38.9755675546672</v>
      </c>
    </row>
    <row r="103" customFormat="false" ht="15" hidden="false" customHeight="false" outlineLevel="0" collapsed="false">
      <c r="A103" s="3" t="s">
        <v>687</v>
      </c>
      <c r="B103" s="17" t="n">
        <f aca="false">MIN(B90:B99)</f>
        <v>13.8</v>
      </c>
      <c r="C103" s="17" t="n">
        <f aca="false">MIN(C90:C99)</f>
        <v>14.1402643394675</v>
      </c>
    </row>
    <row r="104" customFormat="false" ht="15" hidden="false" customHeight="false" outlineLevel="0" collapsed="false">
      <c r="A104" s="3" t="s">
        <v>688</v>
      </c>
      <c r="B104" s="17" t="n">
        <f aca="false">MAX(B90:B99)</f>
        <v>59.2</v>
      </c>
      <c r="C104" s="17" t="n">
        <f aca="false">MAX(C90:C99)</f>
        <v>58.0312106475201</v>
      </c>
    </row>
    <row r="105" customFormat="false" ht="17.15" hidden="false" customHeight="false" outlineLevel="0" collapsed="false">
      <c r="A105" s="1" t="s">
        <v>689</v>
      </c>
      <c r="B105" s="17" t="n">
        <f aca="false">ROUND(AVERAGE(B100),2)</f>
        <v>24.03</v>
      </c>
    </row>
    <row r="106" customFormat="false" ht="17.15" hidden="false" customHeight="false" outlineLevel="0" collapsed="false">
      <c r="A106" s="1" t="s">
        <v>690</v>
      </c>
      <c r="B106" s="17" t="n">
        <f aca="false">ROUND(AVERAGE(B101),2)</f>
        <v>30.65</v>
      </c>
    </row>
    <row r="107" customFormat="false" ht="17.15" hidden="false" customHeight="false" outlineLevel="0" collapsed="false">
      <c r="A107" s="1" t="s">
        <v>691</v>
      </c>
      <c r="B107" s="17" t="n">
        <f aca="false">ROUND(AVERAGE(B102),2)</f>
        <v>34.1</v>
      </c>
    </row>
    <row r="108" customFormat="false" ht="17.15" hidden="false" customHeight="false" outlineLevel="0" collapsed="false">
      <c r="A108" s="1" t="s">
        <v>692</v>
      </c>
      <c r="B108" s="17" t="n">
        <f aca="false">ROUND(MIN(B103),2)</f>
        <v>13.8</v>
      </c>
    </row>
    <row r="109" customFormat="false" ht="17.15" hidden="false" customHeight="false" outlineLevel="0" collapsed="false">
      <c r="A109" s="1" t="s">
        <v>693</v>
      </c>
      <c r="B109" s="17" t="n">
        <f aca="false">ROUND(MAX(B104),2)</f>
        <v>59.2</v>
      </c>
    </row>
    <row r="111" customFormat="false" ht="17.15" hidden="false" customHeight="false" outlineLevel="0" collapsed="false">
      <c r="A111" s="5" t="s">
        <v>694</v>
      </c>
    </row>
    <row r="112" customFormat="false" ht="17.15" hidden="false" customHeight="false" outlineLevel="0" collapsed="false">
      <c r="A112" s="4" t="s">
        <v>695</v>
      </c>
      <c r="B112" s="4" t="s">
        <v>696</v>
      </c>
      <c r="C112" s="4" t="s">
        <v>697</v>
      </c>
      <c r="D112" s="4" t="s">
        <v>26</v>
      </c>
      <c r="E112" s="4" t="s">
        <v>698</v>
      </c>
      <c r="F112" s="4" t="s">
        <v>656</v>
      </c>
      <c r="G112" s="4" t="s">
        <v>699</v>
      </c>
      <c r="H112" s="4" t="s">
        <v>700</v>
      </c>
    </row>
    <row r="113" customFormat="false" ht="17.15" hidden="false" customHeight="false" outlineLevel="0" collapsed="false">
      <c r="A113" s="3" t="s">
        <v>701</v>
      </c>
      <c r="B113" s="0" t="s">
        <v>702</v>
      </c>
      <c r="C113" s="17" t="n">
        <f aca="false">B105</f>
        <v>24.03</v>
      </c>
      <c r="D113" s="7" t="s">
        <v>703</v>
      </c>
      <c r="E113" s="17" t="n">
        <f aca="false">C71</f>
        <v>12.8084840893173</v>
      </c>
      <c r="F113" s="22" t="n">
        <f aca="false">C113*E113</f>
        <v>307.787872666296</v>
      </c>
      <c r="G113" s="13" t="n">
        <f aca="false">F113/px-1</f>
        <v>0.677500941063308</v>
      </c>
      <c r="H113" s="17" t="n">
        <f aca="false">px/E113</f>
        <v>14.324880190391</v>
      </c>
    </row>
    <row r="114" customFormat="false" ht="17.15" hidden="false" customHeight="false" outlineLevel="0" collapsed="false">
      <c r="A114" s="3" t="s">
        <v>704</v>
      </c>
      <c r="B114" s="3" t="s">
        <v>705</v>
      </c>
      <c r="C114" s="17" t="n">
        <f aca="false">B106</f>
        <v>30.65</v>
      </c>
      <c r="D114" s="7" t="s">
        <v>703</v>
      </c>
      <c r="E114" s="17" t="n">
        <f aca="false">C71</f>
        <v>12.8084840893173</v>
      </c>
      <c r="F114" s="22" t="n">
        <f aca="false">C114*E114</f>
        <v>392.580037337577</v>
      </c>
      <c r="G114" s="13" t="n">
        <f aca="false">F114/px-1</f>
        <v>1.13963395104413</v>
      </c>
      <c r="H114" s="17" t="n">
        <f aca="false">px/E114</f>
        <v>14.324880190391</v>
      </c>
    </row>
    <row r="115" customFormat="false" ht="17.15" hidden="false" customHeight="false" outlineLevel="0" collapsed="false">
      <c r="A115" s="3" t="s">
        <v>706</v>
      </c>
      <c r="B115" s="0" t="s">
        <v>707</v>
      </c>
      <c r="C115" s="17" t="n">
        <f aca="false">B107</f>
        <v>34.1</v>
      </c>
      <c r="D115" s="7" t="s">
        <v>703</v>
      </c>
      <c r="E115" s="17" t="n">
        <f aca="false">C71</f>
        <v>12.8084840893173</v>
      </c>
      <c r="F115" s="22" t="n">
        <f aca="false">C115*E115</f>
        <v>436.769307445721</v>
      </c>
      <c r="G115" s="13" t="n">
        <f aca="false">F115/px-1</f>
        <v>1.38047366168368</v>
      </c>
      <c r="H115" s="17" t="n">
        <f aca="false">px/E115</f>
        <v>14.324880190391</v>
      </c>
    </row>
    <row r="118" customFormat="false" ht="17.15" hidden="false" customHeight="false" outlineLevel="0" collapsed="false">
      <c r="A118" s="3" t="s">
        <v>708</v>
      </c>
      <c r="B118" s="32" t="str">
        <f aca="false">IF(B42&gt;0.5,"大於 50%",IF(B42&gt;0.25,"25%–50%",IF(B42&gt;=0,"0%–25%",IF(B42&gt;=-0.25,"0%～−25%",IF(B42&gt;=-0.5,"−25%～−50%","小於 −50%")))))</f>
        <v>大於 50%</v>
      </c>
      <c r="E118" s="3" t="s">
        <v>709</v>
      </c>
    </row>
    <row r="119" customFormat="false" ht="17.15" hidden="false" customHeight="false" outlineLevel="0" collapsed="false">
      <c r="A119" s="3" t="s">
        <v>710</v>
      </c>
      <c r="B119" s="32" t="str">
        <f aca="false">IF(B42&gt;0.5,"強力買進",IF(B42&gt;0.25,"買進",IF(B42&gt;=-0.25,"中立",IF(B42&gt;=-0.5,"放空","強力放空"))))</f>
        <v>強力買進</v>
      </c>
      <c r="E119" s="3" t="s">
        <v>711</v>
      </c>
    </row>
    <row r="122" customFormat="false" ht="17.15" hidden="false" customHeight="false" outlineLevel="0" collapsed="false">
      <c r="A122" s="5" t="s">
        <v>712</v>
      </c>
    </row>
    <row r="123" customFormat="false" ht="17.15" hidden="false" customHeight="false" outlineLevel="0" collapsed="false">
      <c r="A123" s="3" t="s">
        <v>713</v>
      </c>
    </row>
    <row r="124" customFormat="false" ht="17.15" hidden="false" customHeight="false" outlineLevel="0" collapsed="false">
      <c r="A124" s="4" t="s">
        <v>714</v>
      </c>
      <c r="B124" s="4" t="s">
        <v>589</v>
      </c>
      <c r="C124" s="4" t="s">
        <v>715</v>
      </c>
      <c r="D124" s="14" t="s">
        <v>716</v>
      </c>
      <c r="E124" s="14" t="s">
        <v>717</v>
      </c>
      <c r="F124" s="14" t="s">
        <v>718</v>
      </c>
      <c r="G124" s="14" t="s">
        <v>719</v>
      </c>
      <c r="H124" s="14" t="s">
        <v>720</v>
      </c>
      <c r="I124" s="14" t="s">
        <v>721</v>
      </c>
      <c r="J124" s="14" t="s">
        <v>722</v>
      </c>
      <c r="K124" s="14" t="s">
        <v>723</v>
      </c>
      <c r="L124" s="14" t="s">
        <v>724</v>
      </c>
      <c r="M124" s="14" t="s">
        <v>725</v>
      </c>
      <c r="N124" s="4" t="s">
        <v>726</v>
      </c>
      <c r="O124" s="14" t="s">
        <v>727</v>
      </c>
      <c r="P124" s="4" t="s">
        <v>728</v>
      </c>
      <c r="Q124" s="4" t="s">
        <v>592</v>
      </c>
    </row>
    <row r="125" customFormat="false" ht="17.15" hidden="false" customHeight="false" outlineLevel="0" collapsed="false">
      <c r="A125" s="3" t="s">
        <v>729</v>
      </c>
      <c r="B125" s="0" t="s">
        <v>730</v>
      </c>
      <c r="C125" s="3" t="s">
        <v>731</v>
      </c>
      <c r="D125" s="18" t="n">
        <v>26.771</v>
      </c>
      <c r="E125" s="18" t="n">
        <v>23.378</v>
      </c>
      <c r="F125" s="18" t="n">
        <v>17.2565</v>
      </c>
      <c r="G125" s="18" t="n">
        <v>24.698</v>
      </c>
      <c r="H125" s="18" t="n">
        <v>20.9235</v>
      </c>
      <c r="I125" s="18" t="n">
        <v>12.972</v>
      </c>
      <c r="J125" s="18" t="n">
        <v>15.293</v>
      </c>
      <c r="K125" s="18" t="n">
        <v>18.9935</v>
      </c>
      <c r="L125" s="18" t="n">
        <v>21.572</v>
      </c>
      <c r="M125" s="18" t="n">
        <v>24.9465</v>
      </c>
      <c r="N125" s="7" t="n">
        <f aca="false">COUNT(D125:M125)</f>
        <v>10</v>
      </c>
      <c r="O125" s="17" t="n">
        <f aca="false">IF(N125&gt;0,MEDIAN(D125:M125),"")</f>
        <v>21.24775</v>
      </c>
      <c r="P125" s="17" t="n">
        <f aca="false">IF(N125&gt;=7,O125,"")</f>
        <v>21.24775</v>
      </c>
      <c r="Q125" s="7" t="s">
        <v>732</v>
      </c>
    </row>
    <row r="126" customFormat="false" ht="17.15" hidden="false" customHeight="false" outlineLevel="0" collapsed="false">
      <c r="A126" s="3" t="s">
        <v>593</v>
      </c>
      <c r="B126" s="0" t="s">
        <v>594</v>
      </c>
      <c r="C126" s="3" t="s">
        <v>733</v>
      </c>
      <c r="D126" s="18" t="n">
        <v>36.659</v>
      </c>
      <c r="E126" s="18" t="n">
        <v>18.6465</v>
      </c>
      <c r="F126" s="18" t="n">
        <v>25.6005</v>
      </c>
      <c r="G126" s="18" t="n">
        <v>24.769</v>
      </c>
      <c r="H126" s="18" t="n">
        <v>16.125</v>
      </c>
      <c r="I126" s="18" t="n">
        <v>17.2225</v>
      </c>
      <c r="J126" s="18" t="n">
        <v>21.359</v>
      </c>
      <c r="K126" s="18" t="n">
        <v>24.3755</v>
      </c>
      <c r="L126" s="18" t="n">
        <v>22.247</v>
      </c>
      <c r="M126" s="18" t="n">
        <v>26.574</v>
      </c>
      <c r="N126" s="7" t="n">
        <f aca="false">COUNT(D126:M126)</f>
        <v>10</v>
      </c>
      <c r="O126" s="17" t="n">
        <f aca="false">IF(N126&gt;0,MEDIAN(D126:M126),"")</f>
        <v>23.31125</v>
      </c>
      <c r="P126" s="17" t="n">
        <f aca="false">IF(N126&gt;=7,O126,"")</f>
        <v>23.31125</v>
      </c>
      <c r="Q126" s="7" t="s">
        <v>734</v>
      </c>
    </row>
    <row r="127" customFormat="false" ht="17.15" hidden="false" customHeight="false" outlineLevel="0" collapsed="false">
      <c r="A127" s="3" t="s">
        <v>597</v>
      </c>
      <c r="B127" s="0" t="s">
        <v>598</v>
      </c>
      <c r="C127" s="3" t="s">
        <v>733</v>
      </c>
      <c r="E127" s="18" t="n">
        <v>26.275</v>
      </c>
      <c r="F127" s="18" t="n">
        <v>33.2185</v>
      </c>
      <c r="G127" s="18" t="n">
        <v>34.504</v>
      </c>
      <c r="H127" s="18" t="n">
        <v>27.071</v>
      </c>
      <c r="I127" s="18" t="n">
        <v>23.603</v>
      </c>
      <c r="J127" s="18" t="n">
        <v>18.8325</v>
      </c>
      <c r="K127" s="18" t="n">
        <v>23.9525</v>
      </c>
      <c r="L127" s="18" t="n">
        <v>26.3185</v>
      </c>
      <c r="M127" s="18" t="n">
        <v>33.475</v>
      </c>
      <c r="N127" s="7" t="n">
        <f aca="false">COUNT(D127:M127)</f>
        <v>9</v>
      </c>
      <c r="O127" s="17" t="n">
        <f aca="false">IF(N127&gt;0,MEDIAN(D127:M127),"")</f>
        <v>26.3185</v>
      </c>
      <c r="P127" s="17" t="n">
        <f aca="false">IF(N127&gt;=7,O127,"")</f>
        <v>26.3185</v>
      </c>
      <c r="Q127" s="7" t="s">
        <v>735</v>
      </c>
    </row>
    <row r="128" customFormat="false" ht="17.15" hidden="false" customHeight="false" outlineLevel="0" collapsed="false">
      <c r="A128" s="3" t="s">
        <v>600</v>
      </c>
      <c r="B128" s="0" t="s">
        <v>601</v>
      </c>
      <c r="C128" s="3" t="s">
        <v>733</v>
      </c>
      <c r="H128" s="18" t="n">
        <v>17.164</v>
      </c>
      <c r="I128" s="18" t="n">
        <v>16.9055</v>
      </c>
      <c r="J128" s="18" t="n">
        <v>17.709</v>
      </c>
      <c r="K128" s="18" t="n">
        <v>41.8305</v>
      </c>
      <c r="L128" s="18" t="n">
        <v>39.5685</v>
      </c>
      <c r="M128" s="18" t="n">
        <v>28.741</v>
      </c>
      <c r="N128" s="7" t="n">
        <f aca="false">COUNT(D128:M128)</f>
        <v>6</v>
      </c>
      <c r="O128" s="17" t="n">
        <f aca="false">IF(N128&gt;0,MEDIAN(D128:M128),"")</f>
        <v>23.225</v>
      </c>
      <c r="P128" s="17" t="str">
        <f aca="false">IF(N128&gt;=7,O128,"")</f>
        <v/>
      </c>
      <c r="Q128" s="7" t="s">
        <v>736</v>
      </c>
    </row>
    <row r="129" customFormat="false" ht="17.15" hidden="false" customHeight="false" outlineLevel="0" collapsed="false">
      <c r="A129" s="3" t="s">
        <v>603</v>
      </c>
      <c r="B129" s="0" t="s">
        <v>604</v>
      </c>
      <c r="C129" s="3" t="s">
        <v>733</v>
      </c>
      <c r="F129" s="18" t="n">
        <v>19.3975</v>
      </c>
      <c r="G129" s="18" t="n">
        <v>28.747</v>
      </c>
      <c r="H129" s="18" t="n">
        <v>20.292</v>
      </c>
      <c r="I129" s="18" t="n">
        <v>16.09</v>
      </c>
      <c r="J129" s="18" t="n">
        <v>11.2335</v>
      </c>
      <c r="K129" s="18" t="n">
        <v>15.351</v>
      </c>
      <c r="L129" s="18" t="n">
        <v>19.1995</v>
      </c>
      <c r="M129" s="18" t="n">
        <v>24.671</v>
      </c>
      <c r="N129" s="7" t="n">
        <f aca="false">COUNT(D129:M129)</f>
        <v>8</v>
      </c>
      <c r="O129" s="17" t="n">
        <f aca="false">IF(N129&gt;0,MEDIAN(D129:M129),"")</f>
        <v>19.2985</v>
      </c>
      <c r="P129" s="17" t="n">
        <f aca="false">IF(N129&gt;=7,O129,"")</f>
        <v>19.2985</v>
      </c>
      <c r="Q129" s="7" t="s">
        <v>737</v>
      </c>
    </row>
    <row r="131" customFormat="false" ht="17.15" hidden="false" customHeight="false" outlineLevel="0" collapsed="false">
      <c r="A131" s="3" t="s">
        <v>738</v>
      </c>
      <c r="B131" s="17" t="n">
        <f aca="false">P125</f>
        <v>21.24775</v>
      </c>
      <c r="E131" s="3" t="s">
        <v>739</v>
      </c>
    </row>
    <row r="132" customFormat="false" ht="15" hidden="false" customHeight="false" outlineLevel="0" collapsed="false">
      <c r="A132" s="3" t="s">
        <v>740</v>
      </c>
      <c r="B132" s="36" t="n">
        <f aca="false">COUNT(P126:P129)</f>
        <v>3</v>
      </c>
    </row>
    <row r="133" customFormat="false" ht="17.15" hidden="false" customHeight="false" outlineLevel="0" collapsed="false">
      <c r="A133" s="3" t="s">
        <v>741</v>
      </c>
      <c r="B133" s="17" t="n">
        <f aca="false">IF(B132&gt;0,MEDIAN(P126:P129),"")</f>
        <v>23.31125</v>
      </c>
    </row>
    <row r="134" customFormat="false" ht="17.15" hidden="false" customHeight="false" outlineLevel="0" collapsed="false">
      <c r="A134" s="3" t="s">
        <v>742</v>
      </c>
      <c r="B134" s="17" t="n">
        <f aca="false">IF(AND(ISNUMBER(B131),B132&gt;=2),B131/B133,"")</f>
        <v>0.911480508338249</v>
      </c>
      <c r="E134" s="3" t="s">
        <v>743</v>
      </c>
    </row>
    <row r="135" customFormat="false" ht="17.15" hidden="false" customHeight="false" outlineLevel="0" collapsed="false">
      <c r="A135" s="3" t="s">
        <v>744</v>
      </c>
      <c r="B135" s="18" t="n">
        <v>0.5</v>
      </c>
      <c r="E135" s="7" t="s">
        <v>745</v>
      </c>
    </row>
    <row r="136" customFormat="false" ht="17.15" hidden="false" customHeight="false" outlineLevel="0" collapsed="false">
      <c r="A136" s="3" t="s">
        <v>746</v>
      </c>
      <c r="B136" s="18" t="n">
        <v>2</v>
      </c>
      <c r="E136" s="7" t="s">
        <v>747</v>
      </c>
    </row>
    <row r="137" customFormat="false" ht="17.15" hidden="false" customHeight="false" outlineLevel="0" collapsed="false">
      <c r="A137" s="1" t="s">
        <v>748</v>
      </c>
      <c r="B137" s="30" t="n">
        <f aca="false">IF(ISNUMBER(B134),MIN(MAX(B134,B135),B136),1)</f>
        <v>0.911480508338249</v>
      </c>
      <c r="E137" s="3" t="s">
        <v>749</v>
      </c>
    </row>
    <row r="138" customFormat="false" ht="17.15" hidden="false" customHeight="false" outlineLevel="0" collapsed="false">
      <c r="A138" s="5" t="s">
        <v>750</v>
      </c>
      <c r="B138" s="30" t="n">
        <f aca="false">Val!$B$35*B137</f>
        <v>403.765211256072</v>
      </c>
      <c r="E138" s="3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4" t="s">
        <v>23</v>
      </c>
      <c r="B3" s="4" t="s">
        <v>753</v>
      </c>
      <c r="C3" s="4" t="s">
        <v>754</v>
      </c>
      <c r="D3" s="4" t="s">
        <v>755</v>
      </c>
      <c r="E3" s="4" t="s">
        <v>756</v>
      </c>
      <c r="F3" s="4" t="s">
        <v>757</v>
      </c>
      <c r="G3" s="4" t="s">
        <v>758</v>
      </c>
      <c r="H3" s="4" t="s">
        <v>759</v>
      </c>
      <c r="I3" s="4" t="s">
        <v>760</v>
      </c>
      <c r="J3" s="4" t="s">
        <v>391</v>
      </c>
    </row>
    <row r="4" customFormat="false" ht="17.15" hidden="false" customHeight="false" outlineLevel="0" collapsed="false">
      <c r="A4" s="5" t="s">
        <v>761</v>
      </c>
    </row>
    <row r="5" customFormat="false" ht="17.15" hidden="false" customHeight="false" outlineLevel="0" collapsed="false">
      <c r="A5" s="0" t="s">
        <v>762</v>
      </c>
      <c r="B5" s="22" t="n">
        <f aca="false">cons_rev26</f>
        <v>31.604</v>
      </c>
      <c r="C5" s="22" t="n">
        <f aca="false">PL!D83</f>
        <v>28.126</v>
      </c>
      <c r="D5" s="13" t="n">
        <f aca="false">C5/B5-1</f>
        <v>-0.1100493608404</v>
      </c>
      <c r="E5" s="22" t="n">
        <f aca="false">PL!D129</f>
        <v>28.126</v>
      </c>
      <c r="F5" s="13" t="n">
        <f aca="false">E5/B5-1</f>
        <v>-0.1100493608404</v>
      </c>
      <c r="G5" s="22" t="n">
        <f aca="false">PL!D175</f>
        <v>28.126</v>
      </c>
      <c r="H5" s="13" t="n">
        <f aca="false">G5/B5-1</f>
        <v>-0.1100493608404</v>
      </c>
      <c r="I5" s="3" t="s">
        <v>763</v>
      </c>
      <c r="J5" s="3" t="s">
        <v>764</v>
      </c>
    </row>
    <row r="6" customFormat="false" ht="17.15" hidden="false" customHeight="false" outlineLevel="0" collapsed="false">
      <c r="A6" s="0" t="s">
        <v>765</v>
      </c>
      <c r="B6" s="23" t="n">
        <f aca="false">cons_eps26</f>
        <v>8.61</v>
      </c>
      <c r="C6" s="23" t="n">
        <f aca="false">PL!D101</f>
        <v>6.91720659514496</v>
      </c>
      <c r="D6" s="13" t="n">
        <f aca="false">C6/B6-1</f>
        <v>-0.196607828670737</v>
      </c>
      <c r="E6" s="23" t="n">
        <f aca="false">PL!D147</f>
        <v>6.91720659514496</v>
      </c>
      <c r="F6" s="13" t="n">
        <f aca="false">E6/B6-1</f>
        <v>-0.196607828670737</v>
      </c>
      <c r="G6" s="23" t="n">
        <f aca="false">PL!D193</f>
        <v>6.91720659514496</v>
      </c>
      <c r="H6" s="13" t="n">
        <f aca="false">G6/B6-1</f>
        <v>-0.196607828670737</v>
      </c>
      <c r="I6" s="3" t="s">
        <v>766</v>
      </c>
      <c r="J6" s="7" t="s">
        <v>767</v>
      </c>
    </row>
    <row r="7" customFormat="false" ht="17.15" hidden="false" customHeight="false" outlineLevel="0" collapsed="false">
      <c r="A7" s="0" t="s">
        <v>768</v>
      </c>
      <c r="B7" s="23" t="n">
        <f aca="false">jpm_eps26</f>
        <v>9.2</v>
      </c>
      <c r="C7" s="23" t="n">
        <f aca="false">PL!D101</f>
        <v>6.91720659514496</v>
      </c>
      <c r="D7" s="13" t="n">
        <f aca="false">C7/B7-1</f>
        <v>-0.248129717919026</v>
      </c>
      <c r="E7" s="23" t="n">
        <f aca="false">PL!D147</f>
        <v>6.91720659514496</v>
      </c>
      <c r="F7" s="13" t="n">
        <f aca="false">E7/B7-1</f>
        <v>-0.248129717919026</v>
      </c>
      <c r="G7" s="23" t="n">
        <f aca="false">PL!D193</f>
        <v>6.91720659514496</v>
      </c>
      <c r="H7" s="13" t="n">
        <f aca="false">G7/B7-1</f>
        <v>-0.248129717919026</v>
      </c>
      <c r="I7" s="3" t="s">
        <v>769</v>
      </c>
    </row>
    <row r="8" customFormat="false" ht="17.15" hidden="false" customHeight="false" outlineLevel="0" collapsed="false">
      <c r="A8" s="0" t="s">
        <v>770</v>
      </c>
      <c r="B8" s="22" t="n">
        <f aca="false">cons_rev27</f>
        <v>51.477</v>
      </c>
      <c r="C8" s="22" t="n">
        <f aca="false">PL!E83</f>
        <v>47.8142</v>
      </c>
      <c r="D8" s="13" t="n">
        <f aca="false">C8/B8-1</f>
        <v>-0.0711541076597316</v>
      </c>
      <c r="E8" s="22" t="n">
        <f aca="false">PL!E129</f>
        <v>47.8142</v>
      </c>
      <c r="F8" s="13" t="n">
        <f aca="false">E8/B8-1</f>
        <v>-0.0711541076597316</v>
      </c>
      <c r="G8" s="22" t="n">
        <f aca="false">PL!E175</f>
        <v>47.8142</v>
      </c>
      <c r="H8" s="13" t="n">
        <f aca="false">G8/B8-1</f>
        <v>-0.0711541076597316</v>
      </c>
      <c r="I8" s="3" t="s">
        <v>766</v>
      </c>
    </row>
    <row r="9" customFormat="false" ht="17.15" hidden="false" customHeight="false" outlineLevel="0" collapsed="false">
      <c r="A9" s="0" t="s">
        <v>771</v>
      </c>
      <c r="B9" s="22" t="n">
        <f aca="false">jpm_rev27</f>
        <v>60</v>
      </c>
      <c r="C9" s="22" t="n">
        <f aca="false">PL!E83</f>
        <v>47.8142</v>
      </c>
      <c r="D9" s="13" t="n">
        <f aca="false">C9/B9-1</f>
        <v>-0.203096666666667</v>
      </c>
      <c r="E9" s="22" t="n">
        <f aca="false">PL!E129</f>
        <v>47.8142</v>
      </c>
      <c r="F9" s="13" t="n">
        <f aca="false">E9/B9-1</f>
        <v>-0.203096666666667</v>
      </c>
      <c r="G9" s="22" t="n">
        <f aca="false">PL!E175</f>
        <v>47.8142</v>
      </c>
      <c r="H9" s="13" t="n">
        <f aca="false">G9/B9-1</f>
        <v>-0.203096666666667</v>
      </c>
      <c r="I9" s="3" t="s">
        <v>769</v>
      </c>
    </row>
    <row r="10" customFormat="false" ht="17.15" hidden="false" customHeight="false" outlineLevel="0" collapsed="false">
      <c r="A10" s="0" t="s">
        <v>772</v>
      </c>
      <c r="B10" s="23" t="n">
        <f aca="false">cons_eps27</f>
        <v>14.77</v>
      </c>
      <c r="C10" s="23" t="n">
        <f aca="false">PL!E101</f>
        <v>12.8084840893173</v>
      </c>
      <c r="D10" s="13" t="n">
        <f aca="false">C10/B10-1</f>
        <v>-0.132804056241209</v>
      </c>
      <c r="E10" s="23" t="n">
        <f aca="false">PL!E147</f>
        <v>12.8084840893173</v>
      </c>
      <c r="F10" s="13" t="n">
        <f aca="false">E10/B10-1</f>
        <v>-0.132804056241209</v>
      </c>
      <c r="G10" s="23" t="n">
        <f aca="false">PL!E193</f>
        <v>12.8084840893173</v>
      </c>
      <c r="H10" s="13" t="n">
        <f aca="false">G10/B10-1</f>
        <v>-0.132804056241209</v>
      </c>
      <c r="I10" s="3" t="s">
        <v>766</v>
      </c>
      <c r="J10" s="3" t="s">
        <v>265</v>
      </c>
    </row>
    <row r="11" customFormat="false" ht="17.15" hidden="false" customHeight="false" outlineLevel="0" collapsed="false">
      <c r="A11" s="0" t="s">
        <v>773</v>
      </c>
      <c r="B11" s="23" t="n">
        <f aca="false">jpm_eps27</f>
        <v>17.55</v>
      </c>
      <c r="C11" s="23" t="n">
        <f aca="false">PL!E101</f>
        <v>12.8084840893173</v>
      </c>
      <c r="D11" s="13" t="n">
        <f aca="false">C11/B11-1</f>
        <v>-0.270171846762545</v>
      </c>
      <c r="E11" s="23" t="n">
        <f aca="false">PL!E147</f>
        <v>12.8084840893173</v>
      </c>
      <c r="F11" s="13" t="n">
        <f aca="false">E11/B11-1</f>
        <v>-0.270171846762545</v>
      </c>
      <c r="G11" s="23" t="n">
        <f aca="false">PL!E193</f>
        <v>12.8084840893173</v>
      </c>
      <c r="H11" s="13" t="n">
        <f aca="false">G11/B11-1</f>
        <v>-0.270171846762545</v>
      </c>
      <c r="I11" s="3" t="s">
        <v>769</v>
      </c>
    </row>
    <row r="12" customFormat="false" ht="17.15" hidden="false" customHeight="false" outlineLevel="0" collapsed="false">
      <c r="A12" s="0" t="s">
        <v>774</v>
      </c>
      <c r="B12" s="23" t="n">
        <f aca="false">gs_eps27</f>
        <v>20.9125475285171</v>
      </c>
      <c r="C12" s="23" t="n">
        <f aca="false">PL!E101</f>
        <v>12.8084840893173</v>
      </c>
      <c r="D12" s="13" t="n">
        <f aca="false">C12/B12-1</f>
        <v>-0.387521579001734</v>
      </c>
      <c r="E12" s="23" t="n">
        <f aca="false">PL!E147</f>
        <v>12.8084840893173</v>
      </c>
      <c r="F12" s="13" t="n">
        <f aca="false">E12/B12-1</f>
        <v>-0.387521579001734</v>
      </c>
      <c r="G12" s="23" t="n">
        <f aca="false">PL!E193</f>
        <v>12.8084840893173</v>
      </c>
      <c r="H12" s="13" t="n">
        <f aca="false">G12/B12-1</f>
        <v>-0.387521579001734</v>
      </c>
      <c r="I12" s="3" t="s">
        <v>775</v>
      </c>
      <c r="J12" s="3" t="s">
        <v>776</v>
      </c>
    </row>
    <row r="13" customFormat="false" ht="17.15" hidden="false" customHeight="false" outlineLevel="0" collapsed="false">
      <c r="A13" s="0" t="s">
        <v>777</v>
      </c>
      <c r="B13" s="22" t="n">
        <f aca="false">cons_rev28</f>
        <v>74.435</v>
      </c>
      <c r="C13" s="22" t="n">
        <f aca="false">PL!F83</f>
        <v>64.5810970084142</v>
      </c>
      <c r="D13" s="13" t="n">
        <f aca="false">C13/B13-1</f>
        <v>-0.132382655895557</v>
      </c>
      <c r="E13" s="22" t="n">
        <f aca="false">PL!F129</f>
        <v>53.7869976067314</v>
      </c>
      <c r="F13" s="13" t="n">
        <f aca="false">E13/B13-1</f>
        <v>-0.277396418261149</v>
      </c>
      <c r="G13" s="22" t="n">
        <f aca="false">PL!F175</f>
        <v>42.9928982050485</v>
      </c>
      <c r="H13" s="13" t="n">
        <f aca="false">G13/B13-1</f>
        <v>-0.422410180626741</v>
      </c>
      <c r="I13" s="3" t="s">
        <v>766</v>
      </c>
    </row>
    <row r="14" customFormat="false" ht="17.15" hidden="false" customHeight="false" outlineLevel="0" collapsed="false">
      <c r="A14" s="0" t="s">
        <v>778</v>
      </c>
      <c r="B14" s="23" t="n">
        <f aca="false">cons_eps28</f>
        <v>22.13</v>
      </c>
      <c r="C14" s="23" t="n">
        <f aca="false">PL!F101</f>
        <v>17.7826519884357</v>
      </c>
      <c r="D14" s="13" t="n">
        <f aca="false">C14/B14-1</f>
        <v>-0.196445911051256</v>
      </c>
      <c r="E14" s="23" t="n">
        <f aca="false">PL!F147</f>
        <v>14.3913560002786</v>
      </c>
      <c r="F14" s="13" t="n">
        <f aca="false">E14/B14-1</f>
        <v>-0.349690194293781</v>
      </c>
      <c r="G14" s="23" t="n">
        <f aca="false">PL!F193</f>
        <v>10.8614617105727</v>
      </c>
      <c r="H14" s="13" t="n">
        <f aca="false">G14/B14-1</f>
        <v>-0.509197392201868</v>
      </c>
      <c r="I14" s="3" t="s">
        <v>766</v>
      </c>
      <c r="J14" s="3" t="s">
        <v>270</v>
      </c>
    </row>
    <row r="15" customFormat="false" ht="17.15" hidden="false" customHeight="false" outlineLevel="0" collapsed="false">
      <c r="A15" s="0" t="s">
        <v>779</v>
      </c>
      <c r="B15" s="23" t="n">
        <f aca="false">jpm_eps28</f>
        <v>26.06</v>
      </c>
      <c r="C15" s="23" t="n">
        <f aca="false">PL!F101</f>
        <v>17.7826519884357</v>
      </c>
      <c r="D15" s="13" t="n">
        <f aca="false">C15/B15-1</f>
        <v>-0.317626554549666</v>
      </c>
      <c r="E15" s="23" t="n">
        <f aca="false">PL!F147</f>
        <v>14.3913560002786</v>
      </c>
      <c r="F15" s="13" t="n">
        <f aca="false">E15/B15-1</f>
        <v>-0.44776070605224</v>
      </c>
      <c r="G15" s="23" t="n">
        <f aca="false">PL!F193</f>
        <v>10.8614617105727</v>
      </c>
      <c r="H15" s="13" t="n">
        <f aca="false">G15/B15-1</f>
        <v>-0.583213288159146</v>
      </c>
      <c r="I15" s="3" t="s">
        <v>769</v>
      </c>
    </row>
    <row r="16" customFormat="false" ht="17.15" hidden="false" customHeight="false" outlineLevel="0" collapsed="false">
      <c r="A16" s="5" t="s">
        <v>780</v>
      </c>
    </row>
    <row r="17" customFormat="false" ht="17.15" hidden="false" customHeight="false" outlineLevel="0" collapsed="false">
      <c r="A17" s="0" t="s">
        <v>781</v>
      </c>
      <c r="B17" s="21" t="n">
        <f aca="false">emc_ccl26</f>
        <v>350</v>
      </c>
      <c r="C17" s="21" t="n">
        <f aca="false">PL!D69</f>
        <v>450</v>
      </c>
      <c r="D17" s="13" t="n">
        <f aca="false">C17/B17-1</f>
        <v>0.285714285714286</v>
      </c>
      <c r="E17" s="21" t="n">
        <f aca="false">PL!D115</f>
        <v>450</v>
      </c>
      <c r="F17" s="13" t="n">
        <f aca="false">E17/B17-1</f>
        <v>0.285714285714286</v>
      </c>
      <c r="G17" s="21" t="n">
        <f aca="false">PL!D161</f>
        <v>450</v>
      </c>
      <c r="H17" s="13" t="n">
        <f aca="false">G17/B17-1</f>
        <v>0.285714285714286</v>
      </c>
      <c r="I17" s="7" t="s">
        <v>782</v>
      </c>
      <c r="J17" s="3" t="s">
        <v>783</v>
      </c>
    </row>
    <row r="18" customFormat="false" ht="17.15" hidden="false" customHeight="false" outlineLevel="0" collapsed="false">
      <c r="A18" s="0" t="s">
        <v>784</v>
      </c>
      <c r="B18" s="21" t="n">
        <f aca="false">emc_ccl27</f>
        <v>527.5</v>
      </c>
      <c r="C18" s="21" t="n">
        <f aca="false">PL!E69</f>
        <v>682</v>
      </c>
      <c r="D18" s="13" t="n">
        <f aca="false">C18/B18-1</f>
        <v>0.292890995260664</v>
      </c>
      <c r="E18" s="21" t="n">
        <f aca="false">PL!E115</f>
        <v>682</v>
      </c>
      <c r="F18" s="13" t="n">
        <f aca="false">E18/B18-1</f>
        <v>0.292890995260664</v>
      </c>
      <c r="G18" s="21" t="n">
        <f aca="false">PL!E161</f>
        <v>682</v>
      </c>
      <c r="H18" s="13" t="n">
        <f aca="false">G18/B18-1</f>
        <v>0.292890995260664</v>
      </c>
      <c r="I18" s="7" t="s">
        <v>782</v>
      </c>
      <c r="J18" s="7" t="s">
        <v>113</v>
      </c>
    </row>
    <row r="19" customFormat="false" ht="17.15" hidden="false" customHeight="false" outlineLevel="0" collapsed="false">
      <c r="A19" s="0" t="s">
        <v>785</v>
      </c>
      <c r="B19" s="21" t="n">
        <f aca="false">emc_ccl28</f>
        <v>609</v>
      </c>
      <c r="C19" s="21" t="n">
        <f aca="false">PL!F69</f>
        <v>792</v>
      </c>
      <c r="D19" s="13" t="n">
        <f aca="false">C19/B19-1</f>
        <v>0.300492610837438</v>
      </c>
      <c r="E19" s="21" t="n">
        <f aca="false">PL!F115</f>
        <v>792</v>
      </c>
      <c r="F19" s="13" t="n">
        <f aca="false">E19/B19-1</f>
        <v>0.300492610837438</v>
      </c>
      <c r="G19" s="21" t="n">
        <f aca="false">PL!F161</f>
        <v>792</v>
      </c>
      <c r="H19" s="13" t="n">
        <f aca="false">G19/B19-1</f>
        <v>0.300492610837438</v>
      </c>
      <c r="I19" s="7" t="s">
        <v>782</v>
      </c>
      <c r="J19" s="7" t="s">
        <v>113</v>
      </c>
    </row>
    <row r="20" customFormat="false" ht="17.15" hidden="false" customHeight="false" outlineLevel="0" collapsed="false">
      <c r="A20" s="0" t="s">
        <v>786</v>
      </c>
      <c r="B20" s="17" t="n">
        <f aca="false">ms_rk_gb/ms_ccl_gb</f>
        <v>5.24271844660194</v>
      </c>
      <c r="C20" s="17" t="n">
        <f aca="false">PL!D69/emc_ccl26</f>
        <v>1.28571428571429</v>
      </c>
      <c r="D20" s="13" t="n">
        <f aca="false">C20/B20-1</f>
        <v>-0.754761904761905</v>
      </c>
      <c r="E20" s="17" t="n">
        <f aca="false">PL!D115/emc_ccl26</f>
        <v>1.28571428571429</v>
      </c>
      <c r="F20" s="13" t="n">
        <f aca="false">E20/B20-1</f>
        <v>-0.754761904761905</v>
      </c>
      <c r="G20" s="17" t="n">
        <f aca="false">PL!D161/emc_ccl26</f>
        <v>1.28571428571429</v>
      </c>
      <c r="H20" s="13" t="n">
        <f aca="false">G20/B20-1</f>
        <v>-0.754761904761905</v>
      </c>
      <c r="I20" s="7" t="s">
        <v>787</v>
      </c>
      <c r="J20" s="3" t="s">
        <v>788</v>
      </c>
    </row>
    <row r="21" customFormat="false" ht="17.15" hidden="false" customHeight="false" outlineLevel="0" collapsed="false">
      <c r="A21" s="0" t="s">
        <v>789</v>
      </c>
      <c r="B21" s="17" t="n">
        <f aca="false">emc_ccl27/emc_ccl26</f>
        <v>1.50714285714286</v>
      </c>
      <c r="C21" s="17" t="n">
        <f aca="false">PL!E69/PL!D69</f>
        <v>1.51555555555556</v>
      </c>
      <c r="D21" s="13" t="n">
        <f aca="false">C21/B21-1</f>
        <v>0.00558188520273828</v>
      </c>
      <c r="E21" s="17" t="n">
        <f aca="false">PL!E115/PL!D115</f>
        <v>1.51555555555556</v>
      </c>
      <c r="F21" s="13" t="n">
        <f aca="false">E21/B21-1</f>
        <v>0.00558188520273828</v>
      </c>
      <c r="G21" s="17" t="n">
        <f aca="false">PL!E161/PL!D161</f>
        <v>1.51555555555556</v>
      </c>
      <c r="H21" s="13" t="n">
        <f aca="false">G21/B21-1</f>
        <v>0.00558188520273828</v>
      </c>
      <c r="I21" s="7" t="s">
        <v>790</v>
      </c>
      <c r="J21" s="3" t="s">
        <v>791</v>
      </c>
    </row>
    <row r="22" customFormat="false" ht="17.15" hidden="false" customHeight="false" outlineLevel="0" collapsed="false">
      <c r="A22" s="0" t="s">
        <v>792</v>
      </c>
      <c r="B22" s="21" t="n">
        <f aca="false">emc_pg27</f>
        <v>180.408412082255</v>
      </c>
      <c r="C22" s="21" t="n">
        <f aca="false">PL!E87</f>
        <v>132.933491717507</v>
      </c>
      <c r="D22" s="13" t="n">
        <f aca="false">C22/B22-1</f>
        <v>-0.263152476188872</v>
      </c>
      <c r="E22" s="21" t="n">
        <f aca="false">PL!E133</f>
        <v>132.933491717507</v>
      </c>
      <c r="F22" s="13" t="n">
        <f aca="false">E22/B22-1</f>
        <v>-0.263152476188872</v>
      </c>
      <c r="G22" s="21" t="n">
        <f aca="false">PL!E179</f>
        <v>132.933491717507</v>
      </c>
      <c r="H22" s="13" t="n">
        <f aca="false">G22/B22-1</f>
        <v>-0.263152476188872</v>
      </c>
      <c r="I22" s="7" t="s">
        <v>790</v>
      </c>
      <c r="J22" s="3" t="s">
        <v>793</v>
      </c>
    </row>
    <row r="23" customFormat="false" ht="17.15" hidden="false" customHeight="false" outlineLevel="0" collapsed="false">
      <c r="A23" s="0" t="s">
        <v>794</v>
      </c>
      <c r="B23" s="17" t="n">
        <f aca="false">(ms_rk_vr*racks_vr)/(ms_rk_gb*racks_gb*(1-vr26)+ms_rk_vr*racks_vr*vr26)</f>
        <v>1.63500173434484</v>
      </c>
      <c r="C23" s="17" t="n">
        <f aca="false">PL!E69/PL!D69</f>
        <v>1.51555555555556</v>
      </c>
      <c r="D23" s="13" t="n">
        <f aca="false">C23/B23-1</f>
        <v>-0.0730556893489465</v>
      </c>
      <c r="E23" s="17" t="n">
        <f aca="false">PL!E115/PL!D115</f>
        <v>1.51555555555556</v>
      </c>
      <c r="F23" s="13" t="n">
        <f aca="false">E23/B23-1</f>
        <v>-0.0730556893489465</v>
      </c>
      <c r="G23" s="17" t="n">
        <f aca="false">PL!E161/PL!D161</f>
        <v>1.51555555555556</v>
      </c>
      <c r="H23" s="13" t="n">
        <f aca="false">G23/B23-1</f>
        <v>-0.0730556893489465</v>
      </c>
      <c r="I23" s="7" t="s">
        <v>795</v>
      </c>
      <c r="J23" s="3" t="s">
        <v>796</v>
      </c>
    </row>
    <row r="24" customFormat="false" ht="17.15" hidden="false" customHeight="false" outlineLevel="0" collapsed="false">
      <c r="A24" s="0" t="s">
        <v>797</v>
      </c>
      <c r="B24" s="21" t="n">
        <f aca="false">(ms_rk_gb*racks_gb*(1-vr26)+ms_rk_vr*racks_vr*vr26)/1000</f>
        <v>289.21584</v>
      </c>
      <c r="C24" s="21" t="n">
        <f aca="false">PL!D69</f>
        <v>450</v>
      </c>
      <c r="D24" s="13" t="n">
        <f aca="false">C24/B24-1</f>
        <v>0.555931376372746</v>
      </c>
      <c r="E24" s="21" t="n">
        <f aca="false">PL!D115</f>
        <v>450</v>
      </c>
      <c r="F24" s="13" t="n">
        <f aca="false">E24/B24-1</f>
        <v>0.555931376372746</v>
      </c>
      <c r="G24" s="21" t="n">
        <f aca="false">PL!D161</f>
        <v>450</v>
      </c>
      <c r="H24" s="13" t="n">
        <f aca="false">G24/B24-1</f>
        <v>0.555931376372746</v>
      </c>
      <c r="I24" s="3" t="s">
        <v>40</v>
      </c>
      <c r="J24" s="7" t="s">
        <v>798</v>
      </c>
    </row>
    <row r="25" customFormat="false" ht="17.15" hidden="false" customHeight="false" outlineLevel="0" collapsed="false">
      <c r="A25" s="0" t="s">
        <v>799</v>
      </c>
      <c r="B25" s="13" t="n">
        <f aca="false">jpm_sh</f>
        <v>0.138</v>
      </c>
      <c r="C25" s="13" t="n">
        <f aca="false">PL!D73</f>
        <v>0.247531793970355</v>
      </c>
      <c r="D25" s="13" t="n">
        <f aca="false">C25-B25</f>
        <v>0.109531793970354</v>
      </c>
      <c r="E25" s="13" t="n">
        <f aca="false">PL!D119</f>
        <v>0.247531793970355</v>
      </c>
      <c r="F25" s="13" t="n">
        <f aca="false">E25-B25</f>
        <v>0.109531793970354</v>
      </c>
      <c r="G25" s="13" t="n">
        <f aca="false">PL!D165</f>
        <v>0.247531793970355</v>
      </c>
      <c r="H25" s="13" t="n">
        <f aca="false">G25-B25</f>
        <v>0.109531793970354</v>
      </c>
      <c r="I25" s="3" t="s">
        <v>769</v>
      </c>
      <c r="J25" s="3" t="s">
        <v>800</v>
      </c>
    </row>
    <row r="26" customFormat="false" ht="17.15" hidden="false" customHeight="false" outlineLevel="0" collapsed="false">
      <c r="A26" s="5" t="s">
        <v>801</v>
      </c>
    </row>
    <row r="27" customFormat="false" ht="17.15" hidden="false" customHeight="false" outlineLevel="0" collapsed="false">
      <c r="A27" s="0" t="s">
        <v>802</v>
      </c>
      <c r="C27" s="13" t="n">
        <f aca="false">PL!E86</f>
        <v>1.11121979275943</v>
      </c>
      <c r="E27" s="13" t="n">
        <f aca="false">PL!E132</f>
        <v>1.11121979275943</v>
      </c>
      <c r="G27" s="13" t="n">
        <f aca="false">PL!E178</f>
        <v>1.11121979275943</v>
      </c>
      <c r="I27" s="7" t="s">
        <v>113</v>
      </c>
      <c r="J27" s="3" t="s">
        <v>495</v>
      </c>
    </row>
    <row r="28" customFormat="false" ht="17.15" hidden="false" customHeight="false" outlineLevel="0" collapsed="false">
      <c r="A28" s="0" t="s">
        <v>803</v>
      </c>
      <c r="C28" s="13" t="n">
        <f aca="false">PL!F86</f>
        <v>0.986312346288997</v>
      </c>
      <c r="E28" s="13" t="n">
        <f aca="false">PL!F132</f>
        <v>0.821459873969374</v>
      </c>
      <c r="G28" s="13" t="n">
        <f aca="false">PL!F178</f>
        <v>0.656607401649752</v>
      </c>
      <c r="I28" s="7" t="s">
        <v>113</v>
      </c>
    </row>
    <row r="29" customFormat="false" ht="17.15" hidden="false" customHeight="false" outlineLevel="0" collapsed="false">
      <c r="A29" s="3" t="s">
        <v>804</v>
      </c>
      <c r="C29" s="13" t="n">
        <f aca="false">PL!D89</f>
        <v>0.237492000284434</v>
      </c>
      <c r="E29" s="13" t="n">
        <f aca="false">PL!D135</f>
        <v>0.237492000284434</v>
      </c>
      <c r="G29" s="13" t="n">
        <f aca="false">PL!D181</f>
        <v>0.237492000284434</v>
      </c>
      <c r="I29" s="7" t="s">
        <v>805</v>
      </c>
      <c r="J29" s="7" t="s">
        <v>806</v>
      </c>
    </row>
    <row r="30" customFormat="false" ht="17.15" hidden="false" customHeight="false" outlineLevel="0" collapsed="false">
      <c r="A30" s="0" t="s">
        <v>807</v>
      </c>
      <c r="B30" s="13" t="n">
        <f aca="false">a26_gp/a26_rev</f>
        <v>0.330904145630378</v>
      </c>
      <c r="C30" s="13" t="n">
        <f aca="false">PL!E92</f>
        <v>0.361985895403458</v>
      </c>
      <c r="D30" s="13" t="n">
        <f aca="false">C30-B30</f>
        <v>0.03108174977308</v>
      </c>
      <c r="E30" s="13" t="n">
        <f aca="false">PL!E138</f>
        <v>0.361985895403458</v>
      </c>
      <c r="F30" s="13" t="n">
        <f aca="false">E30-B30</f>
        <v>0.03108174977308</v>
      </c>
      <c r="G30" s="13" t="n">
        <f aca="false">PL!E184</f>
        <v>0.361985895403458</v>
      </c>
      <c r="H30" s="13" t="n">
        <f aca="false">G30-B30</f>
        <v>0.03108174977308</v>
      </c>
      <c r="I30" s="3" t="s">
        <v>808</v>
      </c>
      <c r="J30" s="3" t="s">
        <v>809</v>
      </c>
    </row>
    <row r="31" customFormat="false" ht="17.15" hidden="false" customHeight="false" outlineLevel="0" collapsed="false">
      <c r="A31" s="0" t="s">
        <v>810</v>
      </c>
      <c r="C31" s="17" t="n">
        <f aca="false">Q!E15</f>
        <v>2.09126494475312</v>
      </c>
      <c r="E31" s="17" t="n">
        <f aca="false">Q!E15</f>
        <v>2.09126494475312</v>
      </c>
      <c r="G31" s="17" t="n">
        <f aca="false">Q!E15</f>
        <v>2.09126494475312</v>
      </c>
      <c r="I31" s="7" t="s">
        <v>113</v>
      </c>
      <c r="J31" s="7" t="s">
        <v>811</v>
      </c>
    </row>
    <row r="32" customFormat="false" ht="17.15" hidden="false" customHeight="false" outlineLevel="0" collapsed="false">
      <c r="A32" s="5" t="s">
        <v>812</v>
      </c>
    </row>
    <row r="33" customFormat="false" ht="17.15" hidden="false" customHeight="false" outlineLevel="0" collapsed="false">
      <c r="A33" s="0" t="s">
        <v>813</v>
      </c>
      <c r="J33" s="3" t="s">
        <v>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815</v>
      </c>
    </row>
    <row r="3" customFormat="false" ht="17.15" hidden="false" customHeight="false" outlineLevel="0" collapsed="false">
      <c r="A3" s="4" t="s">
        <v>816</v>
      </c>
      <c r="B3" s="4" t="s">
        <v>817</v>
      </c>
      <c r="C3" s="14" t="s">
        <v>818</v>
      </c>
      <c r="D3" s="14" t="s">
        <v>819</v>
      </c>
      <c r="E3" s="14" t="s">
        <v>820</v>
      </c>
      <c r="F3" s="14" t="s">
        <v>653</v>
      </c>
      <c r="G3" s="14" t="s">
        <v>821</v>
      </c>
      <c r="H3" s="14" t="s">
        <v>822</v>
      </c>
      <c r="I3" s="14" t="s">
        <v>823</v>
      </c>
      <c r="J3" s="14" t="s">
        <v>824</v>
      </c>
      <c r="K3" s="14" t="s">
        <v>825</v>
      </c>
      <c r="L3" s="14" t="s">
        <v>826</v>
      </c>
    </row>
    <row r="4" customFormat="false" ht="17.15" hidden="false" customHeight="false" outlineLevel="0" collapsed="false">
      <c r="A4" s="3" t="s">
        <v>827</v>
      </c>
      <c r="B4" s="0" t="s">
        <v>828</v>
      </c>
      <c r="C4" s="22" t="n">
        <f aca="false">PL!E83</f>
        <v>47.8142</v>
      </c>
      <c r="D4" s="22" t="n">
        <f aca="false">PL!E81</f>
        <v>37.2036</v>
      </c>
      <c r="E4" s="13" t="n">
        <f aca="false">PL!E92</f>
        <v>0.361985895403458</v>
      </c>
      <c r="F4" s="17" t="n">
        <f aca="false">PL!E101</f>
        <v>12.8084840893173</v>
      </c>
      <c r="G4" s="13" t="n">
        <f aca="false">F4/F$4-1</f>
        <v>0</v>
      </c>
      <c r="H4" s="22" t="n">
        <f aca="false">PL!F83</f>
        <v>64.5810970084142</v>
      </c>
      <c r="I4" s="22" t="n">
        <f aca="false">PL!F81</f>
        <v>53.9704970084142</v>
      </c>
      <c r="J4" s="13" t="n">
        <f aca="false">PL!F92</f>
        <v>0.363730052217466</v>
      </c>
      <c r="K4" s="17" t="n">
        <f aca="false">PL!F101</f>
        <v>17.7826519884357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829</v>
      </c>
      <c r="B5" s="3" t="s">
        <v>830</v>
      </c>
      <c r="C5" s="22" t="n">
        <f aca="false">E68</f>
        <v>45.400906248602</v>
      </c>
      <c r="D5" s="22" t="n">
        <f aca="false">E66</f>
        <v>34.790306248602</v>
      </c>
      <c r="E5" s="13" t="n">
        <f aca="false">E77</f>
        <v>0.360098561688651</v>
      </c>
      <c r="F5" s="17" t="n">
        <f aca="false">E86</f>
        <v>12.0449045343362</v>
      </c>
      <c r="G5" s="13" t="n">
        <f aca="false">F5/F$4-1</f>
        <v>-0.0596151386578189</v>
      </c>
      <c r="H5" s="22" t="n">
        <f aca="false">F68</f>
        <v>52.7239423626262</v>
      </c>
      <c r="I5" s="22" t="n">
        <f aca="false">F66</f>
        <v>42.1133423626262</v>
      </c>
      <c r="J5" s="13" t="n">
        <f aca="false">F77</f>
        <v>0.358148610207598</v>
      </c>
      <c r="K5" s="17" t="n">
        <f aca="false">F86</f>
        <v>14.0678922156547</v>
      </c>
      <c r="L5" s="13" t="n">
        <f aca="false">K5/K$4-1</f>
        <v>-0.208897962755877</v>
      </c>
    </row>
    <row r="6" customFormat="false" ht="17.15" hidden="false" customHeight="false" outlineLevel="0" collapsed="false">
      <c r="A6" s="3" t="s">
        <v>831</v>
      </c>
      <c r="B6" s="3" t="s">
        <v>832</v>
      </c>
      <c r="C6" s="22" t="n">
        <f aca="false">E114</f>
        <v>47.8142</v>
      </c>
      <c r="D6" s="22" t="n">
        <f aca="false">E112</f>
        <v>37.2036</v>
      </c>
      <c r="E6" s="13" t="n">
        <f aca="false">E123</f>
        <v>0.361985895403458</v>
      </c>
      <c r="F6" s="17" t="n">
        <f aca="false">E132</f>
        <v>12.8084840893173</v>
      </c>
      <c r="G6" s="13" t="n">
        <f aca="false">F6/F$4-1</f>
        <v>0</v>
      </c>
      <c r="H6" s="22" t="n">
        <f aca="false">F114</f>
        <v>65.477328</v>
      </c>
      <c r="I6" s="22" t="n">
        <f aca="false">F112</f>
        <v>54.866728</v>
      </c>
      <c r="J6" s="13" t="n">
        <f aca="false">F123</f>
        <v>0.364069757905377</v>
      </c>
      <c r="K6" s="17" t="n">
        <f aca="false">F132</f>
        <v>18.0642303261109</v>
      </c>
      <c r="L6" s="13" t="n">
        <f aca="false">K6/K$4-1</f>
        <v>0.0158344400969173</v>
      </c>
    </row>
    <row r="7" customFormat="false" ht="17.15" hidden="false" customHeight="false" outlineLevel="0" collapsed="false">
      <c r="A7" s="3" t="s">
        <v>833</v>
      </c>
      <c r="B7" s="3" t="s">
        <v>834</v>
      </c>
      <c r="C7" s="22" t="n">
        <f aca="false">E160</f>
        <v>47.8142</v>
      </c>
      <c r="D7" s="22" t="n">
        <f aca="false">E158</f>
        <v>37.2036</v>
      </c>
      <c r="E7" s="13" t="n">
        <f aca="false">E169</f>
        <v>0.361985895403458</v>
      </c>
      <c r="F7" s="17" t="n">
        <f aca="false">E178</f>
        <v>12.8084840893173</v>
      </c>
      <c r="G7" s="13" t="n">
        <f aca="false">F7/F$4-1</f>
        <v>0</v>
      </c>
      <c r="H7" s="22" t="n">
        <f aca="false">F160</f>
        <v>60.4924229926253</v>
      </c>
      <c r="I7" s="22" t="n">
        <f aca="false">F158</f>
        <v>49.8818229926253</v>
      </c>
      <c r="J7" s="13" t="n">
        <f aca="false">F169</f>
        <v>0.362052580080316</v>
      </c>
      <c r="K7" s="17" t="n">
        <f aca="false">F178</f>
        <v>16.4980701747398</v>
      </c>
      <c r="L7" s="13" t="n">
        <f aca="false">K7/K$4-1</f>
        <v>-0.0722379212353281</v>
      </c>
    </row>
    <row r="8" customFormat="false" ht="17.15" hidden="false" customHeight="false" outlineLevel="0" collapsed="false">
      <c r="A8" s="3" t="s">
        <v>835</v>
      </c>
      <c r="B8" s="3" t="s">
        <v>836</v>
      </c>
      <c r="C8" s="22" t="n">
        <f aca="false">E206</f>
        <v>47.8142</v>
      </c>
      <c r="D8" s="22" t="n">
        <f aca="false">E204</f>
        <v>37.2036</v>
      </c>
      <c r="E8" s="13" t="n">
        <f aca="false">E215</f>
        <v>0.361985895403458</v>
      </c>
      <c r="F8" s="17" t="n">
        <f aca="false">E224</f>
        <v>12.8084840893173</v>
      </c>
      <c r="G8" s="13" t="n">
        <f aca="false">F8/F$4-1</f>
        <v>0</v>
      </c>
      <c r="H8" s="22" t="n">
        <f aca="false">F206</f>
        <v>65.477328</v>
      </c>
      <c r="I8" s="22" t="n">
        <f aca="false">F204</f>
        <v>54.866728</v>
      </c>
      <c r="J8" s="13" t="n">
        <f aca="false">F215</f>
        <v>0.364069757905377</v>
      </c>
      <c r="K8" s="17" t="n">
        <f aca="false">F224</f>
        <v>18.0642303261109</v>
      </c>
      <c r="L8" s="13" t="n">
        <f aca="false">K8/K$4-1</f>
        <v>0.0158344400969173</v>
      </c>
    </row>
    <row r="9" customFormat="false" ht="17.15" hidden="false" customHeight="false" outlineLevel="0" collapsed="false">
      <c r="A9" s="3" t="s">
        <v>837</v>
      </c>
      <c r="B9" s="3" t="s">
        <v>838</v>
      </c>
      <c r="C9" s="22" t="n">
        <f aca="false">E252</f>
        <v>43.6828664338563</v>
      </c>
      <c r="D9" s="22" t="n">
        <f aca="false">E250</f>
        <v>33.0722664338563</v>
      </c>
      <c r="E9" s="13" t="n">
        <f aca="false">E261</f>
        <v>0.358627884016547</v>
      </c>
      <c r="F9" s="17" t="n">
        <f aca="false">E270</f>
        <v>11.5013071888313</v>
      </c>
      <c r="G9" s="13" t="n">
        <f aca="false">F9/F$4-1</f>
        <v>-0.102055550943474</v>
      </c>
      <c r="H9" s="22" t="n">
        <f aca="false">F252</f>
        <v>51.0884727563107</v>
      </c>
      <c r="I9" s="22" t="n">
        <f aca="false">F250</f>
        <v>40.4778727563107</v>
      </c>
      <c r="J9" s="13" t="n">
        <f aca="false">F261</f>
        <v>0.357175435287392</v>
      </c>
      <c r="K9" s="17" t="n">
        <f aca="false">F270</f>
        <v>13.5612786126382</v>
      </c>
      <c r="L9" s="13" t="n">
        <f aca="false">K9/K$4-1</f>
        <v>-0.237387166916537</v>
      </c>
    </row>
    <row r="10" customFormat="false" ht="17.15" hidden="false" customHeight="false" outlineLevel="0" collapsed="false">
      <c r="A10" s="3" t="s">
        <v>839</v>
      </c>
      <c r="B10" s="3" t="s">
        <v>840</v>
      </c>
      <c r="C10" s="22" t="n">
        <f aca="false">E298</f>
        <v>47.8142</v>
      </c>
      <c r="D10" s="22" t="n">
        <f aca="false">E296</f>
        <v>37.2036</v>
      </c>
      <c r="E10" s="13" t="n">
        <f aca="false">E307</f>
        <v>0.361985895403458</v>
      </c>
      <c r="F10" s="17" t="n">
        <f aca="false">E316</f>
        <v>12.8084840893173</v>
      </c>
      <c r="G10" s="13" t="n">
        <f aca="false">F10/F$4-1</f>
        <v>0</v>
      </c>
      <c r="H10" s="22" t="n">
        <f aca="false">F298</f>
        <v>65.477328</v>
      </c>
      <c r="I10" s="22" t="n">
        <f aca="false">F296</f>
        <v>54.866728</v>
      </c>
      <c r="J10" s="13" t="n">
        <f aca="false">F307</f>
        <v>0.364069757905377</v>
      </c>
      <c r="K10" s="17" t="n">
        <f aca="false">F316</f>
        <v>18.0642303261109</v>
      </c>
      <c r="L10" s="13" t="n">
        <f aca="false">K10/K$4-1</f>
        <v>0.0158344400969173</v>
      </c>
    </row>
    <row r="11" customFormat="false" ht="17.15" hidden="false" customHeight="false" outlineLevel="0" collapsed="false">
      <c r="A11" s="3" t="s">
        <v>841</v>
      </c>
      <c r="B11" s="3" t="s">
        <v>842</v>
      </c>
      <c r="C11" s="22" t="n">
        <f aca="false">E344</f>
        <v>45.42349</v>
      </c>
      <c r="D11" s="22" t="n">
        <f aca="false">E342</f>
        <v>34.81289</v>
      </c>
      <c r="E11" s="13" t="n">
        <f aca="false">E353</f>
        <v>0.335410282307773</v>
      </c>
      <c r="F11" s="17" t="n">
        <f aca="false">E362</f>
        <v>11.0615478068865</v>
      </c>
      <c r="G11" s="13" t="n">
        <f aca="false">F11/F$4-1</f>
        <v>-0.136388995781935</v>
      </c>
      <c r="H11" s="22" t="n">
        <f aca="false">F344</f>
        <v>60.6863188737864</v>
      </c>
      <c r="I11" s="22" t="n">
        <f aca="false">F342</f>
        <v>50.0757188737864</v>
      </c>
      <c r="J11" s="13" t="n">
        <f aca="false">F353</f>
        <v>0.321611401910917</v>
      </c>
      <c r="K11" s="17" t="n">
        <f aca="false">F362</f>
        <v>14.3954339626664</v>
      </c>
      <c r="L11" s="13" t="n">
        <f aca="false">K11/K$4-1</f>
        <v>-0.190478789551303</v>
      </c>
    </row>
    <row r="12" customFormat="false" ht="17.15" hidden="false" customHeight="false" outlineLevel="0" collapsed="false">
      <c r="A12" s="3" t="s">
        <v>843</v>
      </c>
      <c r="B12" s="3" t="s">
        <v>844</v>
      </c>
      <c r="C12" s="22" t="n">
        <f aca="false">E390</f>
        <v>49.248626</v>
      </c>
      <c r="D12" s="22" t="n">
        <f aca="false">E388</f>
        <v>38.638026</v>
      </c>
      <c r="E12" s="13" t="n">
        <f aca="false">E399</f>
        <v>0.377016462226292</v>
      </c>
      <c r="F12" s="17" t="n">
        <f aca="false">E408</f>
        <v>13.8707147343479</v>
      </c>
      <c r="G12" s="13" t="n">
        <f aca="false">F12/F$4-1</f>
        <v>0.0829318003304163</v>
      </c>
      <c r="H12" s="22" t="n">
        <f aca="false">F390</f>
        <v>67.3630813902912</v>
      </c>
      <c r="I12" s="22" t="n">
        <f aca="false">F388</f>
        <v>56.7524813902912</v>
      </c>
      <c r="J12" s="13" t="n">
        <f aca="false">F399</f>
        <v>0.390832920841427</v>
      </c>
      <c r="K12" s="17" t="n">
        <f aca="false">F408</f>
        <v>20.2032681924385</v>
      </c>
      <c r="L12" s="13" t="n">
        <f aca="false">K12/K$4-1</f>
        <v>0.136122340221075</v>
      </c>
    </row>
    <row r="13" customFormat="false" ht="17.15" hidden="false" customHeight="false" outlineLevel="0" collapsed="false">
      <c r="A13" s="3" t="s">
        <v>845</v>
      </c>
      <c r="B13" s="3" t="s">
        <v>846</v>
      </c>
      <c r="C13" s="22" t="n">
        <f aca="false">E436</f>
        <v>40.7827</v>
      </c>
      <c r="D13" s="22" t="n">
        <f aca="false">E434</f>
        <v>30.1721</v>
      </c>
      <c r="E13" s="13" t="n">
        <f aca="false">E445</f>
        <v>0.355864153182599</v>
      </c>
      <c r="F13" s="17" t="n">
        <f aca="false">E454</f>
        <v>10.5836784112934</v>
      </c>
      <c r="G13" s="13" t="n">
        <f aca="false">F13/F$4-1</f>
        <v>-0.173697813301689</v>
      </c>
      <c r="H13" s="22" t="n">
        <f aca="false">F436</f>
        <v>53.200329</v>
      </c>
      <c r="I13" s="22" t="n">
        <f aca="false">F434</f>
        <v>42.589729</v>
      </c>
      <c r="J13" s="13" t="n">
        <f aca="false">F445</f>
        <v>0.358420828060123</v>
      </c>
      <c r="K13" s="17" t="n">
        <f aca="false">F454</f>
        <v>14.2295566717559</v>
      </c>
      <c r="L13" s="13" t="n">
        <f aca="false">K13/K$4-1</f>
        <v>-0.199806829655692</v>
      </c>
    </row>
    <row r="14" customFormat="false" ht="17.15" hidden="false" customHeight="false" outlineLevel="0" collapsed="false">
      <c r="A14" s="3" t="s">
        <v>847</v>
      </c>
      <c r="B14" s="3" t="s">
        <v>848</v>
      </c>
      <c r="C14" s="22" t="n">
        <f aca="false">E482</f>
        <v>53.1320854149581</v>
      </c>
      <c r="D14" s="22" t="n">
        <f aca="false">E480</f>
        <v>42.5214854149581</v>
      </c>
      <c r="E14" s="13" t="n">
        <f aca="false">E491</f>
        <v>0.365539631264075</v>
      </c>
      <c r="F14" s="17" t="n">
        <f aca="false">E500</f>
        <v>14.4910925891082</v>
      </c>
      <c r="G14" s="13" t="n">
        <f aca="false">F14/F$4-1</f>
        <v>0.131366716627627</v>
      </c>
      <c r="H14" s="22" t="n">
        <f aca="false">F482</f>
        <v>64.5810970084142</v>
      </c>
      <c r="I14" s="22" t="n">
        <f aca="false">F480</f>
        <v>53.9704970084142</v>
      </c>
      <c r="J14" s="13" t="n">
        <f aca="false">F491</f>
        <v>0.363730052217466</v>
      </c>
      <c r="K14" s="17" t="n">
        <f aca="false">F500</f>
        <v>17.7617871959968</v>
      </c>
      <c r="L14" s="13" t="n">
        <f aca="false">K14/K$4-1</f>
        <v>-0.00117332287965044</v>
      </c>
    </row>
    <row r="15" customFormat="false" ht="17.15" hidden="false" customHeight="false" outlineLevel="0" collapsed="false">
      <c r="A15" s="0" t="s">
        <v>849</v>
      </c>
      <c r="B15" s="3" t="s">
        <v>850</v>
      </c>
      <c r="C15" s="22" t="n">
        <f aca="false">E528</f>
        <v>47.8142</v>
      </c>
      <c r="D15" s="22" t="n">
        <f aca="false">E526</f>
        <v>37.2036</v>
      </c>
      <c r="E15" s="13" t="n">
        <f aca="false">E537</f>
        <v>0.34642415851358</v>
      </c>
      <c r="F15" s="17" t="n">
        <f aca="false">E546</f>
        <v>12.1517762040638</v>
      </c>
      <c r="G15" s="13" t="n">
        <f aca="false">F15/F$4-1</f>
        <v>-0.0512713199059436</v>
      </c>
      <c r="H15" s="22" t="n">
        <f aca="false">F528</f>
        <v>64.5810970084142</v>
      </c>
      <c r="I15" s="22" t="n">
        <f aca="false">F526</f>
        <v>53.9704970084142</v>
      </c>
      <c r="J15" s="13" t="n">
        <f aca="false">F537</f>
        <v>0.338659017731299</v>
      </c>
      <c r="K15" s="17" t="n">
        <f aca="false">F546</f>
        <v>16.3536430636349</v>
      </c>
      <c r="L15" s="13" t="n">
        <f aca="false">K15/K$4-1</f>
        <v>-0.0803597194462412</v>
      </c>
    </row>
    <row r="16" customFormat="false" ht="17.15" hidden="false" customHeight="false" outlineLevel="0" collapsed="false">
      <c r="A16" s="0" t="s">
        <v>851</v>
      </c>
      <c r="B16" s="3" t="s">
        <v>852</v>
      </c>
      <c r="C16" s="22" t="n">
        <f aca="false">E574</f>
        <v>47.8142</v>
      </c>
      <c r="D16" s="22" t="n">
        <f aca="false">E572</f>
        <v>37.2036</v>
      </c>
      <c r="E16" s="13" t="n">
        <f aca="false">E583</f>
        <v>0.377547632293336</v>
      </c>
      <c r="F16" s="17" t="n">
        <f aca="false">E592</f>
        <v>13.4651919745709</v>
      </c>
      <c r="G16" s="13" t="n">
        <f aca="false">F16/F$4-1</f>
        <v>0.0512713199059438</v>
      </c>
      <c r="H16" s="22" t="n">
        <f aca="false">F574</f>
        <v>64.5810970084142</v>
      </c>
      <c r="I16" s="22" t="n">
        <f aca="false">F572</f>
        <v>53.9704970084142</v>
      </c>
      <c r="J16" s="13" t="n">
        <f aca="false">F583</f>
        <v>0.380444075208244</v>
      </c>
      <c r="K16" s="17" t="n">
        <f aca="false">F592</f>
        <v>18.7353246049696</v>
      </c>
      <c r="L16" s="13" t="n">
        <f aca="false">K16/K$4-1</f>
        <v>0.0535731462974938</v>
      </c>
    </row>
    <row r="17" customFormat="false" ht="17.15" hidden="false" customHeight="false" outlineLevel="0" collapsed="false">
      <c r="A17" s="0" t="s">
        <v>853</v>
      </c>
      <c r="B17" s="0" t="s">
        <v>854</v>
      </c>
      <c r="C17" s="22" t="n">
        <f aca="false">E620</f>
        <v>44.6277883319665</v>
      </c>
      <c r="D17" s="22" t="n">
        <f aca="false">E618</f>
        <v>34.0171883319665</v>
      </c>
      <c r="E17" s="13" t="n">
        <f aca="false">E629</f>
        <v>0.359450769395474</v>
      </c>
      <c r="F17" s="17" t="n">
        <f aca="false">E638</f>
        <v>11.800285728859</v>
      </c>
      <c r="G17" s="13" t="n">
        <f aca="false">F17/F$4-1</f>
        <v>-0.0787133241863633</v>
      </c>
      <c r="H17" s="22" t="n">
        <f aca="false">F620</f>
        <v>53.7869976067314</v>
      </c>
      <c r="I17" s="22" t="n">
        <f aca="false">F618</f>
        <v>43.1763976067314</v>
      </c>
      <c r="J17" s="13" t="n">
        <f aca="false">F629</f>
        <v>0.358749437818298</v>
      </c>
      <c r="K17" s="17" t="n">
        <f aca="false">F638</f>
        <v>14.4041223164728</v>
      </c>
      <c r="L17" s="13" t="n">
        <f aca="false">K17/K$4-1</f>
        <v>-0.189990203607424</v>
      </c>
    </row>
    <row r="18" customFormat="false" ht="17.15" hidden="false" customHeight="false" outlineLevel="0" collapsed="false">
      <c r="A18" s="0" t="s">
        <v>855</v>
      </c>
      <c r="B18" s="0" t="s">
        <v>856</v>
      </c>
      <c r="C18" s="22" t="n">
        <f aca="false">E666</f>
        <v>47.8142</v>
      </c>
      <c r="D18" s="22" t="n">
        <f aca="false">E664</f>
        <v>37.2036</v>
      </c>
      <c r="E18" s="13" t="n">
        <f aca="false">E675</f>
        <v>0.361985895403458</v>
      </c>
      <c r="F18" s="17" t="n">
        <f aca="false">E684</f>
        <v>12.8084840893173</v>
      </c>
      <c r="G18" s="13" t="n">
        <f aca="false">F18/F$4-1</f>
        <v>0</v>
      </c>
      <c r="H18" s="22" t="n">
        <f aca="false">F666</f>
        <v>65.477328</v>
      </c>
      <c r="I18" s="22" t="n">
        <f aca="false">F664</f>
        <v>54.866728</v>
      </c>
      <c r="J18" s="13" t="n">
        <f aca="false">F675</f>
        <v>0.364069757905377</v>
      </c>
      <c r="K18" s="17" t="n">
        <f aca="false">F684</f>
        <v>18.0642303261109</v>
      </c>
      <c r="L18" s="13" t="n">
        <f aca="false">K18/K$4-1</f>
        <v>0.0158344400969173</v>
      </c>
    </row>
    <row r="19" customFormat="false" ht="17.15" hidden="false" customHeight="false" outlineLevel="0" collapsed="false">
      <c r="A19" s="0" t="s">
        <v>857</v>
      </c>
      <c r="B19" s="0" t="s">
        <v>858</v>
      </c>
      <c r="C19" s="22" t="n">
        <f aca="false">E712</f>
        <v>47.8142</v>
      </c>
      <c r="D19" s="22" t="n">
        <f aca="false">E710</f>
        <v>37.2036</v>
      </c>
      <c r="E19" s="13" t="n">
        <f aca="false">E721</f>
        <v>0.354218934960744</v>
      </c>
      <c r="F19" s="17" t="n">
        <f aca="false">E730</f>
        <v>12.4807170666979</v>
      </c>
      <c r="G19" s="13" t="n">
        <f aca="false">F19/F$4-1</f>
        <v>-0.0255898371996126</v>
      </c>
      <c r="H19" s="22" t="n">
        <f aca="false">F712</f>
        <v>64.5810970084142</v>
      </c>
      <c r="I19" s="22" t="n">
        <f aca="false">F710</f>
        <v>53.9704970084142</v>
      </c>
      <c r="J19" s="13" t="n">
        <f aca="false">F721</f>
        <v>0.352594845231943</v>
      </c>
      <c r="K19" s="17" t="n">
        <f aca="false">F730</f>
        <v>17.1479629742828</v>
      </c>
      <c r="L19" s="13" t="n">
        <f aca="false">K19/K$4-1</f>
        <v>-0.0356914713601557</v>
      </c>
    </row>
    <row r="20" customFormat="false" ht="17.15" hidden="false" customHeight="false" outlineLevel="0" collapsed="false">
      <c r="A20" s="0" t="s">
        <v>859</v>
      </c>
      <c r="B20" s="3" t="s">
        <v>860</v>
      </c>
      <c r="C20" s="22" t="n">
        <f aca="false">E758</f>
        <v>47.8142</v>
      </c>
      <c r="D20" s="22" t="n">
        <f aca="false">E756</f>
        <v>37.2036</v>
      </c>
      <c r="E20" s="13" t="n">
        <f aca="false">E767</f>
        <v>0.369752855846171</v>
      </c>
      <c r="F20" s="17" t="n">
        <f aca="false">E776</f>
        <v>13.1362511119368</v>
      </c>
      <c r="G20" s="13" t="n">
        <f aca="false">F20/F$4-1</f>
        <v>0.0255898371996126</v>
      </c>
      <c r="H20" s="22" t="n">
        <f aca="false">F758</f>
        <v>64.5810970084142</v>
      </c>
      <c r="I20" s="22" t="n">
        <f aca="false">F756</f>
        <v>53.9704970084142</v>
      </c>
      <c r="J20" s="13" t="n">
        <f aca="false">F767</f>
        <v>0.374865259202989</v>
      </c>
      <c r="K20" s="17" t="n">
        <f aca="false">F776</f>
        <v>18.4173410025886</v>
      </c>
      <c r="L20" s="13" t="n">
        <f aca="false">K20/K$4-1</f>
        <v>0.0356914713601557</v>
      </c>
    </row>
    <row r="21" customFormat="false" ht="17.15" hidden="false" customHeight="false" outlineLevel="0" collapsed="false">
      <c r="A21" s="3" t="s">
        <v>861</v>
      </c>
      <c r="B21" s="0" t="s">
        <v>862</v>
      </c>
      <c r="C21" s="22" t="n">
        <f aca="false">E804</f>
        <v>47.8142</v>
      </c>
      <c r="D21" s="22" t="n">
        <f aca="false">E802</f>
        <v>37.73413</v>
      </c>
      <c r="E21" s="13" t="n">
        <f aca="false">E813</f>
        <v>0.363761200647506</v>
      </c>
      <c r="F21" s="17" t="n">
        <f aca="false">E822</f>
        <v>12.8834022659161</v>
      </c>
      <c r="G21" s="13" t="n">
        <f aca="false">F21/F$4-1</f>
        <v>0.0058491056456258</v>
      </c>
      <c r="H21" s="22" t="n">
        <f aca="false">F804</f>
        <v>63.5465635084142</v>
      </c>
      <c r="I21" s="22" t="n">
        <f aca="false">F802</f>
        <v>53.9704970084142</v>
      </c>
      <c r="J21" s="13" t="n">
        <f aca="false">F813</f>
        <v>0.365785198656379</v>
      </c>
      <c r="K21" s="17" t="n">
        <f aca="false">F822</f>
        <v>17.5955460965735</v>
      </c>
      <c r="L21" s="13" t="n">
        <f aca="false">K21/K$4-1</f>
        <v>-0.0105218216036572</v>
      </c>
    </row>
    <row r="22" customFormat="false" ht="17.15" hidden="false" customHeight="false" outlineLevel="0" collapsed="false">
      <c r="A22" s="3" t="s">
        <v>863</v>
      </c>
      <c r="B22" s="0" t="s">
        <v>864</v>
      </c>
      <c r="C22" s="22" t="n">
        <f aca="false">E850</f>
        <v>47.8142</v>
      </c>
      <c r="D22" s="22" t="n">
        <f aca="false">E848</f>
        <v>36.67307</v>
      </c>
      <c r="E22" s="13" t="n">
        <f aca="false">E859</f>
        <v>0.360210590159409</v>
      </c>
      <c r="F22" s="17" t="n">
        <f aca="false">E868</f>
        <v>12.7335659127186</v>
      </c>
      <c r="G22" s="13" t="n">
        <f aca="false">F22/F$4-1</f>
        <v>-0.00584910564562569</v>
      </c>
      <c r="H22" s="22" t="n">
        <f aca="false">F850</f>
        <v>65.477328</v>
      </c>
      <c r="I22" s="22" t="n">
        <f aca="false">F848</f>
        <v>53.7791415</v>
      </c>
      <c r="J22" s="13" t="n">
        <f aca="false">F859</f>
        <v>0.361560691565777</v>
      </c>
      <c r="K22" s="17" t="n">
        <f aca="false">F868</f>
        <v>17.9192328771088</v>
      </c>
      <c r="L22" s="13" t="n">
        <f aca="false">K22/K$4-1</f>
        <v>0.00768056917280324</v>
      </c>
    </row>
    <row r="23" customFormat="false" ht="17.15" hidden="false" customHeight="false" outlineLevel="0" collapsed="false">
      <c r="A23" s="3" t="s">
        <v>865</v>
      </c>
      <c r="B23" s="3" t="s">
        <v>866</v>
      </c>
      <c r="C23" s="22" t="n">
        <f aca="false">E896</f>
        <v>47.8142</v>
      </c>
      <c r="D23" s="22" t="n">
        <f aca="false">E894</f>
        <v>37.2036</v>
      </c>
      <c r="E23" s="13" t="n">
        <f aca="false">E905</f>
        <v>0.361985895403458</v>
      </c>
      <c r="F23" s="17" t="n">
        <f aca="false">E914</f>
        <v>12.3567645036342</v>
      </c>
      <c r="G23" s="13" t="n">
        <f aca="false">F23/F$4-1</f>
        <v>-0.0352672168332483</v>
      </c>
      <c r="H23" s="22" t="n">
        <f aca="false">F896</f>
        <v>64.5810970084142</v>
      </c>
      <c r="I23" s="22" t="n">
        <f aca="false">F894</f>
        <v>53.9704970084142</v>
      </c>
      <c r="J23" s="13" t="n">
        <f aca="false">F905</f>
        <v>0.363730052217466</v>
      </c>
      <c r="K23" s="17" t="n">
        <f aca="false">F914</f>
        <v>16.8511961429312</v>
      </c>
      <c r="L23" s="13" t="n">
        <f aca="false">K23/K$4-1</f>
        <v>-0.0523800300489651</v>
      </c>
    </row>
    <row r="24" customFormat="false" ht="17.15" hidden="false" customHeight="false" outlineLevel="0" collapsed="false">
      <c r="A24" s="3" t="s">
        <v>867</v>
      </c>
      <c r="B24" s="0" t="s">
        <v>868</v>
      </c>
      <c r="C24" s="22" t="n">
        <f aca="false">PL!E129</f>
        <v>47.8142</v>
      </c>
      <c r="D24" s="22" t="n">
        <f aca="false">PL!E127</f>
        <v>37.2036</v>
      </c>
      <c r="E24" s="13" t="n">
        <f aca="false">PL!E138</f>
        <v>0.361985895403458</v>
      </c>
      <c r="F24" s="17" t="n">
        <f aca="false">PL!E147</f>
        <v>12.8084840893173</v>
      </c>
      <c r="G24" s="13" t="n">
        <f aca="false">F24/F$4-1</f>
        <v>0</v>
      </c>
      <c r="H24" s="22" t="n">
        <f aca="false">PL!F129</f>
        <v>53.7869976067314</v>
      </c>
      <c r="I24" s="22" t="n">
        <f aca="false">PL!F127</f>
        <v>43.1763976067314</v>
      </c>
      <c r="J24" s="13" t="n">
        <f aca="false">PL!F138</f>
        <v>0.358749437818298</v>
      </c>
      <c r="K24" s="17" t="n">
        <f aca="false">PL!F147</f>
        <v>14.3913560002786</v>
      </c>
      <c r="L24" s="13" t="n">
        <f aca="false">K24/K$4-1</f>
        <v>-0.190708112061266</v>
      </c>
    </row>
    <row r="25" customFormat="false" ht="17.15" hidden="false" customHeight="false" outlineLevel="0" collapsed="false">
      <c r="A25" s="3" t="s">
        <v>869</v>
      </c>
      <c r="B25" s="0" t="s">
        <v>870</v>
      </c>
      <c r="C25" s="22" t="n">
        <f aca="false">PL!E175</f>
        <v>47.8142</v>
      </c>
      <c r="D25" s="22" t="n">
        <f aca="false">PL!E173</f>
        <v>37.2036</v>
      </c>
      <c r="E25" s="13" t="n">
        <f aca="false">PL!E184</f>
        <v>0.361985895403458</v>
      </c>
      <c r="F25" s="17" t="n">
        <f aca="false">PL!E193</f>
        <v>12.8084840893173</v>
      </c>
      <c r="G25" s="13" t="n">
        <f aca="false">F25/F$4-1</f>
        <v>0</v>
      </c>
      <c r="H25" s="22" t="n">
        <f aca="false">PL!F175</f>
        <v>42.9928982050485</v>
      </c>
      <c r="I25" s="22" t="n">
        <f aca="false">PL!F173</f>
        <v>32.3822982050485</v>
      </c>
      <c r="J25" s="13" t="n">
        <f aca="false">PL!F184</f>
        <v>0.351267887257549</v>
      </c>
      <c r="K25" s="17" t="n">
        <f aca="false">PL!F193</f>
        <v>10.8614617105727</v>
      </c>
      <c r="L25" s="13" t="n">
        <f aca="false">K25/K$4-1</f>
        <v>-0.389210241664966</v>
      </c>
    </row>
    <row r="27" customFormat="false" ht="17.15" hidden="false" customHeight="false" outlineLevel="0" collapsed="false">
      <c r="A27" s="3" t="s">
        <v>871</v>
      </c>
    </row>
    <row r="29" customFormat="false" ht="17.15" hidden="false" customHeight="false" outlineLevel="0" collapsed="false">
      <c r="A29" s="1" t="s">
        <v>872</v>
      </c>
    </row>
    <row r="30" customFormat="false" ht="17.15" hidden="false" customHeight="false" outlineLevel="0" collapsed="false">
      <c r="A30" s="4" t="s">
        <v>816</v>
      </c>
      <c r="B30" s="4" t="s">
        <v>817</v>
      </c>
      <c r="C30" s="14" t="s">
        <v>873</v>
      </c>
      <c r="D30" s="14" t="s">
        <v>750</v>
      </c>
      <c r="E30" s="4" t="s">
        <v>874</v>
      </c>
      <c r="F30" s="4" t="s">
        <v>875</v>
      </c>
    </row>
    <row r="31" customFormat="false" ht="17.15" hidden="false" customHeight="false" outlineLevel="0" collapsed="false">
      <c r="A31" s="3" t="s">
        <v>26</v>
      </c>
      <c r="B31" s="0" t="s">
        <v>876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1" s="17" t="n">
        <f aca="false">tp_comp_adj</f>
        <v>403.765211256072</v>
      </c>
      <c r="E31" s="17" t="n">
        <f aca="false">tp_w_dcf*C31+(1-tp_w_dcf)*D31</f>
        <v>303.23769506379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877</v>
      </c>
      <c r="B32" s="0" t="s">
        <v>878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175.621591442315</v>
      </c>
      <c r="D32" s="17" t="n">
        <f aca="false">tp_comp_adj</f>
        <v>403.765211256072</v>
      </c>
      <c r="E32" s="17" t="n">
        <f aca="false">tp_w_dcf*C32+(1-tp_w_dcf)*D32</f>
        <v>289.693401349194</v>
      </c>
      <c r="F32" s="13" t="n">
        <f aca="false">E32/E$31-1</f>
        <v>-0.0446656004021754</v>
      </c>
    </row>
    <row r="33" customFormat="false" ht="17.15" hidden="false" customHeight="false" outlineLevel="0" collapsed="false">
      <c r="A33" s="3" t="s">
        <v>879</v>
      </c>
      <c r="B33" s="0" t="s">
        <v>880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240.604476383078</v>
      </c>
      <c r="D33" s="17" t="n">
        <f aca="false">tp_comp_adj</f>
        <v>403.765211256072</v>
      </c>
      <c r="E33" s="17" t="n">
        <f aca="false">tp_w_dcf*C33+(1-tp_w_dcf)*D33</f>
        <v>322.184843819575</v>
      </c>
      <c r="F33" s="13" t="n">
        <f aca="false">E33/E$31-1</f>
        <v>0.0624828280395664</v>
      </c>
    </row>
    <row r="34" customFormat="false" ht="17.15" hidden="false" customHeight="false" outlineLevel="0" collapsed="false">
      <c r="A34" s="3" t="s">
        <v>881</v>
      </c>
      <c r="B34" s="0" t="s">
        <v>882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218.009353612948</v>
      </c>
      <c r="D34" s="17" t="n">
        <f aca="false">tp_comp_adj</f>
        <v>403.765211256072</v>
      </c>
      <c r="E34" s="17" t="n">
        <f aca="false">tp_w_dcf*C34+(1-tp_w_dcf)*D34</f>
        <v>310.88728243451</v>
      </c>
      <c r="F34" s="13" t="n">
        <f aca="false">E34/E$31-1</f>
        <v>0.0252263735519802</v>
      </c>
    </row>
    <row r="35" customFormat="false" ht="17.15" hidden="false" customHeight="false" outlineLevel="0" collapsed="false">
      <c r="A35" s="3" t="s">
        <v>883</v>
      </c>
      <c r="B35" s="0" t="s">
        <v>884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192.727060690498</v>
      </c>
      <c r="D35" s="17" t="n">
        <f aca="false">tp_comp_adj</f>
        <v>403.765211256072</v>
      </c>
      <c r="E35" s="17" t="n">
        <f aca="false">tp_w_dcf*C35+(1-tp_w_dcf)*D35</f>
        <v>298.246135973285</v>
      </c>
      <c r="F35" s="13" t="n">
        <f aca="false">E35/E$31-1</f>
        <v>-0.0164608792764193</v>
      </c>
    </row>
    <row r="36" customFormat="false" ht="17.15" hidden="false" customHeight="false" outlineLevel="0" collapsed="false">
      <c r="A36" s="0" t="s">
        <v>885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6" s="17" t="n">
        <f aca="false">tp_comp_adj</f>
        <v>403.765211256072</v>
      </c>
      <c r="E36" s="17" t="n">
        <f aca="false">0.4*C36+(1-0.4)*D36</f>
        <v>323.343198302246</v>
      </c>
      <c r="F36" s="13" t="n">
        <f aca="false">E36/E$31-1</f>
        <v>0.0663027834789043</v>
      </c>
    </row>
    <row r="37" customFormat="false" ht="17.15" hidden="false" customHeight="false" outlineLevel="0" collapsed="false">
      <c r="A37" s="0" t="s">
        <v>886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7" s="17" t="n">
        <f aca="false">tp_comp_adj</f>
        <v>403.765211256072</v>
      </c>
      <c r="E37" s="17" t="n">
        <f aca="false">0.8*C37+(1-0.8)*D37</f>
        <v>242.92118534842</v>
      </c>
      <c r="F37" s="13" t="n">
        <f aca="false">E37/E$31-1</f>
        <v>-0.198908350436713</v>
      </c>
    </row>
    <row r="45" customFormat="false" ht="17.15" hidden="false" customHeight="false" outlineLevel="0" collapsed="false">
      <c r="A45" s="1" t="s">
        <v>887</v>
      </c>
    </row>
    <row r="46" customFormat="false" ht="17.15" hidden="false" customHeight="false" outlineLevel="0" collapsed="false">
      <c r="A46" s="4" t="s">
        <v>23</v>
      </c>
      <c r="B46" s="4" t="s">
        <v>24</v>
      </c>
      <c r="C46" s="14" t="s">
        <v>409</v>
      </c>
      <c r="D46" s="14" t="s">
        <v>502</v>
      </c>
      <c r="E46" s="14" t="s">
        <v>503</v>
      </c>
      <c r="F46" s="14" t="s">
        <v>504</v>
      </c>
      <c r="G46" s="14" t="s">
        <v>505</v>
      </c>
      <c r="H46" s="14" t="s">
        <v>506</v>
      </c>
      <c r="I46" s="14" t="s">
        <v>507</v>
      </c>
      <c r="J46" s="14" t="s">
        <v>508</v>
      </c>
      <c r="K46" s="4" t="s">
        <v>391</v>
      </c>
    </row>
    <row r="47" customFormat="false" ht="17.15" hidden="false" customHeight="false" outlineLevel="0" collapsed="false">
      <c r="A47" s="5" t="s">
        <v>524</v>
      </c>
    </row>
    <row r="48" customFormat="false" ht="17.15" hidden="false" customHeight="false" outlineLevel="0" collapsed="false">
      <c r="A48" s="0" t="s">
        <v>525</v>
      </c>
      <c r="B48" s="0" t="s">
        <v>34</v>
      </c>
      <c r="D48" s="23" t="n">
        <f aca="false">itc_26*1</f>
        <v>781.872916666666</v>
      </c>
      <c r="E48" s="23" t="n">
        <f aca="false">itc_27*1*1</f>
        <v>1565.35</v>
      </c>
      <c r="F48" s="23" t="n">
        <f aca="false">itc_28*um28_A*1</f>
        <v>1984.26388888889</v>
      </c>
      <c r="G48" s="23" t="n">
        <f aca="false">itc_29*um29_A*1</f>
        <v>2260.39027777778</v>
      </c>
    </row>
    <row r="49" customFormat="false" ht="17.15" hidden="false" customHeight="false" outlineLevel="0" collapsed="false">
      <c r="A49" s="3" t="s">
        <v>526</v>
      </c>
      <c r="B49" s="0" t="s">
        <v>34</v>
      </c>
      <c r="D49" s="23" t="n">
        <f aca="false">itpg_gb*(1-vr26)+itpg_vr*vr26</f>
        <v>33.41403216</v>
      </c>
      <c r="E49" s="23" t="n">
        <f aca="false">itpg_vr</f>
        <v>37.586352</v>
      </c>
      <c r="F49" s="23" t="n">
        <f aca="false">itpg_vr</f>
        <v>37.586352</v>
      </c>
      <c r="G49" s="23" t="n">
        <f aca="false">itpg_vr</f>
        <v>37.586352</v>
      </c>
    </row>
    <row r="50" customFormat="false" ht="17.15" hidden="false" customHeight="false" outlineLevel="0" collapsed="false">
      <c r="A50" s="3" t="s">
        <v>527</v>
      </c>
      <c r="B50" s="0" t="s">
        <v>468</v>
      </c>
      <c r="D50" s="20" t="n">
        <f aca="false">D48/D49</f>
        <v>23.3995380420639</v>
      </c>
      <c r="E50" s="20" t="n">
        <f aca="false">E48/E49</f>
        <v>41.6467658260637</v>
      </c>
      <c r="F50" s="20" t="n">
        <f aca="false">F48/F49</f>
        <v>52.792138191248</v>
      </c>
      <c r="G50" s="20" t="n">
        <f aca="false">G48/G49</f>
        <v>60.1385917361116</v>
      </c>
    </row>
    <row r="51" customFormat="false" ht="17.15" hidden="false" customHeight="false" outlineLevel="0" collapsed="false">
      <c r="A51" s="3" t="s">
        <v>470</v>
      </c>
      <c r="B51" s="0" t="s">
        <v>95</v>
      </c>
      <c r="D51" s="21" t="n">
        <f aca="false">cmp_26</f>
        <v>280</v>
      </c>
      <c r="E51" s="21" t="n">
        <f aca="false">cmp_26*CXLO_27</f>
        <v>350</v>
      </c>
      <c r="F51" s="21" t="n">
        <f aca="false">cmp_26*CXLO_28</f>
        <v>378</v>
      </c>
      <c r="G51" s="21" t="n">
        <f aca="false">cmp_26*CXLO_29</f>
        <v>392</v>
      </c>
    </row>
    <row r="52" customFormat="false" ht="17.15" hidden="false" customHeight="false" outlineLevel="0" collapsed="false">
      <c r="A52" s="3" t="s">
        <v>472</v>
      </c>
      <c r="B52" s="0" t="s">
        <v>95</v>
      </c>
      <c r="D52" s="21" t="n">
        <f aca="false">sw_26</f>
        <v>120</v>
      </c>
      <c r="E52" s="21" t="n">
        <f aca="false">sw_26*SXLO_27</f>
        <v>138</v>
      </c>
      <c r="F52" s="21" t="n">
        <f aca="false">sw_26*SXLO_28</f>
        <v>150</v>
      </c>
      <c r="G52" s="21" t="n">
        <f aca="false">sw_26*SXLO_29</f>
        <v>156</v>
      </c>
    </row>
    <row r="53" customFormat="false" ht="17.15" hidden="false" customHeight="false" outlineLevel="0" collapsed="false">
      <c r="A53" s="3" t="s">
        <v>473</v>
      </c>
      <c r="B53" s="0" t="s">
        <v>95</v>
      </c>
      <c r="D53" s="21" t="n">
        <f aca="false">mid_26</f>
        <v>50</v>
      </c>
      <c r="E53" s="21" t="n">
        <f aca="false">mid_26*MDLO_27</f>
        <v>70</v>
      </c>
      <c r="F53" s="21" t="n">
        <f aca="false">mid_26*MDLO_28</f>
        <v>90</v>
      </c>
      <c r="G53" s="21" t="n">
        <f aca="false">mid_26*MDLO_29</f>
        <v>100</v>
      </c>
    </row>
    <row r="54" customFormat="false" ht="17.15" hidden="false" customHeight="false" outlineLevel="0" collapsed="false">
      <c r="A54" s="3" t="s">
        <v>528</v>
      </c>
      <c r="B54" s="0" t="s">
        <v>95</v>
      </c>
      <c r="D54" s="21" t="n">
        <f aca="false">D51+D52+D53</f>
        <v>450</v>
      </c>
      <c r="E54" s="21" t="n">
        <f aca="false">E51+E52+E53</f>
        <v>558</v>
      </c>
      <c r="F54" s="21" t="n">
        <f aca="false">F51+F52+F53</f>
        <v>618</v>
      </c>
      <c r="G54" s="21" t="n">
        <f aca="false">G51+G52+G53</f>
        <v>648</v>
      </c>
    </row>
    <row r="55" customFormat="false" ht="17.15" hidden="false" customHeight="false" outlineLevel="0" collapsed="false">
      <c r="A55" s="0" t="s">
        <v>529</v>
      </c>
      <c r="B55" s="0" t="s">
        <v>34</v>
      </c>
      <c r="D55" s="23" t="n">
        <f aca="false">D50*D54/1000</f>
        <v>10.5297921189287</v>
      </c>
      <c r="E55" s="23" t="n">
        <f aca="false">E50*E54/1000</f>
        <v>23.2388953309435</v>
      </c>
      <c r="F55" s="23" t="n">
        <f aca="false">F50*F54/1000</f>
        <v>32.6255414021913</v>
      </c>
      <c r="G55" s="23" t="n">
        <f aca="false">G50*G54/1000</f>
        <v>38.9698074450003</v>
      </c>
    </row>
    <row r="56" customFormat="false" ht="17.15" hidden="false" customHeight="false" outlineLevel="0" collapsed="false">
      <c r="A56" s="0" t="s">
        <v>530</v>
      </c>
      <c r="B56" s="0" t="s">
        <v>194</v>
      </c>
      <c r="D56" s="22" t="n">
        <f aca="false">D55*fx</f>
        <v>70.7602030392012</v>
      </c>
      <c r="E56" s="22" t="n">
        <f aca="false">E55*fx</f>
        <v>156.165376623941</v>
      </c>
      <c r="F56" s="22" t="n">
        <f aca="false">F55*fx</f>
        <v>219.243638222725</v>
      </c>
      <c r="G56" s="22" t="n">
        <f aca="false">G55*fx</f>
        <v>261.877106030402</v>
      </c>
    </row>
    <row r="57" customFormat="false" ht="17.15" hidden="false" customHeight="false" outlineLevel="0" collapsed="false">
      <c r="A57" s="0" t="s">
        <v>531</v>
      </c>
      <c r="B57" s="0" t="s">
        <v>67</v>
      </c>
      <c r="D57" s="17" t="n">
        <f aca="false">1</f>
        <v>1</v>
      </c>
      <c r="E57" s="17" t="n">
        <f aca="false">pp_27</f>
        <v>1</v>
      </c>
      <c r="F57" s="17" t="n">
        <f aca="false">pp_28</f>
        <v>0.97</v>
      </c>
      <c r="G57" s="17" t="n">
        <f aca="false">pp_29</f>
        <v>0.94</v>
      </c>
    </row>
    <row r="58" customFormat="false" ht="17.15" hidden="false" customHeight="false" outlineLevel="0" collapsed="false">
      <c r="A58" s="3" t="s">
        <v>532</v>
      </c>
      <c r="B58" s="0" t="s">
        <v>54</v>
      </c>
      <c r="D58" s="13" t="n">
        <f aca="false">a26_ai/D56</f>
        <v>0.247531793970355</v>
      </c>
      <c r="K58" s="7" t="s">
        <v>533</v>
      </c>
    </row>
    <row r="59" customFormat="false" ht="17.15" hidden="false" customHeight="false" outlineLevel="0" collapsed="false">
      <c r="A59" s="3" t="s">
        <v>534</v>
      </c>
      <c r="B59" s="0" t="s">
        <v>67</v>
      </c>
      <c r="D59" s="17" t="n">
        <f aca="false">1</f>
        <v>1</v>
      </c>
      <c r="E59" s="17" t="n">
        <f aca="false">rel_27</f>
        <v>0.9</v>
      </c>
      <c r="F59" s="17" t="n">
        <f aca="false">rel_28</f>
        <v>0.8</v>
      </c>
      <c r="G59" s="17" t="n">
        <f aca="false">rel_29</f>
        <v>0.75</v>
      </c>
    </row>
    <row r="60" customFormat="false" ht="15" hidden="false" customHeight="false" outlineLevel="0" collapsed="false">
      <c r="A60" s="3" t="s">
        <v>485</v>
      </c>
      <c r="B60" s="0" t="s">
        <v>54</v>
      </c>
      <c r="D60" s="13" t="n">
        <f aca="false">$D$58*D59</f>
        <v>0.247531793970355</v>
      </c>
      <c r="E60" s="13" t="n">
        <f aca="false">$D$58*E59</f>
        <v>0.222778614573319</v>
      </c>
      <c r="F60" s="13" t="n">
        <f aca="false">$D$58*F59</f>
        <v>0.198025435176284</v>
      </c>
      <c r="G60" s="13" t="n">
        <f aca="false">$D$58*G59</f>
        <v>0.185648845477766</v>
      </c>
    </row>
    <row r="61" customFormat="false" ht="17.15" hidden="false" customHeight="false" outlineLevel="0" collapsed="false">
      <c r="A61" s="0" t="s">
        <v>535</v>
      </c>
      <c r="B61" s="0" t="s">
        <v>194</v>
      </c>
      <c r="D61" s="22" t="n">
        <f aca="false">D56*D60*D57</f>
        <v>17.5154</v>
      </c>
      <c r="E61" s="22" t="n">
        <f aca="false">E56*E60*E57</f>
        <v>34.790306248602</v>
      </c>
      <c r="F61" s="22" t="n">
        <f aca="false">F56*F60*F57</f>
        <v>42.1133423626262</v>
      </c>
      <c r="G61" s="22" t="n">
        <f aca="false">G56*G60*G57</f>
        <v>45.7001514481064</v>
      </c>
    </row>
    <row r="62" customFormat="false" ht="17.15" hidden="false" customHeight="false" outlineLevel="0" collapsed="false">
      <c r="A62" s="5" t="s">
        <v>536</v>
      </c>
    </row>
    <row r="63" customFormat="false" ht="17.15" hidden="false" customHeight="false" outlineLevel="0" collapsed="false">
      <c r="A63" s="3" t="s">
        <v>537</v>
      </c>
      <c r="B63" s="0" t="s">
        <v>67</v>
      </c>
      <c r="D63" s="17" t="n">
        <f aca="false">1</f>
        <v>1</v>
      </c>
      <c r="E63" s="17" t="n">
        <f aca="false">cx_27</f>
        <v>1.7</v>
      </c>
      <c r="F63" s="17" t="n">
        <f aca="false">cx_28</f>
        <v>2.4</v>
      </c>
      <c r="G63" s="17" t="n">
        <f aca="false">cx_29</f>
        <v>3</v>
      </c>
      <c r="K63" s="7" t="s">
        <v>538</v>
      </c>
    </row>
    <row r="64" customFormat="false" ht="17.15" hidden="false" customHeight="false" outlineLevel="0" collapsed="false">
      <c r="A64" s="3" t="s">
        <v>539</v>
      </c>
      <c r="B64" s="0" t="s">
        <v>194</v>
      </c>
      <c r="D64" s="22" t="n">
        <f aca="false">a26_rev*D63*D57</f>
        <v>28.126</v>
      </c>
      <c r="E64" s="22" t="n">
        <f aca="false">a26_rev*E63*E57</f>
        <v>47.8142</v>
      </c>
      <c r="F64" s="22" t="n">
        <f aca="false">a26_rev*F63*F57</f>
        <v>65.477328</v>
      </c>
      <c r="G64" s="22" t="n">
        <f aca="false">a26_rev*G63*G57</f>
        <v>79.31532</v>
      </c>
    </row>
    <row r="65" customFormat="false" ht="17.15" hidden="false" customHeight="false" outlineLevel="0" collapsed="false">
      <c r="A65" s="3" t="s">
        <v>540</v>
      </c>
      <c r="B65" s="0" t="s">
        <v>194</v>
      </c>
      <c r="C65" s="22" t="n">
        <f aca="false">a25_nai</f>
        <v>10.6106</v>
      </c>
      <c r="D65" s="22" t="n">
        <f aca="false">a26_nai</f>
        <v>10.6106</v>
      </c>
      <c r="E65" s="22" t="n">
        <f aca="false">D65*(1+g_nai27)</f>
        <v>10.6106</v>
      </c>
      <c r="F65" s="22" t="n">
        <f aca="false">E65*(1+g_nai28)</f>
        <v>10.6106</v>
      </c>
      <c r="G65" s="22" t="n">
        <f aca="false">F65*(1+g_nai29)</f>
        <v>10.6106</v>
      </c>
    </row>
    <row r="66" customFormat="false" ht="17.15" hidden="false" customHeight="false" outlineLevel="0" collapsed="false">
      <c r="A66" s="0" t="s">
        <v>541</v>
      </c>
      <c r="B66" s="0" t="s">
        <v>194</v>
      </c>
      <c r="C66" s="22" t="n">
        <f aca="false">a25_ai</f>
        <v>8.6814</v>
      </c>
      <c r="D66" s="22" t="n">
        <f aca="false">D61</f>
        <v>17.5154</v>
      </c>
      <c r="E66" s="22" t="n">
        <f aca="false">MIN(E61,E64-E65)</f>
        <v>34.790306248602</v>
      </c>
      <c r="F66" s="22" t="n">
        <f aca="false">MIN(F61,F64-F65)</f>
        <v>42.1133423626262</v>
      </c>
      <c r="G66" s="22" t="n">
        <f aca="false">MIN(G61,G64-G65)</f>
        <v>45.7001514481064</v>
      </c>
      <c r="K66" s="3" t="s">
        <v>542</v>
      </c>
    </row>
    <row r="67" customFormat="false" ht="15" hidden="false" customHeight="false" outlineLevel="0" collapsed="false">
      <c r="A67" s="3" t="s">
        <v>543</v>
      </c>
      <c r="E67" s="0" t="str">
        <f aca="false">IF(E61&gt;E64-E65+0.0001,"受限","未受限")</f>
        <v>未受限</v>
      </c>
      <c r="F67" s="0" t="str">
        <f aca="false">IF(F61&gt;F64-F65+0.0001,"受限","未受限")</f>
        <v>未受限</v>
      </c>
      <c r="G67" s="0" t="str">
        <f aca="false">IF(G61&gt;G64-G65+0.0001,"受限","未受限")</f>
        <v>未受限</v>
      </c>
    </row>
    <row r="68" customFormat="false" ht="17.15" hidden="false" customHeight="false" outlineLevel="0" collapsed="false">
      <c r="A68" s="3" t="s">
        <v>414</v>
      </c>
      <c r="B68" s="0" t="s">
        <v>194</v>
      </c>
      <c r="C68" s="22" t="n">
        <f aca="false">C66+C65</f>
        <v>19.292</v>
      </c>
      <c r="D68" s="22" t="n">
        <f aca="false">D66+D65</f>
        <v>28.126</v>
      </c>
      <c r="E68" s="22" t="n">
        <f aca="false">E66+E65</f>
        <v>45.400906248602</v>
      </c>
      <c r="F68" s="22" t="n">
        <f aca="false">F66+F65</f>
        <v>52.7239423626262</v>
      </c>
      <c r="G68" s="22" t="n">
        <f aca="false">G66+G65</f>
        <v>56.3107514481064</v>
      </c>
      <c r="H68" s="24" t="n">
        <f aca="false">G68*(1+H69)</f>
        <v>59.9908462497549</v>
      </c>
      <c r="I68" s="24" t="n">
        <f aca="false">H68*(1+I69)</f>
        <v>63.7508722526075</v>
      </c>
      <c r="J68" s="24" t="n">
        <f aca="false">I68*(1+J69)</f>
        <v>67.575924587764</v>
      </c>
      <c r="K68" s="7" t="s">
        <v>544</v>
      </c>
    </row>
    <row r="69" customFormat="false" ht="15" hidden="false" customHeight="false" outlineLevel="0" collapsed="false">
      <c r="A69" s="3" t="s">
        <v>545</v>
      </c>
      <c r="B69" s="0" t="s">
        <v>54</v>
      </c>
      <c r="D69" s="13" t="n">
        <f aca="false">D68/C68-1</f>
        <v>0.457910014513788</v>
      </c>
      <c r="E69" s="13" t="n">
        <f aca="false">E68/D68-1</f>
        <v>0.614197050721825</v>
      </c>
      <c r="F69" s="13" t="n">
        <f aca="false">F68/E68-1</f>
        <v>0.161297135214117</v>
      </c>
      <c r="G69" s="13" t="n">
        <f aca="false">G68/F68-1</f>
        <v>0.068029986468211</v>
      </c>
      <c r="H69" s="25" t="n">
        <f aca="false">$G69+(fade_gA-$G69)*1/3</f>
        <v>0.0653533243121407</v>
      </c>
      <c r="I69" s="25" t="n">
        <f aca="false">$G69+(fade_gA-$G69)*2/3</f>
        <v>0.0626766621560703</v>
      </c>
      <c r="J69" s="25" t="n">
        <f aca="false">$G69+(fade_gA-$G69)*3/3</f>
        <v>0.06</v>
      </c>
    </row>
    <row r="70" customFormat="false" ht="17.15" hidden="false" customHeight="false" outlineLevel="0" collapsed="false">
      <c r="A70" s="0" t="s">
        <v>546</v>
      </c>
      <c r="B70" s="0" t="s">
        <v>54</v>
      </c>
      <c r="C70" s="13" t="n">
        <f aca="false">C66/C68</f>
        <v>0.45</v>
      </c>
      <c r="D70" s="13" t="n">
        <f aca="false">D66/D68</f>
        <v>0.622747635639622</v>
      </c>
      <c r="E70" s="13" t="n">
        <f aca="false">E66/E68</f>
        <v>0.766291008776357</v>
      </c>
      <c r="F70" s="13" t="n">
        <f aca="false">F66/F68</f>
        <v>0.798751771500278</v>
      </c>
      <c r="G70" s="13" t="n">
        <f aca="false">G66/G68</f>
        <v>0.81157061969279</v>
      </c>
    </row>
    <row r="71" customFormat="false" ht="17.15" hidden="false" customHeight="false" outlineLevel="0" collapsed="false">
      <c r="A71" s="3" t="s">
        <v>547</v>
      </c>
      <c r="B71" s="0" t="s">
        <v>54</v>
      </c>
      <c r="D71" s="13" t="n">
        <f aca="false">(D61+D65)/D64</f>
        <v>1</v>
      </c>
      <c r="E71" s="13" t="n">
        <f aca="false">(E61+E65)/E64</f>
        <v>0.949527676895191</v>
      </c>
      <c r="F71" s="13" t="n">
        <f aca="false">(F61+F65)/F64</f>
        <v>0.805224403210624</v>
      </c>
      <c r="G71" s="13" t="n">
        <f aca="false">(G61+G65)/G64</f>
        <v>0.709960590817845</v>
      </c>
      <c r="K71" s="3" t="s">
        <v>548</v>
      </c>
    </row>
    <row r="72" customFormat="false" ht="17.15" hidden="false" customHeight="false" outlineLevel="0" collapsed="false">
      <c r="A72" s="3" t="s">
        <v>489</v>
      </c>
      <c r="B72" s="0" t="s">
        <v>95</v>
      </c>
      <c r="D72" s="21" t="n">
        <f aca="false">D66/fx/D50*1000</f>
        <v>111.38930728666</v>
      </c>
      <c r="E72" s="21" t="n">
        <f aca="false">E66/fx/E50*1000</f>
        <v>124.310466931912</v>
      </c>
      <c r="F72" s="21" t="n">
        <f aca="false">F66/fx/F50*1000</f>
        <v>118.708327370775</v>
      </c>
      <c r="G72" s="21" t="n">
        <f aca="false">G66/fx/G50*1000</f>
        <v>113.082424757417</v>
      </c>
    </row>
    <row r="73" customFormat="false" ht="17.15" hidden="false" customHeight="false" outlineLevel="0" collapsed="false">
      <c r="A73" s="5" t="s">
        <v>549</v>
      </c>
    </row>
    <row r="74" customFormat="false" ht="17.15" hidden="false" customHeight="false" outlineLevel="0" collapsed="false">
      <c r="A74" s="3" t="s">
        <v>550</v>
      </c>
      <c r="B74" s="0" t="s">
        <v>54</v>
      </c>
      <c r="D74" s="13" t="n">
        <f aca="false">a26_gp/D68-d_ai*D70</f>
        <v>0.237492000284434</v>
      </c>
      <c r="K74" s="7" t="s">
        <v>551</v>
      </c>
    </row>
    <row r="75" customFormat="false" ht="17.15" hidden="false" customHeight="false" outlineLevel="0" collapsed="false">
      <c r="A75" s="0" t="s">
        <v>552</v>
      </c>
      <c r="B75" s="0" t="s">
        <v>54</v>
      </c>
      <c r="D75" s="13" t="n">
        <f aca="false">D74+d_ai</f>
        <v>0.387492000284434</v>
      </c>
      <c r="E75" s="13" t="n">
        <f aca="false">1-(1-$D$75)/E57+gmu_27</f>
        <v>0.397492000284434</v>
      </c>
      <c r="F75" s="13" t="n">
        <f aca="false">1-(1-$D$75)/F57+gmu_28</f>
        <v>0.388548453901479</v>
      </c>
      <c r="G75" s="13" t="n">
        <f aca="false">1-(1-$D$75)/G57+gmu_29</f>
        <v>0.378395744983441</v>
      </c>
      <c r="K75" s="7" t="s">
        <v>553</v>
      </c>
    </row>
    <row r="76" customFormat="false" ht="15" hidden="false" customHeight="false" outlineLevel="0" collapsed="false">
      <c r="A76" s="3" t="s">
        <v>418</v>
      </c>
      <c r="B76" s="0" t="s">
        <v>194</v>
      </c>
      <c r="C76" s="22" t="n">
        <f aca="false">a25_gp</f>
        <v>6.7946424</v>
      </c>
      <c r="D76" s="22" t="n">
        <f aca="false">a26_gp</f>
        <v>9.30701</v>
      </c>
      <c r="E76" s="22" t="n">
        <f aca="false">E66*E75+E65*$D$74</f>
        <v>16.3488010394829</v>
      </c>
      <c r="F76" s="22" t="n">
        <f aca="false">F66*F75+F65*$D$74</f>
        <v>18.8830066818401</v>
      </c>
      <c r="G76" s="22" t="n">
        <f aca="false">G66*G75+G65*$D$74</f>
        <v>19.8126754712803</v>
      </c>
    </row>
    <row r="77" customFormat="false" ht="15" hidden="false" customHeight="false" outlineLevel="0" collapsed="false">
      <c r="A77" s="3" t="s">
        <v>421</v>
      </c>
      <c r="B77" s="0" t="s">
        <v>54</v>
      </c>
      <c r="C77" s="13" t="n">
        <f aca="false">C76/C68</f>
        <v>0.3522</v>
      </c>
      <c r="D77" s="13" t="n">
        <f aca="false">D76/D68</f>
        <v>0.330904145630378</v>
      </c>
      <c r="E77" s="13" t="n">
        <f aca="false">E76/E68</f>
        <v>0.360098561688651</v>
      </c>
      <c r="F77" s="13" t="n">
        <f aca="false">F76/F68</f>
        <v>0.358148610207598</v>
      </c>
      <c r="G77" s="13" t="n">
        <f aca="false">G76/G68</f>
        <v>0.351845339686842</v>
      </c>
    </row>
    <row r="78" customFormat="false" ht="17.15" hidden="false" customHeight="false" outlineLevel="0" collapsed="false">
      <c r="A78" s="3" t="s">
        <v>554</v>
      </c>
      <c r="B78" s="0" t="s">
        <v>194</v>
      </c>
      <c r="C78" s="22" t="n">
        <f aca="false">a25_opx</f>
        <v>1.6466424</v>
      </c>
      <c r="D78" s="22" t="n">
        <f aca="false">a26_opx</f>
        <v>1.827905</v>
      </c>
      <c r="E78" s="22" t="n">
        <f aca="false">D78*(1+MAX(0,phi*E69))</f>
        <v>2.50152131599981</v>
      </c>
      <c r="F78" s="22" t="n">
        <f aca="false">E78*(1+MAX(0,phi*F69))</f>
        <v>2.7436142491685</v>
      </c>
      <c r="G78" s="22" t="n">
        <f aca="false">F78*(1+MAX(0,phi*G69))</f>
        <v>2.85560307331545</v>
      </c>
      <c r="K78" s="7" t="s">
        <v>555</v>
      </c>
    </row>
    <row r="79" customFormat="false" ht="15" hidden="false" customHeight="false" outlineLevel="0" collapsed="false">
      <c r="A79" s="3" t="s">
        <v>423</v>
      </c>
      <c r="B79" s="0" t="s">
        <v>194</v>
      </c>
      <c r="C79" s="22" t="n">
        <f aca="false">C78</f>
        <v>1.6466424</v>
      </c>
      <c r="D79" s="22" t="n">
        <f aca="false">D78</f>
        <v>1.827905</v>
      </c>
      <c r="E79" s="22" t="n">
        <f aca="false">E78+0*E68</f>
        <v>2.50152131599981</v>
      </c>
      <c r="F79" s="22" t="n">
        <f aca="false">F78+0*F68</f>
        <v>2.7436142491685</v>
      </c>
      <c r="G79" s="22" t="n">
        <f aca="false">G78+0*G68</f>
        <v>2.85560307331545</v>
      </c>
    </row>
    <row r="80" customFormat="false" ht="15" hidden="false" customHeight="false" outlineLevel="0" collapsed="false">
      <c r="A80" s="3" t="s">
        <v>556</v>
      </c>
      <c r="B80" s="0" t="s">
        <v>194</v>
      </c>
      <c r="C80" s="22" t="n">
        <f aca="false">C76-C79</f>
        <v>5.148</v>
      </c>
      <c r="D80" s="22" t="n">
        <f aca="false">D76-D79</f>
        <v>7.479105</v>
      </c>
      <c r="E80" s="22" t="n">
        <f aca="false">E76-E79</f>
        <v>13.8472797234831</v>
      </c>
      <c r="F80" s="22" t="n">
        <f aca="false">F76-F79</f>
        <v>16.1393924326716</v>
      </c>
      <c r="G80" s="22" t="n">
        <f aca="false">G76-G79</f>
        <v>16.9570723979649</v>
      </c>
    </row>
    <row r="81" customFormat="false" ht="15" hidden="false" customHeight="false" outlineLevel="0" collapsed="false">
      <c r="A81" s="3" t="s">
        <v>429</v>
      </c>
      <c r="B81" s="0" t="s">
        <v>54</v>
      </c>
      <c r="C81" s="13" t="n">
        <f aca="false">C80/C68</f>
        <v>0.266846361185984</v>
      </c>
      <c r="D81" s="13" t="n">
        <f aca="false">D80/D68</f>
        <v>0.265914278603427</v>
      </c>
      <c r="E81" s="13" t="n">
        <f aca="false">E80/E68</f>
        <v>0.305000073074741</v>
      </c>
      <c r="F81" s="13" t="n">
        <f aca="false">F80/F68</f>
        <v>0.306111260073604</v>
      </c>
      <c r="G81" s="13" t="n">
        <f aca="false">G80/G68</f>
        <v>0.301133832561119</v>
      </c>
    </row>
    <row r="82" customFormat="false" ht="17.15" hidden="false" customHeight="false" outlineLevel="0" collapsed="false">
      <c r="A82" s="3" t="s">
        <v>430</v>
      </c>
      <c r="B82" s="0" t="s">
        <v>194</v>
      </c>
      <c r="E82" s="22" t="n">
        <f aca="false">nop_f</f>
        <v>-0.2</v>
      </c>
      <c r="F82" s="22" t="n">
        <f aca="false">nop_f</f>
        <v>-0.2</v>
      </c>
      <c r="G82" s="22" t="n">
        <f aca="false">nop_f</f>
        <v>-0.2</v>
      </c>
      <c r="K82" s="7" t="s">
        <v>557</v>
      </c>
    </row>
    <row r="83" customFormat="false" ht="15" hidden="false" customHeight="false" outlineLevel="0" collapsed="false">
      <c r="A83" s="3" t="s">
        <v>436</v>
      </c>
      <c r="B83" s="0" t="s">
        <v>194</v>
      </c>
      <c r="C83" s="22" t="n">
        <f aca="false">a25_ni</f>
        <v>4.312</v>
      </c>
      <c r="D83" s="22" t="n">
        <f aca="false">a26_ni</f>
        <v>6.5441924845173</v>
      </c>
      <c r="E83" s="22" t="n">
        <f aca="false">(E80+E82)*nir_f</f>
        <v>11.8321915202598</v>
      </c>
      <c r="F83" s="22" t="n">
        <f aca="false">(F80+F82)*nir_f</f>
        <v>13.8194532391263</v>
      </c>
      <c r="G83" s="22" t="n">
        <f aca="false">(G80+G82)*nir_f</f>
        <v>14.5283817690355</v>
      </c>
      <c r="H83" s="24" t="n">
        <f aca="false">H68*H88</f>
        <v>15.6666420257063</v>
      </c>
      <c r="I83" s="24" t="n">
        <f aca="false">I68*I88</f>
        <v>16.8491893051317</v>
      </c>
      <c r="J83" s="24" t="n">
        <f aca="false">J68*J88</f>
        <v>18.0727919805034</v>
      </c>
    </row>
    <row r="84" customFormat="false" ht="17.15" hidden="false" customHeight="false" outlineLevel="0" collapsed="false">
      <c r="A84" s="3" t="s">
        <v>439</v>
      </c>
      <c r="B84" s="0" t="s">
        <v>54</v>
      </c>
      <c r="C84" s="13" t="n">
        <f aca="false">C83/C80</f>
        <v>0.837606837606838</v>
      </c>
      <c r="D84" s="13" t="n">
        <f aca="false">D83/D80</f>
        <v>0.874996738850077</v>
      </c>
      <c r="E84" s="13" t="n">
        <f aca="false">E83/E80</f>
        <v>0.854477684898216</v>
      </c>
      <c r="F84" s="13" t="n">
        <f aca="false">F83/F80</f>
        <v>0.856256101137427</v>
      </c>
      <c r="G84" s="13" t="n">
        <f aca="false">G83/G80</f>
        <v>0.85677417823487</v>
      </c>
    </row>
    <row r="85" customFormat="false" ht="17.15" hidden="false" customHeight="false" outlineLevel="0" collapsed="false">
      <c r="A85" s="3" t="s">
        <v>558</v>
      </c>
      <c r="B85" s="3" t="s">
        <v>222</v>
      </c>
      <c r="C85" s="27" t="n">
        <f aca="false">a25_sh</f>
        <v>0.860678642714571</v>
      </c>
      <c r="D85" s="27" t="n">
        <f aca="false">a26_sh</f>
        <v>0.946074458598726</v>
      </c>
      <c r="E85" s="27" t="n">
        <f aca="false">sh_h2*(1+sh_g)</f>
        <v>0.98234</v>
      </c>
      <c r="F85" s="27" t="n">
        <f aca="false">E85*(1+sh_g)</f>
        <v>0.98234</v>
      </c>
      <c r="G85" s="27" t="n">
        <f aca="false">F85*(1+sh_g)</f>
        <v>0.98234</v>
      </c>
      <c r="H85" s="28" t="n">
        <f aca="false">G85*(1+sh_g)</f>
        <v>0.98234</v>
      </c>
      <c r="I85" s="28" t="n">
        <f aca="false">H85*(1+sh_g)</f>
        <v>0.98234</v>
      </c>
      <c r="J85" s="28" t="n">
        <f aca="false">I85*(1+sh_g)</f>
        <v>0.98234</v>
      </c>
      <c r="K85" s="7" t="s">
        <v>559</v>
      </c>
    </row>
    <row r="86" customFormat="false" ht="15" hidden="false" customHeight="false" outlineLevel="0" collapsed="false">
      <c r="A86" s="0" t="s">
        <v>442</v>
      </c>
      <c r="B86" s="0" t="s">
        <v>258</v>
      </c>
      <c r="C86" s="23" t="n">
        <f aca="false">C83/C85</f>
        <v>5.01</v>
      </c>
      <c r="D86" s="23" t="n">
        <f aca="false">D83/D85</f>
        <v>6.91720659514496</v>
      </c>
      <c r="E86" s="23" t="n">
        <f aca="false">E83/E85</f>
        <v>12.0449045343362</v>
      </c>
      <c r="F86" s="23" t="n">
        <f aca="false">F83/F85</f>
        <v>14.0678922156547</v>
      </c>
      <c r="G86" s="23" t="n">
        <f aca="false">G83/G85</f>
        <v>14.7895654956894</v>
      </c>
      <c r="H86" s="29" t="n">
        <f aca="false">H83/H85</f>
        <v>15.9482888060206</v>
      </c>
      <c r="I86" s="29" t="n">
        <f aca="false">I83/I85</f>
        <v>17.1520953082759</v>
      </c>
      <c r="J86" s="29" t="n">
        <f aca="false">J83/J85</f>
        <v>18.3976952791329</v>
      </c>
    </row>
    <row r="87" customFormat="false" ht="17.15" hidden="false" customHeight="false" outlineLevel="0" collapsed="false">
      <c r="A87" s="0" t="s">
        <v>560</v>
      </c>
      <c r="B87" s="0" t="s">
        <v>54</v>
      </c>
      <c r="D87" s="13" t="n">
        <f aca="false">D86/C86-1</f>
        <v>0.38067995911077</v>
      </c>
      <c r="E87" s="13" t="n">
        <f aca="false">E86/D86-1</f>
        <v>0.741296051904867</v>
      </c>
      <c r="F87" s="13" t="n">
        <f aca="false">F86/E86-1</f>
        <v>0.167953816117979</v>
      </c>
      <c r="G87" s="13" t="n">
        <f aca="false">G86/F86-1</f>
        <v>0.0512993182611685</v>
      </c>
      <c r="H87" s="25" t="n">
        <f aca="false">H86/G86-1</f>
        <v>0.0783473531165568</v>
      </c>
      <c r="I87" s="25" t="n">
        <f aca="false">I86/H86-1</f>
        <v>0.0754818599598472</v>
      </c>
      <c r="J87" s="25" t="n">
        <f aca="false">J86/I86-1</f>
        <v>0.0726208634262879</v>
      </c>
    </row>
    <row r="88" customFormat="false" ht="17.15" hidden="false" customHeight="false" outlineLevel="0" collapsed="false">
      <c r="A88" s="3" t="s">
        <v>561</v>
      </c>
      <c r="B88" s="0" t="s">
        <v>54</v>
      </c>
      <c r="C88" s="13" t="n">
        <f aca="false">C83/C68</f>
        <v>0.223512336719884</v>
      </c>
      <c r="D88" s="13" t="n">
        <f aca="false">D83/D68</f>
        <v>0.23267412659167</v>
      </c>
      <c r="E88" s="13" t="n">
        <f aca="false">E83/E68</f>
        <v>0.260615756334692</v>
      </c>
      <c r="F88" s="13" t="n">
        <f aca="false">F83/F68</f>
        <v>0.262109634064889</v>
      </c>
      <c r="G88" s="13" t="n">
        <f aca="false">G83/G68</f>
        <v>0.25800369193127</v>
      </c>
      <c r="H88" s="25" t="n">
        <f aca="false">$G88+(fade_mA-$G88)*1/3</f>
        <v>0.261150542209101</v>
      </c>
      <c r="I88" s="25" t="n">
        <f aca="false">$G88+(fade_mA-$G88)*2/3</f>
        <v>0.264297392486933</v>
      </c>
      <c r="J88" s="25" t="n">
        <f aca="false">$G88+(fade_mA-$G88)*3/3</f>
        <v>0.267444242764765</v>
      </c>
    </row>
    <row r="91" customFormat="false" ht="17.15" hidden="false" customHeight="false" outlineLevel="0" collapsed="false">
      <c r="A91" s="1" t="s">
        <v>888</v>
      </c>
    </row>
    <row r="92" customFormat="false" ht="17.15" hidden="false" customHeight="false" outlineLevel="0" collapsed="false">
      <c r="A92" s="4" t="s">
        <v>23</v>
      </c>
      <c r="B92" s="4" t="s">
        <v>24</v>
      </c>
      <c r="C92" s="14" t="s">
        <v>409</v>
      </c>
      <c r="D92" s="14" t="s">
        <v>502</v>
      </c>
      <c r="E92" s="14" t="s">
        <v>503</v>
      </c>
      <c r="F92" s="14" t="s">
        <v>504</v>
      </c>
      <c r="G92" s="14" t="s">
        <v>505</v>
      </c>
      <c r="H92" s="14" t="s">
        <v>506</v>
      </c>
      <c r="I92" s="14" t="s">
        <v>507</v>
      </c>
      <c r="J92" s="14" t="s">
        <v>508</v>
      </c>
      <c r="K92" s="4" t="s">
        <v>391</v>
      </c>
    </row>
    <row r="93" customFormat="false" ht="17.15" hidden="false" customHeight="false" outlineLevel="0" collapsed="false">
      <c r="A93" s="5" t="s">
        <v>524</v>
      </c>
    </row>
    <row r="94" customFormat="false" ht="17.15" hidden="false" customHeight="false" outlineLevel="0" collapsed="false">
      <c r="A94" s="0" t="s">
        <v>525</v>
      </c>
      <c r="B94" s="0" t="s">
        <v>34</v>
      </c>
      <c r="D94" s="23" t="n">
        <f aca="false">itc_26*1</f>
        <v>781.872916666666</v>
      </c>
      <c r="E94" s="23" t="n">
        <f aca="false">itc_27*1*1</f>
        <v>1565.35</v>
      </c>
      <c r="F94" s="23" t="n">
        <f aca="false">itc_28*um28_A*1</f>
        <v>1984.26388888889</v>
      </c>
      <c r="G94" s="23" t="n">
        <f aca="false">itc_29*um29_A*1</f>
        <v>2260.39027777778</v>
      </c>
    </row>
    <row r="95" customFormat="false" ht="17.15" hidden="false" customHeight="false" outlineLevel="0" collapsed="false">
      <c r="A95" s="3" t="s">
        <v>526</v>
      </c>
      <c r="B95" s="0" t="s">
        <v>34</v>
      </c>
      <c r="D95" s="23" t="n">
        <f aca="false">itpg_gb*(1-vr26)+itpg_vr*vr26</f>
        <v>33.41403216</v>
      </c>
      <c r="E95" s="23" t="n">
        <f aca="false">itpg_vr</f>
        <v>37.586352</v>
      </c>
      <c r="F95" s="23" t="n">
        <f aca="false">itpg_vr</f>
        <v>37.586352</v>
      </c>
      <c r="G95" s="23" t="n">
        <f aca="false">itpg_vr</f>
        <v>37.586352</v>
      </c>
    </row>
    <row r="96" customFormat="false" ht="17.15" hidden="false" customHeight="false" outlineLevel="0" collapsed="false">
      <c r="A96" s="3" t="s">
        <v>527</v>
      </c>
      <c r="B96" s="0" t="s">
        <v>468</v>
      </c>
      <c r="D96" s="20" t="n">
        <f aca="false">D94/D95</f>
        <v>23.3995380420639</v>
      </c>
      <c r="E96" s="20" t="n">
        <f aca="false">E94/E95</f>
        <v>41.6467658260637</v>
      </c>
      <c r="F96" s="20" t="n">
        <f aca="false">F94/F95</f>
        <v>52.792138191248</v>
      </c>
      <c r="G96" s="20" t="n">
        <f aca="false">G94/G95</f>
        <v>60.1385917361116</v>
      </c>
    </row>
    <row r="97" customFormat="false" ht="17.15" hidden="false" customHeight="false" outlineLevel="0" collapsed="false">
      <c r="A97" s="3" t="s">
        <v>470</v>
      </c>
      <c r="B97" s="0" t="s">
        <v>95</v>
      </c>
      <c r="D97" s="21" t="n">
        <f aca="false">cmp_26</f>
        <v>280</v>
      </c>
      <c r="E97" s="21" t="n">
        <f aca="false">cmp_26*CXHI_27</f>
        <v>490</v>
      </c>
      <c r="F97" s="21" t="n">
        <f aca="false">cmp_26*CXHI_28</f>
        <v>560</v>
      </c>
      <c r="G97" s="21" t="n">
        <f aca="false">cmp_26*CXHI_29</f>
        <v>616</v>
      </c>
    </row>
    <row r="98" customFormat="false" ht="17.15" hidden="false" customHeight="false" outlineLevel="0" collapsed="false">
      <c r="A98" s="3" t="s">
        <v>472</v>
      </c>
      <c r="B98" s="0" t="s">
        <v>95</v>
      </c>
      <c r="D98" s="21" t="n">
        <f aca="false">sw_26</f>
        <v>120</v>
      </c>
      <c r="E98" s="21" t="n">
        <f aca="false">sw_26*SXHI_27</f>
        <v>192</v>
      </c>
      <c r="F98" s="21" t="n">
        <f aca="false">sw_26*SXHI_28</f>
        <v>222</v>
      </c>
      <c r="G98" s="21" t="n">
        <f aca="false">sw_26*SXHI_29</f>
        <v>252</v>
      </c>
    </row>
    <row r="99" customFormat="false" ht="17.15" hidden="false" customHeight="false" outlineLevel="0" collapsed="false">
      <c r="A99" s="3" t="s">
        <v>473</v>
      </c>
      <c r="B99" s="0" t="s">
        <v>95</v>
      </c>
      <c r="D99" s="21" t="n">
        <f aca="false">mid_26</f>
        <v>50</v>
      </c>
      <c r="E99" s="21" t="n">
        <f aca="false">mid_26*MDHI_27</f>
        <v>130</v>
      </c>
      <c r="F99" s="21" t="n">
        <f aca="false">mid_26*MDHI_28</f>
        <v>200</v>
      </c>
      <c r="G99" s="21" t="n">
        <f aca="false">mid_26*MDHI_29</f>
        <v>250</v>
      </c>
    </row>
    <row r="100" customFormat="false" ht="17.15" hidden="false" customHeight="false" outlineLevel="0" collapsed="false">
      <c r="A100" s="3" t="s">
        <v>528</v>
      </c>
      <c r="B100" s="0" t="s">
        <v>95</v>
      </c>
      <c r="D100" s="21" t="n">
        <f aca="false">D97+D98+D99</f>
        <v>450</v>
      </c>
      <c r="E100" s="21" t="n">
        <f aca="false">E97+E98+E99</f>
        <v>812</v>
      </c>
      <c r="F100" s="21" t="n">
        <f aca="false">F97+F98+F99</f>
        <v>982</v>
      </c>
      <c r="G100" s="21" t="n">
        <f aca="false">G97+G98+G99</f>
        <v>1118</v>
      </c>
    </row>
    <row r="101" customFormat="false" ht="17.15" hidden="false" customHeight="false" outlineLevel="0" collapsed="false">
      <c r="A101" s="0" t="s">
        <v>529</v>
      </c>
      <c r="B101" s="0" t="s">
        <v>34</v>
      </c>
      <c r="D101" s="23" t="n">
        <f aca="false">D96*D100/1000</f>
        <v>10.5297921189287</v>
      </c>
      <c r="E101" s="23" t="n">
        <f aca="false">E96*E100/1000</f>
        <v>33.8171738507637</v>
      </c>
      <c r="F101" s="23" t="n">
        <f aca="false">F96*F100/1000</f>
        <v>51.8418797038055</v>
      </c>
      <c r="G101" s="23" t="n">
        <f aca="false">G96*G100/1000</f>
        <v>67.2349455609727</v>
      </c>
    </row>
    <row r="102" customFormat="false" ht="17.15" hidden="false" customHeight="false" outlineLevel="0" collapsed="false">
      <c r="A102" s="0" t="s">
        <v>530</v>
      </c>
      <c r="B102" s="0" t="s">
        <v>194</v>
      </c>
      <c r="D102" s="22" t="n">
        <f aca="false">D101*fx</f>
        <v>70.7602030392012</v>
      </c>
      <c r="E102" s="22" t="n">
        <f aca="false">E101*fx</f>
        <v>227.251408277132</v>
      </c>
      <c r="F102" s="22" t="n">
        <f aca="false">F101*fx</f>
        <v>348.377431609573</v>
      </c>
      <c r="G102" s="22" t="n">
        <f aca="false">G101*fx</f>
        <v>451.818834169737</v>
      </c>
    </row>
    <row r="103" customFormat="false" ht="17.15" hidden="false" customHeight="false" outlineLevel="0" collapsed="false">
      <c r="A103" s="0" t="s">
        <v>531</v>
      </c>
      <c r="B103" s="0" t="s">
        <v>67</v>
      </c>
      <c r="D103" s="17" t="n">
        <f aca="false">1</f>
        <v>1</v>
      </c>
      <c r="E103" s="17" t="n">
        <f aca="false">pp_27</f>
        <v>1</v>
      </c>
      <c r="F103" s="17" t="n">
        <f aca="false">pp_28</f>
        <v>0.97</v>
      </c>
      <c r="G103" s="17" t="n">
        <f aca="false">pp_29</f>
        <v>0.94</v>
      </c>
    </row>
    <row r="104" customFormat="false" ht="17.15" hidden="false" customHeight="false" outlineLevel="0" collapsed="false">
      <c r="A104" s="3" t="s">
        <v>532</v>
      </c>
      <c r="B104" s="0" t="s">
        <v>54</v>
      </c>
      <c r="D104" s="13" t="n">
        <f aca="false">a26_ai/D102</f>
        <v>0.247531793970355</v>
      </c>
      <c r="K104" s="7" t="s">
        <v>533</v>
      </c>
    </row>
    <row r="105" customFormat="false" ht="17.15" hidden="false" customHeight="false" outlineLevel="0" collapsed="false">
      <c r="A105" s="3" t="s">
        <v>534</v>
      </c>
      <c r="B105" s="0" t="s">
        <v>67</v>
      </c>
      <c r="D105" s="17" t="n">
        <f aca="false">1</f>
        <v>1</v>
      </c>
      <c r="E105" s="17" t="n">
        <f aca="false">rel_27</f>
        <v>0.9</v>
      </c>
      <c r="F105" s="17" t="n">
        <f aca="false">rel_28</f>
        <v>0.8</v>
      </c>
      <c r="G105" s="17" t="n">
        <f aca="false">rel_29</f>
        <v>0.75</v>
      </c>
    </row>
    <row r="106" customFormat="false" ht="15" hidden="false" customHeight="false" outlineLevel="0" collapsed="false">
      <c r="A106" s="3" t="s">
        <v>485</v>
      </c>
      <c r="B106" s="0" t="s">
        <v>54</v>
      </c>
      <c r="D106" s="13" t="n">
        <f aca="false">$D$104*D105</f>
        <v>0.247531793970355</v>
      </c>
      <c r="E106" s="13" t="n">
        <f aca="false">$D$104*E105</f>
        <v>0.222778614573319</v>
      </c>
      <c r="F106" s="13" t="n">
        <f aca="false">$D$104*F105</f>
        <v>0.198025435176284</v>
      </c>
      <c r="G106" s="13" t="n">
        <f aca="false">$D$104*G105</f>
        <v>0.185648845477766</v>
      </c>
    </row>
    <row r="107" customFormat="false" ht="17.15" hidden="false" customHeight="false" outlineLevel="0" collapsed="false">
      <c r="A107" s="0" t="s">
        <v>535</v>
      </c>
      <c r="B107" s="0" t="s">
        <v>194</v>
      </c>
      <c r="D107" s="22" t="n">
        <f aca="false">D102*D106*D103</f>
        <v>17.5154</v>
      </c>
      <c r="E107" s="22" t="n">
        <f aca="false">E102*E106*E103</f>
        <v>50.6267538958152</v>
      </c>
      <c r="F107" s="22" t="n">
        <f aca="false">F102*F106*F103</f>
        <v>66.9179647250792</v>
      </c>
      <c r="G107" s="22" t="n">
        <f aca="false">G102*G106*G103</f>
        <v>78.8468662329985</v>
      </c>
    </row>
    <row r="108" customFormat="false" ht="17.15" hidden="false" customHeight="false" outlineLevel="0" collapsed="false">
      <c r="A108" s="5" t="s">
        <v>536</v>
      </c>
    </row>
    <row r="109" customFormat="false" ht="17.15" hidden="false" customHeight="false" outlineLevel="0" collapsed="false">
      <c r="A109" s="3" t="s">
        <v>537</v>
      </c>
      <c r="B109" s="0" t="s">
        <v>67</v>
      </c>
      <c r="D109" s="17" t="n">
        <f aca="false">1</f>
        <v>1</v>
      </c>
      <c r="E109" s="17" t="n">
        <f aca="false">cx_27</f>
        <v>1.7</v>
      </c>
      <c r="F109" s="17" t="n">
        <f aca="false">cx_28</f>
        <v>2.4</v>
      </c>
      <c r="G109" s="17" t="n">
        <f aca="false">cx_29</f>
        <v>3</v>
      </c>
      <c r="K109" s="7" t="s">
        <v>538</v>
      </c>
    </row>
    <row r="110" customFormat="false" ht="17.15" hidden="false" customHeight="false" outlineLevel="0" collapsed="false">
      <c r="A110" s="3" t="s">
        <v>539</v>
      </c>
      <c r="B110" s="0" t="s">
        <v>194</v>
      </c>
      <c r="D110" s="22" t="n">
        <f aca="false">a26_rev*D109*D103</f>
        <v>28.126</v>
      </c>
      <c r="E110" s="22" t="n">
        <f aca="false">a26_rev*E109*E103</f>
        <v>47.8142</v>
      </c>
      <c r="F110" s="22" t="n">
        <f aca="false">a26_rev*F109*F103</f>
        <v>65.477328</v>
      </c>
      <c r="G110" s="22" t="n">
        <f aca="false">a26_rev*G109*G103</f>
        <v>79.31532</v>
      </c>
    </row>
    <row r="111" customFormat="false" ht="17.15" hidden="false" customHeight="false" outlineLevel="0" collapsed="false">
      <c r="A111" s="3" t="s">
        <v>540</v>
      </c>
      <c r="B111" s="0" t="s">
        <v>194</v>
      </c>
      <c r="C111" s="22" t="n">
        <f aca="false">a25_nai</f>
        <v>10.6106</v>
      </c>
      <c r="D111" s="22" t="n">
        <f aca="false">a26_nai</f>
        <v>10.6106</v>
      </c>
      <c r="E111" s="22" t="n">
        <f aca="false">D111*(1+g_nai27)</f>
        <v>10.6106</v>
      </c>
      <c r="F111" s="22" t="n">
        <f aca="false">E111*(1+g_nai28)</f>
        <v>10.6106</v>
      </c>
      <c r="G111" s="22" t="n">
        <f aca="false">F111*(1+g_nai29)</f>
        <v>10.6106</v>
      </c>
    </row>
    <row r="112" customFormat="false" ht="17.15" hidden="false" customHeight="false" outlineLevel="0" collapsed="false">
      <c r="A112" s="0" t="s">
        <v>541</v>
      </c>
      <c r="B112" s="0" t="s">
        <v>194</v>
      </c>
      <c r="C112" s="22" t="n">
        <f aca="false">a25_ai</f>
        <v>8.6814</v>
      </c>
      <c r="D112" s="22" t="n">
        <f aca="false">D107</f>
        <v>17.5154</v>
      </c>
      <c r="E112" s="22" t="n">
        <f aca="false">MIN(E107,E110-E111)</f>
        <v>37.2036</v>
      </c>
      <c r="F112" s="22" t="n">
        <f aca="false">MIN(F107,F110-F111)</f>
        <v>54.866728</v>
      </c>
      <c r="G112" s="22" t="n">
        <f aca="false">MIN(G107,G110-G111)</f>
        <v>68.70472</v>
      </c>
      <c r="K112" s="3" t="s">
        <v>542</v>
      </c>
    </row>
    <row r="113" customFormat="false" ht="15" hidden="false" customHeight="false" outlineLevel="0" collapsed="false">
      <c r="A113" s="3" t="s">
        <v>543</v>
      </c>
      <c r="E113" s="0" t="str">
        <f aca="false">IF(E107&gt;E110-E111+0.0001,"受限","未受限")</f>
        <v>受限</v>
      </c>
      <c r="F113" s="0" t="str">
        <f aca="false">IF(F107&gt;F110-F111+0.0001,"受限","未受限")</f>
        <v>受限</v>
      </c>
      <c r="G113" s="0" t="str">
        <f aca="false">IF(G107&gt;G110-G111+0.0001,"受限","未受限")</f>
        <v>受限</v>
      </c>
    </row>
    <row r="114" customFormat="false" ht="17.15" hidden="false" customHeight="false" outlineLevel="0" collapsed="false">
      <c r="A114" s="3" t="s">
        <v>414</v>
      </c>
      <c r="B114" s="0" t="s">
        <v>194</v>
      </c>
      <c r="C114" s="22" t="n">
        <f aca="false">C112+C111</f>
        <v>19.292</v>
      </c>
      <c r="D114" s="22" t="n">
        <f aca="false">D112+D111</f>
        <v>28.126</v>
      </c>
      <c r="E114" s="22" t="n">
        <f aca="false">E112+E111</f>
        <v>47.8142</v>
      </c>
      <c r="F114" s="22" t="n">
        <f aca="false">F112+F111</f>
        <v>65.477328</v>
      </c>
      <c r="G114" s="22" t="n">
        <f aca="false">G112+G111</f>
        <v>79.31532</v>
      </c>
      <c r="H114" s="24" t="n">
        <f aca="false">G114*(1+H115)</f>
        <v>92.0766371216495</v>
      </c>
      <c r="I114" s="24" t="n">
        <f aca="false">H114*(1+I115)</f>
        <v>102.246201097903</v>
      </c>
      <c r="J114" s="24" t="n">
        <f aca="false">I114*(1+J115)</f>
        <v>108.380973163777</v>
      </c>
      <c r="K114" s="7" t="s">
        <v>544</v>
      </c>
    </row>
    <row r="115" customFormat="false" ht="15" hidden="false" customHeight="false" outlineLevel="0" collapsed="false">
      <c r="A115" s="3" t="s">
        <v>545</v>
      </c>
      <c r="B115" s="0" t="s">
        <v>54</v>
      </c>
      <c r="D115" s="13" t="n">
        <f aca="false">D114/C114-1</f>
        <v>0.457910014513788</v>
      </c>
      <c r="E115" s="13" t="n">
        <f aca="false">E114/D114-1</f>
        <v>0.7</v>
      </c>
      <c r="F115" s="13" t="n">
        <f aca="false">F114/E114-1</f>
        <v>0.369411764705882</v>
      </c>
      <c r="G115" s="13" t="n">
        <f aca="false">G114/F114-1</f>
        <v>0.211340206185567</v>
      </c>
      <c r="H115" s="25" t="n">
        <f aca="false">$G115+(fade_gA-$G115)*1/3</f>
        <v>0.160893470790378</v>
      </c>
      <c r="I115" s="25" t="n">
        <f aca="false">$G115+(fade_gA-$G115)*2/3</f>
        <v>0.110446735395189</v>
      </c>
      <c r="J115" s="25" t="n">
        <f aca="false">$G115+(fade_gA-$G115)*3/3</f>
        <v>0.06</v>
      </c>
    </row>
    <row r="116" customFormat="false" ht="17.15" hidden="false" customHeight="false" outlineLevel="0" collapsed="false">
      <c r="A116" s="0" t="s">
        <v>546</v>
      </c>
      <c r="B116" s="0" t="s">
        <v>54</v>
      </c>
      <c r="C116" s="13" t="n">
        <f aca="false">C112/C114</f>
        <v>0.45</v>
      </c>
      <c r="D116" s="13" t="n">
        <f aca="false">D112/D114</f>
        <v>0.622747635639622</v>
      </c>
      <c r="E116" s="13" t="n">
        <f aca="false">E112/E114</f>
        <v>0.778086844493895</v>
      </c>
      <c r="F116" s="13" t="n">
        <f aca="false">F112/F114</f>
        <v>0.837950015309116</v>
      </c>
      <c r="G116" s="13" t="n">
        <f aca="false">G112/G114</f>
        <v>0.866222565829653</v>
      </c>
    </row>
    <row r="117" customFormat="false" ht="17.15" hidden="false" customHeight="false" outlineLevel="0" collapsed="false">
      <c r="A117" s="3" t="s">
        <v>547</v>
      </c>
      <c r="B117" s="0" t="s">
        <v>54</v>
      </c>
      <c r="D117" s="13" t="n">
        <f aca="false">(D107+D111)/D110</f>
        <v>1</v>
      </c>
      <c r="E117" s="13" t="n">
        <f aca="false">(E107+E111)/E110</f>
        <v>1.28073572068162</v>
      </c>
      <c r="F117" s="13" t="n">
        <f aca="false">(F107+F111)/F110</f>
        <v>1.18405205424814</v>
      </c>
      <c r="G117" s="13" t="n">
        <f aca="false">(G107+G111)/G110</f>
        <v>1.12787121369489</v>
      </c>
      <c r="K117" s="3" t="s">
        <v>548</v>
      </c>
    </row>
    <row r="118" customFormat="false" ht="17.15" hidden="false" customHeight="false" outlineLevel="0" collapsed="false">
      <c r="A118" s="3" t="s">
        <v>489</v>
      </c>
      <c r="B118" s="0" t="s">
        <v>95</v>
      </c>
      <c r="D118" s="21" t="n">
        <f aca="false">D112/fx/D96*1000</f>
        <v>111.38930728666</v>
      </c>
      <c r="E118" s="21" t="n">
        <f aca="false">E112/fx/E96*1000</f>
        <v>132.933491717507</v>
      </c>
      <c r="F118" s="21" t="n">
        <f aca="false">F112/fx/F96*1000</f>
        <v>154.657340020758</v>
      </c>
      <c r="G118" s="21" t="n">
        <f aca="false">G112/fx/G96*1000</f>
        <v>170.005920849116</v>
      </c>
    </row>
    <row r="119" customFormat="false" ht="17.15" hidden="false" customHeight="false" outlineLevel="0" collapsed="false">
      <c r="A119" s="5" t="s">
        <v>549</v>
      </c>
    </row>
    <row r="120" customFormat="false" ht="17.15" hidden="false" customHeight="false" outlineLevel="0" collapsed="false">
      <c r="A120" s="3" t="s">
        <v>550</v>
      </c>
      <c r="B120" s="0" t="s">
        <v>54</v>
      </c>
      <c r="D120" s="13" t="n">
        <f aca="false">a26_gp/D114-d_ai*D116</f>
        <v>0.237492000284434</v>
      </c>
      <c r="K120" s="7" t="s">
        <v>551</v>
      </c>
    </row>
    <row r="121" customFormat="false" ht="17.15" hidden="false" customHeight="false" outlineLevel="0" collapsed="false">
      <c r="A121" s="0" t="s">
        <v>552</v>
      </c>
      <c r="B121" s="0" t="s">
        <v>54</v>
      </c>
      <c r="D121" s="13" t="n">
        <f aca="false">D120+d_ai</f>
        <v>0.387492000284434</v>
      </c>
      <c r="E121" s="13" t="n">
        <f aca="false">1-(1-$D$121)/E103+gmu_27</f>
        <v>0.397492000284434</v>
      </c>
      <c r="F121" s="13" t="n">
        <f aca="false">1-(1-$D$121)/F103+gmu_28</f>
        <v>0.388548453901479</v>
      </c>
      <c r="G121" s="13" t="n">
        <f aca="false">1-(1-$D$121)/G103+gmu_29</f>
        <v>0.378395744983441</v>
      </c>
      <c r="K121" s="7" t="s">
        <v>553</v>
      </c>
    </row>
    <row r="122" customFormat="false" ht="15" hidden="false" customHeight="false" outlineLevel="0" collapsed="false">
      <c r="A122" s="3" t="s">
        <v>418</v>
      </c>
      <c r="B122" s="0" t="s">
        <v>194</v>
      </c>
      <c r="C122" s="22" t="n">
        <f aca="false">a25_gp</f>
        <v>6.7946424</v>
      </c>
      <c r="D122" s="22" t="n">
        <f aca="false">a26_gp</f>
        <v>9.30701</v>
      </c>
      <c r="E122" s="22" t="n">
        <f aca="false">E112*E121+E111*$D$120</f>
        <v>17.308066</v>
      </c>
      <c r="F122" s="22" t="n">
        <f aca="false">F112*F121+F111*$D$120</f>
        <v>23.838314953251</v>
      </c>
      <c r="G122" s="22" t="n">
        <f aca="false">G112*G121+G111*$D$120</f>
        <v>28.5175063264967</v>
      </c>
    </row>
    <row r="123" customFormat="false" ht="15" hidden="false" customHeight="false" outlineLevel="0" collapsed="false">
      <c r="A123" s="3" t="s">
        <v>421</v>
      </c>
      <c r="B123" s="0" t="s">
        <v>54</v>
      </c>
      <c r="C123" s="13" t="n">
        <f aca="false">C122/C114</f>
        <v>0.3522</v>
      </c>
      <c r="D123" s="13" t="n">
        <f aca="false">D122/D114</f>
        <v>0.330904145630378</v>
      </c>
      <c r="E123" s="13" t="n">
        <f aca="false">E122/E114</f>
        <v>0.361985895403458</v>
      </c>
      <c r="F123" s="13" t="n">
        <f aca="false">F122/F114</f>
        <v>0.364069757905377</v>
      </c>
      <c r="G123" s="13" t="n">
        <f aca="false">G122/G114</f>
        <v>0.359546003552614</v>
      </c>
    </row>
    <row r="124" customFormat="false" ht="17.15" hidden="false" customHeight="false" outlineLevel="0" collapsed="false">
      <c r="A124" s="3" t="s">
        <v>554</v>
      </c>
      <c r="B124" s="0" t="s">
        <v>194</v>
      </c>
      <c r="C124" s="22" t="n">
        <f aca="false">a25_opx</f>
        <v>1.6466424</v>
      </c>
      <c r="D124" s="22" t="n">
        <f aca="false">a26_opx</f>
        <v>1.827905</v>
      </c>
      <c r="E124" s="22" t="n">
        <f aca="false">D124*(1+MAX(0,phi*E115))</f>
        <v>2.5956251</v>
      </c>
      <c r="F124" s="22" t="n">
        <f aca="false">E124*(1+MAX(0,phi*F115))</f>
        <v>3.17093776922353</v>
      </c>
      <c r="G124" s="22" t="n">
        <f aca="false">F124*(1+MAX(0,phi*G115))</f>
        <v>3.57302575439311</v>
      </c>
      <c r="K124" s="7" t="s">
        <v>555</v>
      </c>
    </row>
    <row r="125" customFormat="false" ht="15" hidden="false" customHeight="false" outlineLevel="0" collapsed="false">
      <c r="A125" s="3" t="s">
        <v>423</v>
      </c>
      <c r="B125" s="0" t="s">
        <v>194</v>
      </c>
      <c r="C125" s="22" t="n">
        <f aca="false">C124</f>
        <v>1.6466424</v>
      </c>
      <c r="D125" s="22" t="n">
        <f aca="false">D124</f>
        <v>1.827905</v>
      </c>
      <c r="E125" s="22" t="n">
        <f aca="false">E124+0*E114</f>
        <v>2.5956251</v>
      </c>
      <c r="F125" s="22" t="n">
        <f aca="false">F124+0*F114</f>
        <v>3.17093776922353</v>
      </c>
      <c r="G125" s="22" t="n">
        <f aca="false">G124+0*G114</f>
        <v>3.57302575439311</v>
      </c>
    </row>
    <row r="126" customFormat="false" ht="15" hidden="false" customHeight="false" outlineLevel="0" collapsed="false">
      <c r="A126" s="3" t="s">
        <v>556</v>
      </c>
      <c r="B126" s="0" t="s">
        <v>194</v>
      </c>
      <c r="C126" s="22" t="n">
        <f aca="false">C122-C125</f>
        <v>5.148</v>
      </c>
      <c r="D126" s="22" t="n">
        <f aca="false">D122-D125</f>
        <v>7.479105</v>
      </c>
      <c r="E126" s="22" t="n">
        <f aca="false">E122-E125</f>
        <v>14.7124409</v>
      </c>
      <c r="F126" s="22" t="n">
        <f aca="false">F122-F125</f>
        <v>20.6673771840275</v>
      </c>
      <c r="G126" s="22" t="n">
        <f aca="false">G122-G125</f>
        <v>24.9444805721036</v>
      </c>
    </row>
    <row r="127" customFormat="false" ht="15" hidden="false" customHeight="false" outlineLevel="0" collapsed="false">
      <c r="A127" s="3" t="s">
        <v>429</v>
      </c>
      <c r="B127" s="0" t="s">
        <v>54</v>
      </c>
      <c r="C127" s="13" t="n">
        <f aca="false">C126/C114</f>
        <v>0.266846361185984</v>
      </c>
      <c r="D127" s="13" t="n">
        <f aca="false">D126/D114</f>
        <v>0.265914278603427</v>
      </c>
      <c r="E127" s="13" t="n">
        <f aca="false">E126/E114</f>
        <v>0.307700241769182</v>
      </c>
      <c r="F127" s="13" t="n">
        <f aca="false">F126/F114</f>
        <v>0.315641731501741</v>
      </c>
      <c r="G127" s="13" t="n">
        <f aca="false">G126/G114</f>
        <v>0.314497635161828</v>
      </c>
    </row>
    <row r="128" customFormat="false" ht="17.15" hidden="false" customHeight="false" outlineLevel="0" collapsed="false">
      <c r="A128" s="3" t="s">
        <v>430</v>
      </c>
      <c r="B128" s="0" t="s">
        <v>194</v>
      </c>
      <c r="E128" s="22" t="n">
        <f aca="false">nop_f</f>
        <v>-0.2</v>
      </c>
      <c r="F128" s="22" t="n">
        <f aca="false">nop_f</f>
        <v>-0.2</v>
      </c>
      <c r="G128" s="22" t="n">
        <f aca="false">nop_f</f>
        <v>-0.2</v>
      </c>
      <c r="K128" s="7" t="s">
        <v>557</v>
      </c>
    </row>
    <row r="129" customFormat="false" ht="15" hidden="false" customHeight="false" outlineLevel="0" collapsed="false">
      <c r="A129" s="3" t="s">
        <v>436</v>
      </c>
      <c r="B129" s="0" t="s">
        <v>194</v>
      </c>
      <c r="C129" s="22" t="n">
        <f aca="false">a25_ni</f>
        <v>4.312</v>
      </c>
      <c r="D129" s="22" t="n">
        <f aca="false">a26_ni</f>
        <v>6.5441924845173</v>
      </c>
      <c r="E129" s="22" t="n">
        <f aca="false">(E126+E128)*nir_f</f>
        <v>12.5822862603</v>
      </c>
      <c r="F129" s="22" t="n">
        <f aca="false">(F126+F128)*nir_f</f>
        <v>17.7452160185518</v>
      </c>
      <c r="G129" s="22" t="n">
        <f aca="false">(G126+G128)*nir_f</f>
        <v>21.4534646560138</v>
      </c>
      <c r="H129" s="24" t="n">
        <f aca="false">H114*H134</f>
        <v>24.8119135271076</v>
      </c>
      <c r="I129" s="24" t="n">
        <f aca="false">I114*I134</f>
        <v>27.4487331016435</v>
      </c>
      <c r="J129" s="24" t="n">
        <f aca="false">J114*J134</f>
        <v>28.9858672978947</v>
      </c>
    </row>
    <row r="130" customFormat="false" ht="17.15" hidden="false" customHeight="false" outlineLevel="0" collapsed="false">
      <c r="A130" s="3" t="s">
        <v>439</v>
      </c>
      <c r="B130" s="0" t="s">
        <v>54</v>
      </c>
      <c r="C130" s="13" t="n">
        <f aca="false">C129/C126</f>
        <v>0.837606837606838</v>
      </c>
      <c r="D130" s="13" t="n">
        <f aca="false">D129/D126</f>
        <v>0.874996738850077</v>
      </c>
      <c r="E130" s="13" t="n">
        <f aca="false">E129/E126</f>
        <v>0.85521405630931</v>
      </c>
      <c r="F130" s="13" t="n">
        <f aca="false">F129/F126</f>
        <v>0.858609965867657</v>
      </c>
      <c r="G130" s="13" t="n">
        <f aca="false">G129/G126</f>
        <v>0.86004856240647</v>
      </c>
    </row>
    <row r="131" customFormat="false" ht="17.15" hidden="false" customHeight="false" outlineLevel="0" collapsed="false">
      <c r="A131" s="3" t="s">
        <v>558</v>
      </c>
      <c r="B131" s="3" t="s">
        <v>222</v>
      </c>
      <c r="C131" s="27" t="n">
        <f aca="false">a25_sh</f>
        <v>0.860678642714571</v>
      </c>
      <c r="D131" s="27" t="n">
        <f aca="false">a26_sh</f>
        <v>0.946074458598726</v>
      </c>
      <c r="E131" s="27" t="n">
        <f aca="false">sh_h2*(1+sh_g)</f>
        <v>0.98234</v>
      </c>
      <c r="F131" s="27" t="n">
        <f aca="false">E131*(1+sh_g)</f>
        <v>0.98234</v>
      </c>
      <c r="G131" s="27" t="n">
        <f aca="false">F131*(1+sh_g)</f>
        <v>0.98234</v>
      </c>
      <c r="H131" s="28" t="n">
        <f aca="false">G131*(1+sh_g)</f>
        <v>0.98234</v>
      </c>
      <c r="I131" s="28" t="n">
        <f aca="false">H131*(1+sh_g)</f>
        <v>0.98234</v>
      </c>
      <c r="J131" s="28" t="n">
        <f aca="false">I131*(1+sh_g)</f>
        <v>0.98234</v>
      </c>
      <c r="K131" s="7" t="s">
        <v>559</v>
      </c>
    </row>
    <row r="132" customFormat="false" ht="15" hidden="false" customHeight="false" outlineLevel="0" collapsed="false">
      <c r="A132" s="0" t="s">
        <v>442</v>
      </c>
      <c r="B132" s="0" t="s">
        <v>258</v>
      </c>
      <c r="C132" s="23" t="n">
        <f aca="false">C129/C131</f>
        <v>5.01</v>
      </c>
      <c r="D132" s="23" t="n">
        <f aca="false">D129/D131</f>
        <v>6.91720659514496</v>
      </c>
      <c r="E132" s="23" t="n">
        <f aca="false">E129/E131</f>
        <v>12.8084840893173</v>
      </c>
      <c r="F132" s="23" t="n">
        <f aca="false">F129/F131</f>
        <v>18.0642303261109</v>
      </c>
      <c r="G132" s="23" t="n">
        <f aca="false">G129/G131</f>
        <v>21.8391439379582</v>
      </c>
      <c r="H132" s="29" t="n">
        <f aca="false">H129/H131</f>
        <v>25.2579692643154</v>
      </c>
      <c r="I132" s="29" t="n">
        <f aca="false">I129/I131</f>
        <v>27.9421922161812</v>
      </c>
      <c r="J132" s="29" t="n">
        <f aca="false">J129/J131</f>
        <v>29.5069602152969</v>
      </c>
    </row>
    <row r="133" customFormat="false" ht="17.15" hidden="false" customHeight="false" outlineLevel="0" collapsed="false">
      <c r="A133" s="0" t="s">
        <v>560</v>
      </c>
      <c r="B133" s="0" t="s">
        <v>54</v>
      </c>
      <c r="D133" s="13" t="n">
        <f aca="false">D132/C132-1</f>
        <v>0.38067995911077</v>
      </c>
      <c r="E133" s="13" t="n">
        <f aca="false">E132/D132-1</f>
        <v>0.851684478862804</v>
      </c>
      <c r="F133" s="13" t="n">
        <f aca="false">F132/E132-1</f>
        <v>0.410333197913485</v>
      </c>
      <c r="G133" s="13" t="n">
        <f aca="false">G132/F132-1</f>
        <v>0.208971738274993</v>
      </c>
      <c r="H133" s="25" t="n">
        <f aca="false">H132/G132-1</f>
        <v>0.156545757291111</v>
      </c>
      <c r="I133" s="25" t="n">
        <f aca="false">I132/H132-1</f>
        <v>0.106272318402814</v>
      </c>
      <c r="J133" s="25" t="n">
        <f aca="false">J132/I132-1</f>
        <v>0.0560001873514238</v>
      </c>
    </row>
    <row r="134" customFormat="false" ht="17.15" hidden="false" customHeight="false" outlineLevel="0" collapsed="false">
      <c r="A134" s="3" t="s">
        <v>561</v>
      </c>
      <c r="B134" s="0" t="s">
        <v>54</v>
      </c>
      <c r="C134" s="13" t="n">
        <f aca="false">C129/C114</f>
        <v>0.223512336719884</v>
      </c>
      <c r="D134" s="13" t="n">
        <f aca="false">D129/D114</f>
        <v>0.23267412659167</v>
      </c>
      <c r="E134" s="13" t="n">
        <f aca="false">E129/E114</f>
        <v>0.263149571890777</v>
      </c>
      <c r="F134" s="13" t="n">
        <f aca="false">F129/F114</f>
        <v>0.271013136311118</v>
      </c>
      <c r="G134" s="13" t="n">
        <f aca="false">G129/G114</f>
        <v>0.270483239001164</v>
      </c>
      <c r="H134" s="25" t="n">
        <f aca="false">$G134+(fade_mA-$G134)*1/3</f>
        <v>0.269470240255698</v>
      </c>
      <c r="I134" s="25" t="n">
        <f aca="false">$G134+(fade_mA-$G134)*2/3</f>
        <v>0.268457241510231</v>
      </c>
      <c r="J134" s="25" t="n">
        <f aca="false">$G134+(fade_mA-$G134)*3/3</f>
        <v>0.267444242764765</v>
      </c>
    </row>
    <row r="137" customFormat="false" ht="17.15" hidden="false" customHeight="false" outlineLevel="0" collapsed="false">
      <c r="A137" s="1" t="s">
        <v>889</v>
      </c>
    </row>
    <row r="138" customFormat="false" ht="17.15" hidden="false" customHeight="false" outlineLevel="0" collapsed="false">
      <c r="A138" s="4" t="s">
        <v>23</v>
      </c>
      <c r="B138" s="4" t="s">
        <v>24</v>
      </c>
      <c r="C138" s="14" t="s">
        <v>409</v>
      </c>
      <c r="D138" s="14" t="s">
        <v>502</v>
      </c>
      <c r="E138" s="14" t="s">
        <v>503</v>
      </c>
      <c r="F138" s="14" t="s">
        <v>504</v>
      </c>
      <c r="G138" s="14" t="s">
        <v>505</v>
      </c>
      <c r="H138" s="14" t="s">
        <v>506</v>
      </c>
      <c r="I138" s="14" t="s">
        <v>507</v>
      </c>
      <c r="J138" s="14" t="s">
        <v>508</v>
      </c>
      <c r="K138" s="4" t="s">
        <v>391</v>
      </c>
    </row>
    <row r="139" customFormat="false" ht="17.15" hidden="false" customHeight="false" outlineLevel="0" collapsed="false">
      <c r="A139" s="5" t="s">
        <v>524</v>
      </c>
    </row>
    <row r="140" customFormat="false" ht="17.15" hidden="false" customHeight="false" outlineLevel="0" collapsed="false">
      <c r="A140" s="0" t="s">
        <v>525</v>
      </c>
      <c r="B140" s="0" t="s">
        <v>34</v>
      </c>
      <c r="D140" s="23" t="n">
        <f aca="false">itc_26*1</f>
        <v>781.872916666666</v>
      </c>
      <c r="E140" s="23" t="n">
        <f aca="false">itc_27*1*1</f>
        <v>1565.35</v>
      </c>
      <c r="F140" s="23" t="n">
        <f aca="false">itc_28*um28_A*1</f>
        <v>1984.26388888889</v>
      </c>
      <c r="G140" s="23" t="n">
        <f aca="false">itc_29*um29_A*1</f>
        <v>2260.39027777778</v>
      </c>
    </row>
    <row r="141" customFormat="false" ht="17.15" hidden="false" customHeight="false" outlineLevel="0" collapsed="false">
      <c r="A141" s="3" t="s">
        <v>526</v>
      </c>
      <c r="B141" s="0" t="s">
        <v>34</v>
      </c>
      <c r="D141" s="23" t="n">
        <f aca="false">itpg_gb*(1-vr26)+itpg_vr*vr26</f>
        <v>33.41403216</v>
      </c>
      <c r="E141" s="23" t="n">
        <f aca="false">itpg_vr</f>
        <v>37.586352</v>
      </c>
      <c r="F141" s="23" t="n">
        <f aca="false">itpg_vr</f>
        <v>37.586352</v>
      </c>
      <c r="G141" s="23" t="n">
        <f aca="false">itpg_vr</f>
        <v>37.586352</v>
      </c>
    </row>
    <row r="142" customFormat="false" ht="17.15" hidden="false" customHeight="false" outlineLevel="0" collapsed="false">
      <c r="A142" s="3" t="s">
        <v>527</v>
      </c>
      <c r="B142" s="0" t="s">
        <v>468</v>
      </c>
      <c r="D142" s="20" t="n">
        <f aca="false">D140/D141</f>
        <v>23.3995380420639</v>
      </c>
      <c r="E142" s="20" t="n">
        <f aca="false">E140/E141</f>
        <v>41.6467658260637</v>
      </c>
      <c r="F142" s="20" t="n">
        <f aca="false">F140/F141</f>
        <v>52.792138191248</v>
      </c>
      <c r="G142" s="20" t="n">
        <f aca="false">G140/G141</f>
        <v>60.1385917361116</v>
      </c>
    </row>
    <row r="143" customFormat="false" ht="17.15" hidden="false" customHeight="false" outlineLevel="0" collapsed="false">
      <c r="A143" s="3" t="s">
        <v>470</v>
      </c>
      <c r="B143" s="0" t="s">
        <v>95</v>
      </c>
      <c r="D143" s="21" t="n">
        <f aca="false">cmp_26</f>
        <v>280</v>
      </c>
      <c r="E143" s="21" t="n">
        <f aca="false">cmp_26*cmpx_27</f>
        <v>420</v>
      </c>
      <c r="F143" s="21" t="n">
        <f aca="false">cmp_26*cmpx_28</f>
        <v>462</v>
      </c>
      <c r="G143" s="21" t="n">
        <f aca="false">cmp_26*cmpx_29</f>
        <v>504</v>
      </c>
    </row>
    <row r="144" customFormat="false" ht="17.15" hidden="false" customHeight="false" outlineLevel="0" collapsed="false">
      <c r="A144" s="3" t="s">
        <v>472</v>
      </c>
      <c r="B144" s="0" t="s">
        <v>95</v>
      </c>
      <c r="D144" s="21" t="n">
        <f aca="false">sw_26</f>
        <v>120</v>
      </c>
      <c r="E144" s="21" t="n">
        <f aca="false">sw_26*swx_27</f>
        <v>162</v>
      </c>
      <c r="F144" s="21" t="n">
        <f aca="false">sw_26*swx_28</f>
        <v>180</v>
      </c>
      <c r="G144" s="21" t="n">
        <f aca="false">sw_26*swx_29</f>
        <v>198</v>
      </c>
    </row>
    <row r="145" customFormat="false" ht="17.15" hidden="false" customHeight="false" outlineLevel="0" collapsed="false">
      <c r="A145" s="3" t="s">
        <v>473</v>
      </c>
      <c r="B145" s="0" t="s">
        <v>95</v>
      </c>
      <c r="D145" s="21" t="n">
        <f aca="false">mid_26</f>
        <v>50</v>
      </c>
      <c r="E145" s="21" t="n">
        <f aca="false">mid_26*MDLO_27</f>
        <v>70</v>
      </c>
      <c r="F145" s="21" t="n">
        <f aca="false">mid_26*MDLO_28</f>
        <v>90</v>
      </c>
      <c r="G145" s="21" t="n">
        <f aca="false">mid_26*MDLO_29</f>
        <v>100</v>
      </c>
    </row>
    <row r="146" customFormat="false" ht="17.15" hidden="false" customHeight="false" outlineLevel="0" collapsed="false">
      <c r="A146" s="3" t="s">
        <v>528</v>
      </c>
      <c r="B146" s="0" t="s">
        <v>95</v>
      </c>
      <c r="D146" s="21" t="n">
        <f aca="false">D143+D144+D145</f>
        <v>450</v>
      </c>
      <c r="E146" s="21" t="n">
        <f aca="false">E143+E144+E145</f>
        <v>652</v>
      </c>
      <c r="F146" s="21" t="n">
        <f aca="false">F143+F144+F145</f>
        <v>732</v>
      </c>
      <c r="G146" s="21" t="n">
        <f aca="false">G143+G144+G145</f>
        <v>802</v>
      </c>
    </row>
    <row r="147" customFormat="false" ht="17.15" hidden="false" customHeight="false" outlineLevel="0" collapsed="false">
      <c r="A147" s="0" t="s">
        <v>529</v>
      </c>
      <c r="B147" s="0" t="s">
        <v>34</v>
      </c>
      <c r="D147" s="23" t="n">
        <f aca="false">D142*D146/1000</f>
        <v>10.5297921189287</v>
      </c>
      <c r="E147" s="23" t="n">
        <f aca="false">E142*E146/1000</f>
        <v>27.1536913185935</v>
      </c>
      <c r="F147" s="23" t="n">
        <f aca="false">F142*F146/1000</f>
        <v>38.6438451559935</v>
      </c>
      <c r="G147" s="23" t="n">
        <f aca="false">G142*G146/1000</f>
        <v>48.2311505723615</v>
      </c>
    </row>
    <row r="148" customFormat="false" ht="17.15" hidden="false" customHeight="false" outlineLevel="0" collapsed="false">
      <c r="A148" s="0" t="s">
        <v>530</v>
      </c>
      <c r="B148" s="0" t="s">
        <v>194</v>
      </c>
      <c r="D148" s="22" t="n">
        <f aca="false">D147*fx</f>
        <v>70.7602030392012</v>
      </c>
      <c r="E148" s="22" t="n">
        <f aca="false">E147*fx</f>
        <v>182.472805660948</v>
      </c>
      <c r="F148" s="22" t="n">
        <f aca="false">F147*fx</f>
        <v>259.686639448277</v>
      </c>
      <c r="G148" s="22" t="n">
        <f aca="false">G147*fx</f>
        <v>324.113331846269</v>
      </c>
    </row>
    <row r="149" customFormat="false" ht="17.15" hidden="false" customHeight="false" outlineLevel="0" collapsed="false">
      <c r="A149" s="0" t="s">
        <v>531</v>
      </c>
      <c r="B149" s="0" t="s">
        <v>67</v>
      </c>
      <c r="D149" s="17" t="n">
        <f aca="false">1</f>
        <v>1</v>
      </c>
      <c r="E149" s="17" t="n">
        <f aca="false">pp_27</f>
        <v>1</v>
      </c>
      <c r="F149" s="17" t="n">
        <f aca="false">pp_28</f>
        <v>0.97</v>
      </c>
      <c r="G149" s="17" t="n">
        <f aca="false">pp_29</f>
        <v>0.94</v>
      </c>
    </row>
    <row r="150" customFormat="false" ht="17.15" hidden="false" customHeight="false" outlineLevel="0" collapsed="false">
      <c r="A150" s="3" t="s">
        <v>532</v>
      </c>
      <c r="B150" s="0" t="s">
        <v>54</v>
      </c>
      <c r="D150" s="13" t="n">
        <f aca="false">a26_ai/D148</f>
        <v>0.247531793970355</v>
      </c>
      <c r="K150" s="7" t="s">
        <v>533</v>
      </c>
    </row>
    <row r="151" customFormat="false" ht="17.15" hidden="false" customHeight="false" outlineLevel="0" collapsed="false">
      <c r="A151" s="3" t="s">
        <v>534</v>
      </c>
      <c r="B151" s="0" t="s">
        <v>67</v>
      </c>
      <c r="D151" s="17" t="n">
        <f aca="false">1</f>
        <v>1</v>
      </c>
      <c r="E151" s="17" t="n">
        <f aca="false">rel_27</f>
        <v>0.9</v>
      </c>
      <c r="F151" s="17" t="n">
        <f aca="false">rel_28</f>
        <v>0.8</v>
      </c>
      <c r="G151" s="17" t="n">
        <f aca="false">rel_29</f>
        <v>0.75</v>
      </c>
    </row>
    <row r="152" customFormat="false" ht="15" hidden="false" customHeight="false" outlineLevel="0" collapsed="false">
      <c r="A152" s="3" t="s">
        <v>485</v>
      </c>
      <c r="B152" s="0" t="s">
        <v>54</v>
      </c>
      <c r="D152" s="13" t="n">
        <f aca="false">$D$150*D151</f>
        <v>0.247531793970355</v>
      </c>
      <c r="E152" s="13" t="n">
        <f aca="false">$D$150*E151</f>
        <v>0.222778614573319</v>
      </c>
      <c r="F152" s="13" t="n">
        <f aca="false">$D$150*F151</f>
        <v>0.198025435176284</v>
      </c>
      <c r="G152" s="13" t="n">
        <f aca="false">$D$150*G151</f>
        <v>0.185648845477766</v>
      </c>
    </row>
    <row r="153" customFormat="false" ht="17.15" hidden="false" customHeight="false" outlineLevel="0" collapsed="false">
      <c r="A153" s="0" t="s">
        <v>535</v>
      </c>
      <c r="B153" s="0" t="s">
        <v>194</v>
      </c>
      <c r="D153" s="22" t="n">
        <f aca="false">D148*D152*D149</f>
        <v>17.5154</v>
      </c>
      <c r="E153" s="22" t="n">
        <f aca="false">E148*E152*E149</f>
        <v>40.6510388424526</v>
      </c>
      <c r="F153" s="22" t="n">
        <f aca="false">F148*F152*F149</f>
        <v>49.8818229926253</v>
      </c>
      <c r="G153" s="22" t="n">
        <f aca="false">G148*G152*G149</f>
        <v>56.5609899095391</v>
      </c>
    </row>
    <row r="154" customFormat="false" ht="17.15" hidden="false" customHeight="false" outlineLevel="0" collapsed="false">
      <c r="A154" s="5" t="s">
        <v>536</v>
      </c>
    </row>
    <row r="155" customFormat="false" ht="17.15" hidden="false" customHeight="false" outlineLevel="0" collapsed="false">
      <c r="A155" s="3" t="s">
        <v>537</v>
      </c>
      <c r="B155" s="0" t="s">
        <v>67</v>
      </c>
      <c r="D155" s="17" t="n">
        <f aca="false">1</f>
        <v>1</v>
      </c>
      <c r="E155" s="17" t="n">
        <f aca="false">cx_27</f>
        <v>1.7</v>
      </c>
      <c r="F155" s="17" t="n">
        <f aca="false">cx_28</f>
        <v>2.4</v>
      </c>
      <c r="G155" s="17" t="n">
        <f aca="false">cx_29</f>
        <v>3</v>
      </c>
      <c r="K155" s="7" t="s">
        <v>538</v>
      </c>
    </row>
    <row r="156" customFormat="false" ht="17.15" hidden="false" customHeight="false" outlineLevel="0" collapsed="false">
      <c r="A156" s="3" t="s">
        <v>539</v>
      </c>
      <c r="B156" s="0" t="s">
        <v>194</v>
      </c>
      <c r="D156" s="22" t="n">
        <f aca="false">a26_rev*D155*D149</f>
        <v>28.126</v>
      </c>
      <c r="E156" s="22" t="n">
        <f aca="false">a26_rev*E155*E149</f>
        <v>47.8142</v>
      </c>
      <c r="F156" s="22" t="n">
        <f aca="false">a26_rev*F155*F149</f>
        <v>65.477328</v>
      </c>
      <c r="G156" s="22" t="n">
        <f aca="false">a26_rev*G155*G149</f>
        <v>79.31532</v>
      </c>
    </row>
    <row r="157" customFormat="false" ht="17.15" hidden="false" customHeight="false" outlineLevel="0" collapsed="false">
      <c r="A157" s="3" t="s">
        <v>540</v>
      </c>
      <c r="B157" s="0" t="s">
        <v>194</v>
      </c>
      <c r="C157" s="22" t="n">
        <f aca="false">a25_nai</f>
        <v>10.6106</v>
      </c>
      <c r="D157" s="22" t="n">
        <f aca="false">a26_nai</f>
        <v>10.6106</v>
      </c>
      <c r="E157" s="22" t="n">
        <f aca="false">D157*(1+g_nai27)</f>
        <v>10.6106</v>
      </c>
      <c r="F157" s="22" t="n">
        <f aca="false">E157*(1+g_nai28)</f>
        <v>10.6106</v>
      </c>
      <c r="G157" s="22" t="n">
        <f aca="false">F157*(1+g_nai29)</f>
        <v>10.6106</v>
      </c>
    </row>
    <row r="158" customFormat="false" ht="17.15" hidden="false" customHeight="false" outlineLevel="0" collapsed="false">
      <c r="A158" s="0" t="s">
        <v>541</v>
      </c>
      <c r="B158" s="0" t="s">
        <v>194</v>
      </c>
      <c r="C158" s="22" t="n">
        <f aca="false">a25_ai</f>
        <v>8.6814</v>
      </c>
      <c r="D158" s="22" t="n">
        <f aca="false">D153</f>
        <v>17.5154</v>
      </c>
      <c r="E158" s="22" t="n">
        <f aca="false">MIN(E153,E156-E157)</f>
        <v>37.2036</v>
      </c>
      <c r="F158" s="22" t="n">
        <f aca="false">MIN(F153,F156-F157)</f>
        <v>49.8818229926253</v>
      </c>
      <c r="G158" s="22" t="n">
        <f aca="false">MIN(G153,G156-G157)</f>
        <v>56.5609899095391</v>
      </c>
      <c r="K158" s="3" t="s">
        <v>542</v>
      </c>
    </row>
    <row r="159" customFormat="false" ht="15" hidden="false" customHeight="false" outlineLevel="0" collapsed="false">
      <c r="A159" s="3" t="s">
        <v>543</v>
      </c>
      <c r="E159" s="0" t="str">
        <f aca="false">IF(E153&gt;E156-E157+0.0001,"受限","未受限")</f>
        <v>受限</v>
      </c>
      <c r="F159" s="0" t="str">
        <f aca="false">IF(F153&gt;F156-F157+0.0001,"受限","未受限")</f>
        <v>未受限</v>
      </c>
      <c r="G159" s="0" t="str">
        <f aca="false">IF(G153&gt;G156-G157+0.0001,"受限","未受限")</f>
        <v>未受限</v>
      </c>
    </row>
    <row r="160" customFormat="false" ht="17.15" hidden="false" customHeight="false" outlineLevel="0" collapsed="false">
      <c r="A160" s="3" t="s">
        <v>414</v>
      </c>
      <c r="B160" s="0" t="s">
        <v>194</v>
      </c>
      <c r="C160" s="22" t="n">
        <f aca="false">C158+C157</f>
        <v>19.292</v>
      </c>
      <c r="D160" s="22" t="n">
        <f aca="false">D158+D157</f>
        <v>28.126</v>
      </c>
      <c r="E160" s="22" t="n">
        <f aca="false">E158+E157</f>
        <v>47.8142</v>
      </c>
      <c r="F160" s="22" t="n">
        <f aca="false">F158+F157</f>
        <v>60.4924229926253</v>
      </c>
      <c r="G160" s="22" t="n">
        <f aca="false">G158+G157</f>
        <v>67.1715899095391</v>
      </c>
      <c r="H160" s="24" t="n">
        <f aca="false">G160*(1+H161)</f>
        <v>73.4594454761413</v>
      </c>
      <c r="I160" s="24" t="n">
        <f aca="false">H160*(1+I161)</f>
        <v>79.1014561012267</v>
      </c>
      <c r="J160" s="24" t="n">
        <f aca="false">I160*(1+J161)</f>
        <v>83.8475434673003</v>
      </c>
      <c r="K160" s="7" t="s">
        <v>544</v>
      </c>
    </row>
    <row r="161" customFormat="false" ht="15" hidden="false" customHeight="false" outlineLevel="0" collapsed="false">
      <c r="A161" s="3" t="s">
        <v>545</v>
      </c>
      <c r="B161" s="0" t="s">
        <v>54</v>
      </c>
      <c r="D161" s="13" t="n">
        <f aca="false">D160/C160-1</f>
        <v>0.457910014513788</v>
      </c>
      <c r="E161" s="13" t="n">
        <f aca="false">E160/D160-1</f>
        <v>0.7</v>
      </c>
      <c r="F161" s="13" t="n">
        <f aca="false">F160/E160-1</f>
        <v>0.265156020442154</v>
      </c>
      <c r="G161" s="13" t="n">
        <f aca="false">G160/F160-1</f>
        <v>0.11041328130844</v>
      </c>
      <c r="H161" s="25" t="n">
        <f aca="false">$G161+(fade_gA-$G161)*1/3</f>
        <v>0.0936088542056268</v>
      </c>
      <c r="I161" s="25" t="n">
        <f aca="false">$G161+(fade_gA-$G161)*2/3</f>
        <v>0.0768044271028134</v>
      </c>
      <c r="J161" s="25" t="n">
        <f aca="false">$G161+(fade_gA-$G161)*3/3</f>
        <v>0.06</v>
      </c>
    </row>
    <row r="162" customFormat="false" ht="17.15" hidden="false" customHeight="false" outlineLevel="0" collapsed="false">
      <c r="A162" s="0" t="s">
        <v>546</v>
      </c>
      <c r="B162" s="0" t="s">
        <v>54</v>
      </c>
      <c r="C162" s="13" t="n">
        <f aca="false">C158/C160</f>
        <v>0.45</v>
      </c>
      <c r="D162" s="13" t="n">
        <f aca="false">D158/D160</f>
        <v>0.622747635639622</v>
      </c>
      <c r="E162" s="13" t="n">
        <f aca="false">E158/E160</f>
        <v>0.778086844493895</v>
      </c>
      <c r="F162" s="13" t="n">
        <f aca="false">F158/F160</f>
        <v>0.824596214284663</v>
      </c>
      <c r="G162" s="13" t="n">
        <f aca="false">G158/G160</f>
        <v>0.842037384937748</v>
      </c>
    </row>
    <row r="163" customFormat="false" ht="17.15" hidden="false" customHeight="false" outlineLevel="0" collapsed="false">
      <c r="A163" s="3" t="s">
        <v>547</v>
      </c>
      <c r="B163" s="0" t="s">
        <v>54</v>
      </c>
      <c r="D163" s="13" t="n">
        <f aca="false">(D153+D157)/D156</f>
        <v>1</v>
      </c>
      <c r="E163" s="13" t="n">
        <f aca="false">(E153+E157)/E156</f>
        <v>1.0721007324697</v>
      </c>
      <c r="F163" s="13" t="n">
        <f aca="false">(F153+F157)/F156</f>
        <v>0.923868227986109</v>
      </c>
      <c r="G163" s="13" t="n">
        <f aca="false">(G153+G157)/G156</f>
        <v>0.84689300767543</v>
      </c>
      <c r="K163" s="3" t="s">
        <v>548</v>
      </c>
    </row>
    <row r="164" customFormat="false" ht="17.15" hidden="false" customHeight="false" outlineLevel="0" collapsed="false">
      <c r="A164" s="3" t="s">
        <v>489</v>
      </c>
      <c r="B164" s="0" t="s">
        <v>95</v>
      </c>
      <c r="D164" s="21" t="n">
        <f aca="false">D158/fx/D142*1000</f>
        <v>111.38930728666</v>
      </c>
      <c r="E164" s="21" t="n">
        <f aca="false">E158/fx/E142*1000</f>
        <v>132.933491717507</v>
      </c>
      <c r="F164" s="21" t="n">
        <f aca="false">F158/fx/F142*1000</f>
        <v>140.605979992568</v>
      </c>
      <c r="G164" s="21" t="n">
        <f aca="false">G158/fx/G142*1000</f>
        <v>139.956951628778</v>
      </c>
    </row>
    <row r="165" customFormat="false" ht="17.15" hidden="false" customHeight="false" outlineLevel="0" collapsed="false">
      <c r="A165" s="5" t="s">
        <v>549</v>
      </c>
    </row>
    <row r="166" customFormat="false" ht="17.15" hidden="false" customHeight="false" outlineLevel="0" collapsed="false">
      <c r="A166" s="3" t="s">
        <v>550</v>
      </c>
      <c r="B166" s="0" t="s">
        <v>54</v>
      </c>
      <c r="D166" s="13" t="n">
        <f aca="false">a26_gp/D160-d_ai*D162</f>
        <v>0.237492000284434</v>
      </c>
      <c r="K166" s="7" t="s">
        <v>551</v>
      </c>
    </row>
    <row r="167" customFormat="false" ht="17.15" hidden="false" customHeight="false" outlineLevel="0" collapsed="false">
      <c r="A167" s="0" t="s">
        <v>552</v>
      </c>
      <c r="B167" s="0" t="s">
        <v>54</v>
      </c>
      <c r="D167" s="13" t="n">
        <f aca="false">D166+d_ai</f>
        <v>0.387492000284434</v>
      </c>
      <c r="E167" s="13" t="n">
        <f aca="false">1-(1-$D$167)/E149+gmu_27</f>
        <v>0.397492000284434</v>
      </c>
      <c r="F167" s="13" t="n">
        <f aca="false">1-(1-$D$167)/F149+gmu_28</f>
        <v>0.388548453901479</v>
      </c>
      <c r="G167" s="13" t="n">
        <f aca="false">1-(1-$D$167)/G149+gmu_29</f>
        <v>0.378395744983441</v>
      </c>
      <c r="K167" s="7" t="s">
        <v>553</v>
      </c>
    </row>
    <row r="168" customFormat="false" ht="15" hidden="false" customHeight="false" outlineLevel="0" collapsed="false">
      <c r="A168" s="3" t="s">
        <v>418</v>
      </c>
      <c r="B168" s="0" t="s">
        <v>194</v>
      </c>
      <c r="C168" s="22" t="n">
        <f aca="false">a25_gp</f>
        <v>6.7946424</v>
      </c>
      <c r="D168" s="22" t="n">
        <f aca="false">a26_gp</f>
        <v>9.30701</v>
      </c>
      <c r="E168" s="22" t="n">
        <f aca="false">E158*E167+E157*$D$166</f>
        <v>17.308066</v>
      </c>
      <c r="F168" s="22" t="n">
        <f aca="false">F158*F167+F157*$D$166</f>
        <v>21.9014378197898</v>
      </c>
      <c r="G168" s="22" t="n">
        <f aca="false">G158*G167+G157*$D$166</f>
        <v>23.922370532039</v>
      </c>
    </row>
    <row r="169" customFormat="false" ht="15" hidden="false" customHeight="false" outlineLevel="0" collapsed="false">
      <c r="A169" s="3" t="s">
        <v>421</v>
      </c>
      <c r="B169" s="0" t="s">
        <v>54</v>
      </c>
      <c r="C169" s="13" t="n">
        <f aca="false">C168/C160</f>
        <v>0.3522</v>
      </c>
      <c r="D169" s="13" t="n">
        <f aca="false">D168/D160</f>
        <v>0.330904145630378</v>
      </c>
      <c r="E169" s="13" t="n">
        <f aca="false">E168/E160</f>
        <v>0.361985895403458</v>
      </c>
      <c r="F169" s="13" t="n">
        <f aca="false">F168/F160</f>
        <v>0.362052580080316</v>
      </c>
      <c r="G169" s="13" t="n">
        <f aca="false">G168/G160</f>
        <v>0.356138220998722</v>
      </c>
    </row>
    <row r="170" customFormat="false" ht="17.15" hidden="false" customHeight="false" outlineLevel="0" collapsed="false">
      <c r="A170" s="3" t="s">
        <v>554</v>
      </c>
      <c r="B170" s="0" t="s">
        <v>194</v>
      </c>
      <c r="C170" s="22" t="n">
        <f aca="false">a25_opx</f>
        <v>1.6466424</v>
      </c>
      <c r="D170" s="22" t="n">
        <f aca="false">a26_opx</f>
        <v>1.827905</v>
      </c>
      <c r="E170" s="22" t="n">
        <f aca="false">D170*(1+MAX(0,phi*E161))</f>
        <v>2.5956251</v>
      </c>
      <c r="F170" s="22" t="n">
        <f aca="false">E170*(1+MAX(0,phi*F161))</f>
        <v>3.00857247324546</v>
      </c>
      <c r="G170" s="22" t="n">
        <f aca="false">F170*(1+MAX(0,phi*G161))</f>
        <v>3.20788428854063</v>
      </c>
      <c r="K170" s="7" t="s">
        <v>555</v>
      </c>
    </row>
    <row r="171" customFormat="false" ht="15" hidden="false" customHeight="false" outlineLevel="0" collapsed="false">
      <c r="A171" s="3" t="s">
        <v>423</v>
      </c>
      <c r="B171" s="0" t="s">
        <v>194</v>
      </c>
      <c r="C171" s="22" t="n">
        <f aca="false">C170</f>
        <v>1.6466424</v>
      </c>
      <c r="D171" s="22" t="n">
        <f aca="false">D170</f>
        <v>1.827905</v>
      </c>
      <c r="E171" s="22" t="n">
        <f aca="false">E170+0*E160</f>
        <v>2.5956251</v>
      </c>
      <c r="F171" s="22" t="n">
        <f aca="false">F170+0*F160</f>
        <v>3.00857247324546</v>
      </c>
      <c r="G171" s="22" t="n">
        <f aca="false">G170+0*G160</f>
        <v>3.20788428854063</v>
      </c>
    </row>
    <row r="172" customFormat="false" ht="15" hidden="false" customHeight="false" outlineLevel="0" collapsed="false">
      <c r="A172" s="3" t="s">
        <v>556</v>
      </c>
      <c r="B172" s="0" t="s">
        <v>194</v>
      </c>
      <c r="C172" s="22" t="n">
        <f aca="false">C168-C171</f>
        <v>5.148</v>
      </c>
      <c r="D172" s="22" t="n">
        <f aca="false">D168-D171</f>
        <v>7.479105</v>
      </c>
      <c r="E172" s="22" t="n">
        <f aca="false">E168-E171</f>
        <v>14.7124409</v>
      </c>
      <c r="F172" s="22" t="n">
        <f aca="false">F168-F171</f>
        <v>18.8928653465443</v>
      </c>
      <c r="G172" s="22" t="n">
        <f aca="false">G168-G171</f>
        <v>20.7144862434983</v>
      </c>
    </row>
    <row r="173" customFormat="false" ht="15" hidden="false" customHeight="false" outlineLevel="0" collapsed="false">
      <c r="A173" s="3" t="s">
        <v>429</v>
      </c>
      <c r="B173" s="0" t="s">
        <v>54</v>
      </c>
      <c r="C173" s="13" t="n">
        <f aca="false">C172/C160</f>
        <v>0.266846361185984</v>
      </c>
      <c r="D173" s="13" t="n">
        <f aca="false">D172/D160</f>
        <v>0.265914278603427</v>
      </c>
      <c r="E173" s="13" t="n">
        <f aca="false">E172/E160</f>
        <v>0.307700241769182</v>
      </c>
      <c r="F173" s="13" t="n">
        <f aca="false">F172/F160</f>
        <v>0.312317880684786</v>
      </c>
      <c r="G173" s="13" t="n">
        <f aca="false">G172/G160</f>
        <v>0.308381657653106</v>
      </c>
    </row>
    <row r="174" customFormat="false" ht="17.15" hidden="false" customHeight="false" outlineLevel="0" collapsed="false">
      <c r="A174" s="3" t="s">
        <v>430</v>
      </c>
      <c r="B174" s="0" t="s">
        <v>194</v>
      </c>
      <c r="E174" s="22" t="n">
        <f aca="false">nop_f</f>
        <v>-0.2</v>
      </c>
      <c r="F174" s="22" t="n">
        <f aca="false">nop_f</f>
        <v>-0.2</v>
      </c>
      <c r="G174" s="22" t="n">
        <f aca="false">nop_f</f>
        <v>-0.2</v>
      </c>
      <c r="K174" s="7" t="s">
        <v>557</v>
      </c>
    </row>
    <row r="175" customFormat="false" ht="15" hidden="false" customHeight="false" outlineLevel="0" collapsed="false">
      <c r="A175" s="3" t="s">
        <v>436</v>
      </c>
      <c r="B175" s="0" t="s">
        <v>194</v>
      </c>
      <c r="C175" s="22" t="n">
        <f aca="false">a25_ni</f>
        <v>4.312</v>
      </c>
      <c r="D175" s="22" t="n">
        <f aca="false">a26_ni</f>
        <v>6.5441924845173</v>
      </c>
      <c r="E175" s="22" t="n">
        <f aca="false">(E172+E174)*nir_f</f>
        <v>12.5822862603</v>
      </c>
      <c r="F175" s="22" t="n">
        <f aca="false">(F172+F174)*nir_f</f>
        <v>16.2067142554539</v>
      </c>
      <c r="G175" s="22" t="n">
        <f aca="false">(G172+G174)*nir_f</f>
        <v>17.786059573113</v>
      </c>
      <c r="H175" s="24" t="n">
        <f aca="false">H160*H180</f>
        <v>19.5160967434855</v>
      </c>
      <c r="I175" s="24" t="n">
        <f aca="false">I160*I180</f>
        <v>21.0851242008674</v>
      </c>
      <c r="J175" s="24" t="n">
        <f aca="false">J160*J180</f>
        <v>22.4245427702978</v>
      </c>
    </row>
    <row r="176" customFormat="false" ht="17.15" hidden="false" customHeight="false" outlineLevel="0" collapsed="false">
      <c r="A176" s="3" t="s">
        <v>439</v>
      </c>
      <c r="B176" s="0" t="s">
        <v>54</v>
      </c>
      <c r="C176" s="13" t="n">
        <f aca="false">C175/C172</f>
        <v>0.837606837606838</v>
      </c>
      <c r="D176" s="13" t="n">
        <f aca="false">D175/D172</f>
        <v>0.874996738850077</v>
      </c>
      <c r="E176" s="13" t="n">
        <f aca="false">E175/E172</f>
        <v>0.85521405630931</v>
      </c>
      <c r="F176" s="13" t="n">
        <f aca="false">F175/F172</f>
        <v>0.857821932151667</v>
      </c>
      <c r="G176" s="13" t="n">
        <f aca="false">G175/G172</f>
        <v>0.858629046554103</v>
      </c>
    </row>
    <row r="177" customFormat="false" ht="17.15" hidden="false" customHeight="false" outlineLevel="0" collapsed="false">
      <c r="A177" s="3" t="s">
        <v>558</v>
      </c>
      <c r="B177" s="3" t="s">
        <v>222</v>
      </c>
      <c r="C177" s="27" t="n">
        <f aca="false">a25_sh</f>
        <v>0.860678642714571</v>
      </c>
      <c r="D177" s="27" t="n">
        <f aca="false">a26_sh</f>
        <v>0.946074458598726</v>
      </c>
      <c r="E177" s="27" t="n">
        <f aca="false">sh_h2*(1+sh_g)</f>
        <v>0.98234</v>
      </c>
      <c r="F177" s="27" t="n">
        <f aca="false">E177*(1+sh_g)</f>
        <v>0.98234</v>
      </c>
      <c r="G177" s="27" t="n">
        <f aca="false">F177*(1+sh_g)</f>
        <v>0.98234</v>
      </c>
      <c r="H177" s="28" t="n">
        <f aca="false">G177*(1+sh_g)</f>
        <v>0.98234</v>
      </c>
      <c r="I177" s="28" t="n">
        <f aca="false">H177*(1+sh_g)</f>
        <v>0.98234</v>
      </c>
      <c r="J177" s="28" t="n">
        <f aca="false">I177*(1+sh_g)</f>
        <v>0.98234</v>
      </c>
      <c r="K177" s="7" t="s">
        <v>559</v>
      </c>
    </row>
    <row r="178" customFormat="false" ht="15" hidden="false" customHeight="false" outlineLevel="0" collapsed="false">
      <c r="A178" s="0" t="s">
        <v>442</v>
      </c>
      <c r="B178" s="0" t="s">
        <v>258</v>
      </c>
      <c r="C178" s="23" t="n">
        <f aca="false">C175/C177</f>
        <v>5.01</v>
      </c>
      <c r="D178" s="23" t="n">
        <f aca="false">D175/D177</f>
        <v>6.91720659514496</v>
      </c>
      <c r="E178" s="23" t="n">
        <f aca="false">E175/E177</f>
        <v>12.8084840893173</v>
      </c>
      <c r="F178" s="23" t="n">
        <f aca="false">F175/F177</f>
        <v>16.4980701747398</v>
      </c>
      <c r="G178" s="23" t="n">
        <f aca="false">G175/G177</f>
        <v>18.1058081449529</v>
      </c>
      <c r="H178" s="29" t="n">
        <f aca="false">H175/H177</f>
        <v>19.866947028</v>
      </c>
      <c r="I178" s="29" t="n">
        <f aca="false">I175/I177</f>
        <v>21.464181648785</v>
      </c>
      <c r="J178" s="29" t="n">
        <f aca="false">J175/J177</f>
        <v>22.8276795918906</v>
      </c>
    </row>
    <row r="179" customFormat="false" ht="17.15" hidden="false" customHeight="false" outlineLevel="0" collapsed="false">
      <c r="A179" s="0" t="s">
        <v>560</v>
      </c>
      <c r="B179" s="0" t="s">
        <v>54</v>
      </c>
      <c r="D179" s="13" t="n">
        <f aca="false">D178/C178-1</f>
        <v>0.38067995911077</v>
      </c>
      <c r="E179" s="13" t="n">
        <f aca="false">E178/D178-1</f>
        <v>0.851684478862804</v>
      </c>
      <c r="F179" s="13" t="n">
        <f aca="false">F178/E178-1</f>
        <v>0.288057982482074</v>
      </c>
      <c r="G179" s="13" t="n">
        <f aca="false">G178/F178-1</f>
        <v>0.0974500625336583</v>
      </c>
      <c r="H179" s="25" t="n">
        <f aca="false">H178/G178-1</f>
        <v>0.0972692778443027</v>
      </c>
      <c r="I179" s="25" t="n">
        <f aca="false">I178/H178-1</f>
        <v>0.0803965812428999</v>
      </c>
      <c r="J179" s="25" t="n">
        <f aca="false">J178/I178-1</f>
        <v>0.0635243386128741</v>
      </c>
    </row>
    <row r="180" customFormat="false" ht="17.15" hidden="false" customHeight="false" outlineLevel="0" collapsed="false">
      <c r="A180" s="3" t="s">
        <v>561</v>
      </c>
      <c r="B180" s="0" t="s">
        <v>54</v>
      </c>
      <c r="C180" s="13" t="n">
        <f aca="false">C175/C160</f>
        <v>0.223512336719884</v>
      </c>
      <c r="D180" s="13" t="n">
        <f aca="false">D175/D160</f>
        <v>0.23267412659167</v>
      </c>
      <c r="E180" s="13" t="n">
        <f aca="false">E175/E160</f>
        <v>0.263149571890777</v>
      </c>
      <c r="F180" s="13" t="n">
        <f aca="false">F175/F160</f>
        <v>0.267913127854537</v>
      </c>
      <c r="G180" s="13" t="n">
        <f aca="false">G175/G160</f>
        <v>0.26478544868546</v>
      </c>
      <c r="H180" s="25" t="n">
        <f aca="false">$G180+(fade_mA-$G180)*1/3</f>
        <v>0.265671713378562</v>
      </c>
      <c r="I180" s="25" t="n">
        <f aca="false">$G180+(fade_mA-$G180)*2/3</f>
        <v>0.266557978071663</v>
      </c>
      <c r="J180" s="25" t="n">
        <f aca="false">$G180+(fade_mA-$G180)*3/3</f>
        <v>0.267444242764765</v>
      </c>
    </row>
    <row r="183" customFormat="false" ht="17.15" hidden="false" customHeight="false" outlineLevel="0" collapsed="false">
      <c r="A183" s="1" t="s">
        <v>890</v>
      </c>
    </row>
    <row r="184" customFormat="false" ht="17.15" hidden="false" customHeight="false" outlineLevel="0" collapsed="false">
      <c r="A184" s="4" t="s">
        <v>23</v>
      </c>
      <c r="B184" s="4" t="s">
        <v>24</v>
      </c>
      <c r="C184" s="14" t="s">
        <v>409</v>
      </c>
      <c r="D184" s="14" t="s">
        <v>502</v>
      </c>
      <c r="E184" s="14" t="s">
        <v>503</v>
      </c>
      <c r="F184" s="14" t="s">
        <v>504</v>
      </c>
      <c r="G184" s="14" t="s">
        <v>505</v>
      </c>
      <c r="H184" s="14" t="s">
        <v>506</v>
      </c>
      <c r="I184" s="14" t="s">
        <v>507</v>
      </c>
      <c r="J184" s="14" t="s">
        <v>508</v>
      </c>
      <c r="K184" s="4" t="s">
        <v>391</v>
      </c>
    </row>
    <row r="185" customFormat="false" ht="17.15" hidden="false" customHeight="false" outlineLevel="0" collapsed="false">
      <c r="A185" s="5" t="s">
        <v>524</v>
      </c>
    </row>
    <row r="186" customFormat="false" ht="17.15" hidden="false" customHeight="false" outlineLevel="0" collapsed="false">
      <c r="A186" s="0" t="s">
        <v>525</v>
      </c>
      <c r="B186" s="0" t="s">
        <v>34</v>
      </c>
      <c r="D186" s="23" t="n">
        <f aca="false">itc_26*1</f>
        <v>781.872916666666</v>
      </c>
      <c r="E186" s="23" t="n">
        <f aca="false">itc_27*1*1</f>
        <v>1565.35</v>
      </c>
      <c r="F186" s="23" t="n">
        <f aca="false">itc_28*um28_A*1</f>
        <v>1984.26388888889</v>
      </c>
      <c r="G186" s="23" t="n">
        <f aca="false">itc_29*um29_A*1</f>
        <v>2260.39027777778</v>
      </c>
    </row>
    <row r="187" customFormat="false" ht="17.15" hidden="false" customHeight="false" outlineLevel="0" collapsed="false">
      <c r="A187" s="3" t="s">
        <v>526</v>
      </c>
      <c r="B187" s="0" t="s">
        <v>34</v>
      </c>
      <c r="D187" s="23" t="n">
        <f aca="false">itpg_gb*(1-vr26)+itpg_vr*vr26</f>
        <v>33.41403216</v>
      </c>
      <c r="E187" s="23" t="n">
        <f aca="false">itpg_vr</f>
        <v>37.586352</v>
      </c>
      <c r="F187" s="23" t="n">
        <f aca="false">itpg_vr</f>
        <v>37.586352</v>
      </c>
      <c r="G187" s="23" t="n">
        <f aca="false">itpg_vr</f>
        <v>37.586352</v>
      </c>
    </row>
    <row r="188" customFormat="false" ht="17.15" hidden="false" customHeight="false" outlineLevel="0" collapsed="false">
      <c r="A188" s="3" t="s">
        <v>527</v>
      </c>
      <c r="B188" s="0" t="s">
        <v>468</v>
      </c>
      <c r="D188" s="20" t="n">
        <f aca="false">D186/D187</f>
        <v>23.3995380420639</v>
      </c>
      <c r="E188" s="20" t="n">
        <f aca="false">E186/E187</f>
        <v>41.6467658260637</v>
      </c>
      <c r="F188" s="20" t="n">
        <f aca="false">F186/F187</f>
        <v>52.792138191248</v>
      </c>
      <c r="G188" s="20" t="n">
        <f aca="false">G186/G187</f>
        <v>60.1385917361116</v>
      </c>
    </row>
    <row r="189" customFormat="false" ht="17.15" hidden="false" customHeight="false" outlineLevel="0" collapsed="false">
      <c r="A189" s="3" t="s">
        <v>470</v>
      </c>
      <c r="B189" s="0" t="s">
        <v>95</v>
      </c>
      <c r="D189" s="21" t="n">
        <f aca="false">cmp_26</f>
        <v>280</v>
      </c>
      <c r="E189" s="21" t="n">
        <f aca="false">cmp_26*cmpx_27</f>
        <v>420</v>
      </c>
      <c r="F189" s="21" t="n">
        <f aca="false">cmp_26*cmpx_28</f>
        <v>462</v>
      </c>
      <c r="G189" s="21" t="n">
        <f aca="false">cmp_26*cmpx_29</f>
        <v>504</v>
      </c>
    </row>
    <row r="190" customFormat="false" ht="17.15" hidden="false" customHeight="false" outlineLevel="0" collapsed="false">
      <c r="A190" s="3" t="s">
        <v>472</v>
      </c>
      <c r="B190" s="0" t="s">
        <v>95</v>
      </c>
      <c r="D190" s="21" t="n">
        <f aca="false">sw_26</f>
        <v>120</v>
      </c>
      <c r="E190" s="21" t="n">
        <f aca="false">sw_26*swx_27</f>
        <v>162</v>
      </c>
      <c r="F190" s="21" t="n">
        <f aca="false">sw_26*swx_28</f>
        <v>180</v>
      </c>
      <c r="G190" s="21" t="n">
        <f aca="false">sw_26*swx_29</f>
        <v>198</v>
      </c>
    </row>
    <row r="191" customFormat="false" ht="17.15" hidden="false" customHeight="false" outlineLevel="0" collapsed="false">
      <c r="A191" s="3" t="s">
        <v>473</v>
      </c>
      <c r="B191" s="0" t="s">
        <v>95</v>
      </c>
      <c r="D191" s="21" t="n">
        <f aca="false">mid_26</f>
        <v>50</v>
      </c>
      <c r="E191" s="21" t="n">
        <f aca="false">mid_26*MDHI_27</f>
        <v>130</v>
      </c>
      <c r="F191" s="21" t="n">
        <f aca="false">mid_26*MDHI_28</f>
        <v>200</v>
      </c>
      <c r="G191" s="21" t="n">
        <f aca="false">mid_26*MDHI_29</f>
        <v>250</v>
      </c>
    </row>
    <row r="192" customFormat="false" ht="17.15" hidden="false" customHeight="false" outlineLevel="0" collapsed="false">
      <c r="A192" s="3" t="s">
        <v>528</v>
      </c>
      <c r="B192" s="0" t="s">
        <v>95</v>
      </c>
      <c r="D192" s="21" t="n">
        <f aca="false">D189+D190+D191</f>
        <v>450</v>
      </c>
      <c r="E192" s="21" t="n">
        <f aca="false">E189+E190+E191</f>
        <v>712</v>
      </c>
      <c r="F192" s="21" t="n">
        <f aca="false">F189+F190+F191</f>
        <v>842</v>
      </c>
      <c r="G192" s="21" t="n">
        <f aca="false">G189+G190+G191</f>
        <v>952</v>
      </c>
    </row>
    <row r="193" customFormat="false" ht="17.15" hidden="false" customHeight="false" outlineLevel="0" collapsed="false">
      <c r="A193" s="0" t="s">
        <v>529</v>
      </c>
      <c r="B193" s="0" t="s">
        <v>34</v>
      </c>
      <c r="D193" s="23" t="n">
        <f aca="false">D188*D192/1000</f>
        <v>10.5297921189287</v>
      </c>
      <c r="E193" s="23" t="n">
        <f aca="false">E188*E192/1000</f>
        <v>29.6524972681573</v>
      </c>
      <c r="F193" s="23" t="n">
        <f aca="false">F188*F192/1000</f>
        <v>44.4509803570308</v>
      </c>
      <c r="G193" s="23" t="n">
        <f aca="false">G188*G192/1000</f>
        <v>57.2519393327782</v>
      </c>
    </row>
    <row r="194" customFormat="false" ht="17.15" hidden="false" customHeight="false" outlineLevel="0" collapsed="false">
      <c r="A194" s="0" t="s">
        <v>530</v>
      </c>
      <c r="B194" s="0" t="s">
        <v>194</v>
      </c>
      <c r="D194" s="22" t="n">
        <f aca="false">D193*fx</f>
        <v>70.7602030392012</v>
      </c>
      <c r="E194" s="22" t="n">
        <f aca="false">E193*fx</f>
        <v>199.264781642017</v>
      </c>
      <c r="F194" s="22" t="n">
        <f aca="false">F193*fx</f>
        <v>298.710587999247</v>
      </c>
      <c r="G194" s="22" t="n">
        <f aca="false">G193*fx</f>
        <v>384.733032316269</v>
      </c>
    </row>
    <row r="195" customFormat="false" ht="17.15" hidden="false" customHeight="false" outlineLevel="0" collapsed="false">
      <c r="A195" s="0" t="s">
        <v>531</v>
      </c>
      <c r="B195" s="0" t="s">
        <v>67</v>
      </c>
      <c r="D195" s="17" t="n">
        <f aca="false">1</f>
        <v>1</v>
      </c>
      <c r="E195" s="17" t="n">
        <f aca="false">pp_27</f>
        <v>1</v>
      </c>
      <c r="F195" s="17" t="n">
        <f aca="false">pp_28</f>
        <v>0.97</v>
      </c>
      <c r="G195" s="17" t="n">
        <f aca="false">pp_29</f>
        <v>0.94</v>
      </c>
    </row>
    <row r="196" customFormat="false" ht="17.15" hidden="false" customHeight="false" outlineLevel="0" collapsed="false">
      <c r="A196" s="3" t="s">
        <v>532</v>
      </c>
      <c r="B196" s="0" t="s">
        <v>54</v>
      </c>
      <c r="D196" s="13" t="n">
        <f aca="false">a26_ai/D194</f>
        <v>0.247531793970355</v>
      </c>
      <c r="K196" s="7" t="s">
        <v>533</v>
      </c>
    </row>
    <row r="197" customFormat="false" ht="17.15" hidden="false" customHeight="false" outlineLevel="0" collapsed="false">
      <c r="A197" s="3" t="s">
        <v>534</v>
      </c>
      <c r="B197" s="0" t="s">
        <v>67</v>
      </c>
      <c r="D197" s="17" t="n">
        <f aca="false">1</f>
        <v>1</v>
      </c>
      <c r="E197" s="17" t="n">
        <f aca="false">rel_27</f>
        <v>0.9</v>
      </c>
      <c r="F197" s="17" t="n">
        <f aca="false">rel_28</f>
        <v>0.8</v>
      </c>
      <c r="G197" s="17" t="n">
        <f aca="false">rel_29</f>
        <v>0.75</v>
      </c>
    </row>
    <row r="198" customFormat="false" ht="15" hidden="false" customHeight="false" outlineLevel="0" collapsed="false">
      <c r="A198" s="3" t="s">
        <v>485</v>
      </c>
      <c r="B198" s="0" t="s">
        <v>54</v>
      </c>
      <c r="D198" s="13" t="n">
        <f aca="false">$D$196*D197</f>
        <v>0.247531793970355</v>
      </c>
      <c r="E198" s="13" t="n">
        <f aca="false">$D$196*E197</f>
        <v>0.222778614573319</v>
      </c>
      <c r="F198" s="13" t="n">
        <f aca="false">$D$196*F197</f>
        <v>0.198025435176284</v>
      </c>
      <c r="G198" s="13" t="n">
        <f aca="false">$D$196*G197</f>
        <v>0.185648845477766</v>
      </c>
    </row>
    <row r="199" customFormat="false" ht="17.15" hidden="false" customHeight="false" outlineLevel="0" collapsed="false">
      <c r="A199" s="0" t="s">
        <v>535</v>
      </c>
      <c r="B199" s="0" t="s">
        <v>194</v>
      </c>
      <c r="D199" s="22" t="n">
        <f aca="false">D194*D198*D195</f>
        <v>17.5154</v>
      </c>
      <c r="E199" s="22" t="n">
        <f aca="false">E194*E198*E195</f>
        <v>44.3919319874636</v>
      </c>
      <c r="F199" s="22" t="n">
        <f aca="false">F194*F198*F195</f>
        <v>57.377725354905</v>
      </c>
      <c r="G199" s="22" t="n">
        <f aca="false">G194*G198*G195</f>
        <v>67.1397286706749</v>
      </c>
    </row>
    <row r="200" customFormat="false" ht="17.15" hidden="false" customHeight="false" outlineLevel="0" collapsed="false">
      <c r="A200" s="5" t="s">
        <v>536</v>
      </c>
    </row>
    <row r="201" customFormat="false" ht="17.15" hidden="false" customHeight="false" outlineLevel="0" collapsed="false">
      <c r="A201" s="3" t="s">
        <v>537</v>
      </c>
      <c r="B201" s="0" t="s">
        <v>67</v>
      </c>
      <c r="D201" s="17" t="n">
        <f aca="false">1</f>
        <v>1</v>
      </c>
      <c r="E201" s="17" t="n">
        <f aca="false">cx_27</f>
        <v>1.7</v>
      </c>
      <c r="F201" s="17" t="n">
        <f aca="false">cx_28</f>
        <v>2.4</v>
      </c>
      <c r="G201" s="17" t="n">
        <f aca="false">cx_29</f>
        <v>3</v>
      </c>
      <c r="K201" s="7" t="s">
        <v>538</v>
      </c>
    </row>
    <row r="202" customFormat="false" ht="17.15" hidden="false" customHeight="false" outlineLevel="0" collapsed="false">
      <c r="A202" s="3" t="s">
        <v>539</v>
      </c>
      <c r="B202" s="0" t="s">
        <v>194</v>
      </c>
      <c r="D202" s="22" t="n">
        <f aca="false">a26_rev*D201*D195</f>
        <v>28.126</v>
      </c>
      <c r="E202" s="22" t="n">
        <f aca="false">a26_rev*E201*E195</f>
        <v>47.8142</v>
      </c>
      <c r="F202" s="22" t="n">
        <f aca="false">a26_rev*F201*F195</f>
        <v>65.477328</v>
      </c>
      <c r="G202" s="22" t="n">
        <f aca="false">a26_rev*G201*G195</f>
        <v>79.31532</v>
      </c>
    </row>
    <row r="203" customFormat="false" ht="17.15" hidden="false" customHeight="false" outlineLevel="0" collapsed="false">
      <c r="A203" s="3" t="s">
        <v>540</v>
      </c>
      <c r="B203" s="0" t="s">
        <v>194</v>
      </c>
      <c r="C203" s="22" t="n">
        <f aca="false">a25_nai</f>
        <v>10.6106</v>
      </c>
      <c r="D203" s="22" t="n">
        <f aca="false">a26_nai</f>
        <v>10.6106</v>
      </c>
      <c r="E203" s="22" t="n">
        <f aca="false">D203*(1+g_nai27)</f>
        <v>10.6106</v>
      </c>
      <c r="F203" s="22" t="n">
        <f aca="false">E203*(1+g_nai28)</f>
        <v>10.6106</v>
      </c>
      <c r="G203" s="22" t="n">
        <f aca="false">F203*(1+g_nai29)</f>
        <v>10.6106</v>
      </c>
    </row>
    <row r="204" customFormat="false" ht="17.15" hidden="false" customHeight="false" outlineLevel="0" collapsed="false">
      <c r="A204" s="0" t="s">
        <v>541</v>
      </c>
      <c r="B204" s="0" t="s">
        <v>194</v>
      </c>
      <c r="C204" s="22" t="n">
        <f aca="false">a25_ai</f>
        <v>8.6814</v>
      </c>
      <c r="D204" s="22" t="n">
        <f aca="false">D199</f>
        <v>17.5154</v>
      </c>
      <c r="E204" s="22" t="n">
        <f aca="false">MIN(E199,E202-E203)</f>
        <v>37.2036</v>
      </c>
      <c r="F204" s="22" t="n">
        <f aca="false">MIN(F199,F202-F203)</f>
        <v>54.866728</v>
      </c>
      <c r="G204" s="22" t="n">
        <f aca="false">MIN(G199,G202-G203)</f>
        <v>67.1397286706749</v>
      </c>
      <c r="K204" s="3" t="s">
        <v>542</v>
      </c>
    </row>
    <row r="205" customFormat="false" ht="15" hidden="false" customHeight="false" outlineLevel="0" collapsed="false">
      <c r="A205" s="3" t="s">
        <v>543</v>
      </c>
      <c r="E205" s="0" t="str">
        <f aca="false">IF(E199&gt;E202-E203+0.0001,"受限","未受限")</f>
        <v>受限</v>
      </c>
      <c r="F205" s="0" t="str">
        <f aca="false">IF(F199&gt;F202-F203+0.0001,"受限","未受限")</f>
        <v>受限</v>
      </c>
      <c r="G205" s="0" t="str">
        <f aca="false">IF(G199&gt;G202-G203+0.0001,"受限","未受限")</f>
        <v>未受限</v>
      </c>
    </row>
    <row r="206" customFormat="false" ht="17.15" hidden="false" customHeight="false" outlineLevel="0" collapsed="false">
      <c r="A206" s="3" t="s">
        <v>414</v>
      </c>
      <c r="B206" s="0" t="s">
        <v>194</v>
      </c>
      <c r="C206" s="22" t="n">
        <f aca="false">C204+C203</f>
        <v>19.292</v>
      </c>
      <c r="D206" s="22" t="n">
        <f aca="false">D204+D203</f>
        <v>28.126</v>
      </c>
      <c r="E206" s="22" t="n">
        <f aca="false">E204+E203</f>
        <v>47.8142</v>
      </c>
      <c r="F206" s="22" t="n">
        <f aca="false">F204+F203</f>
        <v>65.477328</v>
      </c>
      <c r="G206" s="22" t="n">
        <f aca="false">G204+G203</f>
        <v>77.7503286706749</v>
      </c>
      <c r="H206" s="24" t="n">
        <f aca="false">G206*(1+H207)</f>
        <v>89.0209611466439</v>
      </c>
      <c r="I206" s="24" t="n">
        <f aca="false">H206*(1+I207)</f>
        <v>98.1437976623194</v>
      </c>
      <c r="J206" s="24" t="n">
        <f aca="false">I206*(1+J207)</f>
        <v>104.032425522059</v>
      </c>
      <c r="K206" s="7" t="s">
        <v>544</v>
      </c>
    </row>
    <row r="207" customFormat="false" ht="15" hidden="false" customHeight="false" outlineLevel="0" collapsed="false">
      <c r="A207" s="3" t="s">
        <v>545</v>
      </c>
      <c r="B207" s="0" t="s">
        <v>54</v>
      </c>
      <c r="D207" s="13" t="n">
        <f aca="false">D206/C206-1</f>
        <v>0.457910014513788</v>
      </c>
      <c r="E207" s="13" t="n">
        <f aca="false">E206/D206-1</f>
        <v>0.7</v>
      </c>
      <c r="F207" s="13" t="n">
        <f aca="false">F206/E206-1</f>
        <v>0.369411764705882</v>
      </c>
      <c r="G207" s="13" t="n">
        <f aca="false">G206/F206-1</f>
        <v>0.187438935667547</v>
      </c>
      <c r="H207" s="25" t="n">
        <f aca="false">$G207+(fade_gA-$G207)*1/3</f>
        <v>0.144959290445032</v>
      </c>
      <c r="I207" s="25" t="n">
        <f aca="false">$G207+(fade_gA-$G207)*2/3</f>
        <v>0.102479645222516</v>
      </c>
      <c r="J207" s="25" t="n">
        <f aca="false">$G207+(fade_gA-$G207)*3/3</f>
        <v>0.06</v>
      </c>
    </row>
    <row r="208" customFormat="false" ht="17.15" hidden="false" customHeight="false" outlineLevel="0" collapsed="false">
      <c r="A208" s="0" t="s">
        <v>546</v>
      </c>
      <c r="B208" s="0" t="s">
        <v>54</v>
      </c>
      <c r="C208" s="13" t="n">
        <f aca="false">C204/C206</f>
        <v>0.45</v>
      </c>
      <c r="D208" s="13" t="n">
        <f aca="false">D204/D206</f>
        <v>0.622747635639622</v>
      </c>
      <c r="E208" s="13" t="n">
        <f aca="false">E204/E206</f>
        <v>0.778086844493895</v>
      </c>
      <c r="F208" s="13" t="n">
        <f aca="false">F204/F206</f>
        <v>0.837950015309116</v>
      </c>
      <c r="G208" s="13" t="n">
        <f aca="false">G204/G206</f>
        <v>0.863529837347144</v>
      </c>
    </row>
    <row r="209" customFormat="false" ht="17.15" hidden="false" customHeight="false" outlineLevel="0" collapsed="false">
      <c r="A209" s="3" t="s">
        <v>547</v>
      </c>
      <c r="B209" s="0" t="s">
        <v>54</v>
      </c>
      <c r="D209" s="13" t="n">
        <f aca="false">(D199+D203)/D202</f>
        <v>1</v>
      </c>
      <c r="E209" s="13" t="n">
        <f aca="false">(E199+E203)/E202</f>
        <v>1.15033885304917</v>
      </c>
      <c r="F209" s="13" t="n">
        <f aca="false">(F199+F203)/F202</f>
        <v>1.0383491115414</v>
      </c>
      <c r="G209" s="13" t="n">
        <f aca="false">(G199+G203)/G202</f>
        <v>0.980268738380869</v>
      </c>
      <c r="K209" s="3" t="s">
        <v>548</v>
      </c>
    </row>
    <row r="210" customFormat="false" ht="17.15" hidden="false" customHeight="false" outlineLevel="0" collapsed="false">
      <c r="A210" s="3" t="s">
        <v>489</v>
      </c>
      <c r="B210" s="0" t="s">
        <v>95</v>
      </c>
      <c r="D210" s="21" t="n">
        <f aca="false">D204/fx/D188*1000</f>
        <v>111.38930728666</v>
      </c>
      <c r="E210" s="21" t="n">
        <f aca="false">E204/fx/E188*1000</f>
        <v>132.933491717507</v>
      </c>
      <c r="F210" s="21" t="n">
        <f aca="false">F204/fx/F188*1000</f>
        <v>154.657340020758</v>
      </c>
      <c r="G210" s="21" t="n">
        <f aca="false">G204/fx/G188*1000</f>
        <v>166.133438841143</v>
      </c>
    </row>
    <row r="211" customFormat="false" ht="17.15" hidden="false" customHeight="false" outlineLevel="0" collapsed="false">
      <c r="A211" s="5" t="s">
        <v>549</v>
      </c>
    </row>
    <row r="212" customFormat="false" ht="17.15" hidden="false" customHeight="false" outlineLevel="0" collapsed="false">
      <c r="A212" s="3" t="s">
        <v>550</v>
      </c>
      <c r="B212" s="0" t="s">
        <v>54</v>
      </c>
      <c r="D212" s="13" t="n">
        <f aca="false">a26_gp/D206-d_ai*D208</f>
        <v>0.237492000284434</v>
      </c>
      <c r="K212" s="7" t="s">
        <v>551</v>
      </c>
    </row>
    <row r="213" customFormat="false" ht="17.15" hidden="false" customHeight="false" outlineLevel="0" collapsed="false">
      <c r="A213" s="0" t="s">
        <v>552</v>
      </c>
      <c r="B213" s="0" t="s">
        <v>54</v>
      </c>
      <c r="D213" s="13" t="n">
        <f aca="false">D212+d_ai</f>
        <v>0.387492000284434</v>
      </c>
      <c r="E213" s="13" t="n">
        <f aca="false">1-(1-$D$213)/E195+gmu_27</f>
        <v>0.397492000284434</v>
      </c>
      <c r="F213" s="13" t="n">
        <f aca="false">1-(1-$D$213)/F195+gmu_28</f>
        <v>0.388548453901479</v>
      </c>
      <c r="G213" s="13" t="n">
        <f aca="false">1-(1-$D$213)/G195+gmu_29</f>
        <v>0.378395744983441</v>
      </c>
      <c r="K213" s="7" t="s">
        <v>553</v>
      </c>
    </row>
    <row r="214" customFormat="false" ht="15" hidden="false" customHeight="false" outlineLevel="0" collapsed="false">
      <c r="A214" s="3" t="s">
        <v>418</v>
      </c>
      <c r="B214" s="0" t="s">
        <v>194</v>
      </c>
      <c r="C214" s="22" t="n">
        <f aca="false">a25_gp</f>
        <v>6.7946424</v>
      </c>
      <c r="D214" s="22" t="n">
        <f aca="false">a26_gp</f>
        <v>9.30701</v>
      </c>
      <c r="E214" s="22" t="n">
        <f aca="false">E204*E213+E203*$D$212</f>
        <v>17.308066</v>
      </c>
      <c r="F214" s="22" t="n">
        <f aca="false">F204*F213+F203*$D$212</f>
        <v>23.838314953251</v>
      </c>
      <c r="G214" s="22" t="n">
        <f aca="false">G204*G213+G203*$D$212</f>
        <v>27.9253202665441</v>
      </c>
    </row>
    <row r="215" customFormat="false" ht="15" hidden="false" customHeight="false" outlineLevel="0" collapsed="false">
      <c r="A215" s="3" t="s">
        <v>421</v>
      </c>
      <c r="B215" s="0" t="s">
        <v>54</v>
      </c>
      <c r="C215" s="13" t="n">
        <f aca="false">C214/C206</f>
        <v>0.3522</v>
      </c>
      <c r="D215" s="13" t="n">
        <f aca="false">D214/D206</f>
        <v>0.330904145630378</v>
      </c>
      <c r="E215" s="13" t="n">
        <f aca="false">E214/E206</f>
        <v>0.361985895403458</v>
      </c>
      <c r="F215" s="13" t="n">
        <f aca="false">F214/F206</f>
        <v>0.364069757905377</v>
      </c>
      <c r="G215" s="13" t="n">
        <f aca="false">G214/G206</f>
        <v>0.359166588025971</v>
      </c>
    </row>
    <row r="216" customFormat="false" ht="17.15" hidden="false" customHeight="false" outlineLevel="0" collapsed="false">
      <c r="A216" s="3" t="s">
        <v>554</v>
      </c>
      <c r="B216" s="0" t="s">
        <v>194</v>
      </c>
      <c r="C216" s="22" t="n">
        <f aca="false">a25_opx</f>
        <v>1.6466424</v>
      </c>
      <c r="D216" s="22" t="n">
        <f aca="false">a26_opx</f>
        <v>1.827905</v>
      </c>
      <c r="E216" s="22" t="n">
        <f aca="false">D216*(1+MAX(0,phi*E207))</f>
        <v>2.5956251</v>
      </c>
      <c r="F216" s="22" t="n">
        <f aca="false">E216*(1+MAX(0,phi*F207))</f>
        <v>3.17093776922353</v>
      </c>
      <c r="G216" s="22" t="n">
        <f aca="false">F216*(1+MAX(0,phi*G207))</f>
        <v>3.5275520895423</v>
      </c>
      <c r="K216" s="7" t="s">
        <v>555</v>
      </c>
    </row>
    <row r="217" customFormat="false" ht="15" hidden="false" customHeight="false" outlineLevel="0" collapsed="false">
      <c r="A217" s="3" t="s">
        <v>423</v>
      </c>
      <c r="B217" s="0" t="s">
        <v>194</v>
      </c>
      <c r="C217" s="22" t="n">
        <f aca="false">C216</f>
        <v>1.6466424</v>
      </c>
      <c r="D217" s="22" t="n">
        <f aca="false">D216</f>
        <v>1.827905</v>
      </c>
      <c r="E217" s="22" t="n">
        <f aca="false">E216+0*E206</f>
        <v>2.5956251</v>
      </c>
      <c r="F217" s="22" t="n">
        <f aca="false">F216+0*F206</f>
        <v>3.17093776922353</v>
      </c>
      <c r="G217" s="22" t="n">
        <f aca="false">G216+0*G206</f>
        <v>3.5275520895423</v>
      </c>
    </row>
    <row r="218" customFormat="false" ht="15" hidden="false" customHeight="false" outlineLevel="0" collapsed="false">
      <c r="A218" s="3" t="s">
        <v>556</v>
      </c>
      <c r="B218" s="0" t="s">
        <v>194</v>
      </c>
      <c r="C218" s="22" t="n">
        <f aca="false">C214-C217</f>
        <v>5.148</v>
      </c>
      <c r="D218" s="22" t="n">
        <f aca="false">D214-D217</f>
        <v>7.479105</v>
      </c>
      <c r="E218" s="22" t="n">
        <f aca="false">E214-E217</f>
        <v>14.7124409</v>
      </c>
      <c r="F218" s="22" t="n">
        <f aca="false">F214-F217</f>
        <v>20.6673771840275</v>
      </c>
      <c r="G218" s="22" t="n">
        <f aca="false">G214-G217</f>
        <v>24.3977681770018</v>
      </c>
    </row>
    <row r="219" customFormat="false" ht="15" hidden="false" customHeight="false" outlineLevel="0" collapsed="false">
      <c r="A219" s="3" t="s">
        <v>429</v>
      </c>
      <c r="B219" s="0" t="s">
        <v>54</v>
      </c>
      <c r="C219" s="13" t="n">
        <f aca="false">C218/C206</f>
        <v>0.266846361185984</v>
      </c>
      <c r="D219" s="13" t="n">
        <f aca="false">D218/D206</f>
        <v>0.265914278603427</v>
      </c>
      <c r="E219" s="13" t="n">
        <f aca="false">E218/E206</f>
        <v>0.307700241769182</v>
      </c>
      <c r="F219" s="13" t="n">
        <f aca="false">F218/F206</f>
        <v>0.315641731501741</v>
      </c>
      <c r="G219" s="13" t="n">
        <f aca="false">G218/G206</f>
        <v>0.31379633493696</v>
      </c>
    </row>
    <row r="220" customFormat="false" ht="17.15" hidden="false" customHeight="false" outlineLevel="0" collapsed="false">
      <c r="A220" s="3" t="s">
        <v>430</v>
      </c>
      <c r="B220" s="0" t="s">
        <v>194</v>
      </c>
      <c r="E220" s="22" t="n">
        <f aca="false">nop_f</f>
        <v>-0.2</v>
      </c>
      <c r="F220" s="22" t="n">
        <f aca="false">nop_f</f>
        <v>-0.2</v>
      </c>
      <c r="G220" s="22" t="n">
        <f aca="false">nop_f</f>
        <v>-0.2</v>
      </c>
      <c r="K220" s="7" t="s">
        <v>557</v>
      </c>
    </row>
    <row r="221" customFormat="false" ht="15" hidden="false" customHeight="false" outlineLevel="0" collapsed="false">
      <c r="A221" s="3" t="s">
        <v>436</v>
      </c>
      <c r="B221" s="0" t="s">
        <v>194</v>
      </c>
      <c r="C221" s="22" t="n">
        <f aca="false">a25_ni</f>
        <v>4.312</v>
      </c>
      <c r="D221" s="22" t="n">
        <f aca="false">a26_ni</f>
        <v>6.5441924845173</v>
      </c>
      <c r="E221" s="22" t="n">
        <f aca="false">(E218+E220)*nir_f</f>
        <v>12.5822862603</v>
      </c>
      <c r="F221" s="22" t="n">
        <f aca="false">(F218+F220)*nir_f</f>
        <v>17.7452160185518</v>
      </c>
      <c r="G221" s="22" t="n">
        <f aca="false">(G218+G220)*nir_f</f>
        <v>20.9794650094606</v>
      </c>
      <c r="H221" s="24" t="n">
        <f aca="false">H206*H226</f>
        <v>23.9498034287841</v>
      </c>
      <c r="I221" s="24" t="n">
        <f aca="false">I206*I226</f>
        <v>26.3260822175861</v>
      </c>
      <c r="J221" s="24" t="n">
        <f aca="false">J206*J226</f>
        <v>27.8228732667287</v>
      </c>
    </row>
    <row r="222" customFormat="false" ht="17.15" hidden="false" customHeight="false" outlineLevel="0" collapsed="false">
      <c r="A222" s="3" t="s">
        <v>439</v>
      </c>
      <c r="B222" s="0" t="s">
        <v>54</v>
      </c>
      <c r="C222" s="13" t="n">
        <f aca="false">C221/C218</f>
        <v>0.837606837606838</v>
      </c>
      <c r="D222" s="13" t="n">
        <f aca="false">D221/D218</f>
        <v>0.874996738850077</v>
      </c>
      <c r="E222" s="13" t="n">
        <f aca="false">E221/E218</f>
        <v>0.85521405630931</v>
      </c>
      <c r="F222" s="13" t="n">
        <f aca="false">F221/F218</f>
        <v>0.858609965867657</v>
      </c>
      <c r="G222" s="13" t="n">
        <f aca="false">G221/G218</f>
        <v>0.859892792539793</v>
      </c>
    </row>
    <row r="223" customFormat="false" ht="17.15" hidden="false" customHeight="false" outlineLevel="0" collapsed="false">
      <c r="A223" s="3" t="s">
        <v>558</v>
      </c>
      <c r="B223" s="3" t="s">
        <v>222</v>
      </c>
      <c r="C223" s="27" t="n">
        <f aca="false">a25_sh</f>
        <v>0.860678642714571</v>
      </c>
      <c r="D223" s="27" t="n">
        <f aca="false">a26_sh</f>
        <v>0.946074458598726</v>
      </c>
      <c r="E223" s="27" t="n">
        <f aca="false">sh_h2*(1+sh_g)</f>
        <v>0.98234</v>
      </c>
      <c r="F223" s="27" t="n">
        <f aca="false">E223*(1+sh_g)</f>
        <v>0.98234</v>
      </c>
      <c r="G223" s="27" t="n">
        <f aca="false">F223*(1+sh_g)</f>
        <v>0.98234</v>
      </c>
      <c r="H223" s="28" t="n">
        <f aca="false">G223*(1+sh_g)</f>
        <v>0.98234</v>
      </c>
      <c r="I223" s="28" t="n">
        <f aca="false">H223*(1+sh_g)</f>
        <v>0.98234</v>
      </c>
      <c r="J223" s="28" t="n">
        <f aca="false">I223*(1+sh_g)</f>
        <v>0.98234</v>
      </c>
      <c r="K223" s="7" t="s">
        <v>559</v>
      </c>
    </row>
    <row r="224" customFormat="false" ht="15" hidden="false" customHeight="false" outlineLevel="0" collapsed="false">
      <c r="A224" s="0" t="s">
        <v>442</v>
      </c>
      <c r="B224" s="0" t="s">
        <v>258</v>
      </c>
      <c r="C224" s="23" t="n">
        <f aca="false">C221/C223</f>
        <v>5.01</v>
      </c>
      <c r="D224" s="23" t="n">
        <f aca="false">D221/D223</f>
        <v>6.91720659514496</v>
      </c>
      <c r="E224" s="23" t="n">
        <f aca="false">E221/E223</f>
        <v>12.8084840893173</v>
      </c>
      <c r="F224" s="23" t="n">
        <f aca="false">F221/F223</f>
        <v>18.0642303261109</v>
      </c>
      <c r="G224" s="23" t="n">
        <f aca="false">G221/G223</f>
        <v>21.3566229711307</v>
      </c>
      <c r="H224" s="29" t="n">
        <f aca="false">H221/H223</f>
        <v>24.3803605969259</v>
      </c>
      <c r="I224" s="29" t="n">
        <f aca="false">I221/I223</f>
        <v>26.7993588956839</v>
      </c>
      <c r="J224" s="29" t="n">
        <f aca="false">J221/J223</f>
        <v>28.3230584794763</v>
      </c>
    </row>
    <row r="225" customFormat="false" ht="17.15" hidden="false" customHeight="false" outlineLevel="0" collapsed="false">
      <c r="A225" s="0" t="s">
        <v>560</v>
      </c>
      <c r="B225" s="0" t="s">
        <v>54</v>
      </c>
      <c r="D225" s="13" t="n">
        <f aca="false">D224/C224-1</f>
        <v>0.38067995911077</v>
      </c>
      <c r="E225" s="13" t="n">
        <f aca="false">E224/D224-1</f>
        <v>0.851684478862804</v>
      </c>
      <c r="F225" s="13" t="n">
        <f aca="false">F224/E224-1</f>
        <v>0.410333197913485</v>
      </c>
      <c r="G225" s="13" t="n">
        <f aca="false">G224/F224-1</f>
        <v>0.182260333575399</v>
      </c>
      <c r="H225" s="25" t="n">
        <f aca="false">H224/G224-1</f>
        <v>0.141583134650198</v>
      </c>
      <c r="I225" s="25" t="n">
        <f aca="false">I224/H224-1</f>
        <v>0.0992191353832168</v>
      </c>
      <c r="J225" s="25" t="n">
        <f aca="false">J224/I224-1</f>
        <v>0.0568558221755742</v>
      </c>
    </row>
    <row r="226" customFormat="false" ht="17.15" hidden="false" customHeight="false" outlineLevel="0" collapsed="false">
      <c r="A226" s="3" t="s">
        <v>561</v>
      </c>
      <c r="B226" s="0" t="s">
        <v>54</v>
      </c>
      <c r="C226" s="13" t="n">
        <f aca="false">C221/C206</f>
        <v>0.223512336719884</v>
      </c>
      <c r="D226" s="13" t="n">
        <f aca="false">D221/D206</f>
        <v>0.23267412659167</v>
      </c>
      <c r="E226" s="13" t="n">
        <f aca="false">E221/E206</f>
        <v>0.263149571890777</v>
      </c>
      <c r="F226" s="13" t="n">
        <f aca="false">F221/F206</f>
        <v>0.271013136311118</v>
      </c>
      <c r="G226" s="13" t="n">
        <f aca="false">G221/G206</f>
        <v>0.269831206737695</v>
      </c>
      <c r="H226" s="25" t="n">
        <f aca="false">$G226+(fade_mA-$G226)*1/3</f>
        <v>0.269035552080051</v>
      </c>
      <c r="I226" s="25" t="n">
        <f aca="false">$G226+(fade_mA-$G226)*2/3</f>
        <v>0.268239897422408</v>
      </c>
      <c r="J226" s="25" t="n">
        <f aca="false">$G226+(fade_mA-$G226)*3/3</f>
        <v>0.267444242764765</v>
      </c>
    </row>
    <row r="229" customFormat="false" ht="17.15" hidden="false" customHeight="false" outlineLevel="0" collapsed="false">
      <c r="A229" s="1" t="s">
        <v>891</v>
      </c>
    </row>
    <row r="230" customFormat="false" ht="17.15" hidden="false" customHeight="false" outlineLevel="0" collapsed="false">
      <c r="A230" s="4" t="s">
        <v>23</v>
      </c>
      <c r="B230" s="4" t="s">
        <v>24</v>
      </c>
      <c r="C230" s="14" t="s">
        <v>409</v>
      </c>
      <c r="D230" s="14" t="s">
        <v>502</v>
      </c>
      <c r="E230" s="14" t="s">
        <v>503</v>
      </c>
      <c r="F230" s="14" t="s">
        <v>504</v>
      </c>
      <c r="G230" s="14" t="s">
        <v>505</v>
      </c>
      <c r="H230" s="14" t="s">
        <v>506</v>
      </c>
      <c r="I230" s="14" t="s">
        <v>507</v>
      </c>
      <c r="J230" s="14" t="s">
        <v>508</v>
      </c>
      <c r="K230" s="4" t="s">
        <v>391</v>
      </c>
    </row>
    <row r="231" customFormat="false" ht="17.15" hidden="false" customHeight="false" outlineLevel="0" collapsed="false">
      <c r="A231" s="5" t="s">
        <v>524</v>
      </c>
    </row>
    <row r="232" customFormat="false" ht="17.15" hidden="false" customHeight="false" outlineLevel="0" collapsed="false">
      <c r="A232" s="0" t="s">
        <v>525</v>
      </c>
      <c r="B232" s="0" t="s">
        <v>34</v>
      </c>
      <c r="D232" s="23" t="n">
        <f aca="false">itc_26*1</f>
        <v>781.872916666666</v>
      </c>
      <c r="E232" s="23" t="n">
        <f aca="false">itc_27*1*1</f>
        <v>1565.35</v>
      </c>
      <c r="F232" s="23" t="n">
        <f aca="false">itc_28*um28_A*1</f>
        <v>1984.26388888889</v>
      </c>
      <c r="G232" s="23" t="n">
        <f aca="false">itc_29*um29_A*1</f>
        <v>2260.39027777778</v>
      </c>
    </row>
    <row r="233" customFormat="false" ht="17.15" hidden="false" customHeight="false" outlineLevel="0" collapsed="false">
      <c r="A233" s="3" t="s">
        <v>526</v>
      </c>
      <c r="B233" s="0" t="s">
        <v>34</v>
      </c>
      <c r="D233" s="23" t="n">
        <f aca="false">itpg_gb*(1-vr26)+itpg_vr*vr26</f>
        <v>33.41403216</v>
      </c>
      <c r="E233" s="23" t="n">
        <f aca="false">itpg_vr</f>
        <v>37.586352</v>
      </c>
      <c r="F233" s="23" t="n">
        <f aca="false">itpg_vr</f>
        <v>37.586352</v>
      </c>
      <c r="G233" s="23" t="n">
        <f aca="false">itpg_vr</f>
        <v>37.586352</v>
      </c>
    </row>
    <row r="234" customFormat="false" ht="17.15" hidden="false" customHeight="false" outlineLevel="0" collapsed="false">
      <c r="A234" s="3" t="s">
        <v>527</v>
      </c>
      <c r="B234" s="0" t="s">
        <v>468</v>
      </c>
      <c r="D234" s="20" t="n">
        <f aca="false">D232/D233</f>
        <v>23.3995380420639</v>
      </c>
      <c r="E234" s="20" t="n">
        <f aca="false">E232/E233</f>
        <v>41.6467658260637</v>
      </c>
      <c r="F234" s="20" t="n">
        <f aca="false">F232/F233</f>
        <v>52.792138191248</v>
      </c>
      <c r="G234" s="20" t="n">
        <f aca="false">G232/G233</f>
        <v>60.1385917361116</v>
      </c>
    </row>
    <row r="235" customFormat="false" ht="17.15" hidden="false" customHeight="false" outlineLevel="0" collapsed="false">
      <c r="A235" s="3" t="s">
        <v>470</v>
      </c>
      <c r="B235" s="0" t="s">
        <v>95</v>
      </c>
      <c r="D235" s="21" t="n">
        <f aca="false">cmp_26</f>
        <v>280</v>
      </c>
      <c r="E235" s="21" t="n">
        <f aca="false">cmp_26*cmpx_27</f>
        <v>420</v>
      </c>
      <c r="F235" s="21" t="n">
        <f aca="false">cmp_26*cmpx_28</f>
        <v>462</v>
      </c>
      <c r="G235" s="21" t="n">
        <f aca="false">cmp_26*cmpx_29</f>
        <v>504</v>
      </c>
    </row>
    <row r="236" customFormat="false" ht="17.15" hidden="false" customHeight="false" outlineLevel="0" collapsed="false">
      <c r="A236" s="3" t="s">
        <v>472</v>
      </c>
      <c r="B236" s="0" t="s">
        <v>95</v>
      </c>
      <c r="D236" s="21" t="n">
        <f aca="false">sw_26</f>
        <v>120</v>
      </c>
      <c r="E236" s="21" t="n">
        <f aca="false">sw_26*swx_27</f>
        <v>162</v>
      </c>
      <c r="F236" s="21" t="n">
        <f aca="false">sw_26*swx_28</f>
        <v>180</v>
      </c>
      <c r="G236" s="21" t="n">
        <f aca="false">sw_26*swx_29</f>
        <v>198</v>
      </c>
    </row>
    <row r="237" customFormat="false" ht="17.15" hidden="false" customHeight="false" outlineLevel="0" collapsed="false">
      <c r="A237" s="3" t="s">
        <v>473</v>
      </c>
      <c r="B237" s="0" t="s">
        <v>95</v>
      </c>
      <c r="D237" s="21" t="n">
        <f aca="false">mid_26</f>
        <v>50</v>
      </c>
      <c r="E237" s="21" t="n">
        <f aca="false">mid_26*midx_27</f>
        <v>100</v>
      </c>
      <c r="F237" s="21" t="n">
        <f aca="false">mid_26*midx_28</f>
        <v>150</v>
      </c>
      <c r="G237" s="21" t="n">
        <f aca="false">mid_26*midx_29</f>
        <v>175</v>
      </c>
    </row>
    <row r="238" customFormat="false" ht="17.15" hidden="false" customHeight="false" outlineLevel="0" collapsed="false">
      <c r="A238" s="3" t="s">
        <v>528</v>
      </c>
      <c r="B238" s="0" t="s">
        <v>95</v>
      </c>
      <c r="D238" s="21" t="n">
        <f aca="false">D235+D236+D237</f>
        <v>450</v>
      </c>
      <c r="E238" s="21" t="n">
        <f aca="false">E235+E236+E237</f>
        <v>682</v>
      </c>
      <c r="F238" s="21" t="n">
        <f aca="false">F235+F236+F237</f>
        <v>792</v>
      </c>
      <c r="G238" s="21" t="n">
        <f aca="false">G235+G236+G237</f>
        <v>877</v>
      </c>
    </row>
    <row r="239" customFormat="false" ht="17.15" hidden="false" customHeight="false" outlineLevel="0" collapsed="false">
      <c r="A239" s="0" t="s">
        <v>529</v>
      </c>
      <c r="B239" s="0" t="s">
        <v>34</v>
      </c>
      <c r="D239" s="23" t="n">
        <f aca="false">D234*D238/1000</f>
        <v>10.5297921189287</v>
      </c>
      <c r="E239" s="23" t="n">
        <f aca="false">E234*E238/1000</f>
        <v>28.4030942933754</v>
      </c>
      <c r="F239" s="23" t="n">
        <f aca="false">F234*F238/1000</f>
        <v>41.8113734474684</v>
      </c>
      <c r="G239" s="23" t="n">
        <f aca="false">G234*G238/1000</f>
        <v>52.7415449525698</v>
      </c>
    </row>
    <row r="240" customFormat="false" ht="17.15" hidden="false" customHeight="false" outlineLevel="0" collapsed="false">
      <c r="A240" s="0" t="s">
        <v>530</v>
      </c>
      <c r="B240" s="0" t="s">
        <v>194</v>
      </c>
      <c r="D240" s="22" t="n">
        <f aca="false">D239*fx</f>
        <v>70.7602030392012</v>
      </c>
      <c r="E240" s="22" t="n">
        <f aca="false">E239*fx</f>
        <v>190.868793651483</v>
      </c>
      <c r="F240" s="22" t="n">
        <f aca="false">F239*fx</f>
        <v>280.972429566988</v>
      </c>
      <c r="G240" s="22" t="n">
        <f aca="false">G239*fx</f>
        <v>354.423182081269</v>
      </c>
    </row>
    <row r="241" customFormat="false" ht="17.15" hidden="false" customHeight="false" outlineLevel="0" collapsed="false">
      <c r="A241" s="0" t="s">
        <v>531</v>
      </c>
      <c r="B241" s="0" t="s">
        <v>67</v>
      </c>
      <c r="D241" s="17" t="n">
        <f aca="false">1</f>
        <v>1</v>
      </c>
      <c r="E241" s="17" t="n">
        <f aca="false">pp_27</f>
        <v>1</v>
      </c>
      <c r="F241" s="17" t="n">
        <f aca="false">pp_28</f>
        <v>0.97</v>
      </c>
      <c r="G241" s="17" t="n">
        <f aca="false">pp_29</f>
        <v>0.94</v>
      </c>
    </row>
    <row r="242" customFormat="false" ht="17.15" hidden="false" customHeight="false" outlineLevel="0" collapsed="false">
      <c r="A242" s="3" t="s">
        <v>532</v>
      </c>
      <c r="B242" s="0" t="s">
        <v>54</v>
      </c>
      <c r="D242" s="13" t="n">
        <f aca="false">a26_ai/D240</f>
        <v>0.247531793970355</v>
      </c>
      <c r="K242" s="7" t="s">
        <v>533</v>
      </c>
    </row>
    <row r="243" customFormat="false" ht="17.15" hidden="false" customHeight="false" outlineLevel="0" collapsed="false">
      <c r="A243" s="3" t="s">
        <v>534</v>
      </c>
      <c r="B243" s="0" t="s">
        <v>67</v>
      </c>
      <c r="D243" s="17" t="n">
        <f aca="false">1</f>
        <v>1</v>
      </c>
      <c r="E243" s="17" t="n">
        <f aca="false">RLO_27</f>
        <v>0.7</v>
      </c>
      <c r="F243" s="17" t="n">
        <f aca="false">RLO_28</f>
        <v>0.6</v>
      </c>
      <c r="G243" s="17" t="n">
        <f aca="false">RLO_29</f>
        <v>0.55</v>
      </c>
    </row>
    <row r="244" customFormat="false" ht="15" hidden="false" customHeight="false" outlineLevel="0" collapsed="false">
      <c r="A244" s="3" t="s">
        <v>485</v>
      </c>
      <c r="B244" s="0" t="s">
        <v>54</v>
      </c>
      <c r="D244" s="13" t="n">
        <f aca="false">$D$242*D243</f>
        <v>0.247531793970355</v>
      </c>
      <c r="E244" s="13" t="n">
        <f aca="false">$D$242*E243</f>
        <v>0.173272255779248</v>
      </c>
      <c r="F244" s="13" t="n">
        <f aca="false">$D$242*F243</f>
        <v>0.148519076382213</v>
      </c>
      <c r="G244" s="13" t="n">
        <f aca="false">$D$242*G243</f>
        <v>0.136142486683695</v>
      </c>
    </row>
    <row r="245" customFormat="false" ht="17.15" hidden="false" customHeight="false" outlineLevel="0" collapsed="false">
      <c r="A245" s="0" t="s">
        <v>535</v>
      </c>
      <c r="B245" s="0" t="s">
        <v>194</v>
      </c>
      <c r="D245" s="22" t="n">
        <f aca="false">D240*D244*D241</f>
        <v>17.5154</v>
      </c>
      <c r="E245" s="22" t="n">
        <f aca="false">E240*E244*E241</f>
        <v>33.0722664338563</v>
      </c>
      <c r="F245" s="22" t="n">
        <f aca="false">F240*F244*F241</f>
        <v>40.4778727563107</v>
      </c>
      <c r="G245" s="22" t="n">
        <f aca="false">G240*G244*G241</f>
        <v>45.3569301460785</v>
      </c>
    </row>
    <row r="246" customFormat="false" ht="17.15" hidden="false" customHeight="false" outlineLevel="0" collapsed="false">
      <c r="A246" s="5" t="s">
        <v>536</v>
      </c>
    </row>
    <row r="247" customFormat="false" ht="17.15" hidden="false" customHeight="false" outlineLevel="0" collapsed="false">
      <c r="A247" s="3" t="s">
        <v>537</v>
      </c>
      <c r="B247" s="0" t="s">
        <v>67</v>
      </c>
      <c r="D247" s="17" t="n">
        <f aca="false">1</f>
        <v>1</v>
      </c>
      <c r="E247" s="17" t="n">
        <f aca="false">cx_27</f>
        <v>1.7</v>
      </c>
      <c r="F247" s="17" t="n">
        <f aca="false">cx_28</f>
        <v>2.4</v>
      </c>
      <c r="G247" s="17" t="n">
        <f aca="false">cx_29</f>
        <v>3</v>
      </c>
      <c r="K247" s="7" t="s">
        <v>538</v>
      </c>
    </row>
    <row r="248" customFormat="false" ht="17.15" hidden="false" customHeight="false" outlineLevel="0" collapsed="false">
      <c r="A248" s="3" t="s">
        <v>539</v>
      </c>
      <c r="B248" s="0" t="s">
        <v>194</v>
      </c>
      <c r="D248" s="22" t="n">
        <f aca="false">a26_rev*D247*D241</f>
        <v>28.126</v>
      </c>
      <c r="E248" s="22" t="n">
        <f aca="false">a26_rev*E247*E241</f>
        <v>47.8142</v>
      </c>
      <c r="F248" s="22" t="n">
        <f aca="false">a26_rev*F247*F241</f>
        <v>65.477328</v>
      </c>
      <c r="G248" s="22" t="n">
        <f aca="false">a26_rev*G247*G241</f>
        <v>79.31532</v>
      </c>
    </row>
    <row r="249" customFormat="false" ht="17.15" hidden="false" customHeight="false" outlineLevel="0" collapsed="false">
      <c r="A249" s="3" t="s">
        <v>540</v>
      </c>
      <c r="B249" s="0" t="s">
        <v>194</v>
      </c>
      <c r="C249" s="22" t="n">
        <f aca="false">a25_nai</f>
        <v>10.6106</v>
      </c>
      <c r="D249" s="22" t="n">
        <f aca="false">a26_nai</f>
        <v>10.6106</v>
      </c>
      <c r="E249" s="22" t="n">
        <f aca="false">D249*(1+g_nai27)</f>
        <v>10.6106</v>
      </c>
      <c r="F249" s="22" t="n">
        <f aca="false">E249*(1+g_nai28)</f>
        <v>10.6106</v>
      </c>
      <c r="G249" s="22" t="n">
        <f aca="false">F249*(1+g_nai29)</f>
        <v>10.6106</v>
      </c>
    </row>
    <row r="250" customFormat="false" ht="17.15" hidden="false" customHeight="false" outlineLevel="0" collapsed="false">
      <c r="A250" s="0" t="s">
        <v>541</v>
      </c>
      <c r="B250" s="0" t="s">
        <v>194</v>
      </c>
      <c r="C250" s="22" t="n">
        <f aca="false">a25_ai</f>
        <v>8.6814</v>
      </c>
      <c r="D250" s="22" t="n">
        <f aca="false">D245</f>
        <v>17.5154</v>
      </c>
      <c r="E250" s="22" t="n">
        <f aca="false">MIN(E245,E248-E249)</f>
        <v>33.0722664338563</v>
      </c>
      <c r="F250" s="22" t="n">
        <f aca="false">MIN(F245,F248-F249)</f>
        <v>40.4778727563107</v>
      </c>
      <c r="G250" s="22" t="n">
        <f aca="false">MIN(G245,G248-G249)</f>
        <v>45.3569301460785</v>
      </c>
      <c r="K250" s="3" t="s">
        <v>542</v>
      </c>
    </row>
    <row r="251" customFormat="false" ht="15" hidden="false" customHeight="false" outlineLevel="0" collapsed="false">
      <c r="A251" s="3" t="s">
        <v>543</v>
      </c>
      <c r="E251" s="0" t="str">
        <f aca="false">IF(E245&gt;E248-E249+0.0001,"受限","未受限")</f>
        <v>未受限</v>
      </c>
      <c r="F251" s="0" t="str">
        <f aca="false">IF(F245&gt;F248-F249+0.0001,"受限","未受限")</f>
        <v>未受限</v>
      </c>
      <c r="G251" s="0" t="str">
        <f aca="false">IF(G245&gt;G248-G249+0.0001,"受限","未受限")</f>
        <v>未受限</v>
      </c>
    </row>
    <row r="252" customFormat="false" ht="17.15" hidden="false" customHeight="false" outlineLevel="0" collapsed="false">
      <c r="A252" s="3" t="s">
        <v>414</v>
      </c>
      <c r="B252" s="0" t="s">
        <v>194</v>
      </c>
      <c r="C252" s="22" t="n">
        <f aca="false">C250+C249</f>
        <v>19.292</v>
      </c>
      <c r="D252" s="22" t="n">
        <f aca="false">D250+D249</f>
        <v>28.126</v>
      </c>
      <c r="E252" s="22" t="n">
        <f aca="false">E250+E249</f>
        <v>43.6828664338563</v>
      </c>
      <c r="F252" s="22" t="n">
        <f aca="false">F250+F249</f>
        <v>51.0884727563107</v>
      </c>
      <c r="G252" s="22" t="n">
        <f aca="false">G250+G249</f>
        <v>55.9675301460785</v>
      </c>
      <c r="H252" s="24" t="n">
        <f aca="false">G252*(1+H253)</f>
        <v>60.6502258875248</v>
      </c>
      <c r="I252" s="24" t="n">
        <f aca="false">H252*(1+I253)</f>
        <v>65.006976613812</v>
      </c>
      <c r="J252" s="24" t="n">
        <f aca="false">I252*(1+J253)</f>
        <v>68.9073952106407</v>
      </c>
      <c r="K252" s="7" t="s">
        <v>544</v>
      </c>
    </row>
    <row r="253" customFormat="false" ht="15" hidden="false" customHeight="false" outlineLevel="0" collapsed="false">
      <c r="A253" s="3" t="s">
        <v>545</v>
      </c>
      <c r="B253" s="0" t="s">
        <v>54</v>
      </c>
      <c r="D253" s="13" t="n">
        <f aca="false">D252/C252-1</f>
        <v>0.457910014513788</v>
      </c>
      <c r="E253" s="13" t="n">
        <f aca="false">E252/D252-1</f>
        <v>0.553113362506445</v>
      </c>
      <c r="F253" s="13" t="n">
        <f aca="false">F252/E252-1</f>
        <v>0.169531144062348</v>
      </c>
      <c r="G253" s="13" t="n">
        <f aca="false">G252/F252-1</f>
        <v>0.095502118707691</v>
      </c>
      <c r="H253" s="25" t="n">
        <f aca="false">$G253+(fade_gA-$G253)*1/3</f>
        <v>0.0836680791384607</v>
      </c>
      <c r="I253" s="25" t="n">
        <f aca="false">$G253+(fade_gA-$G253)*2/3</f>
        <v>0.0718340395692303</v>
      </c>
      <c r="J253" s="25" t="n">
        <f aca="false">$G253+(fade_gA-$G253)*3/3</f>
        <v>0.06</v>
      </c>
    </row>
    <row r="254" customFormat="false" ht="17.15" hidden="false" customHeight="false" outlineLevel="0" collapsed="false">
      <c r="A254" s="0" t="s">
        <v>546</v>
      </c>
      <c r="B254" s="0" t="s">
        <v>54</v>
      </c>
      <c r="C254" s="13" t="n">
        <f aca="false">C250/C252</f>
        <v>0.45</v>
      </c>
      <c r="D254" s="13" t="n">
        <f aca="false">D250/D252</f>
        <v>0.622747635639622</v>
      </c>
      <c r="E254" s="13" t="n">
        <f aca="false">E250/E252</f>
        <v>0.757099273325702</v>
      </c>
      <c r="F254" s="13" t="n">
        <f aca="false">F250/F252</f>
        <v>0.792309313088845</v>
      </c>
      <c r="G254" s="13" t="n">
        <f aca="false">G250/G252</f>
        <v>0.810415075092545</v>
      </c>
    </row>
    <row r="255" customFormat="false" ht="17.15" hidden="false" customHeight="false" outlineLevel="0" collapsed="false">
      <c r="A255" s="3" t="s">
        <v>547</v>
      </c>
      <c r="B255" s="0" t="s">
        <v>54</v>
      </c>
      <c r="D255" s="13" t="n">
        <f aca="false">(D245+D249)/D248</f>
        <v>1</v>
      </c>
      <c r="E255" s="13" t="n">
        <f aca="false">(E245+E249)/E248</f>
        <v>0.913596095592027</v>
      </c>
      <c r="F255" s="13" t="n">
        <f aca="false">(F245+F249)/F248</f>
        <v>0.780246755889469</v>
      </c>
      <c r="G255" s="13" t="n">
        <f aca="false">(G245+G249)/G248</f>
        <v>0.705633289332735</v>
      </c>
      <c r="K255" s="3" t="s">
        <v>548</v>
      </c>
    </row>
    <row r="256" customFormat="false" ht="17.15" hidden="false" customHeight="false" outlineLevel="0" collapsed="false">
      <c r="A256" s="3" t="s">
        <v>489</v>
      </c>
      <c r="B256" s="0" t="s">
        <v>95</v>
      </c>
      <c r="D256" s="21" t="n">
        <f aca="false">D250/fx/D234*1000</f>
        <v>111.38930728666</v>
      </c>
      <c r="E256" s="21" t="n">
        <f aca="false">E250/fx/E234*1000</f>
        <v>118.171678441447</v>
      </c>
      <c r="F256" s="21" t="n">
        <f aca="false">F250/fx/F234*1000</f>
        <v>114.098295239871</v>
      </c>
      <c r="G256" s="21" t="n">
        <f aca="false">G250/fx/G234*1000</f>
        <v>112.233143172304</v>
      </c>
    </row>
    <row r="257" customFormat="false" ht="17.15" hidden="false" customHeight="false" outlineLevel="0" collapsed="false">
      <c r="A257" s="5" t="s">
        <v>549</v>
      </c>
    </row>
    <row r="258" customFormat="false" ht="17.15" hidden="false" customHeight="false" outlineLevel="0" collapsed="false">
      <c r="A258" s="3" t="s">
        <v>550</v>
      </c>
      <c r="B258" s="0" t="s">
        <v>54</v>
      </c>
      <c r="D258" s="13" t="n">
        <f aca="false">a26_gp/D252-d_ai*D254</f>
        <v>0.237492000284434</v>
      </c>
      <c r="K258" s="7" t="s">
        <v>551</v>
      </c>
    </row>
    <row r="259" customFormat="false" ht="17.15" hidden="false" customHeight="false" outlineLevel="0" collapsed="false">
      <c r="A259" s="0" t="s">
        <v>552</v>
      </c>
      <c r="B259" s="0" t="s">
        <v>54</v>
      </c>
      <c r="D259" s="13" t="n">
        <f aca="false">D258+d_ai</f>
        <v>0.387492000284434</v>
      </c>
      <c r="E259" s="13" t="n">
        <f aca="false">1-(1-$D$259)/E241+gmu_27</f>
        <v>0.397492000284434</v>
      </c>
      <c r="F259" s="13" t="n">
        <f aca="false">1-(1-$D$259)/F241+gmu_28</f>
        <v>0.388548453901479</v>
      </c>
      <c r="G259" s="13" t="n">
        <f aca="false">1-(1-$D$259)/G241+gmu_29</f>
        <v>0.378395744983441</v>
      </c>
      <c r="K259" s="7" t="s">
        <v>553</v>
      </c>
    </row>
    <row r="260" customFormat="false" ht="15" hidden="false" customHeight="false" outlineLevel="0" collapsed="false">
      <c r="A260" s="3" t="s">
        <v>418</v>
      </c>
      <c r="B260" s="0" t="s">
        <v>194</v>
      </c>
      <c r="C260" s="22" t="n">
        <f aca="false">a25_gp</f>
        <v>6.7946424</v>
      </c>
      <c r="D260" s="22" t="n">
        <f aca="false">a26_gp</f>
        <v>9.30701</v>
      </c>
      <c r="E260" s="22" t="n">
        <f aca="false">E250*E259+E249*$D$258</f>
        <v>15.6658939569513</v>
      </c>
      <c r="F260" s="22" t="n">
        <f aca="false">F250*F259+F249*$D$258</f>
        <v>18.2475474949033</v>
      </c>
      <c r="G260" s="22" t="n">
        <f aca="false">G250*G259+G249*$D$258</f>
        <v>19.6828019910053</v>
      </c>
    </row>
    <row r="261" customFormat="false" ht="15" hidden="false" customHeight="false" outlineLevel="0" collapsed="false">
      <c r="A261" s="3" t="s">
        <v>421</v>
      </c>
      <c r="B261" s="0" t="s">
        <v>54</v>
      </c>
      <c r="C261" s="13" t="n">
        <f aca="false">C260/C252</f>
        <v>0.3522</v>
      </c>
      <c r="D261" s="13" t="n">
        <f aca="false">D260/D252</f>
        <v>0.330904145630378</v>
      </c>
      <c r="E261" s="13" t="n">
        <f aca="false">E260/E252</f>
        <v>0.358627884016547</v>
      </c>
      <c r="F261" s="13" t="n">
        <f aca="false">F260/F252</f>
        <v>0.357175435287392</v>
      </c>
      <c r="G261" s="13" t="n">
        <f aca="false">G260/G252</f>
        <v>0.3516825191255</v>
      </c>
    </row>
    <row r="262" customFormat="false" ht="17.15" hidden="false" customHeight="false" outlineLevel="0" collapsed="false">
      <c r="A262" s="3" t="s">
        <v>554</v>
      </c>
      <c r="B262" s="0" t="s">
        <v>194</v>
      </c>
      <c r="C262" s="22" t="n">
        <f aca="false">a25_opx</f>
        <v>1.6466424</v>
      </c>
      <c r="D262" s="22" t="n">
        <f aca="false">a26_opx</f>
        <v>1.827905</v>
      </c>
      <c r="E262" s="22" t="n">
        <f aca="false">D262*(1+MAX(0,phi*E253))</f>
        <v>2.43452820853541</v>
      </c>
      <c r="F262" s="22" t="n">
        <f aca="false">E262*(1+MAX(0,phi*F253))</f>
        <v>2.68216522000245</v>
      </c>
      <c r="G262" s="22" t="n">
        <f aca="false">F262*(1+MAX(0,phi*G253))</f>
        <v>2.83585669674303</v>
      </c>
      <c r="K262" s="7" t="s">
        <v>555</v>
      </c>
    </row>
    <row r="263" customFormat="false" ht="15" hidden="false" customHeight="false" outlineLevel="0" collapsed="false">
      <c r="A263" s="3" t="s">
        <v>423</v>
      </c>
      <c r="B263" s="0" t="s">
        <v>194</v>
      </c>
      <c r="C263" s="22" t="n">
        <f aca="false">C262</f>
        <v>1.6466424</v>
      </c>
      <c r="D263" s="22" t="n">
        <f aca="false">D262</f>
        <v>1.827905</v>
      </c>
      <c r="E263" s="22" t="n">
        <f aca="false">E262+0*E252</f>
        <v>2.43452820853541</v>
      </c>
      <c r="F263" s="22" t="n">
        <f aca="false">F262+0*F252</f>
        <v>2.68216522000245</v>
      </c>
      <c r="G263" s="22" t="n">
        <f aca="false">G262+0*G252</f>
        <v>2.83585669674303</v>
      </c>
    </row>
    <row r="264" customFormat="false" ht="15" hidden="false" customHeight="false" outlineLevel="0" collapsed="false">
      <c r="A264" s="3" t="s">
        <v>556</v>
      </c>
      <c r="B264" s="0" t="s">
        <v>194</v>
      </c>
      <c r="C264" s="22" t="n">
        <f aca="false">C260-C263</f>
        <v>5.148</v>
      </c>
      <c r="D264" s="22" t="n">
        <f aca="false">D260-D263</f>
        <v>7.479105</v>
      </c>
      <c r="E264" s="22" t="n">
        <f aca="false">E260-E263</f>
        <v>13.2313657484159</v>
      </c>
      <c r="F264" s="22" t="n">
        <f aca="false">F260-F263</f>
        <v>15.5653822749009</v>
      </c>
      <c r="G264" s="22" t="n">
        <f aca="false">G260-G263</f>
        <v>16.8469452942622</v>
      </c>
    </row>
    <row r="265" customFormat="false" ht="15" hidden="false" customHeight="false" outlineLevel="0" collapsed="false">
      <c r="A265" s="3" t="s">
        <v>429</v>
      </c>
      <c r="B265" s="0" t="s">
        <v>54</v>
      </c>
      <c r="C265" s="13" t="n">
        <f aca="false">C264/C252</f>
        <v>0.266846361185984</v>
      </c>
      <c r="D265" s="13" t="n">
        <f aca="false">D264/D252</f>
        <v>0.265914278603427</v>
      </c>
      <c r="E265" s="13" t="n">
        <f aca="false">E264/E252</f>
        <v>0.302896005426992</v>
      </c>
      <c r="F265" s="13" t="n">
        <f aca="false">F264/F252</f>
        <v>0.304675035974297</v>
      </c>
      <c r="G265" s="13" t="n">
        <f aca="false">G264/G252</f>
        <v>0.30101284173682</v>
      </c>
    </row>
    <row r="266" customFormat="false" ht="17.15" hidden="false" customHeight="false" outlineLevel="0" collapsed="false">
      <c r="A266" s="3" t="s">
        <v>430</v>
      </c>
      <c r="B266" s="0" t="s">
        <v>194</v>
      </c>
      <c r="E266" s="22" t="n">
        <f aca="false">nop_f</f>
        <v>-0.2</v>
      </c>
      <c r="F266" s="22" t="n">
        <f aca="false">nop_f</f>
        <v>-0.2</v>
      </c>
      <c r="G266" s="22" t="n">
        <f aca="false">nop_f</f>
        <v>-0.2</v>
      </c>
      <c r="K266" s="7" t="s">
        <v>557</v>
      </c>
    </row>
    <row r="267" customFormat="false" ht="15" hidden="false" customHeight="false" outlineLevel="0" collapsed="false">
      <c r="A267" s="3" t="s">
        <v>436</v>
      </c>
      <c r="B267" s="0" t="s">
        <v>194</v>
      </c>
      <c r="C267" s="22" t="n">
        <f aca="false">a25_ni</f>
        <v>4.312</v>
      </c>
      <c r="D267" s="22" t="n">
        <f aca="false">a26_ni</f>
        <v>6.5441924845173</v>
      </c>
      <c r="E267" s="22" t="n">
        <f aca="false">(E264+E266)*nir_f</f>
        <v>11.2981941038766</v>
      </c>
      <c r="F267" s="22" t="n">
        <f aca="false">(F264+F266)*nir_f</f>
        <v>13.321786432339</v>
      </c>
      <c r="G267" s="22" t="n">
        <f aca="false">(G264+G266)*nir_f</f>
        <v>14.4329015701254</v>
      </c>
      <c r="H267" s="24" t="n">
        <f aca="false">H252*H272</f>
        <v>15.8338343925951</v>
      </c>
      <c r="I267" s="24" t="n">
        <f aca="false">I252*I272</f>
        <v>17.1784921568966</v>
      </c>
      <c r="J267" s="24" t="n">
        <f aca="false">J252*J272</f>
        <v>18.4288861330022</v>
      </c>
    </row>
    <row r="268" customFormat="false" ht="17.15" hidden="false" customHeight="false" outlineLevel="0" collapsed="false">
      <c r="A268" s="3" t="s">
        <v>439</v>
      </c>
      <c r="B268" s="0" t="s">
        <v>54</v>
      </c>
      <c r="C268" s="13" t="n">
        <f aca="false">C267/C264</f>
        <v>0.837606837606838</v>
      </c>
      <c r="D268" s="13" t="n">
        <f aca="false">D267/D264</f>
        <v>0.874996738850077</v>
      </c>
      <c r="E268" s="13" t="n">
        <f aca="false">E267/E264</f>
        <v>0.853894776903831</v>
      </c>
      <c r="F268" s="13" t="n">
        <f aca="false">F267/F264</f>
        <v>0.855859894544344</v>
      </c>
      <c r="G268" s="13" t="n">
        <f aca="false">G267/G264</f>
        <v>0.856707332874224</v>
      </c>
    </row>
    <row r="269" customFormat="false" ht="17.15" hidden="false" customHeight="false" outlineLevel="0" collapsed="false">
      <c r="A269" s="3" t="s">
        <v>558</v>
      </c>
      <c r="B269" s="3" t="s">
        <v>222</v>
      </c>
      <c r="C269" s="27" t="n">
        <f aca="false">a25_sh</f>
        <v>0.860678642714571</v>
      </c>
      <c r="D269" s="27" t="n">
        <f aca="false">a26_sh</f>
        <v>0.946074458598726</v>
      </c>
      <c r="E269" s="27" t="n">
        <f aca="false">sh_h2*(1+sh_g)</f>
        <v>0.98234</v>
      </c>
      <c r="F269" s="27" t="n">
        <f aca="false">E269*(1+sh_g)</f>
        <v>0.98234</v>
      </c>
      <c r="G269" s="27" t="n">
        <f aca="false">F269*(1+sh_g)</f>
        <v>0.98234</v>
      </c>
      <c r="H269" s="28" t="n">
        <f aca="false">G269*(1+sh_g)</f>
        <v>0.98234</v>
      </c>
      <c r="I269" s="28" t="n">
        <f aca="false">H269*(1+sh_g)</f>
        <v>0.98234</v>
      </c>
      <c r="J269" s="28" t="n">
        <f aca="false">I269*(1+sh_g)</f>
        <v>0.98234</v>
      </c>
      <c r="K269" s="7" t="s">
        <v>559</v>
      </c>
    </row>
    <row r="270" customFormat="false" ht="15" hidden="false" customHeight="false" outlineLevel="0" collapsed="false">
      <c r="A270" s="0" t="s">
        <v>442</v>
      </c>
      <c r="B270" s="0" t="s">
        <v>258</v>
      </c>
      <c r="C270" s="23" t="n">
        <f aca="false">C267/C269</f>
        <v>5.01</v>
      </c>
      <c r="D270" s="23" t="n">
        <f aca="false">D267/D269</f>
        <v>6.91720659514496</v>
      </c>
      <c r="E270" s="23" t="n">
        <f aca="false">E267/E269</f>
        <v>11.5013071888313</v>
      </c>
      <c r="F270" s="23" t="n">
        <f aca="false">F267/F269</f>
        <v>13.5612786126382</v>
      </c>
      <c r="G270" s="23" t="n">
        <f aca="false">G267/G269</f>
        <v>14.6923688031897</v>
      </c>
      <c r="H270" s="29" t="n">
        <f aca="false">H267/H269</f>
        <v>16.1184868707323</v>
      </c>
      <c r="I270" s="29" t="n">
        <f aca="false">I267/I269</f>
        <v>17.4873181962422</v>
      </c>
      <c r="J270" s="29" t="n">
        <f aca="false">J267/J269</f>
        <v>18.7601911079689</v>
      </c>
    </row>
    <row r="271" customFormat="false" ht="17.15" hidden="false" customHeight="false" outlineLevel="0" collapsed="false">
      <c r="A271" s="0" t="s">
        <v>560</v>
      </c>
      <c r="B271" s="0" t="s">
        <v>54</v>
      </c>
      <c r="D271" s="13" t="n">
        <f aca="false">D270/C270-1</f>
        <v>0.38067995911077</v>
      </c>
      <c r="E271" s="13" t="n">
        <f aca="false">E270/D270-1</f>
        <v>0.662709799198982</v>
      </c>
      <c r="F271" s="13" t="n">
        <f aca="false">F270/E270-1</f>
        <v>0.179107590988204</v>
      </c>
      <c r="G271" s="13" t="n">
        <f aca="false">G270/F270-1</f>
        <v>0.0834058662799939</v>
      </c>
      <c r="H271" s="25" t="n">
        <f aca="false">H270/G270-1</f>
        <v>0.0970652239026957</v>
      </c>
      <c r="I271" s="25" t="n">
        <f aca="false">I270/H270-1</f>
        <v>0.0849230660723779</v>
      </c>
      <c r="J271" s="25" t="n">
        <f aca="false">J270/I270-1</f>
        <v>0.0727883428117755</v>
      </c>
    </row>
    <row r="272" customFormat="false" ht="17.15" hidden="false" customHeight="false" outlineLevel="0" collapsed="false">
      <c r="A272" s="3" t="s">
        <v>561</v>
      </c>
      <c r="B272" s="0" t="s">
        <v>54</v>
      </c>
      <c r="C272" s="13" t="n">
        <f aca="false">C267/C252</f>
        <v>0.223512336719884</v>
      </c>
      <c r="D272" s="13" t="n">
        <f aca="false">D267/D252</f>
        <v>0.23267412659167</v>
      </c>
      <c r="E272" s="13" t="n">
        <f aca="false">E267/E252</f>
        <v>0.258641316979143</v>
      </c>
      <c r="F272" s="13" t="n">
        <f aca="false">F267/F252</f>
        <v>0.260759144159256</v>
      </c>
      <c r="G272" s="13" t="n">
        <f aca="false">G267/G252</f>
        <v>0.257879908805242</v>
      </c>
      <c r="H272" s="25" t="n">
        <f aca="false">$G272+(fade_mA-$G272)*1/3</f>
        <v>0.261068020125083</v>
      </c>
      <c r="I272" s="25" t="n">
        <f aca="false">$G272+(fade_mA-$G272)*2/3</f>
        <v>0.264256131444924</v>
      </c>
      <c r="J272" s="25" t="n">
        <f aca="false">$G272+(fade_mA-$G272)*3/3</f>
        <v>0.267444242764765</v>
      </c>
    </row>
    <row r="275" customFormat="false" ht="17.15" hidden="false" customHeight="false" outlineLevel="0" collapsed="false">
      <c r="A275" s="1" t="s">
        <v>892</v>
      </c>
    </row>
    <row r="276" customFormat="false" ht="17.15" hidden="false" customHeight="false" outlineLevel="0" collapsed="false">
      <c r="A276" s="4" t="s">
        <v>23</v>
      </c>
      <c r="B276" s="4" t="s">
        <v>24</v>
      </c>
      <c r="C276" s="14" t="s">
        <v>409</v>
      </c>
      <c r="D276" s="14" t="s">
        <v>502</v>
      </c>
      <c r="E276" s="14" t="s">
        <v>503</v>
      </c>
      <c r="F276" s="14" t="s">
        <v>504</v>
      </c>
      <c r="G276" s="14" t="s">
        <v>505</v>
      </c>
      <c r="H276" s="14" t="s">
        <v>506</v>
      </c>
      <c r="I276" s="14" t="s">
        <v>507</v>
      </c>
      <c r="J276" s="14" t="s">
        <v>508</v>
      </c>
      <c r="K276" s="4" t="s">
        <v>391</v>
      </c>
    </row>
    <row r="277" customFormat="false" ht="17.15" hidden="false" customHeight="false" outlineLevel="0" collapsed="false">
      <c r="A277" s="5" t="s">
        <v>524</v>
      </c>
    </row>
    <row r="278" customFormat="false" ht="17.15" hidden="false" customHeight="false" outlineLevel="0" collapsed="false">
      <c r="A278" s="0" t="s">
        <v>525</v>
      </c>
      <c r="B278" s="0" t="s">
        <v>34</v>
      </c>
      <c r="D278" s="23" t="n">
        <f aca="false">itc_26*1</f>
        <v>781.872916666666</v>
      </c>
      <c r="E278" s="23" t="n">
        <f aca="false">itc_27*1*1</f>
        <v>1565.35</v>
      </c>
      <c r="F278" s="23" t="n">
        <f aca="false">itc_28*um28_A*1</f>
        <v>1984.26388888889</v>
      </c>
      <c r="G278" s="23" t="n">
        <f aca="false">itc_29*um29_A*1</f>
        <v>2260.39027777778</v>
      </c>
    </row>
    <row r="279" customFormat="false" ht="17.15" hidden="false" customHeight="false" outlineLevel="0" collapsed="false">
      <c r="A279" s="3" t="s">
        <v>526</v>
      </c>
      <c r="B279" s="0" t="s">
        <v>34</v>
      </c>
      <c r="D279" s="23" t="n">
        <f aca="false">itpg_gb*(1-vr26)+itpg_vr*vr26</f>
        <v>33.41403216</v>
      </c>
      <c r="E279" s="23" t="n">
        <f aca="false">itpg_vr</f>
        <v>37.586352</v>
      </c>
      <c r="F279" s="23" t="n">
        <f aca="false">itpg_vr</f>
        <v>37.586352</v>
      </c>
      <c r="G279" s="23" t="n">
        <f aca="false">itpg_vr</f>
        <v>37.586352</v>
      </c>
    </row>
    <row r="280" customFormat="false" ht="17.15" hidden="false" customHeight="false" outlineLevel="0" collapsed="false">
      <c r="A280" s="3" t="s">
        <v>527</v>
      </c>
      <c r="B280" s="0" t="s">
        <v>468</v>
      </c>
      <c r="D280" s="20" t="n">
        <f aca="false">D278/D279</f>
        <v>23.3995380420639</v>
      </c>
      <c r="E280" s="20" t="n">
        <f aca="false">E278/E279</f>
        <v>41.6467658260637</v>
      </c>
      <c r="F280" s="20" t="n">
        <f aca="false">F278/F279</f>
        <v>52.792138191248</v>
      </c>
      <c r="G280" s="20" t="n">
        <f aca="false">G278/G279</f>
        <v>60.1385917361116</v>
      </c>
    </row>
    <row r="281" customFormat="false" ht="17.15" hidden="false" customHeight="false" outlineLevel="0" collapsed="false">
      <c r="A281" s="3" t="s">
        <v>470</v>
      </c>
      <c r="B281" s="0" t="s">
        <v>95</v>
      </c>
      <c r="D281" s="21" t="n">
        <f aca="false">cmp_26</f>
        <v>280</v>
      </c>
      <c r="E281" s="21" t="n">
        <f aca="false">cmp_26*cmpx_27</f>
        <v>420</v>
      </c>
      <c r="F281" s="21" t="n">
        <f aca="false">cmp_26*cmpx_28</f>
        <v>462</v>
      </c>
      <c r="G281" s="21" t="n">
        <f aca="false">cmp_26*cmpx_29</f>
        <v>504</v>
      </c>
    </row>
    <row r="282" customFormat="false" ht="17.15" hidden="false" customHeight="false" outlineLevel="0" collapsed="false">
      <c r="A282" s="3" t="s">
        <v>472</v>
      </c>
      <c r="B282" s="0" t="s">
        <v>95</v>
      </c>
      <c r="D282" s="21" t="n">
        <f aca="false">sw_26</f>
        <v>120</v>
      </c>
      <c r="E282" s="21" t="n">
        <f aca="false">sw_26*swx_27</f>
        <v>162</v>
      </c>
      <c r="F282" s="21" t="n">
        <f aca="false">sw_26*swx_28</f>
        <v>180</v>
      </c>
      <c r="G282" s="21" t="n">
        <f aca="false">sw_26*swx_29</f>
        <v>198</v>
      </c>
    </row>
    <row r="283" customFormat="false" ht="17.15" hidden="false" customHeight="false" outlineLevel="0" collapsed="false">
      <c r="A283" s="3" t="s">
        <v>473</v>
      </c>
      <c r="B283" s="0" t="s">
        <v>95</v>
      </c>
      <c r="D283" s="21" t="n">
        <f aca="false">mid_26</f>
        <v>50</v>
      </c>
      <c r="E283" s="21" t="n">
        <f aca="false">mid_26*midx_27</f>
        <v>100</v>
      </c>
      <c r="F283" s="21" t="n">
        <f aca="false">mid_26*midx_28</f>
        <v>150</v>
      </c>
      <c r="G283" s="21" t="n">
        <f aca="false">mid_26*midx_29</f>
        <v>175</v>
      </c>
    </row>
    <row r="284" customFormat="false" ht="17.15" hidden="false" customHeight="false" outlineLevel="0" collapsed="false">
      <c r="A284" s="3" t="s">
        <v>528</v>
      </c>
      <c r="B284" s="0" t="s">
        <v>95</v>
      </c>
      <c r="D284" s="21" t="n">
        <f aca="false">D281+D282+D283</f>
        <v>450</v>
      </c>
      <c r="E284" s="21" t="n">
        <f aca="false">E281+E282+E283</f>
        <v>682</v>
      </c>
      <c r="F284" s="21" t="n">
        <f aca="false">F281+F282+F283</f>
        <v>792</v>
      </c>
      <c r="G284" s="21" t="n">
        <f aca="false">G281+G282+G283</f>
        <v>877</v>
      </c>
    </row>
    <row r="285" customFormat="false" ht="17.15" hidden="false" customHeight="false" outlineLevel="0" collapsed="false">
      <c r="A285" s="0" t="s">
        <v>529</v>
      </c>
      <c r="B285" s="0" t="s">
        <v>34</v>
      </c>
      <c r="D285" s="23" t="n">
        <f aca="false">D280*D284/1000</f>
        <v>10.5297921189287</v>
      </c>
      <c r="E285" s="23" t="n">
        <f aca="false">E280*E284/1000</f>
        <v>28.4030942933754</v>
      </c>
      <c r="F285" s="23" t="n">
        <f aca="false">F280*F284/1000</f>
        <v>41.8113734474684</v>
      </c>
      <c r="G285" s="23" t="n">
        <f aca="false">G280*G284/1000</f>
        <v>52.7415449525698</v>
      </c>
    </row>
    <row r="286" customFormat="false" ht="17.15" hidden="false" customHeight="false" outlineLevel="0" collapsed="false">
      <c r="A286" s="0" t="s">
        <v>530</v>
      </c>
      <c r="B286" s="0" t="s">
        <v>194</v>
      </c>
      <c r="D286" s="22" t="n">
        <f aca="false">D285*fx</f>
        <v>70.7602030392012</v>
      </c>
      <c r="E286" s="22" t="n">
        <f aca="false">E285*fx</f>
        <v>190.868793651483</v>
      </c>
      <c r="F286" s="22" t="n">
        <f aca="false">F285*fx</f>
        <v>280.972429566988</v>
      </c>
      <c r="G286" s="22" t="n">
        <f aca="false">G285*fx</f>
        <v>354.423182081269</v>
      </c>
    </row>
    <row r="287" customFormat="false" ht="17.15" hidden="false" customHeight="false" outlineLevel="0" collapsed="false">
      <c r="A287" s="0" t="s">
        <v>531</v>
      </c>
      <c r="B287" s="0" t="s">
        <v>67</v>
      </c>
      <c r="D287" s="17" t="n">
        <f aca="false">1</f>
        <v>1</v>
      </c>
      <c r="E287" s="17" t="n">
        <f aca="false">pp_27</f>
        <v>1</v>
      </c>
      <c r="F287" s="17" t="n">
        <f aca="false">pp_28</f>
        <v>0.97</v>
      </c>
      <c r="G287" s="17" t="n">
        <f aca="false">pp_29</f>
        <v>0.94</v>
      </c>
    </row>
    <row r="288" customFormat="false" ht="17.15" hidden="false" customHeight="false" outlineLevel="0" collapsed="false">
      <c r="A288" s="3" t="s">
        <v>532</v>
      </c>
      <c r="B288" s="0" t="s">
        <v>54</v>
      </c>
      <c r="D288" s="13" t="n">
        <f aca="false">a26_ai/D286</f>
        <v>0.247531793970355</v>
      </c>
      <c r="K288" s="7" t="s">
        <v>533</v>
      </c>
    </row>
    <row r="289" customFormat="false" ht="17.15" hidden="false" customHeight="false" outlineLevel="0" collapsed="false">
      <c r="A289" s="3" t="s">
        <v>534</v>
      </c>
      <c r="B289" s="0" t="s">
        <v>67</v>
      </c>
      <c r="D289" s="17" t="n">
        <f aca="false">1</f>
        <v>1</v>
      </c>
      <c r="E289" s="17" t="n">
        <f aca="false">RHI_27</f>
        <v>1</v>
      </c>
      <c r="F289" s="17" t="n">
        <f aca="false">RHI_28</f>
        <v>1</v>
      </c>
      <c r="G289" s="17" t="n">
        <f aca="false">RHI_29</f>
        <v>0.95</v>
      </c>
    </row>
    <row r="290" customFormat="false" ht="15" hidden="false" customHeight="false" outlineLevel="0" collapsed="false">
      <c r="A290" s="3" t="s">
        <v>485</v>
      </c>
      <c r="B290" s="0" t="s">
        <v>54</v>
      </c>
      <c r="D290" s="13" t="n">
        <f aca="false">$D$288*D289</f>
        <v>0.247531793970355</v>
      </c>
      <c r="E290" s="13" t="n">
        <f aca="false">$D$288*E289</f>
        <v>0.247531793970355</v>
      </c>
      <c r="F290" s="13" t="n">
        <f aca="false">$D$288*F289</f>
        <v>0.247531793970355</v>
      </c>
      <c r="G290" s="13" t="n">
        <f aca="false">$D$288*G289</f>
        <v>0.235155204271837</v>
      </c>
    </row>
    <row r="291" customFormat="false" ht="17.15" hidden="false" customHeight="false" outlineLevel="0" collapsed="false">
      <c r="A291" s="0" t="s">
        <v>535</v>
      </c>
      <c r="B291" s="0" t="s">
        <v>194</v>
      </c>
      <c r="D291" s="22" t="n">
        <f aca="false">D286*D290*D287</f>
        <v>17.5154</v>
      </c>
      <c r="E291" s="22" t="n">
        <f aca="false">E286*E290*E287</f>
        <v>47.246094905509</v>
      </c>
      <c r="F291" s="22" t="n">
        <f aca="false">F286*F290*F287</f>
        <v>67.4631212605178</v>
      </c>
      <c r="G291" s="22" t="n">
        <f aca="false">G286*G290*G287</f>
        <v>78.3437884341355</v>
      </c>
    </row>
    <row r="292" customFormat="false" ht="17.15" hidden="false" customHeight="false" outlineLevel="0" collapsed="false">
      <c r="A292" s="5" t="s">
        <v>536</v>
      </c>
    </row>
    <row r="293" customFormat="false" ht="17.15" hidden="false" customHeight="false" outlineLevel="0" collapsed="false">
      <c r="A293" s="3" t="s">
        <v>537</v>
      </c>
      <c r="B293" s="0" t="s">
        <v>67</v>
      </c>
      <c r="D293" s="17" t="n">
        <f aca="false">1</f>
        <v>1</v>
      </c>
      <c r="E293" s="17" t="n">
        <f aca="false">cx_27</f>
        <v>1.7</v>
      </c>
      <c r="F293" s="17" t="n">
        <f aca="false">cx_28</f>
        <v>2.4</v>
      </c>
      <c r="G293" s="17" t="n">
        <f aca="false">cx_29</f>
        <v>3</v>
      </c>
      <c r="K293" s="7" t="s">
        <v>538</v>
      </c>
    </row>
    <row r="294" customFormat="false" ht="17.15" hidden="false" customHeight="false" outlineLevel="0" collapsed="false">
      <c r="A294" s="3" t="s">
        <v>539</v>
      </c>
      <c r="B294" s="0" t="s">
        <v>194</v>
      </c>
      <c r="D294" s="22" t="n">
        <f aca="false">a26_rev*D293*D287</f>
        <v>28.126</v>
      </c>
      <c r="E294" s="22" t="n">
        <f aca="false">a26_rev*E293*E287</f>
        <v>47.8142</v>
      </c>
      <c r="F294" s="22" t="n">
        <f aca="false">a26_rev*F293*F287</f>
        <v>65.477328</v>
      </c>
      <c r="G294" s="22" t="n">
        <f aca="false">a26_rev*G293*G287</f>
        <v>79.31532</v>
      </c>
    </row>
    <row r="295" customFormat="false" ht="17.15" hidden="false" customHeight="false" outlineLevel="0" collapsed="false">
      <c r="A295" s="3" t="s">
        <v>540</v>
      </c>
      <c r="B295" s="0" t="s">
        <v>194</v>
      </c>
      <c r="C295" s="22" t="n">
        <f aca="false">a25_nai</f>
        <v>10.6106</v>
      </c>
      <c r="D295" s="22" t="n">
        <f aca="false">a26_nai</f>
        <v>10.6106</v>
      </c>
      <c r="E295" s="22" t="n">
        <f aca="false">D295*(1+g_nai27)</f>
        <v>10.6106</v>
      </c>
      <c r="F295" s="22" t="n">
        <f aca="false">E295*(1+g_nai28)</f>
        <v>10.6106</v>
      </c>
      <c r="G295" s="22" t="n">
        <f aca="false">F295*(1+g_nai29)</f>
        <v>10.6106</v>
      </c>
    </row>
    <row r="296" customFormat="false" ht="17.15" hidden="false" customHeight="false" outlineLevel="0" collapsed="false">
      <c r="A296" s="0" t="s">
        <v>541</v>
      </c>
      <c r="B296" s="0" t="s">
        <v>194</v>
      </c>
      <c r="C296" s="22" t="n">
        <f aca="false">a25_ai</f>
        <v>8.6814</v>
      </c>
      <c r="D296" s="22" t="n">
        <f aca="false">D291</f>
        <v>17.5154</v>
      </c>
      <c r="E296" s="22" t="n">
        <f aca="false">MIN(E291,E294-E295)</f>
        <v>37.2036</v>
      </c>
      <c r="F296" s="22" t="n">
        <f aca="false">MIN(F291,F294-F295)</f>
        <v>54.866728</v>
      </c>
      <c r="G296" s="22" t="n">
        <f aca="false">MIN(G291,G294-G295)</f>
        <v>68.70472</v>
      </c>
      <c r="K296" s="3" t="s">
        <v>542</v>
      </c>
    </row>
    <row r="297" customFormat="false" ht="15" hidden="false" customHeight="false" outlineLevel="0" collapsed="false">
      <c r="A297" s="3" t="s">
        <v>543</v>
      </c>
      <c r="E297" s="0" t="str">
        <f aca="false">IF(E291&gt;E294-E295+0.0001,"受限","未受限")</f>
        <v>受限</v>
      </c>
      <c r="F297" s="0" t="str">
        <f aca="false">IF(F291&gt;F294-F295+0.0001,"受限","未受限")</f>
        <v>受限</v>
      </c>
      <c r="G297" s="0" t="str">
        <f aca="false">IF(G291&gt;G294-G295+0.0001,"受限","未受限")</f>
        <v>受限</v>
      </c>
    </row>
    <row r="298" customFormat="false" ht="17.15" hidden="false" customHeight="false" outlineLevel="0" collapsed="false">
      <c r="A298" s="3" t="s">
        <v>414</v>
      </c>
      <c r="B298" s="0" t="s">
        <v>194</v>
      </c>
      <c r="C298" s="22" t="n">
        <f aca="false">C296+C295</f>
        <v>19.292</v>
      </c>
      <c r="D298" s="22" t="n">
        <f aca="false">D296+D295</f>
        <v>28.126</v>
      </c>
      <c r="E298" s="22" t="n">
        <f aca="false">E296+E295</f>
        <v>47.8142</v>
      </c>
      <c r="F298" s="22" t="n">
        <f aca="false">F296+F295</f>
        <v>65.477328</v>
      </c>
      <c r="G298" s="22" t="n">
        <f aca="false">G296+G295</f>
        <v>79.31532</v>
      </c>
      <c r="H298" s="24" t="n">
        <f aca="false">G298*(1+H299)</f>
        <v>92.0766371216495</v>
      </c>
      <c r="I298" s="24" t="n">
        <f aca="false">H298*(1+I299)</f>
        <v>102.246201097903</v>
      </c>
      <c r="J298" s="24" t="n">
        <f aca="false">I298*(1+J299)</f>
        <v>108.380973163777</v>
      </c>
      <c r="K298" s="7" t="s">
        <v>544</v>
      </c>
    </row>
    <row r="299" customFormat="false" ht="15" hidden="false" customHeight="false" outlineLevel="0" collapsed="false">
      <c r="A299" s="3" t="s">
        <v>545</v>
      </c>
      <c r="B299" s="0" t="s">
        <v>54</v>
      </c>
      <c r="D299" s="13" t="n">
        <f aca="false">D298/C298-1</f>
        <v>0.457910014513788</v>
      </c>
      <c r="E299" s="13" t="n">
        <f aca="false">E298/D298-1</f>
        <v>0.7</v>
      </c>
      <c r="F299" s="13" t="n">
        <f aca="false">F298/E298-1</f>
        <v>0.369411764705882</v>
      </c>
      <c r="G299" s="13" t="n">
        <f aca="false">G298/F298-1</f>
        <v>0.211340206185567</v>
      </c>
      <c r="H299" s="25" t="n">
        <f aca="false">$G299+(fade_gA-$G299)*1/3</f>
        <v>0.160893470790378</v>
      </c>
      <c r="I299" s="25" t="n">
        <f aca="false">$G299+(fade_gA-$G299)*2/3</f>
        <v>0.110446735395189</v>
      </c>
      <c r="J299" s="25" t="n">
        <f aca="false">$G299+(fade_gA-$G299)*3/3</f>
        <v>0.06</v>
      </c>
    </row>
    <row r="300" customFormat="false" ht="17.15" hidden="false" customHeight="false" outlineLevel="0" collapsed="false">
      <c r="A300" s="0" t="s">
        <v>546</v>
      </c>
      <c r="B300" s="0" t="s">
        <v>54</v>
      </c>
      <c r="C300" s="13" t="n">
        <f aca="false">C296/C298</f>
        <v>0.45</v>
      </c>
      <c r="D300" s="13" t="n">
        <f aca="false">D296/D298</f>
        <v>0.622747635639622</v>
      </c>
      <c r="E300" s="13" t="n">
        <f aca="false">E296/E298</f>
        <v>0.778086844493895</v>
      </c>
      <c r="F300" s="13" t="n">
        <f aca="false">F296/F298</f>
        <v>0.837950015309116</v>
      </c>
      <c r="G300" s="13" t="n">
        <f aca="false">G296/G298</f>
        <v>0.866222565829653</v>
      </c>
    </row>
    <row r="301" customFormat="false" ht="17.15" hidden="false" customHeight="false" outlineLevel="0" collapsed="false">
      <c r="A301" s="3" t="s">
        <v>547</v>
      </c>
      <c r="B301" s="0" t="s">
        <v>54</v>
      </c>
      <c r="D301" s="13" t="n">
        <f aca="false">(D291+D295)/D294</f>
        <v>1</v>
      </c>
      <c r="E301" s="13" t="n">
        <f aca="false">(E291+E295)/E294</f>
        <v>1.21003164134314</v>
      </c>
      <c r="F301" s="13" t="n">
        <f aca="false">(F291+F295)/F294</f>
        <v>1.19237793668852</v>
      </c>
      <c r="G301" s="13" t="n">
        <f aca="false">(G291+G295)/G294</f>
        <v>1.12152845672356</v>
      </c>
      <c r="K301" s="3" t="s">
        <v>548</v>
      </c>
    </row>
    <row r="302" customFormat="false" ht="17.15" hidden="false" customHeight="false" outlineLevel="0" collapsed="false">
      <c r="A302" s="3" t="s">
        <v>489</v>
      </c>
      <c r="B302" s="0" t="s">
        <v>95</v>
      </c>
      <c r="D302" s="21" t="n">
        <f aca="false">D296/fx/D280*1000</f>
        <v>111.38930728666</v>
      </c>
      <c r="E302" s="21" t="n">
        <f aca="false">E296/fx/E280*1000</f>
        <v>132.933491717507</v>
      </c>
      <c r="F302" s="21" t="n">
        <f aca="false">F296/fx/F280*1000</f>
        <v>154.657340020758</v>
      </c>
      <c r="G302" s="21" t="n">
        <f aca="false">G296/fx/G280*1000</f>
        <v>170.005920849116</v>
      </c>
    </row>
    <row r="303" customFormat="false" ht="17.15" hidden="false" customHeight="false" outlineLevel="0" collapsed="false">
      <c r="A303" s="5" t="s">
        <v>549</v>
      </c>
    </row>
    <row r="304" customFormat="false" ht="17.15" hidden="false" customHeight="false" outlineLevel="0" collapsed="false">
      <c r="A304" s="3" t="s">
        <v>550</v>
      </c>
      <c r="B304" s="0" t="s">
        <v>54</v>
      </c>
      <c r="D304" s="13" t="n">
        <f aca="false">a26_gp/D298-d_ai*D300</f>
        <v>0.237492000284434</v>
      </c>
      <c r="K304" s="7" t="s">
        <v>551</v>
      </c>
    </row>
    <row r="305" customFormat="false" ht="17.15" hidden="false" customHeight="false" outlineLevel="0" collapsed="false">
      <c r="A305" s="0" t="s">
        <v>552</v>
      </c>
      <c r="B305" s="0" t="s">
        <v>54</v>
      </c>
      <c r="D305" s="13" t="n">
        <f aca="false">D304+d_ai</f>
        <v>0.387492000284434</v>
      </c>
      <c r="E305" s="13" t="n">
        <f aca="false">1-(1-$D$305)/E287+gmu_27</f>
        <v>0.397492000284434</v>
      </c>
      <c r="F305" s="13" t="n">
        <f aca="false">1-(1-$D$305)/F287+gmu_28</f>
        <v>0.388548453901479</v>
      </c>
      <c r="G305" s="13" t="n">
        <f aca="false">1-(1-$D$305)/G287+gmu_29</f>
        <v>0.378395744983441</v>
      </c>
      <c r="K305" s="7" t="s">
        <v>553</v>
      </c>
    </row>
    <row r="306" customFormat="false" ht="15" hidden="false" customHeight="false" outlineLevel="0" collapsed="false">
      <c r="A306" s="3" t="s">
        <v>418</v>
      </c>
      <c r="B306" s="0" t="s">
        <v>194</v>
      </c>
      <c r="C306" s="22" t="n">
        <f aca="false">a25_gp</f>
        <v>6.7946424</v>
      </c>
      <c r="D306" s="22" t="n">
        <f aca="false">a26_gp</f>
        <v>9.30701</v>
      </c>
      <c r="E306" s="22" t="n">
        <f aca="false">E296*E305+E295*$D$304</f>
        <v>17.308066</v>
      </c>
      <c r="F306" s="22" t="n">
        <f aca="false">F296*F305+F295*$D$304</f>
        <v>23.838314953251</v>
      </c>
      <c r="G306" s="22" t="n">
        <f aca="false">G296*G305+G295*$D$304</f>
        <v>28.5175063264967</v>
      </c>
    </row>
    <row r="307" customFormat="false" ht="15" hidden="false" customHeight="false" outlineLevel="0" collapsed="false">
      <c r="A307" s="3" t="s">
        <v>421</v>
      </c>
      <c r="B307" s="0" t="s">
        <v>54</v>
      </c>
      <c r="C307" s="13" t="n">
        <f aca="false">C306/C298</f>
        <v>0.3522</v>
      </c>
      <c r="D307" s="13" t="n">
        <f aca="false">D306/D298</f>
        <v>0.330904145630378</v>
      </c>
      <c r="E307" s="13" t="n">
        <f aca="false">E306/E298</f>
        <v>0.361985895403458</v>
      </c>
      <c r="F307" s="13" t="n">
        <f aca="false">F306/F298</f>
        <v>0.364069757905377</v>
      </c>
      <c r="G307" s="13" t="n">
        <f aca="false">G306/G298</f>
        <v>0.359546003552614</v>
      </c>
    </row>
    <row r="308" customFormat="false" ht="17.15" hidden="false" customHeight="false" outlineLevel="0" collapsed="false">
      <c r="A308" s="3" t="s">
        <v>554</v>
      </c>
      <c r="B308" s="0" t="s">
        <v>194</v>
      </c>
      <c r="C308" s="22" t="n">
        <f aca="false">a25_opx</f>
        <v>1.6466424</v>
      </c>
      <c r="D308" s="22" t="n">
        <f aca="false">a26_opx</f>
        <v>1.827905</v>
      </c>
      <c r="E308" s="22" t="n">
        <f aca="false">D308*(1+MAX(0,phi*E299))</f>
        <v>2.5956251</v>
      </c>
      <c r="F308" s="22" t="n">
        <f aca="false">E308*(1+MAX(0,phi*F299))</f>
        <v>3.17093776922353</v>
      </c>
      <c r="G308" s="22" t="n">
        <f aca="false">F308*(1+MAX(0,phi*G299))</f>
        <v>3.57302575439311</v>
      </c>
      <c r="K308" s="7" t="s">
        <v>555</v>
      </c>
    </row>
    <row r="309" customFormat="false" ht="15" hidden="false" customHeight="false" outlineLevel="0" collapsed="false">
      <c r="A309" s="3" t="s">
        <v>423</v>
      </c>
      <c r="B309" s="0" t="s">
        <v>194</v>
      </c>
      <c r="C309" s="22" t="n">
        <f aca="false">C308</f>
        <v>1.6466424</v>
      </c>
      <c r="D309" s="22" t="n">
        <f aca="false">D308</f>
        <v>1.827905</v>
      </c>
      <c r="E309" s="22" t="n">
        <f aca="false">E308+0*E298</f>
        <v>2.5956251</v>
      </c>
      <c r="F309" s="22" t="n">
        <f aca="false">F308+0*F298</f>
        <v>3.17093776922353</v>
      </c>
      <c r="G309" s="22" t="n">
        <f aca="false">G308+0*G298</f>
        <v>3.57302575439311</v>
      </c>
    </row>
    <row r="310" customFormat="false" ht="15" hidden="false" customHeight="false" outlineLevel="0" collapsed="false">
      <c r="A310" s="3" t="s">
        <v>556</v>
      </c>
      <c r="B310" s="0" t="s">
        <v>194</v>
      </c>
      <c r="C310" s="22" t="n">
        <f aca="false">C306-C309</f>
        <v>5.148</v>
      </c>
      <c r="D310" s="22" t="n">
        <f aca="false">D306-D309</f>
        <v>7.479105</v>
      </c>
      <c r="E310" s="22" t="n">
        <f aca="false">E306-E309</f>
        <v>14.7124409</v>
      </c>
      <c r="F310" s="22" t="n">
        <f aca="false">F306-F309</f>
        <v>20.6673771840275</v>
      </c>
      <c r="G310" s="22" t="n">
        <f aca="false">G306-G309</f>
        <v>24.9444805721036</v>
      </c>
    </row>
    <row r="311" customFormat="false" ht="15" hidden="false" customHeight="false" outlineLevel="0" collapsed="false">
      <c r="A311" s="3" t="s">
        <v>429</v>
      </c>
      <c r="B311" s="0" t="s">
        <v>54</v>
      </c>
      <c r="C311" s="13" t="n">
        <f aca="false">C310/C298</f>
        <v>0.266846361185984</v>
      </c>
      <c r="D311" s="13" t="n">
        <f aca="false">D310/D298</f>
        <v>0.265914278603427</v>
      </c>
      <c r="E311" s="13" t="n">
        <f aca="false">E310/E298</f>
        <v>0.307700241769182</v>
      </c>
      <c r="F311" s="13" t="n">
        <f aca="false">F310/F298</f>
        <v>0.315641731501741</v>
      </c>
      <c r="G311" s="13" t="n">
        <f aca="false">G310/G298</f>
        <v>0.314497635161828</v>
      </c>
    </row>
    <row r="312" customFormat="false" ht="17.15" hidden="false" customHeight="false" outlineLevel="0" collapsed="false">
      <c r="A312" s="3" t="s">
        <v>430</v>
      </c>
      <c r="B312" s="0" t="s">
        <v>194</v>
      </c>
      <c r="E312" s="22" t="n">
        <f aca="false">nop_f</f>
        <v>-0.2</v>
      </c>
      <c r="F312" s="22" t="n">
        <f aca="false">nop_f</f>
        <v>-0.2</v>
      </c>
      <c r="G312" s="22" t="n">
        <f aca="false">nop_f</f>
        <v>-0.2</v>
      </c>
      <c r="K312" s="7" t="s">
        <v>557</v>
      </c>
    </row>
    <row r="313" customFormat="false" ht="15" hidden="false" customHeight="false" outlineLevel="0" collapsed="false">
      <c r="A313" s="3" t="s">
        <v>436</v>
      </c>
      <c r="B313" s="0" t="s">
        <v>194</v>
      </c>
      <c r="C313" s="22" t="n">
        <f aca="false">a25_ni</f>
        <v>4.312</v>
      </c>
      <c r="D313" s="22" t="n">
        <f aca="false">a26_ni</f>
        <v>6.5441924845173</v>
      </c>
      <c r="E313" s="22" t="n">
        <f aca="false">(E310+E312)*nir_f</f>
        <v>12.5822862603</v>
      </c>
      <c r="F313" s="22" t="n">
        <f aca="false">(F310+F312)*nir_f</f>
        <v>17.7452160185518</v>
      </c>
      <c r="G313" s="22" t="n">
        <f aca="false">(G310+G312)*nir_f</f>
        <v>21.4534646560138</v>
      </c>
      <c r="H313" s="24" t="n">
        <f aca="false">H298*H318</f>
        <v>24.8119135271076</v>
      </c>
      <c r="I313" s="24" t="n">
        <f aca="false">I298*I318</f>
        <v>27.4487331016435</v>
      </c>
      <c r="J313" s="24" t="n">
        <f aca="false">J298*J318</f>
        <v>28.9858672978947</v>
      </c>
    </row>
    <row r="314" customFormat="false" ht="17.15" hidden="false" customHeight="false" outlineLevel="0" collapsed="false">
      <c r="A314" s="3" t="s">
        <v>439</v>
      </c>
      <c r="B314" s="0" t="s">
        <v>54</v>
      </c>
      <c r="C314" s="13" t="n">
        <f aca="false">C313/C310</f>
        <v>0.837606837606838</v>
      </c>
      <c r="D314" s="13" t="n">
        <f aca="false">D313/D310</f>
        <v>0.874996738850077</v>
      </c>
      <c r="E314" s="13" t="n">
        <f aca="false">E313/E310</f>
        <v>0.85521405630931</v>
      </c>
      <c r="F314" s="13" t="n">
        <f aca="false">F313/F310</f>
        <v>0.858609965867657</v>
      </c>
      <c r="G314" s="13" t="n">
        <f aca="false">G313/G310</f>
        <v>0.86004856240647</v>
      </c>
    </row>
    <row r="315" customFormat="false" ht="17.15" hidden="false" customHeight="false" outlineLevel="0" collapsed="false">
      <c r="A315" s="3" t="s">
        <v>558</v>
      </c>
      <c r="B315" s="3" t="s">
        <v>222</v>
      </c>
      <c r="C315" s="27" t="n">
        <f aca="false">a25_sh</f>
        <v>0.860678642714571</v>
      </c>
      <c r="D315" s="27" t="n">
        <f aca="false">a26_sh</f>
        <v>0.946074458598726</v>
      </c>
      <c r="E315" s="27" t="n">
        <f aca="false">sh_h2*(1+sh_g)</f>
        <v>0.98234</v>
      </c>
      <c r="F315" s="27" t="n">
        <f aca="false">E315*(1+sh_g)</f>
        <v>0.98234</v>
      </c>
      <c r="G315" s="27" t="n">
        <f aca="false">F315*(1+sh_g)</f>
        <v>0.98234</v>
      </c>
      <c r="H315" s="28" t="n">
        <f aca="false">G315*(1+sh_g)</f>
        <v>0.98234</v>
      </c>
      <c r="I315" s="28" t="n">
        <f aca="false">H315*(1+sh_g)</f>
        <v>0.98234</v>
      </c>
      <c r="J315" s="28" t="n">
        <f aca="false">I315*(1+sh_g)</f>
        <v>0.98234</v>
      </c>
      <c r="K315" s="7" t="s">
        <v>559</v>
      </c>
    </row>
    <row r="316" customFormat="false" ht="15" hidden="false" customHeight="false" outlineLevel="0" collapsed="false">
      <c r="A316" s="0" t="s">
        <v>442</v>
      </c>
      <c r="B316" s="0" t="s">
        <v>258</v>
      </c>
      <c r="C316" s="23" t="n">
        <f aca="false">C313/C315</f>
        <v>5.01</v>
      </c>
      <c r="D316" s="23" t="n">
        <f aca="false">D313/D315</f>
        <v>6.91720659514496</v>
      </c>
      <c r="E316" s="23" t="n">
        <f aca="false">E313/E315</f>
        <v>12.8084840893173</v>
      </c>
      <c r="F316" s="23" t="n">
        <f aca="false">F313/F315</f>
        <v>18.0642303261109</v>
      </c>
      <c r="G316" s="23" t="n">
        <f aca="false">G313/G315</f>
        <v>21.8391439379582</v>
      </c>
      <c r="H316" s="29" t="n">
        <f aca="false">H313/H315</f>
        <v>25.2579692643154</v>
      </c>
      <c r="I316" s="29" t="n">
        <f aca="false">I313/I315</f>
        <v>27.9421922161812</v>
      </c>
      <c r="J316" s="29" t="n">
        <f aca="false">J313/J315</f>
        <v>29.5069602152969</v>
      </c>
    </row>
    <row r="317" customFormat="false" ht="17.15" hidden="false" customHeight="false" outlineLevel="0" collapsed="false">
      <c r="A317" s="0" t="s">
        <v>560</v>
      </c>
      <c r="B317" s="0" t="s">
        <v>54</v>
      </c>
      <c r="D317" s="13" t="n">
        <f aca="false">D316/C316-1</f>
        <v>0.38067995911077</v>
      </c>
      <c r="E317" s="13" t="n">
        <f aca="false">E316/D316-1</f>
        <v>0.851684478862804</v>
      </c>
      <c r="F317" s="13" t="n">
        <f aca="false">F316/E316-1</f>
        <v>0.410333197913485</v>
      </c>
      <c r="G317" s="13" t="n">
        <f aca="false">G316/F316-1</f>
        <v>0.208971738274993</v>
      </c>
      <c r="H317" s="25" t="n">
        <f aca="false">H316/G316-1</f>
        <v>0.156545757291111</v>
      </c>
      <c r="I317" s="25" t="n">
        <f aca="false">I316/H316-1</f>
        <v>0.106272318402814</v>
      </c>
      <c r="J317" s="25" t="n">
        <f aca="false">J316/I316-1</f>
        <v>0.0560001873514238</v>
      </c>
    </row>
    <row r="318" customFormat="false" ht="17.15" hidden="false" customHeight="false" outlineLevel="0" collapsed="false">
      <c r="A318" s="3" t="s">
        <v>561</v>
      </c>
      <c r="B318" s="0" t="s">
        <v>54</v>
      </c>
      <c r="C318" s="13" t="n">
        <f aca="false">C313/C298</f>
        <v>0.223512336719884</v>
      </c>
      <c r="D318" s="13" t="n">
        <f aca="false">D313/D298</f>
        <v>0.23267412659167</v>
      </c>
      <c r="E318" s="13" t="n">
        <f aca="false">E313/E298</f>
        <v>0.263149571890777</v>
      </c>
      <c r="F318" s="13" t="n">
        <f aca="false">F313/F298</f>
        <v>0.271013136311118</v>
      </c>
      <c r="G318" s="13" t="n">
        <f aca="false">G313/G298</f>
        <v>0.270483239001164</v>
      </c>
      <c r="H318" s="25" t="n">
        <f aca="false">$G318+(fade_mA-$G318)*1/3</f>
        <v>0.269470240255698</v>
      </c>
      <c r="I318" s="25" t="n">
        <f aca="false">$G318+(fade_mA-$G318)*2/3</f>
        <v>0.268457241510231</v>
      </c>
      <c r="J318" s="25" t="n">
        <f aca="false">$G318+(fade_mA-$G318)*3/3</f>
        <v>0.267444242764765</v>
      </c>
    </row>
    <row r="321" customFormat="false" ht="17.15" hidden="false" customHeight="false" outlineLevel="0" collapsed="false">
      <c r="A321" s="1" t="s">
        <v>893</v>
      </c>
    </row>
    <row r="322" customFormat="false" ht="17.15" hidden="false" customHeight="false" outlineLevel="0" collapsed="false">
      <c r="A322" s="4" t="s">
        <v>23</v>
      </c>
      <c r="B322" s="4" t="s">
        <v>24</v>
      </c>
      <c r="C322" s="14" t="s">
        <v>409</v>
      </c>
      <c r="D322" s="14" t="s">
        <v>502</v>
      </c>
      <c r="E322" s="14" t="s">
        <v>503</v>
      </c>
      <c r="F322" s="14" t="s">
        <v>504</v>
      </c>
      <c r="G322" s="14" t="s">
        <v>505</v>
      </c>
      <c r="H322" s="14" t="s">
        <v>506</v>
      </c>
      <c r="I322" s="14" t="s">
        <v>507</v>
      </c>
      <c r="J322" s="14" t="s">
        <v>508</v>
      </c>
      <c r="K322" s="4" t="s">
        <v>391</v>
      </c>
    </row>
    <row r="323" customFormat="false" ht="17.15" hidden="false" customHeight="false" outlineLevel="0" collapsed="false">
      <c r="A323" s="5" t="s">
        <v>524</v>
      </c>
    </row>
    <row r="324" customFormat="false" ht="17.15" hidden="false" customHeight="false" outlineLevel="0" collapsed="false">
      <c r="A324" s="0" t="s">
        <v>525</v>
      </c>
      <c r="B324" s="0" t="s">
        <v>34</v>
      </c>
      <c r="D324" s="23" t="n">
        <f aca="false">itc_26*1</f>
        <v>781.872916666666</v>
      </c>
      <c r="E324" s="23" t="n">
        <f aca="false">itc_27*1*1</f>
        <v>1565.35</v>
      </c>
      <c r="F324" s="23" t="n">
        <f aca="false">itc_28*um28_A*1</f>
        <v>1984.26388888889</v>
      </c>
      <c r="G324" s="23" t="n">
        <f aca="false">itc_29*um29_A*1</f>
        <v>2260.39027777778</v>
      </c>
    </row>
    <row r="325" customFormat="false" ht="17.15" hidden="false" customHeight="false" outlineLevel="0" collapsed="false">
      <c r="A325" s="3" t="s">
        <v>526</v>
      </c>
      <c r="B325" s="0" t="s">
        <v>34</v>
      </c>
      <c r="D325" s="23" t="n">
        <f aca="false">itpg_gb*(1-vr26)+itpg_vr*vr26</f>
        <v>33.41403216</v>
      </c>
      <c r="E325" s="23" t="n">
        <f aca="false">itpg_vr</f>
        <v>37.586352</v>
      </c>
      <c r="F325" s="23" t="n">
        <f aca="false">itpg_vr</f>
        <v>37.586352</v>
      </c>
      <c r="G325" s="23" t="n">
        <f aca="false">itpg_vr</f>
        <v>37.586352</v>
      </c>
    </row>
    <row r="326" customFormat="false" ht="17.15" hidden="false" customHeight="false" outlineLevel="0" collapsed="false">
      <c r="A326" s="3" t="s">
        <v>527</v>
      </c>
      <c r="B326" s="0" t="s">
        <v>468</v>
      </c>
      <c r="D326" s="20" t="n">
        <f aca="false">D324/D325</f>
        <v>23.3995380420639</v>
      </c>
      <c r="E326" s="20" t="n">
        <f aca="false">E324/E325</f>
        <v>41.6467658260637</v>
      </c>
      <c r="F326" s="20" t="n">
        <f aca="false">F324/F325</f>
        <v>52.792138191248</v>
      </c>
      <c r="G326" s="20" t="n">
        <f aca="false">G324/G325</f>
        <v>60.1385917361116</v>
      </c>
    </row>
    <row r="327" customFormat="false" ht="17.15" hidden="false" customHeight="false" outlineLevel="0" collapsed="false">
      <c r="A327" s="3" t="s">
        <v>470</v>
      </c>
      <c r="B327" s="0" t="s">
        <v>95</v>
      </c>
      <c r="D327" s="21" t="n">
        <f aca="false">cmp_26</f>
        <v>280</v>
      </c>
      <c r="E327" s="21" t="n">
        <f aca="false">cmp_26*cmpx_27</f>
        <v>420</v>
      </c>
      <c r="F327" s="21" t="n">
        <f aca="false">cmp_26*cmpx_28</f>
        <v>462</v>
      </c>
      <c r="G327" s="21" t="n">
        <f aca="false">cmp_26*cmpx_29</f>
        <v>504</v>
      </c>
    </row>
    <row r="328" customFormat="false" ht="17.15" hidden="false" customHeight="false" outlineLevel="0" collapsed="false">
      <c r="A328" s="3" t="s">
        <v>472</v>
      </c>
      <c r="B328" s="0" t="s">
        <v>95</v>
      </c>
      <c r="D328" s="21" t="n">
        <f aca="false">sw_26</f>
        <v>120</v>
      </c>
      <c r="E328" s="21" t="n">
        <f aca="false">sw_26*swx_27</f>
        <v>162</v>
      </c>
      <c r="F328" s="21" t="n">
        <f aca="false">sw_26*swx_28</f>
        <v>180</v>
      </c>
      <c r="G328" s="21" t="n">
        <f aca="false">sw_26*swx_29</f>
        <v>198</v>
      </c>
    </row>
    <row r="329" customFormat="false" ht="17.15" hidden="false" customHeight="false" outlineLevel="0" collapsed="false">
      <c r="A329" s="3" t="s">
        <v>473</v>
      </c>
      <c r="B329" s="0" t="s">
        <v>95</v>
      </c>
      <c r="D329" s="21" t="n">
        <f aca="false">mid_26</f>
        <v>50</v>
      </c>
      <c r="E329" s="21" t="n">
        <f aca="false">mid_26*midx_27</f>
        <v>100</v>
      </c>
      <c r="F329" s="21" t="n">
        <f aca="false">mid_26*midx_28</f>
        <v>150</v>
      </c>
      <c r="G329" s="21" t="n">
        <f aca="false">mid_26*midx_29</f>
        <v>175</v>
      </c>
    </row>
    <row r="330" customFormat="false" ht="17.15" hidden="false" customHeight="false" outlineLevel="0" collapsed="false">
      <c r="A330" s="3" t="s">
        <v>528</v>
      </c>
      <c r="B330" s="0" t="s">
        <v>95</v>
      </c>
      <c r="D330" s="21" t="n">
        <f aca="false">D327+D328+D329</f>
        <v>450</v>
      </c>
      <c r="E330" s="21" t="n">
        <f aca="false">E327+E328+E329</f>
        <v>682</v>
      </c>
      <c r="F330" s="21" t="n">
        <f aca="false">F327+F328+F329</f>
        <v>792</v>
      </c>
      <c r="G330" s="21" t="n">
        <f aca="false">G327+G328+G329</f>
        <v>877</v>
      </c>
    </row>
    <row r="331" customFormat="false" ht="17.15" hidden="false" customHeight="false" outlineLevel="0" collapsed="false">
      <c r="A331" s="0" t="s">
        <v>529</v>
      </c>
      <c r="B331" s="0" t="s">
        <v>34</v>
      </c>
      <c r="D331" s="23" t="n">
        <f aca="false">D326*D330/1000</f>
        <v>10.5297921189287</v>
      </c>
      <c r="E331" s="23" t="n">
        <f aca="false">E326*E330/1000</f>
        <v>28.4030942933754</v>
      </c>
      <c r="F331" s="23" t="n">
        <f aca="false">F326*F330/1000</f>
        <v>41.8113734474684</v>
      </c>
      <c r="G331" s="23" t="n">
        <f aca="false">G326*G330/1000</f>
        <v>52.7415449525698</v>
      </c>
    </row>
    <row r="332" customFormat="false" ht="17.15" hidden="false" customHeight="false" outlineLevel="0" collapsed="false">
      <c r="A332" s="0" t="s">
        <v>530</v>
      </c>
      <c r="B332" s="0" t="s">
        <v>194</v>
      </c>
      <c r="D332" s="22" t="n">
        <f aca="false">D331*fx</f>
        <v>70.7602030392012</v>
      </c>
      <c r="E332" s="22" t="n">
        <f aca="false">E331*fx</f>
        <v>190.868793651483</v>
      </c>
      <c r="F332" s="22" t="n">
        <f aca="false">F331*fx</f>
        <v>280.972429566988</v>
      </c>
      <c r="G332" s="22" t="n">
        <f aca="false">G331*fx</f>
        <v>354.423182081269</v>
      </c>
    </row>
    <row r="333" customFormat="false" ht="17.15" hidden="false" customHeight="false" outlineLevel="0" collapsed="false">
      <c r="A333" s="0" t="s">
        <v>531</v>
      </c>
      <c r="B333" s="0" t="s">
        <v>67</v>
      </c>
      <c r="D333" s="17" t="n">
        <f aca="false">1</f>
        <v>1</v>
      </c>
      <c r="E333" s="17" t="n">
        <f aca="false">PPLO_27</f>
        <v>0.95</v>
      </c>
      <c r="F333" s="17" t="n">
        <f aca="false">PPLO_28</f>
        <v>0.9</v>
      </c>
      <c r="G333" s="17" t="n">
        <f aca="false">PPLO_29</f>
        <v>0.85</v>
      </c>
    </row>
    <row r="334" customFormat="false" ht="17.15" hidden="false" customHeight="false" outlineLevel="0" collapsed="false">
      <c r="A334" s="3" t="s">
        <v>532</v>
      </c>
      <c r="B334" s="0" t="s">
        <v>54</v>
      </c>
      <c r="D334" s="13" t="n">
        <f aca="false">a26_ai/D332</f>
        <v>0.247531793970355</v>
      </c>
      <c r="K334" s="7" t="s">
        <v>533</v>
      </c>
    </row>
    <row r="335" customFormat="false" ht="17.15" hidden="false" customHeight="false" outlineLevel="0" collapsed="false">
      <c r="A335" s="3" t="s">
        <v>534</v>
      </c>
      <c r="B335" s="0" t="s">
        <v>67</v>
      </c>
      <c r="D335" s="17" t="n">
        <f aca="false">1</f>
        <v>1</v>
      </c>
      <c r="E335" s="17" t="n">
        <f aca="false">rel_27</f>
        <v>0.9</v>
      </c>
      <c r="F335" s="17" t="n">
        <f aca="false">rel_28</f>
        <v>0.8</v>
      </c>
      <c r="G335" s="17" t="n">
        <f aca="false">rel_29</f>
        <v>0.75</v>
      </c>
    </row>
    <row r="336" customFormat="false" ht="15" hidden="false" customHeight="false" outlineLevel="0" collapsed="false">
      <c r="A336" s="3" t="s">
        <v>485</v>
      </c>
      <c r="B336" s="0" t="s">
        <v>54</v>
      </c>
      <c r="D336" s="13" t="n">
        <f aca="false">$D$334*D335</f>
        <v>0.247531793970355</v>
      </c>
      <c r="E336" s="13" t="n">
        <f aca="false">$D$334*E335</f>
        <v>0.222778614573319</v>
      </c>
      <c r="F336" s="13" t="n">
        <f aca="false">$D$334*F335</f>
        <v>0.198025435176284</v>
      </c>
      <c r="G336" s="13" t="n">
        <f aca="false">$D$334*G335</f>
        <v>0.185648845477766</v>
      </c>
    </row>
    <row r="337" customFormat="false" ht="17.15" hidden="false" customHeight="false" outlineLevel="0" collapsed="false">
      <c r="A337" s="0" t="s">
        <v>535</v>
      </c>
      <c r="B337" s="0" t="s">
        <v>194</v>
      </c>
      <c r="D337" s="22" t="n">
        <f aca="false">D332*D336*D333</f>
        <v>17.5154</v>
      </c>
      <c r="E337" s="22" t="n">
        <f aca="false">E332*E336*E333</f>
        <v>40.3954111442102</v>
      </c>
      <c r="F337" s="22" t="n">
        <f aca="false">F332*F336*F333</f>
        <v>50.0757188737864</v>
      </c>
      <c r="G337" s="22" t="n">
        <f aca="false">G332*G336*G333</f>
        <v>55.9285163793521</v>
      </c>
    </row>
    <row r="338" customFormat="false" ht="17.15" hidden="false" customHeight="false" outlineLevel="0" collapsed="false">
      <c r="A338" s="5" t="s">
        <v>536</v>
      </c>
    </row>
    <row r="339" customFormat="false" ht="17.15" hidden="false" customHeight="false" outlineLevel="0" collapsed="false">
      <c r="A339" s="3" t="s">
        <v>537</v>
      </c>
      <c r="B339" s="0" t="s">
        <v>67</v>
      </c>
      <c r="D339" s="17" t="n">
        <f aca="false">1</f>
        <v>1</v>
      </c>
      <c r="E339" s="17" t="n">
        <f aca="false">cx_27</f>
        <v>1.7</v>
      </c>
      <c r="F339" s="17" t="n">
        <f aca="false">cx_28</f>
        <v>2.4</v>
      </c>
      <c r="G339" s="17" t="n">
        <f aca="false">cx_29</f>
        <v>3</v>
      </c>
      <c r="K339" s="7" t="s">
        <v>538</v>
      </c>
    </row>
    <row r="340" customFormat="false" ht="17.15" hidden="false" customHeight="false" outlineLevel="0" collapsed="false">
      <c r="A340" s="3" t="s">
        <v>539</v>
      </c>
      <c r="B340" s="0" t="s">
        <v>194</v>
      </c>
      <c r="D340" s="22" t="n">
        <f aca="false">a26_rev*D339*D333</f>
        <v>28.126</v>
      </c>
      <c r="E340" s="22" t="n">
        <f aca="false">a26_rev*E339*E333</f>
        <v>45.42349</v>
      </c>
      <c r="F340" s="22" t="n">
        <f aca="false">a26_rev*F339*F333</f>
        <v>60.75216</v>
      </c>
      <c r="G340" s="22" t="n">
        <f aca="false">a26_rev*G339*G333</f>
        <v>71.7213</v>
      </c>
    </row>
    <row r="341" customFormat="false" ht="17.15" hidden="false" customHeight="false" outlineLevel="0" collapsed="false">
      <c r="A341" s="3" t="s">
        <v>540</v>
      </c>
      <c r="B341" s="0" t="s">
        <v>194</v>
      </c>
      <c r="C341" s="22" t="n">
        <f aca="false">a25_nai</f>
        <v>10.6106</v>
      </c>
      <c r="D341" s="22" t="n">
        <f aca="false">a26_nai</f>
        <v>10.6106</v>
      </c>
      <c r="E341" s="22" t="n">
        <f aca="false">D341*(1+g_nai27)</f>
        <v>10.6106</v>
      </c>
      <c r="F341" s="22" t="n">
        <f aca="false">E341*(1+g_nai28)</f>
        <v>10.6106</v>
      </c>
      <c r="G341" s="22" t="n">
        <f aca="false">F341*(1+g_nai29)</f>
        <v>10.6106</v>
      </c>
    </row>
    <row r="342" customFormat="false" ht="17.15" hidden="false" customHeight="false" outlineLevel="0" collapsed="false">
      <c r="A342" s="0" t="s">
        <v>541</v>
      </c>
      <c r="B342" s="0" t="s">
        <v>194</v>
      </c>
      <c r="C342" s="22" t="n">
        <f aca="false">a25_ai</f>
        <v>8.6814</v>
      </c>
      <c r="D342" s="22" t="n">
        <f aca="false">D337</f>
        <v>17.5154</v>
      </c>
      <c r="E342" s="22" t="n">
        <f aca="false">MIN(E337,E340-E341)</f>
        <v>34.81289</v>
      </c>
      <c r="F342" s="22" t="n">
        <f aca="false">MIN(F337,F340-F341)</f>
        <v>50.0757188737864</v>
      </c>
      <c r="G342" s="22" t="n">
        <f aca="false">MIN(G337,G340-G341)</f>
        <v>55.9285163793521</v>
      </c>
      <c r="K342" s="3" t="s">
        <v>542</v>
      </c>
    </row>
    <row r="343" customFormat="false" ht="15" hidden="false" customHeight="false" outlineLevel="0" collapsed="false">
      <c r="A343" s="3" t="s">
        <v>543</v>
      </c>
      <c r="E343" s="0" t="str">
        <f aca="false">IF(E337&gt;E340-E341+0.0001,"受限","未受限")</f>
        <v>受限</v>
      </c>
      <c r="F343" s="0" t="str">
        <f aca="false">IF(F337&gt;F340-F341+0.0001,"受限","未受限")</f>
        <v>未受限</v>
      </c>
      <c r="G343" s="0" t="str">
        <f aca="false">IF(G337&gt;G340-G341+0.0001,"受限","未受限")</f>
        <v>未受限</v>
      </c>
    </row>
    <row r="344" customFormat="false" ht="17.15" hidden="false" customHeight="false" outlineLevel="0" collapsed="false">
      <c r="A344" s="3" t="s">
        <v>414</v>
      </c>
      <c r="B344" s="0" t="s">
        <v>194</v>
      </c>
      <c r="C344" s="22" t="n">
        <f aca="false">C342+C341</f>
        <v>19.292</v>
      </c>
      <c r="D344" s="22" t="n">
        <f aca="false">D342+D341</f>
        <v>28.126</v>
      </c>
      <c r="E344" s="22" t="n">
        <f aca="false">E342+E341</f>
        <v>45.42349</v>
      </c>
      <c r="F344" s="22" t="n">
        <f aca="false">F342+F341</f>
        <v>60.6863188737864</v>
      </c>
      <c r="G344" s="22" t="n">
        <f aca="false">G342+G341</f>
        <v>66.5391163793521</v>
      </c>
      <c r="H344" s="24" t="n">
        <f aca="false">G344*(1+H345)</f>
        <v>72.1480730038243</v>
      </c>
      <c r="I344" s="24" t="n">
        <f aca="false">H344*(1+I345)</f>
        <v>77.3533987676746</v>
      </c>
      <c r="J344" s="24" t="n">
        <f aca="false">I344*(1+J345)</f>
        <v>81.9946026937351</v>
      </c>
      <c r="K344" s="7" t="s">
        <v>544</v>
      </c>
    </row>
    <row r="345" customFormat="false" ht="15" hidden="false" customHeight="false" outlineLevel="0" collapsed="false">
      <c r="A345" s="3" t="s">
        <v>545</v>
      </c>
      <c r="B345" s="0" t="s">
        <v>54</v>
      </c>
      <c r="D345" s="13" t="n">
        <f aca="false">D344/C344-1</f>
        <v>0.457910014513788</v>
      </c>
      <c r="E345" s="13" t="n">
        <f aca="false">E344/D344-1</f>
        <v>0.615</v>
      </c>
      <c r="F345" s="13" t="n">
        <f aca="false">F344/E344-1</f>
        <v>0.336011805208855</v>
      </c>
      <c r="G345" s="13" t="n">
        <f aca="false">G344/F344-1</f>
        <v>0.0964434425119467</v>
      </c>
      <c r="H345" s="25" t="n">
        <f aca="false">$G345+(fade_gA-$G345)*1/3</f>
        <v>0.0842956283412978</v>
      </c>
      <c r="I345" s="25" t="n">
        <f aca="false">$G345+(fade_gA-$G345)*2/3</f>
        <v>0.0721478141706489</v>
      </c>
      <c r="J345" s="25" t="n">
        <f aca="false">$G345+(fade_gA-$G345)*3/3</f>
        <v>0.06</v>
      </c>
    </row>
    <row r="346" customFormat="false" ht="17.15" hidden="false" customHeight="false" outlineLevel="0" collapsed="false">
      <c r="A346" s="0" t="s">
        <v>546</v>
      </c>
      <c r="B346" s="0" t="s">
        <v>54</v>
      </c>
      <c r="C346" s="13" t="n">
        <f aca="false">C342/C344</f>
        <v>0.45</v>
      </c>
      <c r="D346" s="13" t="n">
        <f aca="false">D342/D344</f>
        <v>0.622747635639622</v>
      </c>
      <c r="E346" s="13" t="n">
        <f aca="false">E342/E344</f>
        <v>0.766407204730416</v>
      </c>
      <c r="F346" s="13" t="n">
        <f aca="false">F342/F344</f>
        <v>0.825156638317977</v>
      </c>
      <c r="G346" s="13" t="n">
        <f aca="false">G342/G344</f>
        <v>0.840535904632292</v>
      </c>
    </row>
    <row r="347" customFormat="false" ht="17.15" hidden="false" customHeight="false" outlineLevel="0" collapsed="false">
      <c r="A347" s="3" t="s">
        <v>547</v>
      </c>
      <c r="B347" s="0" t="s">
        <v>54</v>
      </c>
      <c r="D347" s="13" t="n">
        <f aca="false">(D337+D341)/D340</f>
        <v>1</v>
      </c>
      <c r="E347" s="13" t="n">
        <f aca="false">(E337+E341)/E340</f>
        <v>1.12289943252291</v>
      </c>
      <c r="F347" s="13" t="n">
        <f aca="false">(F337+F341)/F340</f>
        <v>0.998916233987177</v>
      </c>
      <c r="G347" s="13" t="n">
        <f aca="false">(G337+G341)/G340</f>
        <v>0.927745542528539</v>
      </c>
      <c r="K347" s="3" t="s">
        <v>548</v>
      </c>
    </row>
    <row r="348" customFormat="false" ht="17.15" hidden="false" customHeight="false" outlineLevel="0" collapsed="false">
      <c r="A348" s="3" t="s">
        <v>489</v>
      </c>
      <c r="B348" s="0" t="s">
        <v>95</v>
      </c>
      <c r="D348" s="21" t="n">
        <f aca="false">D342/fx/D326*1000</f>
        <v>111.38930728666</v>
      </c>
      <c r="E348" s="21" t="n">
        <f aca="false">E342/fx/E326*1000</f>
        <v>124.391161728367</v>
      </c>
      <c r="F348" s="21" t="n">
        <f aca="false">F342/fx/F326*1000</f>
        <v>141.152530193655</v>
      </c>
      <c r="G348" s="21" t="n">
        <f aca="false">G342/fx/G326*1000</f>
        <v>138.391931861401</v>
      </c>
    </row>
    <row r="349" customFormat="false" ht="17.15" hidden="false" customHeight="false" outlineLevel="0" collapsed="false">
      <c r="A349" s="5" t="s">
        <v>549</v>
      </c>
    </row>
    <row r="350" customFormat="false" ht="17.15" hidden="false" customHeight="false" outlineLevel="0" collapsed="false">
      <c r="A350" s="3" t="s">
        <v>550</v>
      </c>
      <c r="B350" s="0" t="s">
        <v>54</v>
      </c>
      <c r="D350" s="13" t="n">
        <f aca="false">a26_gp/D344-d_ai*D346</f>
        <v>0.237492000284434</v>
      </c>
      <c r="K350" s="7" t="s">
        <v>551</v>
      </c>
    </row>
    <row r="351" customFormat="false" ht="17.15" hidden="false" customHeight="false" outlineLevel="0" collapsed="false">
      <c r="A351" s="0" t="s">
        <v>552</v>
      </c>
      <c r="B351" s="0" t="s">
        <v>54</v>
      </c>
      <c r="D351" s="13" t="n">
        <f aca="false">D350+d_ai</f>
        <v>0.387492000284434</v>
      </c>
      <c r="E351" s="13" t="n">
        <f aca="false">1-(1-$D$351)/E333+gmu_27</f>
        <v>0.36525473714151</v>
      </c>
      <c r="F351" s="13" t="n">
        <f aca="false">1-(1-$D$351)/F333+gmu_28</f>
        <v>0.339435555871594</v>
      </c>
      <c r="G351" s="13" t="n">
        <f aca="false">1-(1-$D$351)/G333+gmu_29</f>
        <v>0.309402353275805</v>
      </c>
      <c r="K351" s="7" t="s">
        <v>553</v>
      </c>
    </row>
    <row r="352" customFormat="false" ht="15" hidden="false" customHeight="false" outlineLevel="0" collapsed="false">
      <c r="A352" s="3" t="s">
        <v>418</v>
      </c>
      <c r="B352" s="0" t="s">
        <v>194</v>
      </c>
      <c r="C352" s="22" t="n">
        <f aca="false">a25_gp</f>
        <v>6.7946424</v>
      </c>
      <c r="D352" s="22" t="n">
        <f aca="false">a26_gp</f>
        <v>9.30701</v>
      </c>
      <c r="E352" s="22" t="n">
        <f aca="false">E342*E351+E341*$D$350</f>
        <v>15.2355056043043</v>
      </c>
      <c r="F352" s="22" t="n">
        <f aca="false">F342*F351+F341*$D$350</f>
        <v>19.5174120898114</v>
      </c>
      <c r="G352" s="22" t="n">
        <f aca="false">G342*G351+G341*$D$350</f>
        <v>19.824347201214</v>
      </c>
    </row>
    <row r="353" customFormat="false" ht="15" hidden="false" customHeight="false" outlineLevel="0" collapsed="false">
      <c r="A353" s="3" t="s">
        <v>421</v>
      </c>
      <c r="B353" s="0" t="s">
        <v>54</v>
      </c>
      <c r="C353" s="13" t="n">
        <f aca="false">C352/C344</f>
        <v>0.3522</v>
      </c>
      <c r="D353" s="13" t="n">
        <f aca="false">D352/D344</f>
        <v>0.330904145630378</v>
      </c>
      <c r="E353" s="13" t="n">
        <f aca="false">E352/E344</f>
        <v>0.335410282307773</v>
      </c>
      <c r="F353" s="13" t="n">
        <f aca="false">F352/F344</f>
        <v>0.321611401910917</v>
      </c>
      <c r="G353" s="13" t="n">
        <f aca="false">G352/G344</f>
        <v>0.297935233888464</v>
      </c>
    </row>
    <row r="354" customFormat="false" ht="17.15" hidden="false" customHeight="false" outlineLevel="0" collapsed="false">
      <c r="A354" s="3" t="s">
        <v>554</v>
      </c>
      <c r="B354" s="0" t="s">
        <v>194</v>
      </c>
      <c r="C354" s="22" t="n">
        <f aca="false">a25_opx</f>
        <v>1.6466424</v>
      </c>
      <c r="D354" s="22" t="n">
        <f aca="false">a26_opx</f>
        <v>1.827905</v>
      </c>
      <c r="E354" s="22" t="n">
        <f aca="false">D354*(1+MAX(0,phi*E345))</f>
        <v>2.502401945</v>
      </c>
      <c r="F354" s="22" t="n">
        <f aca="false">E354*(1+MAX(0,phi*F345))</f>
        <v>3.00690390193856</v>
      </c>
      <c r="G354" s="22" t="n">
        <f aca="false">F354*(1+MAX(0,phi*G345))</f>
        <v>3.1809016001019</v>
      </c>
      <c r="K354" s="7" t="s">
        <v>555</v>
      </c>
    </row>
    <row r="355" customFormat="false" ht="15" hidden="false" customHeight="false" outlineLevel="0" collapsed="false">
      <c r="A355" s="3" t="s">
        <v>423</v>
      </c>
      <c r="B355" s="0" t="s">
        <v>194</v>
      </c>
      <c r="C355" s="22" t="n">
        <f aca="false">C354</f>
        <v>1.6466424</v>
      </c>
      <c r="D355" s="22" t="n">
        <f aca="false">D354</f>
        <v>1.827905</v>
      </c>
      <c r="E355" s="22" t="n">
        <f aca="false">E354+0*E344</f>
        <v>2.502401945</v>
      </c>
      <c r="F355" s="22" t="n">
        <f aca="false">F354+0*F344</f>
        <v>3.00690390193856</v>
      </c>
      <c r="G355" s="22" t="n">
        <f aca="false">G354+0*G344</f>
        <v>3.1809016001019</v>
      </c>
    </row>
    <row r="356" customFormat="false" ht="15" hidden="false" customHeight="false" outlineLevel="0" collapsed="false">
      <c r="A356" s="3" t="s">
        <v>556</v>
      </c>
      <c r="B356" s="0" t="s">
        <v>194</v>
      </c>
      <c r="C356" s="22" t="n">
        <f aca="false">C352-C355</f>
        <v>5.148</v>
      </c>
      <c r="D356" s="22" t="n">
        <f aca="false">D352-D355</f>
        <v>7.479105</v>
      </c>
      <c r="E356" s="22" t="n">
        <f aca="false">E352-E355</f>
        <v>12.7331036593043</v>
      </c>
      <c r="F356" s="22" t="n">
        <f aca="false">F352-F355</f>
        <v>16.5105081878728</v>
      </c>
      <c r="G356" s="22" t="n">
        <f aca="false">G352-G355</f>
        <v>16.6434456011121</v>
      </c>
    </row>
    <row r="357" customFormat="false" ht="15" hidden="false" customHeight="false" outlineLevel="0" collapsed="false">
      <c r="A357" s="3" t="s">
        <v>429</v>
      </c>
      <c r="B357" s="0" t="s">
        <v>54</v>
      </c>
      <c r="C357" s="13" t="n">
        <f aca="false">C356/C344</f>
        <v>0.266846361185984</v>
      </c>
      <c r="D357" s="13" t="n">
        <f aca="false">D356/D344</f>
        <v>0.265914278603427</v>
      </c>
      <c r="E357" s="13" t="n">
        <f aca="false">E356/E344</f>
        <v>0.28031980059886</v>
      </c>
      <c r="F357" s="13" t="n">
        <f aca="false">F356/F344</f>
        <v>0.272063102430234</v>
      </c>
      <c r="G357" s="13" t="n">
        <f aca="false">G356/G344</f>
        <v>0.250130246789342</v>
      </c>
    </row>
    <row r="358" customFormat="false" ht="17.15" hidden="false" customHeight="false" outlineLevel="0" collapsed="false">
      <c r="A358" s="3" t="s">
        <v>430</v>
      </c>
      <c r="B358" s="0" t="s">
        <v>194</v>
      </c>
      <c r="E358" s="22" t="n">
        <f aca="false">nop_f</f>
        <v>-0.2</v>
      </c>
      <c r="F358" s="22" t="n">
        <f aca="false">nop_f</f>
        <v>-0.2</v>
      </c>
      <c r="G358" s="22" t="n">
        <f aca="false">nop_f</f>
        <v>-0.2</v>
      </c>
      <c r="K358" s="7" t="s">
        <v>557</v>
      </c>
    </row>
    <row r="359" customFormat="false" ht="15" hidden="false" customHeight="false" outlineLevel="0" collapsed="false">
      <c r="A359" s="3" t="s">
        <v>436</v>
      </c>
      <c r="B359" s="0" t="s">
        <v>194</v>
      </c>
      <c r="C359" s="22" t="n">
        <f aca="false">a25_ni</f>
        <v>4.312</v>
      </c>
      <c r="D359" s="22" t="n">
        <f aca="false">a26_ni</f>
        <v>6.5441924845173</v>
      </c>
      <c r="E359" s="22" t="n">
        <f aca="false">(E356+E358)*nir_f</f>
        <v>10.8662008726168</v>
      </c>
      <c r="F359" s="22" t="n">
        <f aca="false">(F356+F358)*nir_f</f>
        <v>14.1412105988857</v>
      </c>
      <c r="G359" s="22" t="n">
        <f aca="false">(G356+G358)*nir_f</f>
        <v>14.2564673361642</v>
      </c>
      <c r="H359" s="24" t="n">
        <f aca="false">H344*H364</f>
        <v>16.7373457226105</v>
      </c>
      <c r="I359" s="24" t="n">
        <f aca="false">I344*I364</f>
        <v>19.3163148951084</v>
      </c>
      <c r="J359" s="24" t="n">
        <f aca="false">J344*J364</f>
        <v>21.9289844282237</v>
      </c>
    </row>
    <row r="360" customFormat="false" ht="17.15" hidden="false" customHeight="false" outlineLevel="0" collapsed="false">
      <c r="A360" s="3" t="s">
        <v>439</v>
      </c>
      <c r="B360" s="0" t="s">
        <v>54</v>
      </c>
      <c r="C360" s="13" t="n">
        <f aca="false">C359/C356</f>
        <v>0.837606837606838</v>
      </c>
      <c r="D360" s="13" t="n">
        <f aca="false">D359/D356</f>
        <v>0.874996738850077</v>
      </c>
      <c r="E360" s="13" t="n">
        <f aca="false">E359/E356</f>
        <v>0.853381953321075</v>
      </c>
      <c r="F360" s="13" t="n">
        <f aca="false">F359/F356</f>
        <v>0.856497597649516</v>
      </c>
      <c r="G360" s="13" t="n">
        <f aca="false">G359/G356</f>
        <v>0.856581484257778</v>
      </c>
    </row>
    <row r="361" customFormat="false" ht="17.15" hidden="false" customHeight="false" outlineLevel="0" collapsed="false">
      <c r="A361" s="3" t="s">
        <v>558</v>
      </c>
      <c r="B361" s="3" t="s">
        <v>222</v>
      </c>
      <c r="C361" s="27" t="n">
        <f aca="false">a25_sh</f>
        <v>0.860678642714571</v>
      </c>
      <c r="D361" s="27" t="n">
        <f aca="false">a26_sh</f>
        <v>0.946074458598726</v>
      </c>
      <c r="E361" s="27" t="n">
        <f aca="false">sh_h2*(1+sh_g)</f>
        <v>0.98234</v>
      </c>
      <c r="F361" s="27" t="n">
        <f aca="false">E361*(1+sh_g)</f>
        <v>0.98234</v>
      </c>
      <c r="G361" s="27" t="n">
        <f aca="false">F361*(1+sh_g)</f>
        <v>0.98234</v>
      </c>
      <c r="H361" s="28" t="n">
        <f aca="false">G361*(1+sh_g)</f>
        <v>0.98234</v>
      </c>
      <c r="I361" s="28" t="n">
        <f aca="false">H361*(1+sh_g)</f>
        <v>0.98234</v>
      </c>
      <c r="J361" s="28" t="n">
        <f aca="false">I361*(1+sh_g)</f>
        <v>0.98234</v>
      </c>
      <c r="K361" s="7" t="s">
        <v>559</v>
      </c>
    </row>
    <row r="362" customFormat="false" ht="15" hidden="false" customHeight="false" outlineLevel="0" collapsed="false">
      <c r="A362" s="0" t="s">
        <v>442</v>
      </c>
      <c r="B362" s="0" t="s">
        <v>258</v>
      </c>
      <c r="C362" s="23" t="n">
        <f aca="false">C359/C361</f>
        <v>5.01</v>
      </c>
      <c r="D362" s="23" t="n">
        <f aca="false">D359/D361</f>
        <v>6.91720659514496</v>
      </c>
      <c r="E362" s="23" t="n">
        <f aca="false">E359/E361</f>
        <v>11.0615478068865</v>
      </c>
      <c r="F362" s="23" t="n">
        <f aca="false">F359/F361</f>
        <v>14.3954339626664</v>
      </c>
      <c r="G362" s="23" t="n">
        <f aca="false">G359/G361</f>
        <v>14.5127627259036</v>
      </c>
      <c r="H362" s="29" t="n">
        <f aca="false">H359/H361</f>
        <v>17.0382410597252</v>
      </c>
      <c r="I362" s="29" t="n">
        <f aca="false">I359/I361</f>
        <v>19.6635736049723</v>
      </c>
      <c r="J362" s="29" t="n">
        <f aca="false">J359/J361</f>
        <v>22.3232123584744</v>
      </c>
    </row>
    <row r="363" customFormat="false" ht="17.15" hidden="false" customHeight="false" outlineLevel="0" collapsed="false">
      <c r="A363" s="0" t="s">
        <v>560</v>
      </c>
      <c r="B363" s="0" t="s">
        <v>54</v>
      </c>
      <c r="D363" s="13" t="n">
        <f aca="false">D362/C362-1</f>
        <v>0.38067995911077</v>
      </c>
      <c r="E363" s="13" t="n">
        <f aca="false">E362/D362-1</f>
        <v>0.59913509228571</v>
      </c>
      <c r="F363" s="13" t="n">
        <f aca="false">F362/E362-1</f>
        <v>0.301394182259413</v>
      </c>
      <c r="G363" s="13" t="n">
        <f aca="false">G362/F362-1</f>
        <v>0.00815041516230064</v>
      </c>
      <c r="H363" s="25" t="n">
        <f aca="false">H362/G362-1</f>
        <v>0.174017751238632</v>
      </c>
      <c r="I363" s="25" t="n">
        <f aca="false">I362/H362-1</f>
        <v>0.154084716611551</v>
      </c>
      <c r="J363" s="25" t="n">
        <f aca="false">J362/I362-1</f>
        <v>0.135257141297531</v>
      </c>
    </row>
    <row r="364" customFormat="false" ht="17.15" hidden="false" customHeight="false" outlineLevel="0" collapsed="false">
      <c r="A364" s="3" t="s">
        <v>561</v>
      </c>
      <c r="B364" s="0" t="s">
        <v>54</v>
      </c>
      <c r="C364" s="13" t="n">
        <f aca="false">C359/C344</f>
        <v>0.223512336719884</v>
      </c>
      <c r="D364" s="13" t="n">
        <f aca="false">D359/D344</f>
        <v>0.23267412659167</v>
      </c>
      <c r="E364" s="13" t="n">
        <f aca="false">E359/E344</f>
        <v>0.239219858989629</v>
      </c>
      <c r="F364" s="13" t="n">
        <f aca="false">F359/F344</f>
        <v>0.23302139364057</v>
      </c>
      <c r="G364" s="13" t="n">
        <f aca="false">G359/G344</f>
        <v>0.214256938052579</v>
      </c>
      <c r="H364" s="25" t="n">
        <f aca="false">$G364+(fade_mA-$G364)*1/3</f>
        <v>0.231986039623307</v>
      </c>
      <c r="I364" s="25" t="n">
        <f aca="false">$G364+(fade_mA-$G364)*2/3</f>
        <v>0.249715141194036</v>
      </c>
      <c r="J364" s="25" t="n">
        <f aca="false">$G364+(fade_mA-$G364)*3/3</f>
        <v>0.267444242764765</v>
      </c>
    </row>
    <row r="367" customFormat="false" ht="17.15" hidden="false" customHeight="false" outlineLevel="0" collapsed="false">
      <c r="A367" s="1" t="s">
        <v>894</v>
      </c>
    </row>
    <row r="368" customFormat="false" ht="17.15" hidden="false" customHeight="false" outlineLevel="0" collapsed="false">
      <c r="A368" s="4" t="s">
        <v>23</v>
      </c>
      <c r="B368" s="4" t="s">
        <v>24</v>
      </c>
      <c r="C368" s="14" t="s">
        <v>409</v>
      </c>
      <c r="D368" s="14" t="s">
        <v>502</v>
      </c>
      <c r="E368" s="14" t="s">
        <v>503</v>
      </c>
      <c r="F368" s="14" t="s">
        <v>504</v>
      </c>
      <c r="G368" s="14" t="s">
        <v>505</v>
      </c>
      <c r="H368" s="14" t="s">
        <v>506</v>
      </c>
      <c r="I368" s="14" t="s">
        <v>507</v>
      </c>
      <c r="J368" s="14" t="s">
        <v>508</v>
      </c>
      <c r="K368" s="4" t="s">
        <v>391</v>
      </c>
    </row>
    <row r="369" customFormat="false" ht="17.15" hidden="false" customHeight="false" outlineLevel="0" collapsed="false">
      <c r="A369" s="5" t="s">
        <v>524</v>
      </c>
    </row>
    <row r="370" customFormat="false" ht="17.15" hidden="false" customHeight="false" outlineLevel="0" collapsed="false">
      <c r="A370" s="0" t="s">
        <v>525</v>
      </c>
      <c r="B370" s="0" t="s">
        <v>34</v>
      </c>
      <c r="D370" s="23" t="n">
        <f aca="false">itc_26*1</f>
        <v>781.872916666666</v>
      </c>
      <c r="E370" s="23" t="n">
        <f aca="false">itc_27*1*1</f>
        <v>1565.35</v>
      </c>
      <c r="F370" s="23" t="n">
        <f aca="false">itc_28*um28_A*1</f>
        <v>1984.26388888889</v>
      </c>
      <c r="G370" s="23" t="n">
        <f aca="false">itc_29*um29_A*1</f>
        <v>2260.39027777778</v>
      </c>
    </row>
    <row r="371" customFormat="false" ht="17.15" hidden="false" customHeight="false" outlineLevel="0" collapsed="false">
      <c r="A371" s="3" t="s">
        <v>526</v>
      </c>
      <c r="B371" s="0" t="s">
        <v>34</v>
      </c>
      <c r="D371" s="23" t="n">
        <f aca="false">itpg_gb*(1-vr26)+itpg_vr*vr26</f>
        <v>33.41403216</v>
      </c>
      <c r="E371" s="23" t="n">
        <f aca="false">itpg_vr</f>
        <v>37.586352</v>
      </c>
      <c r="F371" s="23" t="n">
        <f aca="false">itpg_vr</f>
        <v>37.586352</v>
      </c>
      <c r="G371" s="23" t="n">
        <f aca="false">itpg_vr</f>
        <v>37.586352</v>
      </c>
    </row>
    <row r="372" customFormat="false" ht="17.15" hidden="false" customHeight="false" outlineLevel="0" collapsed="false">
      <c r="A372" s="3" t="s">
        <v>527</v>
      </c>
      <c r="B372" s="0" t="s">
        <v>468</v>
      </c>
      <c r="D372" s="20" t="n">
        <f aca="false">D370/D371</f>
        <v>23.3995380420639</v>
      </c>
      <c r="E372" s="20" t="n">
        <f aca="false">E370/E371</f>
        <v>41.6467658260637</v>
      </c>
      <c r="F372" s="20" t="n">
        <f aca="false">F370/F371</f>
        <v>52.792138191248</v>
      </c>
      <c r="G372" s="20" t="n">
        <f aca="false">G370/G371</f>
        <v>60.1385917361116</v>
      </c>
    </row>
    <row r="373" customFormat="false" ht="17.15" hidden="false" customHeight="false" outlineLevel="0" collapsed="false">
      <c r="A373" s="3" t="s">
        <v>470</v>
      </c>
      <c r="B373" s="0" t="s">
        <v>95</v>
      </c>
      <c r="D373" s="21" t="n">
        <f aca="false">cmp_26</f>
        <v>280</v>
      </c>
      <c r="E373" s="21" t="n">
        <f aca="false">cmp_26*cmpx_27</f>
        <v>420</v>
      </c>
      <c r="F373" s="21" t="n">
        <f aca="false">cmp_26*cmpx_28</f>
        <v>462</v>
      </c>
      <c r="G373" s="21" t="n">
        <f aca="false">cmp_26*cmpx_29</f>
        <v>504</v>
      </c>
    </row>
    <row r="374" customFormat="false" ht="17.15" hidden="false" customHeight="false" outlineLevel="0" collapsed="false">
      <c r="A374" s="3" t="s">
        <v>472</v>
      </c>
      <c r="B374" s="0" t="s">
        <v>95</v>
      </c>
      <c r="D374" s="21" t="n">
        <f aca="false">sw_26</f>
        <v>120</v>
      </c>
      <c r="E374" s="21" t="n">
        <f aca="false">sw_26*swx_27</f>
        <v>162</v>
      </c>
      <c r="F374" s="21" t="n">
        <f aca="false">sw_26*swx_28</f>
        <v>180</v>
      </c>
      <c r="G374" s="21" t="n">
        <f aca="false">sw_26*swx_29</f>
        <v>198</v>
      </c>
    </row>
    <row r="375" customFormat="false" ht="17.15" hidden="false" customHeight="false" outlineLevel="0" collapsed="false">
      <c r="A375" s="3" t="s">
        <v>473</v>
      </c>
      <c r="B375" s="0" t="s">
        <v>95</v>
      </c>
      <c r="D375" s="21" t="n">
        <f aca="false">mid_26</f>
        <v>50</v>
      </c>
      <c r="E375" s="21" t="n">
        <f aca="false">mid_26*midx_27</f>
        <v>100</v>
      </c>
      <c r="F375" s="21" t="n">
        <f aca="false">mid_26*midx_28</f>
        <v>150</v>
      </c>
      <c r="G375" s="21" t="n">
        <f aca="false">mid_26*midx_29</f>
        <v>175</v>
      </c>
    </row>
    <row r="376" customFormat="false" ht="17.15" hidden="false" customHeight="false" outlineLevel="0" collapsed="false">
      <c r="A376" s="3" t="s">
        <v>528</v>
      </c>
      <c r="B376" s="0" t="s">
        <v>95</v>
      </c>
      <c r="D376" s="21" t="n">
        <f aca="false">D373+D374+D375</f>
        <v>450</v>
      </c>
      <c r="E376" s="21" t="n">
        <f aca="false">E373+E374+E375</f>
        <v>682</v>
      </c>
      <c r="F376" s="21" t="n">
        <f aca="false">F373+F374+F375</f>
        <v>792</v>
      </c>
      <c r="G376" s="21" t="n">
        <f aca="false">G373+G374+G375</f>
        <v>877</v>
      </c>
    </row>
    <row r="377" customFormat="false" ht="17.15" hidden="false" customHeight="false" outlineLevel="0" collapsed="false">
      <c r="A377" s="0" t="s">
        <v>529</v>
      </c>
      <c r="B377" s="0" t="s">
        <v>34</v>
      </c>
      <c r="D377" s="23" t="n">
        <f aca="false">D372*D376/1000</f>
        <v>10.5297921189287</v>
      </c>
      <c r="E377" s="23" t="n">
        <f aca="false">E372*E376/1000</f>
        <v>28.4030942933754</v>
      </c>
      <c r="F377" s="23" t="n">
        <f aca="false">F372*F376/1000</f>
        <v>41.8113734474684</v>
      </c>
      <c r="G377" s="23" t="n">
        <f aca="false">G372*G376/1000</f>
        <v>52.7415449525698</v>
      </c>
    </row>
    <row r="378" customFormat="false" ht="17.15" hidden="false" customHeight="false" outlineLevel="0" collapsed="false">
      <c r="A378" s="0" t="s">
        <v>530</v>
      </c>
      <c r="B378" s="0" t="s">
        <v>194</v>
      </c>
      <c r="D378" s="22" t="n">
        <f aca="false">D377*fx</f>
        <v>70.7602030392012</v>
      </c>
      <c r="E378" s="22" t="n">
        <f aca="false">E377*fx</f>
        <v>190.868793651483</v>
      </c>
      <c r="F378" s="22" t="n">
        <f aca="false">F377*fx</f>
        <v>280.972429566988</v>
      </c>
      <c r="G378" s="22" t="n">
        <f aca="false">G377*fx</f>
        <v>354.423182081269</v>
      </c>
    </row>
    <row r="379" customFormat="false" ht="17.15" hidden="false" customHeight="false" outlineLevel="0" collapsed="false">
      <c r="A379" s="0" t="s">
        <v>531</v>
      </c>
      <c r="B379" s="0" t="s">
        <v>67</v>
      </c>
      <c r="D379" s="17" t="n">
        <f aca="false">1</f>
        <v>1</v>
      </c>
      <c r="E379" s="17" t="n">
        <f aca="false">PPHI_27</f>
        <v>1.03</v>
      </c>
      <c r="F379" s="17" t="n">
        <f aca="false">PPHI_28</f>
        <v>1.02</v>
      </c>
      <c r="G379" s="17" t="n">
        <f aca="false">PPHI_29</f>
        <v>1</v>
      </c>
    </row>
    <row r="380" customFormat="false" ht="17.15" hidden="false" customHeight="false" outlineLevel="0" collapsed="false">
      <c r="A380" s="3" t="s">
        <v>532</v>
      </c>
      <c r="B380" s="0" t="s">
        <v>54</v>
      </c>
      <c r="D380" s="13" t="n">
        <f aca="false">a26_ai/D378</f>
        <v>0.247531793970355</v>
      </c>
      <c r="K380" s="7" t="s">
        <v>533</v>
      </c>
    </row>
    <row r="381" customFormat="false" ht="17.15" hidden="false" customHeight="false" outlineLevel="0" collapsed="false">
      <c r="A381" s="3" t="s">
        <v>534</v>
      </c>
      <c r="B381" s="0" t="s">
        <v>67</v>
      </c>
      <c r="D381" s="17" t="n">
        <f aca="false">1</f>
        <v>1</v>
      </c>
      <c r="E381" s="17" t="n">
        <f aca="false">rel_27</f>
        <v>0.9</v>
      </c>
      <c r="F381" s="17" t="n">
        <f aca="false">rel_28</f>
        <v>0.8</v>
      </c>
      <c r="G381" s="17" t="n">
        <f aca="false">rel_29</f>
        <v>0.75</v>
      </c>
    </row>
    <row r="382" customFormat="false" ht="15" hidden="false" customHeight="false" outlineLevel="0" collapsed="false">
      <c r="A382" s="3" t="s">
        <v>485</v>
      </c>
      <c r="B382" s="0" t="s">
        <v>54</v>
      </c>
      <c r="D382" s="13" t="n">
        <f aca="false">$D$380*D381</f>
        <v>0.247531793970355</v>
      </c>
      <c r="E382" s="13" t="n">
        <f aca="false">$D$380*E381</f>
        <v>0.222778614573319</v>
      </c>
      <c r="F382" s="13" t="n">
        <f aca="false">$D$380*F381</f>
        <v>0.198025435176284</v>
      </c>
      <c r="G382" s="13" t="n">
        <f aca="false">$D$380*G381</f>
        <v>0.185648845477766</v>
      </c>
    </row>
    <row r="383" customFormat="false" ht="17.15" hidden="false" customHeight="false" outlineLevel="0" collapsed="false">
      <c r="A383" s="0" t="s">
        <v>535</v>
      </c>
      <c r="B383" s="0" t="s">
        <v>194</v>
      </c>
      <c r="D383" s="22" t="n">
        <f aca="false">D378*D382*D379</f>
        <v>17.5154</v>
      </c>
      <c r="E383" s="22" t="n">
        <f aca="false">E378*E382*E379</f>
        <v>43.7971299774068</v>
      </c>
      <c r="F383" s="22" t="n">
        <f aca="false">F378*F382*F379</f>
        <v>56.7524813902912</v>
      </c>
      <c r="G383" s="22" t="n">
        <f aca="false">G378*G382*G379</f>
        <v>65.7982545639436</v>
      </c>
    </row>
    <row r="384" customFormat="false" ht="17.15" hidden="false" customHeight="false" outlineLevel="0" collapsed="false">
      <c r="A384" s="5" t="s">
        <v>536</v>
      </c>
    </row>
    <row r="385" customFormat="false" ht="17.15" hidden="false" customHeight="false" outlineLevel="0" collapsed="false">
      <c r="A385" s="3" t="s">
        <v>537</v>
      </c>
      <c r="B385" s="0" t="s">
        <v>67</v>
      </c>
      <c r="D385" s="17" t="n">
        <f aca="false">1</f>
        <v>1</v>
      </c>
      <c r="E385" s="17" t="n">
        <f aca="false">cx_27</f>
        <v>1.7</v>
      </c>
      <c r="F385" s="17" t="n">
        <f aca="false">cx_28</f>
        <v>2.4</v>
      </c>
      <c r="G385" s="17" t="n">
        <f aca="false">cx_29</f>
        <v>3</v>
      </c>
      <c r="K385" s="7" t="s">
        <v>538</v>
      </c>
    </row>
    <row r="386" customFormat="false" ht="17.15" hidden="false" customHeight="false" outlineLevel="0" collapsed="false">
      <c r="A386" s="3" t="s">
        <v>539</v>
      </c>
      <c r="B386" s="0" t="s">
        <v>194</v>
      </c>
      <c r="D386" s="22" t="n">
        <f aca="false">a26_rev*D385*D379</f>
        <v>28.126</v>
      </c>
      <c r="E386" s="22" t="n">
        <f aca="false">a26_rev*E385*E379</f>
        <v>49.248626</v>
      </c>
      <c r="F386" s="22" t="n">
        <f aca="false">a26_rev*F385*F379</f>
        <v>68.852448</v>
      </c>
      <c r="G386" s="22" t="n">
        <f aca="false">a26_rev*G385*G379</f>
        <v>84.378</v>
      </c>
    </row>
    <row r="387" customFormat="false" ht="17.15" hidden="false" customHeight="false" outlineLevel="0" collapsed="false">
      <c r="A387" s="3" t="s">
        <v>540</v>
      </c>
      <c r="B387" s="0" t="s">
        <v>194</v>
      </c>
      <c r="C387" s="22" t="n">
        <f aca="false">a25_nai</f>
        <v>10.6106</v>
      </c>
      <c r="D387" s="22" t="n">
        <f aca="false">a26_nai</f>
        <v>10.6106</v>
      </c>
      <c r="E387" s="22" t="n">
        <f aca="false">D387*(1+g_nai27)</f>
        <v>10.6106</v>
      </c>
      <c r="F387" s="22" t="n">
        <f aca="false">E387*(1+g_nai28)</f>
        <v>10.6106</v>
      </c>
      <c r="G387" s="22" t="n">
        <f aca="false">F387*(1+g_nai29)</f>
        <v>10.6106</v>
      </c>
    </row>
    <row r="388" customFormat="false" ht="17.15" hidden="false" customHeight="false" outlineLevel="0" collapsed="false">
      <c r="A388" s="0" t="s">
        <v>541</v>
      </c>
      <c r="B388" s="0" t="s">
        <v>194</v>
      </c>
      <c r="C388" s="22" t="n">
        <f aca="false">a25_ai</f>
        <v>8.6814</v>
      </c>
      <c r="D388" s="22" t="n">
        <f aca="false">D383</f>
        <v>17.5154</v>
      </c>
      <c r="E388" s="22" t="n">
        <f aca="false">MIN(E383,E386-E387)</f>
        <v>38.638026</v>
      </c>
      <c r="F388" s="22" t="n">
        <f aca="false">MIN(F383,F386-F387)</f>
        <v>56.7524813902912</v>
      </c>
      <c r="G388" s="22" t="n">
        <f aca="false">MIN(G383,G386-G387)</f>
        <v>65.7982545639436</v>
      </c>
      <c r="K388" s="3" t="s">
        <v>542</v>
      </c>
    </row>
    <row r="389" customFormat="false" ht="15" hidden="false" customHeight="false" outlineLevel="0" collapsed="false">
      <c r="A389" s="3" t="s">
        <v>543</v>
      </c>
      <c r="E389" s="0" t="str">
        <f aca="false">IF(E383&gt;E386-E387+0.0001,"受限","未受限")</f>
        <v>受限</v>
      </c>
      <c r="F389" s="0" t="str">
        <f aca="false">IF(F383&gt;F386-F387+0.0001,"受限","未受限")</f>
        <v>未受限</v>
      </c>
      <c r="G389" s="0" t="str">
        <f aca="false">IF(G383&gt;G386-G387+0.0001,"受限","未受限")</f>
        <v>未受限</v>
      </c>
    </row>
    <row r="390" customFormat="false" ht="17.15" hidden="false" customHeight="false" outlineLevel="0" collapsed="false">
      <c r="A390" s="3" t="s">
        <v>414</v>
      </c>
      <c r="B390" s="0" t="s">
        <v>194</v>
      </c>
      <c r="C390" s="22" t="n">
        <f aca="false">C388+C387</f>
        <v>19.292</v>
      </c>
      <c r="D390" s="22" t="n">
        <f aca="false">D388+D387</f>
        <v>28.126</v>
      </c>
      <c r="E390" s="22" t="n">
        <f aca="false">E388+E387</f>
        <v>49.248626</v>
      </c>
      <c r="F390" s="22" t="n">
        <f aca="false">F388+F387</f>
        <v>67.3630813902912</v>
      </c>
      <c r="G390" s="22" t="n">
        <f aca="false">G388+G387</f>
        <v>76.4088545639436</v>
      </c>
      <c r="H390" s="24" t="n">
        <f aca="false">G390*(1+H391)</f>
        <v>84.7773478697719</v>
      </c>
      <c r="I390" s="24" t="n">
        <f aca="false">H390*(1+I391)</f>
        <v>91.9631843609928</v>
      </c>
      <c r="J390" s="24" t="n">
        <f aca="false">I390*(1+J391)</f>
        <v>97.4809754226523</v>
      </c>
      <c r="K390" s="7" t="s">
        <v>544</v>
      </c>
    </row>
    <row r="391" customFormat="false" ht="15" hidden="false" customHeight="false" outlineLevel="0" collapsed="false">
      <c r="A391" s="3" t="s">
        <v>545</v>
      </c>
      <c r="B391" s="0" t="s">
        <v>54</v>
      </c>
      <c r="D391" s="13" t="n">
        <f aca="false">D390/C390-1</f>
        <v>0.457910014513788</v>
      </c>
      <c r="E391" s="13" t="n">
        <f aca="false">E390/D390-1</f>
        <v>0.751</v>
      </c>
      <c r="F391" s="13" t="n">
        <f aca="false">F390/E390-1</f>
        <v>0.367816462337269</v>
      </c>
      <c r="G391" s="13" t="n">
        <f aca="false">G390/F390-1</f>
        <v>0.134283838965777</v>
      </c>
      <c r="H391" s="25" t="n">
        <f aca="false">$G391+(fade_gA-$G391)*1/3</f>
        <v>0.109522559310518</v>
      </c>
      <c r="I391" s="25" t="n">
        <f aca="false">$G391+(fade_gA-$G391)*2/3</f>
        <v>0.0847612796552589</v>
      </c>
      <c r="J391" s="25" t="n">
        <f aca="false">$G391+(fade_gA-$G391)*3/3</f>
        <v>0.06</v>
      </c>
    </row>
    <row r="392" customFormat="false" ht="17.15" hidden="false" customHeight="false" outlineLevel="0" collapsed="false">
      <c r="A392" s="0" t="s">
        <v>546</v>
      </c>
      <c r="B392" s="0" t="s">
        <v>54</v>
      </c>
      <c r="C392" s="13" t="n">
        <f aca="false">C388/C390</f>
        <v>0.45</v>
      </c>
      <c r="D392" s="13" t="n">
        <f aca="false">D388/D390</f>
        <v>0.622747635639622</v>
      </c>
      <c r="E392" s="13" t="n">
        <f aca="false">E388/E390</f>
        <v>0.784550334460092</v>
      </c>
      <c r="F392" s="13" t="n">
        <f aca="false">F388/F390</f>
        <v>0.842486421627244</v>
      </c>
      <c r="G392" s="13" t="n">
        <f aca="false">G388/G390</f>
        <v>0.861133895272302</v>
      </c>
    </row>
    <row r="393" customFormat="false" ht="17.15" hidden="false" customHeight="false" outlineLevel="0" collapsed="false">
      <c r="A393" s="3" t="s">
        <v>547</v>
      </c>
      <c r="B393" s="0" t="s">
        <v>54</v>
      </c>
      <c r="D393" s="13" t="n">
        <f aca="false">(D383+D387)/D386</f>
        <v>1</v>
      </c>
      <c r="E393" s="13" t="n">
        <f aca="false">(E383+E387)/E386</f>
        <v>1.10475630279324</v>
      </c>
      <c r="F393" s="13" t="n">
        <f aca="false">(F383+F387)/F386</f>
        <v>0.978368719588463</v>
      </c>
      <c r="G393" s="13" t="n">
        <f aca="false">(G383+G387)/G386</f>
        <v>0.905554226977928</v>
      </c>
      <c r="K393" s="3" t="s">
        <v>548</v>
      </c>
    </row>
    <row r="394" customFormat="false" ht="17.15" hidden="false" customHeight="false" outlineLevel="0" collapsed="false">
      <c r="A394" s="3" t="s">
        <v>489</v>
      </c>
      <c r="B394" s="0" t="s">
        <v>95</v>
      </c>
      <c r="D394" s="21" t="n">
        <f aca="false">D388/fx/D372*1000</f>
        <v>111.38930728666</v>
      </c>
      <c r="E394" s="21" t="n">
        <f aca="false">E388/fx/E372*1000</f>
        <v>138.058889710991</v>
      </c>
      <c r="F394" s="21" t="n">
        <f aca="false">F388/fx/F372*1000</f>
        <v>159.972867552809</v>
      </c>
      <c r="G394" s="21" t="n">
        <f aca="false">G388/fx/G372*1000</f>
        <v>162.814037484001</v>
      </c>
    </row>
    <row r="395" customFormat="false" ht="17.15" hidden="false" customHeight="false" outlineLevel="0" collapsed="false">
      <c r="A395" s="5" t="s">
        <v>549</v>
      </c>
    </row>
    <row r="396" customFormat="false" ht="17.15" hidden="false" customHeight="false" outlineLevel="0" collapsed="false">
      <c r="A396" s="3" t="s">
        <v>550</v>
      </c>
      <c r="B396" s="0" t="s">
        <v>54</v>
      </c>
      <c r="D396" s="13" t="n">
        <f aca="false">a26_gp/D390-d_ai*D392</f>
        <v>0.237492000284434</v>
      </c>
      <c r="K396" s="7" t="s">
        <v>551</v>
      </c>
    </row>
    <row r="397" customFormat="false" ht="17.15" hidden="false" customHeight="false" outlineLevel="0" collapsed="false">
      <c r="A397" s="0" t="s">
        <v>552</v>
      </c>
      <c r="B397" s="0" t="s">
        <v>54</v>
      </c>
      <c r="D397" s="13" t="n">
        <f aca="false">D396+d_ai</f>
        <v>0.387492000284434</v>
      </c>
      <c r="E397" s="13" t="n">
        <f aca="false">1-(1-$D$397)/E379+gmu_27</f>
        <v>0.415332039111101</v>
      </c>
      <c r="F397" s="13" t="n">
        <f aca="false">1-(1-$D$397)/F379+gmu_28</f>
        <v>0.419501961063171</v>
      </c>
      <c r="G397" s="13" t="n">
        <f aca="false">1-(1-$D$397)/G379+gmu_29</f>
        <v>0.417492000284434</v>
      </c>
      <c r="K397" s="7" t="s">
        <v>553</v>
      </c>
    </row>
    <row r="398" customFormat="false" ht="15" hidden="false" customHeight="false" outlineLevel="0" collapsed="false">
      <c r="A398" s="3" t="s">
        <v>418</v>
      </c>
      <c r="B398" s="0" t="s">
        <v>194</v>
      </c>
      <c r="C398" s="22" t="n">
        <f aca="false">a25_gp</f>
        <v>6.7946424</v>
      </c>
      <c r="D398" s="22" t="n">
        <f aca="false">a26_gp</f>
        <v>9.30701</v>
      </c>
      <c r="E398" s="22" t="n">
        <f aca="false">E388*E397+E387*$D$396</f>
        <v>18.5675427440258</v>
      </c>
      <c r="F398" s="22" t="n">
        <f aca="false">F388*F397+F387*$D$396</f>
        <v>26.3277098566463</v>
      </c>
      <c r="G398" s="22" t="n">
        <f aca="false">G388*G397+G387*$D$396</f>
        <v>29.9901775313433</v>
      </c>
    </row>
    <row r="399" customFormat="false" ht="15" hidden="false" customHeight="false" outlineLevel="0" collapsed="false">
      <c r="A399" s="3" t="s">
        <v>421</v>
      </c>
      <c r="B399" s="0" t="s">
        <v>54</v>
      </c>
      <c r="C399" s="13" t="n">
        <f aca="false">C398/C390</f>
        <v>0.3522</v>
      </c>
      <c r="D399" s="13" t="n">
        <f aca="false">D398/D390</f>
        <v>0.330904145630378</v>
      </c>
      <c r="E399" s="13" t="n">
        <f aca="false">E398/E390</f>
        <v>0.377016462226292</v>
      </c>
      <c r="F399" s="13" t="n">
        <f aca="false">F398/F390</f>
        <v>0.390832920841427</v>
      </c>
      <c r="G399" s="13" t="n">
        <f aca="false">G398/G390</f>
        <v>0.392496101433449</v>
      </c>
    </row>
    <row r="400" customFormat="false" ht="17.15" hidden="false" customHeight="false" outlineLevel="0" collapsed="false">
      <c r="A400" s="3" t="s">
        <v>554</v>
      </c>
      <c r="B400" s="0" t="s">
        <v>194</v>
      </c>
      <c r="C400" s="22" t="n">
        <f aca="false">a25_opx</f>
        <v>1.6466424</v>
      </c>
      <c r="D400" s="22" t="n">
        <f aca="false">a26_opx</f>
        <v>1.827905</v>
      </c>
      <c r="E400" s="22" t="n">
        <f aca="false">D400*(1+MAX(0,phi*E391))</f>
        <v>2.651558993</v>
      </c>
      <c r="F400" s="22" t="n">
        <f aca="false">E400*(1+MAX(0,phi*F391))</f>
        <v>3.2367312220903</v>
      </c>
      <c r="G400" s="22" t="n">
        <f aca="false">F400*(1+MAX(0,phi*G391))</f>
        <v>3.4975156386119</v>
      </c>
      <c r="K400" s="7" t="s">
        <v>555</v>
      </c>
    </row>
    <row r="401" customFormat="false" ht="15" hidden="false" customHeight="false" outlineLevel="0" collapsed="false">
      <c r="A401" s="3" t="s">
        <v>423</v>
      </c>
      <c r="B401" s="0" t="s">
        <v>194</v>
      </c>
      <c r="C401" s="22" t="n">
        <f aca="false">C400</f>
        <v>1.6466424</v>
      </c>
      <c r="D401" s="22" t="n">
        <f aca="false">D400</f>
        <v>1.827905</v>
      </c>
      <c r="E401" s="22" t="n">
        <f aca="false">E400+0*E390</f>
        <v>2.651558993</v>
      </c>
      <c r="F401" s="22" t="n">
        <f aca="false">F400+0*F390</f>
        <v>3.2367312220903</v>
      </c>
      <c r="G401" s="22" t="n">
        <f aca="false">G400+0*G390</f>
        <v>3.4975156386119</v>
      </c>
    </row>
    <row r="402" customFormat="false" ht="15" hidden="false" customHeight="false" outlineLevel="0" collapsed="false">
      <c r="A402" s="3" t="s">
        <v>556</v>
      </c>
      <c r="B402" s="0" t="s">
        <v>194</v>
      </c>
      <c r="C402" s="22" t="n">
        <f aca="false">C398-C401</f>
        <v>5.148</v>
      </c>
      <c r="D402" s="22" t="n">
        <f aca="false">D398-D401</f>
        <v>7.479105</v>
      </c>
      <c r="E402" s="22" t="n">
        <f aca="false">E398-E401</f>
        <v>15.9159837510258</v>
      </c>
      <c r="F402" s="22" t="n">
        <f aca="false">F398-F401</f>
        <v>23.090978634556</v>
      </c>
      <c r="G402" s="22" t="n">
        <f aca="false">G398-G401</f>
        <v>26.4926618927313</v>
      </c>
    </row>
    <row r="403" customFormat="false" ht="15" hidden="false" customHeight="false" outlineLevel="0" collapsed="false">
      <c r="A403" s="3" t="s">
        <v>429</v>
      </c>
      <c r="B403" s="0" t="s">
        <v>54</v>
      </c>
      <c r="C403" s="13" t="n">
        <f aca="false">C402/C390</f>
        <v>0.266846361185984</v>
      </c>
      <c r="D403" s="13" t="n">
        <f aca="false">D402/D390</f>
        <v>0.265914278603427</v>
      </c>
      <c r="E403" s="13" t="n">
        <f aca="false">E402/E390</f>
        <v>0.323176198885747</v>
      </c>
      <c r="F403" s="13" t="n">
        <f aca="false">F402/F390</f>
        <v>0.342783883367366</v>
      </c>
      <c r="G403" s="13" t="n">
        <f aca="false">G402/G390</f>
        <v>0.346722405981897</v>
      </c>
    </row>
    <row r="404" customFormat="false" ht="17.15" hidden="false" customHeight="false" outlineLevel="0" collapsed="false">
      <c r="A404" s="3" t="s">
        <v>430</v>
      </c>
      <c r="B404" s="0" t="s">
        <v>194</v>
      </c>
      <c r="E404" s="22" t="n">
        <f aca="false">nop_f</f>
        <v>-0.2</v>
      </c>
      <c r="F404" s="22" t="n">
        <f aca="false">nop_f</f>
        <v>-0.2</v>
      </c>
      <c r="G404" s="22" t="n">
        <f aca="false">nop_f</f>
        <v>-0.2</v>
      </c>
      <c r="K404" s="7" t="s">
        <v>557</v>
      </c>
    </row>
    <row r="405" customFormat="false" ht="15" hidden="false" customHeight="false" outlineLevel="0" collapsed="false">
      <c r="A405" s="3" t="s">
        <v>436</v>
      </c>
      <c r="B405" s="0" t="s">
        <v>194</v>
      </c>
      <c r="C405" s="22" t="n">
        <f aca="false">a25_ni</f>
        <v>4.312</v>
      </c>
      <c r="D405" s="22" t="n">
        <f aca="false">a26_ni</f>
        <v>6.5441924845173</v>
      </c>
      <c r="E405" s="22" t="n">
        <f aca="false">(E402+E404)*nir_f</f>
        <v>13.6257579121393</v>
      </c>
      <c r="F405" s="22" t="n">
        <f aca="false">(F402+F404)*nir_f</f>
        <v>19.8464784761601</v>
      </c>
      <c r="G405" s="22" t="n">
        <f aca="false">(G402+G404)*nir_f</f>
        <v>22.7957378609981</v>
      </c>
      <c r="H405" s="24" t="n">
        <f aca="false">H390*H410</f>
        <v>24.4193281434829</v>
      </c>
      <c r="I405" s="24" t="n">
        <f aca="false">I390*I410</f>
        <v>25.5420829244542</v>
      </c>
      <c r="J405" s="24" t="n">
        <f aca="false">J390*J410</f>
        <v>26.0707256558819</v>
      </c>
    </row>
    <row r="406" customFormat="false" ht="17.15" hidden="false" customHeight="false" outlineLevel="0" collapsed="false">
      <c r="A406" s="3" t="s">
        <v>439</v>
      </c>
      <c r="B406" s="0" t="s">
        <v>54</v>
      </c>
      <c r="C406" s="13" t="n">
        <f aca="false">C405/C402</f>
        <v>0.837606837606838</v>
      </c>
      <c r="D406" s="13" t="n">
        <f aca="false">D405/D402</f>
        <v>0.874996738850077</v>
      </c>
      <c r="E406" s="13" t="n">
        <f aca="false">E405/E402</f>
        <v>0.856105291717276</v>
      </c>
      <c r="F406" s="13" t="n">
        <f aca="false">F405/F402</f>
        <v>0.859490573797487</v>
      </c>
      <c r="G406" s="13" t="n">
        <f aca="false">G405/G402</f>
        <v>0.860454791341765</v>
      </c>
    </row>
    <row r="407" customFormat="false" ht="17.15" hidden="false" customHeight="false" outlineLevel="0" collapsed="false">
      <c r="A407" s="3" t="s">
        <v>558</v>
      </c>
      <c r="B407" s="3" t="s">
        <v>222</v>
      </c>
      <c r="C407" s="27" t="n">
        <f aca="false">a25_sh</f>
        <v>0.860678642714571</v>
      </c>
      <c r="D407" s="27" t="n">
        <f aca="false">a26_sh</f>
        <v>0.946074458598726</v>
      </c>
      <c r="E407" s="27" t="n">
        <f aca="false">sh_h2*(1+sh_g)</f>
        <v>0.98234</v>
      </c>
      <c r="F407" s="27" t="n">
        <f aca="false">E407*(1+sh_g)</f>
        <v>0.98234</v>
      </c>
      <c r="G407" s="27" t="n">
        <f aca="false">F407*(1+sh_g)</f>
        <v>0.98234</v>
      </c>
      <c r="H407" s="28" t="n">
        <f aca="false">G407*(1+sh_g)</f>
        <v>0.98234</v>
      </c>
      <c r="I407" s="28" t="n">
        <f aca="false">H407*(1+sh_g)</f>
        <v>0.98234</v>
      </c>
      <c r="J407" s="28" t="n">
        <f aca="false">I407*(1+sh_g)</f>
        <v>0.98234</v>
      </c>
      <c r="K407" s="7" t="s">
        <v>559</v>
      </c>
    </row>
    <row r="408" customFormat="false" ht="15" hidden="false" customHeight="false" outlineLevel="0" collapsed="false">
      <c r="A408" s="0" t="s">
        <v>442</v>
      </c>
      <c r="B408" s="0" t="s">
        <v>258</v>
      </c>
      <c r="C408" s="23" t="n">
        <f aca="false">C405/C407</f>
        <v>5.01</v>
      </c>
      <c r="D408" s="23" t="n">
        <f aca="false">D405/D407</f>
        <v>6.91720659514496</v>
      </c>
      <c r="E408" s="23" t="n">
        <f aca="false">E405/E407</f>
        <v>13.8707147343479</v>
      </c>
      <c r="F408" s="23" t="n">
        <f aca="false">F405/F407</f>
        <v>20.2032681924385</v>
      </c>
      <c r="G408" s="23" t="n">
        <f aca="false">G405/G407</f>
        <v>23.2055478357779</v>
      </c>
      <c r="H408" s="29" t="n">
        <f aca="false">H405/H407</f>
        <v>24.8583261838904</v>
      </c>
      <c r="I408" s="29" t="n">
        <f aca="false">I405/I407</f>
        <v>26.0012652691066</v>
      </c>
      <c r="J408" s="29" t="n">
        <f aca="false">J405/J407</f>
        <v>26.5394116659017</v>
      </c>
    </row>
    <row r="409" customFormat="false" ht="17.15" hidden="false" customHeight="false" outlineLevel="0" collapsed="false">
      <c r="A409" s="0" t="s">
        <v>560</v>
      </c>
      <c r="B409" s="0" t="s">
        <v>54</v>
      </c>
      <c r="D409" s="13" t="n">
        <f aca="false">D408/C408-1</f>
        <v>0.38067995911077</v>
      </c>
      <c r="E409" s="13" t="n">
        <f aca="false">E408/D408-1</f>
        <v>1.00524800633879</v>
      </c>
      <c r="F409" s="13" t="n">
        <f aca="false">F408/E408-1</f>
        <v>0.456541251072618</v>
      </c>
      <c r="G409" s="13" t="n">
        <f aca="false">G408/F408-1</f>
        <v>0.148603662275941</v>
      </c>
      <c r="H409" s="25" t="n">
        <f aca="false">H408/G408-1</f>
        <v>0.0712234143235464</v>
      </c>
      <c r="I409" s="25" t="n">
        <f aca="false">I408/H408-1</f>
        <v>0.0459781192330193</v>
      </c>
      <c r="J409" s="25" t="n">
        <f aca="false">J408/I408-1</f>
        <v>0.0206969311387519</v>
      </c>
    </row>
    <row r="410" customFormat="false" ht="17.15" hidden="false" customHeight="false" outlineLevel="0" collapsed="false">
      <c r="A410" s="3" t="s">
        <v>561</v>
      </c>
      <c r="B410" s="0" t="s">
        <v>54</v>
      </c>
      <c r="C410" s="13" t="n">
        <f aca="false">C405/C390</f>
        <v>0.223512336719884</v>
      </c>
      <c r="D410" s="13" t="n">
        <f aca="false">D405/D390</f>
        <v>0.23267412659167</v>
      </c>
      <c r="E410" s="13" t="n">
        <f aca="false">E405/E390</f>
        <v>0.276672854023163</v>
      </c>
      <c r="F410" s="13" t="n">
        <f aca="false">F405/F390</f>
        <v>0.294619516603949</v>
      </c>
      <c r="G410" s="13" t="n">
        <f aca="false">G405/G390</f>
        <v>0.298338955492668</v>
      </c>
      <c r="H410" s="25" t="n">
        <f aca="false">$G410+(fade_mA-$G410)*1/3</f>
        <v>0.2880407179167</v>
      </c>
      <c r="I410" s="25" t="n">
        <f aca="false">$G410+(fade_mA-$G410)*2/3</f>
        <v>0.277742480340732</v>
      </c>
      <c r="J410" s="25" t="n">
        <f aca="false">$G410+(fade_mA-$G410)*3/3</f>
        <v>0.267444242764765</v>
      </c>
    </row>
    <row r="413" customFormat="false" ht="17.15" hidden="false" customHeight="false" outlineLevel="0" collapsed="false">
      <c r="A413" s="1" t="s">
        <v>895</v>
      </c>
    </row>
    <row r="414" customFormat="false" ht="17.15" hidden="false" customHeight="false" outlineLevel="0" collapsed="false">
      <c r="A414" s="4" t="s">
        <v>23</v>
      </c>
      <c r="B414" s="4" t="s">
        <v>24</v>
      </c>
      <c r="C414" s="14" t="s">
        <v>409</v>
      </c>
      <c r="D414" s="14" t="s">
        <v>502</v>
      </c>
      <c r="E414" s="14" t="s">
        <v>503</v>
      </c>
      <c r="F414" s="14" t="s">
        <v>504</v>
      </c>
      <c r="G414" s="14" t="s">
        <v>505</v>
      </c>
      <c r="H414" s="14" t="s">
        <v>506</v>
      </c>
      <c r="I414" s="14" t="s">
        <v>507</v>
      </c>
      <c r="J414" s="14" t="s">
        <v>508</v>
      </c>
      <c r="K414" s="4" t="s">
        <v>391</v>
      </c>
    </row>
    <row r="415" customFormat="false" ht="17.15" hidden="false" customHeight="false" outlineLevel="0" collapsed="false">
      <c r="A415" s="5" t="s">
        <v>524</v>
      </c>
    </row>
    <row r="416" customFormat="false" ht="17.15" hidden="false" customHeight="false" outlineLevel="0" collapsed="false">
      <c r="A416" s="0" t="s">
        <v>525</v>
      </c>
      <c r="B416" s="0" t="s">
        <v>34</v>
      </c>
      <c r="D416" s="23" t="n">
        <f aca="false">itc_26*1</f>
        <v>781.872916666666</v>
      </c>
      <c r="E416" s="23" t="n">
        <f aca="false">itc_27*1*1</f>
        <v>1565.35</v>
      </c>
      <c r="F416" s="23" t="n">
        <f aca="false">itc_28*um28_A*1</f>
        <v>1984.26388888889</v>
      </c>
      <c r="G416" s="23" t="n">
        <f aca="false">itc_29*um29_A*1</f>
        <v>2260.39027777778</v>
      </c>
    </row>
    <row r="417" customFormat="false" ht="17.15" hidden="false" customHeight="false" outlineLevel="0" collapsed="false">
      <c r="A417" s="3" t="s">
        <v>526</v>
      </c>
      <c r="B417" s="0" t="s">
        <v>34</v>
      </c>
      <c r="D417" s="23" t="n">
        <f aca="false">itpg_gb*(1-vr26)+itpg_vr*vr26</f>
        <v>33.41403216</v>
      </c>
      <c r="E417" s="23" t="n">
        <f aca="false">itpg_vr</f>
        <v>37.586352</v>
      </c>
      <c r="F417" s="23" t="n">
        <f aca="false">itpg_vr</f>
        <v>37.586352</v>
      </c>
      <c r="G417" s="23" t="n">
        <f aca="false">itpg_vr</f>
        <v>37.586352</v>
      </c>
    </row>
    <row r="418" customFormat="false" ht="17.15" hidden="false" customHeight="false" outlineLevel="0" collapsed="false">
      <c r="A418" s="3" t="s">
        <v>527</v>
      </c>
      <c r="B418" s="0" t="s">
        <v>468</v>
      </c>
      <c r="D418" s="20" t="n">
        <f aca="false">D416/D417</f>
        <v>23.3995380420639</v>
      </c>
      <c r="E418" s="20" t="n">
        <f aca="false">E416/E417</f>
        <v>41.6467658260637</v>
      </c>
      <c r="F418" s="20" t="n">
        <f aca="false">F416/F417</f>
        <v>52.792138191248</v>
      </c>
      <c r="G418" s="20" t="n">
        <f aca="false">G416/G417</f>
        <v>60.1385917361116</v>
      </c>
    </row>
    <row r="419" customFormat="false" ht="17.15" hidden="false" customHeight="false" outlineLevel="0" collapsed="false">
      <c r="A419" s="3" t="s">
        <v>470</v>
      </c>
      <c r="B419" s="0" t="s">
        <v>95</v>
      </c>
      <c r="D419" s="21" t="n">
        <f aca="false">cmp_26</f>
        <v>280</v>
      </c>
      <c r="E419" s="21" t="n">
        <f aca="false">cmp_26*cmpx_27</f>
        <v>420</v>
      </c>
      <c r="F419" s="21" t="n">
        <f aca="false">cmp_26*cmpx_28</f>
        <v>462</v>
      </c>
      <c r="G419" s="21" t="n">
        <f aca="false">cmp_26*cmpx_29</f>
        <v>504</v>
      </c>
    </row>
    <row r="420" customFormat="false" ht="17.15" hidden="false" customHeight="false" outlineLevel="0" collapsed="false">
      <c r="A420" s="3" t="s">
        <v>472</v>
      </c>
      <c r="B420" s="0" t="s">
        <v>95</v>
      </c>
      <c r="D420" s="21" t="n">
        <f aca="false">sw_26</f>
        <v>120</v>
      </c>
      <c r="E420" s="21" t="n">
        <f aca="false">sw_26*swx_27</f>
        <v>162</v>
      </c>
      <c r="F420" s="21" t="n">
        <f aca="false">sw_26*swx_28</f>
        <v>180</v>
      </c>
      <c r="G420" s="21" t="n">
        <f aca="false">sw_26*swx_29</f>
        <v>198</v>
      </c>
    </row>
    <row r="421" customFormat="false" ht="17.15" hidden="false" customHeight="false" outlineLevel="0" collapsed="false">
      <c r="A421" s="3" t="s">
        <v>473</v>
      </c>
      <c r="B421" s="0" t="s">
        <v>95</v>
      </c>
      <c r="D421" s="21" t="n">
        <f aca="false">mid_26</f>
        <v>50</v>
      </c>
      <c r="E421" s="21" t="n">
        <f aca="false">mid_26*midx_27</f>
        <v>100</v>
      </c>
      <c r="F421" s="21" t="n">
        <f aca="false">mid_26*midx_28</f>
        <v>150</v>
      </c>
      <c r="G421" s="21" t="n">
        <f aca="false">mid_26*midx_29</f>
        <v>175</v>
      </c>
    </row>
    <row r="422" customFormat="false" ht="17.15" hidden="false" customHeight="false" outlineLevel="0" collapsed="false">
      <c r="A422" s="3" t="s">
        <v>528</v>
      </c>
      <c r="B422" s="0" t="s">
        <v>95</v>
      </c>
      <c r="D422" s="21" t="n">
        <f aca="false">D419+D420+D421</f>
        <v>450</v>
      </c>
      <c r="E422" s="21" t="n">
        <f aca="false">E419+E420+E421</f>
        <v>682</v>
      </c>
      <c r="F422" s="21" t="n">
        <f aca="false">F419+F420+F421</f>
        <v>792</v>
      </c>
      <c r="G422" s="21" t="n">
        <f aca="false">G419+G420+G421</f>
        <v>877</v>
      </c>
    </row>
    <row r="423" customFormat="false" ht="17.15" hidden="false" customHeight="false" outlineLevel="0" collapsed="false">
      <c r="A423" s="0" t="s">
        <v>529</v>
      </c>
      <c r="B423" s="0" t="s">
        <v>34</v>
      </c>
      <c r="D423" s="23" t="n">
        <f aca="false">D418*D422/1000</f>
        <v>10.5297921189287</v>
      </c>
      <c r="E423" s="23" t="n">
        <f aca="false">E418*E422/1000</f>
        <v>28.4030942933754</v>
      </c>
      <c r="F423" s="23" t="n">
        <f aca="false">F418*F422/1000</f>
        <v>41.8113734474684</v>
      </c>
      <c r="G423" s="23" t="n">
        <f aca="false">G418*G422/1000</f>
        <v>52.7415449525698</v>
      </c>
    </row>
    <row r="424" customFormat="false" ht="17.15" hidden="false" customHeight="false" outlineLevel="0" collapsed="false">
      <c r="A424" s="0" t="s">
        <v>530</v>
      </c>
      <c r="B424" s="0" t="s">
        <v>194</v>
      </c>
      <c r="D424" s="22" t="n">
        <f aca="false">D423*fx</f>
        <v>70.7602030392012</v>
      </c>
      <c r="E424" s="22" t="n">
        <f aca="false">E423*fx</f>
        <v>190.868793651483</v>
      </c>
      <c r="F424" s="22" t="n">
        <f aca="false">F423*fx</f>
        <v>280.972429566988</v>
      </c>
      <c r="G424" s="22" t="n">
        <f aca="false">G423*fx</f>
        <v>354.423182081269</v>
      </c>
    </row>
    <row r="425" customFormat="false" ht="17.15" hidden="false" customHeight="false" outlineLevel="0" collapsed="false">
      <c r="A425" s="0" t="s">
        <v>531</v>
      </c>
      <c r="B425" s="0" t="s">
        <v>67</v>
      </c>
      <c r="D425" s="17" t="n">
        <f aca="false">1</f>
        <v>1</v>
      </c>
      <c r="E425" s="17" t="n">
        <f aca="false">pp_27</f>
        <v>1</v>
      </c>
      <c r="F425" s="17" t="n">
        <f aca="false">pp_28</f>
        <v>0.97</v>
      </c>
      <c r="G425" s="17" t="n">
        <f aca="false">pp_29</f>
        <v>0.94</v>
      </c>
    </row>
    <row r="426" customFormat="false" ht="17.15" hidden="false" customHeight="false" outlineLevel="0" collapsed="false">
      <c r="A426" s="3" t="s">
        <v>532</v>
      </c>
      <c r="B426" s="0" t="s">
        <v>54</v>
      </c>
      <c r="D426" s="13" t="n">
        <f aca="false">a26_ai/D424</f>
        <v>0.247531793970355</v>
      </c>
      <c r="K426" s="7" t="s">
        <v>533</v>
      </c>
    </row>
    <row r="427" customFormat="false" ht="17.15" hidden="false" customHeight="false" outlineLevel="0" collapsed="false">
      <c r="A427" s="3" t="s">
        <v>534</v>
      </c>
      <c r="B427" s="0" t="s">
        <v>67</v>
      </c>
      <c r="D427" s="17" t="n">
        <f aca="false">1</f>
        <v>1</v>
      </c>
      <c r="E427" s="17" t="n">
        <f aca="false">rel_27</f>
        <v>0.9</v>
      </c>
      <c r="F427" s="17" t="n">
        <f aca="false">rel_28</f>
        <v>0.8</v>
      </c>
      <c r="G427" s="17" t="n">
        <f aca="false">rel_29</f>
        <v>0.75</v>
      </c>
    </row>
    <row r="428" customFormat="false" ht="15" hidden="false" customHeight="false" outlineLevel="0" collapsed="false">
      <c r="A428" s="3" t="s">
        <v>485</v>
      </c>
      <c r="B428" s="0" t="s">
        <v>54</v>
      </c>
      <c r="D428" s="13" t="n">
        <f aca="false">$D$426*D427</f>
        <v>0.247531793970355</v>
      </c>
      <c r="E428" s="13" t="n">
        <f aca="false">$D$426*E427</f>
        <v>0.222778614573319</v>
      </c>
      <c r="F428" s="13" t="n">
        <f aca="false">$D$426*F427</f>
        <v>0.198025435176284</v>
      </c>
      <c r="G428" s="13" t="n">
        <f aca="false">$D$426*G427</f>
        <v>0.185648845477766</v>
      </c>
    </row>
    <row r="429" customFormat="false" ht="17.15" hidden="false" customHeight="false" outlineLevel="0" collapsed="false">
      <c r="A429" s="0" t="s">
        <v>535</v>
      </c>
      <c r="B429" s="0" t="s">
        <v>194</v>
      </c>
      <c r="D429" s="22" t="n">
        <f aca="false">D424*D428*D425</f>
        <v>17.5154</v>
      </c>
      <c r="E429" s="22" t="n">
        <f aca="false">E424*E428*E425</f>
        <v>42.5214854149581</v>
      </c>
      <c r="F429" s="22" t="n">
        <f aca="false">F424*F428*F425</f>
        <v>53.9704970084142</v>
      </c>
      <c r="G429" s="22" t="n">
        <f aca="false">G424*G428*G425</f>
        <v>61.850359290107</v>
      </c>
    </row>
    <row r="430" customFormat="false" ht="17.15" hidden="false" customHeight="false" outlineLevel="0" collapsed="false">
      <c r="A430" s="5" t="s">
        <v>536</v>
      </c>
    </row>
    <row r="431" customFormat="false" ht="17.15" hidden="false" customHeight="false" outlineLevel="0" collapsed="false">
      <c r="A431" s="3" t="s">
        <v>537</v>
      </c>
      <c r="B431" s="0" t="s">
        <v>67</v>
      </c>
      <c r="D431" s="17" t="n">
        <f aca="false">1</f>
        <v>1</v>
      </c>
      <c r="E431" s="17" t="n">
        <f aca="false">CAPLO_27</f>
        <v>1.45</v>
      </c>
      <c r="F431" s="17" t="n">
        <f aca="false">CAPLO_28</f>
        <v>1.95</v>
      </c>
      <c r="G431" s="17" t="n">
        <f aca="false">CAPLO_29</f>
        <v>2.4</v>
      </c>
      <c r="K431" s="7" t="s">
        <v>538</v>
      </c>
    </row>
    <row r="432" customFormat="false" ht="17.15" hidden="false" customHeight="false" outlineLevel="0" collapsed="false">
      <c r="A432" s="3" t="s">
        <v>539</v>
      </c>
      <c r="B432" s="0" t="s">
        <v>194</v>
      </c>
      <c r="D432" s="22" t="n">
        <f aca="false">a26_rev*D431*D425</f>
        <v>28.126</v>
      </c>
      <c r="E432" s="22" t="n">
        <f aca="false">a26_rev*E431*E425</f>
        <v>40.7827</v>
      </c>
      <c r="F432" s="22" t="n">
        <f aca="false">a26_rev*F431*F425</f>
        <v>53.200329</v>
      </c>
      <c r="G432" s="22" t="n">
        <f aca="false">a26_rev*G431*G425</f>
        <v>63.452256</v>
      </c>
    </row>
    <row r="433" customFormat="false" ht="17.15" hidden="false" customHeight="false" outlineLevel="0" collapsed="false">
      <c r="A433" s="3" t="s">
        <v>540</v>
      </c>
      <c r="B433" s="0" t="s">
        <v>194</v>
      </c>
      <c r="C433" s="22" t="n">
        <f aca="false">a25_nai</f>
        <v>10.6106</v>
      </c>
      <c r="D433" s="22" t="n">
        <f aca="false">a26_nai</f>
        <v>10.6106</v>
      </c>
      <c r="E433" s="22" t="n">
        <f aca="false">D433*(1+g_nai27)</f>
        <v>10.6106</v>
      </c>
      <c r="F433" s="22" t="n">
        <f aca="false">E433*(1+g_nai28)</f>
        <v>10.6106</v>
      </c>
      <c r="G433" s="22" t="n">
        <f aca="false">F433*(1+g_nai29)</f>
        <v>10.6106</v>
      </c>
    </row>
    <row r="434" customFormat="false" ht="17.15" hidden="false" customHeight="false" outlineLevel="0" collapsed="false">
      <c r="A434" s="0" t="s">
        <v>541</v>
      </c>
      <c r="B434" s="0" t="s">
        <v>194</v>
      </c>
      <c r="C434" s="22" t="n">
        <f aca="false">a25_ai</f>
        <v>8.6814</v>
      </c>
      <c r="D434" s="22" t="n">
        <f aca="false">D429</f>
        <v>17.5154</v>
      </c>
      <c r="E434" s="22" t="n">
        <f aca="false">MIN(E429,E432-E433)</f>
        <v>30.1721</v>
      </c>
      <c r="F434" s="22" t="n">
        <f aca="false">MIN(F429,F432-F433)</f>
        <v>42.589729</v>
      </c>
      <c r="G434" s="22" t="n">
        <f aca="false">MIN(G429,G432-G433)</f>
        <v>52.841656</v>
      </c>
      <c r="K434" s="3" t="s">
        <v>542</v>
      </c>
    </row>
    <row r="435" customFormat="false" ht="15" hidden="false" customHeight="false" outlineLevel="0" collapsed="false">
      <c r="A435" s="3" t="s">
        <v>543</v>
      </c>
      <c r="E435" s="0" t="str">
        <f aca="false">IF(E429&gt;E432-E433+0.0001,"受限","未受限")</f>
        <v>受限</v>
      </c>
      <c r="F435" s="0" t="str">
        <f aca="false">IF(F429&gt;F432-F433+0.0001,"受限","未受限")</f>
        <v>受限</v>
      </c>
      <c r="G435" s="0" t="str">
        <f aca="false">IF(G429&gt;G432-G433+0.0001,"受限","未受限")</f>
        <v>受限</v>
      </c>
    </row>
    <row r="436" customFormat="false" ht="17.15" hidden="false" customHeight="false" outlineLevel="0" collapsed="false">
      <c r="A436" s="3" t="s">
        <v>414</v>
      </c>
      <c r="B436" s="0" t="s">
        <v>194</v>
      </c>
      <c r="C436" s="22" t="n">
        <f aca="false">C434+C433</f>
        <v>19.292</v>
      </c>
      <c r="D436" s="22" t="n">
        <f aca="false">D434+D433</f>
        <v>28.126</v>
      </c>
      <c r="E436" s="22" t="n">
        <f aca="false">E434+E433</f>
        <v>40.7827</v>
      </c>
      <c r="F436" s="22" t="n">
        <f aca="false">F434+F433</f>
        <v>53.200329</v>
      </c>
      <c r="G436" s="22" t="n">
        <f aca="false">G434+G433</f>
        <v>63.452256</v>
      </c>
      <c r="H436" s="24" t="n">
        <f aca="false">G436*(1+H437)</f>
        <v>72.8729787345916</v>
      </c>
      <c r="I436" s="24" t="n">
        <f aca="false">H436*(1+I437)</f>
        <v>80.4688743133979</v>
      </c>
      <c r="J436" s="24" t="n">
        <f aca="false">I436*(1+J437)</f>
        <v>85.2970067722017</v>
      </c>
      <c r="K436" s="7" t="s">
        <v>544</v>
      </c>
    </row>
    <row r="437" customFormat="false" ht="15" hidden="false" customHeight="false" outlineLevel="0" collapsed="false">
      <c r="A437" s="3" t="s">
        <v>545</v>
      </c>
      <c r="B437" s="0" t="s">
        <v>54</v>
      </c>
      <c r="D437" s="13" t="n">
        <f aca="false">D436/C436-1</f>
        <v>0.457910014513788</v>
      </c>
      <c r="E437" s="13" t="n">
        <f aca="false">E436/D436-1</f>
        <v>0.45</v>
      </c>
      <c r="F437" s="13" t="n">
        <f aca="false">F436/E436-1</f>
        <v>0.30448275862069</v>
      </c>
      <c r="G437" s="13" t="n">
        <f aca="false">G436/F436-1</f>
        <v>0.192704203013481</v>
      </c>
      <c r="H437" s="25" t="n">
        <f aca="false">$G437+(fade_gA-$G437)*1/3</f>
        <v>0.148469468675654</v>
      </c>
      <c r="I437" s="25" t="n">
        <f aca="false">$G437+(fade_gA-$G437)*2/3</f>
        <v>0.104234734337827</v>
      </c>
      <c r="J437" s="25" t="n">
        <f aca="false">$G437+(fade_gA-$G437)*3/3</f>
        <v>0.06</v>
      </c>
    </row>
    <row r="438" customFormat="false" ht="17.15" hidden="false" customHeight="false" outlineLevel="0" collapsed="false">
      <c r="A438" s="0" t="s">
        <v>546</v>
      </c>
      <c r="B438" s="0" t="s">
        <v>54</v>
      </c>
      <c r="C438" s="13" t="n">
        <f aca="false">C434/C436</f>
        <v>0.45</v>
      </c>
      <c r="D438" s="13" t="n">
        <f aca="false">D434/D436</f>
        <v>0.622747635639622</v>
      </c>
      <c r="E438" s="13" t="n">
        <f aca="false">E434/E436</f>
        <v>0.739825955613532</v>
      </c>
      <c r="F438" s="13" t="n">
        <f aca="false">F434/F436</f>
        <v>0.800553864995835</v>
      </c>
      <c r="G438" s="13" t="n">
        <f aca="false">G434/G436</f>
        <v>0.832778207287066</v>
      </c>
    </row>
    <row r="439" customFormat="false" ht="17.15" hidden="false" customHeight="false" outlineLevel="0" collapsed="false">
      <c r="A439" s="3" t="s">
        <v>547</v>
      </c>
      <c r="B439" s="0" t="s">
        <v>54</v>
      </c>
      <c r="D439" s="13" t="n">
        <f aca="false">(D429+D433)/D432</f>
        <v>1</v>
      </c>
      <c r="E439" s="13" t="n">
        <f aca="false">(E429+E433)/E432</f>
        <v>1.30280941220071</v>
      </c>
      <c r="F439" s="13" t="n">
        <f aca="false">(F429+F433)/F432</f>
        <v>1.2139228877403</v>
      </c>
      <c r="G439" s="13" t="n">
        <f aca="false">(G429+G433)/G432</f>
        <v>1.14197609128519</v>
      </c>
      <c r="K439" s="3" t="s">
        <v>548</v>
      </c>
    </row>
    <row r="440" customFormat="false" ht="17.15" hidden="false" customHeight="false" outlineLevel="0" collapsed="false">
      <c r="A440" s="3" t="s">
        <v>489</v>
      </c>
      <c r="B440" s="0" t="s">
        <v>95</v>
      </c>
      <c r="D440" s="21" t="n">
        <f aca="false">D434/fx/D418*1000</f>
        <v>111.38930728666</v>
      </c>
      <c r="E440" s="21" t="n">
        <f aca="false">E434/fx/E418*1000</f>
        <v>107.808991749449</v>
      </c>
      <c r="F440" s="21" t="n">
        <f aca="false">F434/fx/F418*1000</f>
        <v>120.051157403535</v>
      </c>
      <c r="G440" s="21" t="n">
        <f aca="false">G434/fx/G418*1000</f>
        <v>130.75367147224</v>
      </c>
    </row>
    <row r="441" customFormat="false" ht="17.15" hidden="false" customHeight="false" outlineLevel="0" collapsed="false">
      <c r="A441" s="5" t="s">
        <v>549</v>
      </c>
    </row>
    <row r="442" customFormat="false" ht="17.15" hidden="false" customHeight="false" outlineLevel="0" collapsed="false">
      <c r="A442" s="3" t="s">
        <v>550</v>
      </c>
      <c r="B442" s="0" t="s">
        <v>54</v>
      </c>
      <c r="D442" s="13" t="n">
        <f aca="false">a26_gp/D436-d_ai*D438</f>
        <v>0.237492000284434</v>
      </c>
      <c r="K442" s="7" t="s">
        <v>551</v>
      </c>
    </row>
    <row r="443" customFormat="false" ht="17.15" hidden="false" customHeight="false" outlineLevel="0" collapsed="false">
      <c r="A443" s="0" t="s">
        <v>552</v>
      </c>
      <c r="B443" s="0" t="s">
        <v>54</v>
      </c>
      <c r="D443" s="13" t="n">
        <f aca="false">D442+d_ai</f>
        <v>0.387492000284434</v>
      </c>
      <c r="E443" s="13" t="n">
        <f aca="false">1-(1-$D$443)/E425+gmu_27</f>
        <v>0.397492000284434</v>
      </c>
      <c r="F443" s="13" t="n">
        <f aca="false">1-(1-$D$443)/F425+gmu_28</f>
        <v>0.388548453901479</v>
      </c>
      <c r="G443" s="13" t="n">
        <f aca="false">1-(1-$D$443)/G425+gmu_29</f>
        <v>0.378395744983441</v>
      </c>
      <c r="K443" s="7" t="s">
        <v>553</v>
      </c>
    </row>
    <row r="444" customFormat="false" ht="15" hidden="false" customHeight="false" outlineLevel="0" collapsed="false">
      <c r="A444" s="3" t="s">
        <v>418</v>
      </c>
      <c r="B444" s="0" t="s">
        <v>194</v>
      </c>
      <c r="C444" s="22" t="n">
        <f aca="false">a25_gp</f>
        <v>6.7946424</v>
      </c>
      <c r="D444" s="22" t="n">
        <f aca="false">a26_gp</f>
        <v>9.30701</v>
      </c>
      <c r="E444" s="22" t="n">
        <f aca="false">E434*E443+E433*$D$442</f>
        <v>14.513101</v>
      </c>
      <c r="F444" s="22" t="n">
        <f aca="false">F434*F443+F433*$D$442</f>
        <v>19.068105973251</v>
      </c>
      <c r="G444" s="22" t="n">
        <f aca="false">G434*G443+G433*$D$442</f>
        <v>22.5149904064967</v>
      </c>
    </row>
    <row r="445" customFormat="false" ht="15" hidden="false" customHeight="false" outlineLevel="0" collapsed="false">
      <c r="A445" s="3" t="s">
        <v>421</v>
      </c>
      <c r="B445" s="0" t="s">
        <v>54</v>
      </c>
      <c r="C445" s="13" t="n">
        <f aca="false">C444/C436</f>
        <v>0.3522</v>
      </c>
      <c r="D445" s="13" t="n">
        <f aca="false">D444/D436</f>
        <v>0.330904145630378</v>
      </c>
      <c r="E445" s="13" t="n">
        <f aca="false">E444/E436</f>
        <v>0.355864153182599</v>
      </c>
      <c r="F445" s="13" t="n">
        <f aca="false">F444/F436</f>
        <v>0.358420828060123</v>
      </c>
      <c r="G445" s="13" t="n">
        <f aca="false">G444/G436</f>
        <v>0.354833568194907</v>
      </c>
    </row>
    <row r="446" customFormat="false" ht="17.15" hidden="false" customHeight="false" outlineLevel="0" collapsed="false">
      <c r="A446" s="3" t="s">
        <v>554</v>
      </c>
      <c r="B446" s="0" t="s">
        <v>194</v>
      </c>
      <c r="C446" s="22" t="n">
        <f aca="false">a25_opx</f>
        <v>1.6466424</v>
      </c>
      <c r="D446" s="22" t="n">
        <f aca="false">a26_opx</f>
        <v>1.827905</v>
      </c>
      <c r="E446" s="22" t="n">
        <f aca="false">D446*(1+MAX(0,phi*E437))</f>
        <v>2.32143935</v>
      </c>
      <c r="F446" s="22" t="n">
        <f aca="false">E446*(1+MAX(0,phi*F437))</f>
        <v>2.74554230435517</v>
      </c>
      <c r="G446" s="22" t="n">
        <f aca="false">F446*(1+MAX(0,phi*G437))</f>
        <v>3.06298882931551</v>
      </c>
      <c r="K446" s="7" t="s">
        <v>555</v>
      </c>
    </row>
    <row r="447" customFormat="false" ht="15" hidden="false" customHeight="false" outlineLevel="0" collapsed="false">
      <c r="A447" s="3" t="s">
        <v>423</v>
      </c>
      <c r="B447" s="0" t="s">
        <v>194</v>
      </c>
      <c r="C447" s="22" t="n">
        <f aca="false">C446</f>
        <v>1.6466424</v>
      </c>
      <c r="D447" s="22" t="n">
        <f aca="false">D446</f>
        <v>1.827905</v>
      </c>
      <c r="E447" s="22" t="n">
        <f aca="false">E446+0*E436</f>
        <v>2.32143935</v>
      </c>
      <c r="F447" s="22" t="n">
        <f aca="false">F446+0*F436</f>
        <v>2.74554230435517</v>
      </c>
      <c r="G447" s="22" t="n">
        <f aca="false">G446+0*G436</f>
        <v>3.06298882931551</v>
      </c>
    </row>
    <row r="448" customFormat="false" ht="15" hidden="false" customHeight="false" outlineLevel="0" collapsed="false">
      <c r="A448" s="3" t="s">
        <v>556</v>
      </c>
      <c r="B448" s="0" t="s">
        <v>194</v>
      </c>
      <c r="C448" s="22" t="n">
        <f aca="false">C444-C447</f>
        <v>5.148</v>
      </c>
      <c r="D448" s="22" t="n">
        <f aca="false">D444-D447</f>
        <v>7.479105</v>
      </c>
      <c r="E448" s="22" t="n">
        <f aca="false">E444-E447</f>
        <v>12.19166165</v>
      </c>
      <c r="F448" s="22" t="n">
        <f aca="false">F444-F447</f>
        <v>16.3225636688958</v>
      </c>
      <c r="G448" s="22" t="n">
        <f aca="false">G444-G447</f>
        <v>19.4520015771812</v>
      </c>
    </row>
    <row r="449" customFormat="false" ht="15" hidden="false" customHeight="false" outlineLevel="0" collapsed="false">
      <c r="A449" s="3" t="s">
        <v>429</v>
      </c>
      <c r="B449" s="0" t="s">
        <v>54</v>
      </c>
      <c r="C449" s="13" t="n">
        <f aca="false">C448/C436</f>
        <v>0.266846361185984</v>
      </c>
      <c r="D449" s="13" t="n">
        <f aca="false">D448/D436</f>
        <v>0.265914278603427</v>
      </c>
      <c r="E449" s="13" t="n">
        <f aca="false">E448/E436</f>
        <v>0.298941993786581</v>
      </c>
      <c r="F449" s="13" t="n">
        <f aca="false">F448/F436</f>
        <v>0.306813209160714</v>
      </c>
      <c r="G449" s="13" t="n">
        <f aca="false">G448/G436</f>
        <v>0.306561228921178</v>
      </c>
    </row>
    <row r="450" customFormat="false" ht="17.15" hidden="false" customHeight="false" outlineLevel="0" collapsed="false">
      <c r="A450" s="3" t="s">
        <v>430</v>
      </c>
      <c r="B450" s="0" t="s">
        <v>194</v>
      </c>
      <c r="E450" s="22" t="n">
        <f aca="false">nop_f</f>
        <v>-0.2</v>
      </c>
      <c r="F450" s="22" t="n">
        <f aca="false">nop_f</f>
        <v>-0.2</v>
      </c>
      <c r="G450" s="22" t="n">
        <f aca="false">nop_f</f>
        <v>-0.2</v>
      </c>
      <c r="K450" s="7" t="s">
        <v>557</v>
      </c>
    </row>
    <row r="451" customFormat="false" ht="15" hidden="false" customHeight="false" outlineLevel="0" collapsed="false">
      <c r="A451" s="3" t="s">
        <v>436</v>
      </c>
      <c r="B451" s="0" t="s">
        <v>194</v>
      </c>
      <c r="C451" s="22" t="n">
        <f aca="false">a25_ni</f>
        <v>4.312</v>
      </c>
      <c r="D451" s="22" t="n">
        <f aca="false">a26_ni</f>
        <v>6.5441924845173</v>
      </c>
      <c r="E451" s="22" t="n">
        <f aca="false">(E448+E450)*nir_f</f>
        <v>10.39677065055</v>
      </c>
      <c r="F451" s="22" t="n">
        <f aca="false">(F448+F450)*nir_f</f>
        <v>13.9782627009327</v>
      </c>
      <c r="G451" s="22" t="n">
        <f aca="false">(G448+G450)*nir_f</f>
        <v>16.6914853674161</v>
      </c>
      <c r="H451" s="24" t="n">
        <f aca="false">H436*H456</f>
        <v>19.2762604261111</v>
      </c>
      <c r="I451" s="24" t="n">
        <f aca="false">I436*I456</f>
        <v>21.4032267337666</v>
      </c>
      <c r="J451" s="24" t="n">
        <f aca="false">J436*J456</f>
        <v>22.8121933862925</v>
      </c>
    </row>
    <row r="452" customFormat="false" ht="17.15" hidden="false" customHeight="false" outlineLevel="0" collapsed="false">
      <c r="A452" s="3" t="s">
        <v>439</v>
      </c>
      <c r="B452" s="0" t="s">
        <v>54</v>
      </c>
      <c r="C452" s="13" t="n">
        <f aca="false">C451/C448</f>
        <v>0.837606837606838</v>
      </c>
      <c r="D452" s="13" t="n">
        <f aca="false">D451/D448</f>
        <v>0.874996738850077</v>
      </c>
      <c r="E452" s="13" t="n">
        <f aca="false">E451/E448</f>
        <v>0.852777164345764</v>
      </c>
      <c r="F452" s="13" t="n">
        <f aca="false">F451/F448</f>
        <v>0.856376668793124</v>
      </c>
      <c r="G452" s="13" t="n">
        <f aca="false">G451/G448</f>
        <v>0.858085750260096</v>
      </c>
    </row>
    <row r="453" customFormat="false" ht="17.15" hidden="false" customHeight="false" outlineLevel="0" collapsed="false">
      <c r="A453" s="3" t="s">
        <v>558</v>
      </c>
      <c r="B453" s="3" t="s">
        <v>222</v>
      </c>
      <c r="C453" s="27" t="n">
        <f aca="false">a25_sh</f>
        <v>0.860678642714571</v>
      </c>
      <c r="D453" s="27" t="n">
        <f aca="false">a26_sh</f>
        <v>0.946074458598726</v>
      </c>
      <c r="E453" s="27" t="n">
        <f aca="false">sh_h2*(1+sh_g)</f>
        <v>0.98234</v>
      </c>
      <c r="F453" s="27" t="n">
        <f aca="false">E453*(1+sh_g)</f>
        <v>0.98234</v>
      </c>
      <c r="G453" s="27" t="n">
        <f aca="false">F453*(1+sh_g)</f>
        <v>0.98234</v>
      </c>
      <c r="H453" s="28" t="n">
        <f aca="false">G453*(1+sh_g)</f>
        <v>0.98234</v>
      </c>
      <c r="I453" s="28" t="n">
        <f aca="false">H453*(1+sh_g)</f>
        <v>0.98234</v>
      </c>
      <c r="J453" s="28" t="n">
        <f aca="false">I453*(1+sh_g)</f>
        <v>0.98234</v>
      </c>
      <c r="K453" s="7" t="s">
        <v>559</v>
      </c>
    </row>
    <row r="454" customFormat="false" ht="15" hidden="false" customHeight="false" outlineLevel="0" collapsed="false">
      <c r="A454" s="0" t="s">
        <v>442</v>
      </c>
      <c r="B454" s="0" t="s">
        <v>258</v>
      </c>
      <c r="C454" s="23" t="n">
        <f aca="false">C451/C453</f>
        <v>5.01</v>
      </c>
      <c r="D454" s="23" t="n">
        <f aca="false">D451/D453</f>
        <v>6.91720659514496</v>
      </c>
      <c r="E454" s="23" t="n">
        <f aca="false">E451/E453</f>
        <v>10.5836784112934</v>
      </c>
      <c r="F454" s="23" t="n">
        <f aca="false">F451/F453</f>
        <v>14.2295566717559</v>
      </c>
      <c r="G454" s="23" t="n">
        <f aca="false">G451/G453</f>
        <v>16.9915562508053</v>
      </c>
      <c r="H454" s="29" t="n">
        <f aca="false">H451/H453</f>
        <v>19.622799057466</v>
      </c>
      <c r="I454" s="29" t="n">
        <f aca="false">I451/I453</f>
        <v>21.7880028643511</v>
      </c>
      <c r="J454" s="29" t="n">
        <f aca="false">J451/J453</f>
        <v>23.2222991899877</v>
      </c>
    </row>
    <row r="455" customFormat="false" ht="17.15" hidden="false" customHeight="false" outlineLevel="0" collapsed="false">
      <c r="A455" s="0" t="s">
        <v>560</v>
      </c>
      <c r="B455" s="0" t="s">
        <v>54</v>
      </c>
      <c r="D455" s="13" t="n">
        <f aca="false">D454/C454-1</f>
        <v>0.38067995911077</v>
      </c>
      <c r="E455" s="13" t="n">
        <f aca="false">E454/D454-1</f>
        <v>0.530050933959657</v>
      </c>
      <c r="F455" s="13" t="n">
        <f aca="false">F454/E454-1</f>
        <v>0.344481201977193</v>
      </c>
      <c r="G455" s="13" t="n">
        <f aca="false">G454/F454-1</f>
        <v>0.194102995810946</v>
      </c>
      <c r="H455" s="25" t="n">
        <f aca="false">H454/G454-1</f>
        <v>0.154855904180991</v>
      </c>
      <c r="I455" s="25" t="n">
        <f aca="false">I454/H454-1</f>
        <v>0.110341231164028</v>
      </c>
      <c r="J455" s="25" t="n">
        <f aca="false">J454/I454-1</f>
        <v>0.0658296372809533</v>
      </c>
    </row>
    <row r="456" customFormat="false" ht="17.15" hidden="false" customHeight="false" outlineLevel="0" collapsed="false">
      <c r="A456" s="3" t="s">
        <v>561</v>
      </c>
      <c r="B456" s="0" t="s">
        <v>54</v>
      </c>
      <c r="C456" s="13" t="n">
        <f aca="false">C451/C436</f>
        <v>0.223512336719884</v>
      </c>
      <c r="D456" s="13" t="n">
        <f aca="false">D451/D436</f>
        <v>0.23267412659167</v>
      </c>
      <c r="E456" s="13" t="n">
        <f aca="false">E451/E436</f>
        <v>0.25493090576519</v>
      </c>
      <c r="F456" s="13" t="n">
        <f aca="false">F451/F436</f>
        <v>0.262747674002781</v>
      </c>
      <c r="G456" s="13" t="n">
        <f aca="false">G451/G436</f>
        <v>0.263055822119486</v>
      </c>
      <c r="H456" s="25" t="n">
        <f aca="false">$G456+(fade_mA-$G456)*1/3</f>
        <v>0.264518629001246</v>
      </c>
      <c r="I456" s="25" t="n">
        <f aca="false">$G456+(fade_mA-$G456)*2/3</f>
        <v>0.265981435883005</v>
      </c>
      <c r="J456" s="25" t="n">
        <f aca="false">$G456+(fade_mA-$G456)*3/3</f>
        <v>0.267444242764765</v>
      </c>
    </row>
    <row r="459" customFormat="false" ht="17.15" hidden="false" customHeight="false" outlineLevel="0" collapsed="false">
      <c r="A459" s="1" t="s">
        <v>896</v>
      </c>
    </row>
    <row r="460" customFormat="false" ht="17.15" hidden="false" customHeight="false" outlineLevel="0" collapsed="false">
      <c r="A460" s="4" t="s">
        <v>23</v>
      </c>
      <c r="B460" s="4" t="s">
        <v>24</v>
      </c>
      <c r="C460" s="14" t="s">
        <v>409</v>
      </c>
      <c r="D460" s="14" t="s">
        <v>502</v>
      </c>
      <c r="E460" s="14" t="s">
        <v>503</v>
      </c>
      <c r="F460" s="14" t="s">
        <v>504</v>
      </c>
      <c r="G460" s="14" t="s">
        <v>505</v>
      </c>
      <c r="H460" s="14" t="s">
        <v>506</v>
      </c>
      <c r="I460" s="14" t="s">
        <v>507</v>
      </c>
      <c r="J460" s="14" t="s">
        <v>508</v>
      </c>
      <c r="K460" s="4" t="s">
        <v>391</v>
      </c>
    </row>
    <row r="461" customFormat="false" ht="17.15" hidden="false" customHeight="false" outlineLevel="0" collapsed="false">
      <c r="A461" s="5" t="s">
        <v>524</v>
      </c>
    </row>
    <row r="462" customFormat="false" ht="17.15" hidden="false" customHeight="false" outlineLevel="0" collapsed="false">
      <c r="A462" s="0" t="s">
        <v>525</v>
      </c>
      <c r="B462" s="0" t="s">
        <v>34</v>
      </c>
      <c r="D462" s="23" t="n">
        <f aca="false">itc_26*1</f>
        <v>781.872916666666</v>
      </c>
      <c r="E462" s="23" t="n">
        <f aca="false">itc_27*1*1</f>
        <v>1565.35</v>
      </c>
      <c r="F462" s="23" t="n">
        <f aca="false">itc_28*um28_A*1</f>
        <v>1984.26388888889</v>
      </c>
      <c r="G462" s="23" t="n">
        <f aca="false">itc_29*um29_A*1</f>
        <v>2260.39027777778</v>
      </c>
    </row>
    <row r="463" customFormat="false" ht="17.15" hidden="false" customHeight="false" outlineLevel="0" collapsed="false">
      <c r="A463" s="3" t="s">
        <v>526</v>
      </c>
      <c r="B463" s="0" t="s">
        <v>34</v>
      </c>
      <c r="D463" s="23" t="n">
        <f aca="false">itpg_gb*(1-vr26)+itpg_vr*vr26</f>
        <v>33.41403216</v>
      </c>
      <c r="E463" s="23" t="n">
        <f aca="false">itpg_vr</f>
        <v>37.586352</v>
      </c>
      <c r="F463" s="23" t="n">
        <f aca="false">itpg_vr</f>
        <v>37.586352</v>
      </c>
      <c r="G463" s="23" t="n">
        <f aca="false">itpg_vr</f>
        <v>37.586352</v>
      </c>
    </row>
    <row r="464" customFormat="false" ht="17.15" hidden="false" customHeight="false" outlineLevel="0" collapsed="false">
      <c r="A464" s="3" t="s">
        <v>527</v>
      </c>
      <c r="B464" s="0" t="s">
        <v>468</v>
      </c>
      <c r="D464" s="20" t="n">
        <f aca="false">D462/D463</f>
        <v>23.3995380420639</v>
      </c>
      <c r="E464" s="20" t="n">
        <f aca="false">E462/E463</f>
        <v>41.6467658260637</v>
      </c>
      <c r="F464" s="20" t="n">
        <f aca="false">F462/F463</f>
        <v>52.792138191248</v>
      </c>
      <c r="G464" s="20" t="n">
        <f aca="false">G462/G463</f>
        <v>60.1385917361116</v>
      </c>
    </row>
    <row r="465" customFormat="false" ht="17.15" hidden="false" customHeight="false" outlineLevel="0" collapsed="false">
      <c r="A465" s="3" t="s">
        <v>470</v>
      </c>
      <c r="B465" s="0" t="s">
        <v>95</v>
      </c>
      <c r="D465" s="21" t="n">
        <f aca="false">cmp_26</f>
        <v>280</v>
      </c>
      <c r="E465" s="21" t="n">
        <f aca="false">cmp_26*cmpx_27</f>
        <v>420</v>
      </c>
      <c r="F465" s="21" t="n">
        <f aca="false">cmp_26*cmpx_28</f>
        <v>462</v>
      </c>
      <c r="G465" s="21" t="n">
        <f aca="false">cmp_26*cmpx_29</f>
        <v>504</v>
      </c>
    </row>
    <row r="466" customFormat="false" ht="17.15" hidden="false" customHeight="false" outlineLevel="0" collapsed="false">
      <c r="A466" s="3" t="s">
        <v>472</v>
      </c>
      <c r="B466" s="0" t="s">
        <v>95</v>
      </c>
      <c r="D466" s="21" t="n">
        <f aca="false">sw_26</f>
        <v>120</v>
      </c>
      <c r="E466" s="21" t="n">
        <f aca="false">sw_26*swx_27</f>
        <v>162</v>
      </c>
      <c r="F466" s="21" t="n">
        <f aca="false">sw_26*swx_28</f>
        <v>180</v>
      </c>
      <c r="G466" s="21" t="n">
        <f aca="false">sw_26*swx_29</f>
        <v>198</v>
      </c>
    </row>
    <row r="467" customFormat="false" ht="17.15" hidden="false" customHeight="false" outlineLevel="0" collapsed="false">
      <c r="A467" s="3" t="s">
        <v>473</v>
      </c>
      <c r="B467" s="0" t="s">
        <v>95</v>
      </c>
      <c r="D467" s="21" t="n">
        <f aca="false">mid_26</f>
        <v>50</v>
      </c>
      <c r="E467" s="21" t="n">
        <f aca="false">mid_26*midx_27</f>
        <v>100</v>
      </c>
      <c r="F467" s="21" t="n">
        <f aca="false">mid_26*midx_28</f>
        <v>150</v>
      </c>
      <c r="G467" s="21" t="n">
        <f aca="false">mid_26*midx_29</f>
        <v>175</v>
      </c>
    </row>
    <row r="468" customFormat="false" ht="17.15" hidden="false" customHeight="false" outlineLevel="0" collapsed="false">
      <c r="A468" s="3" t="s">
        <v>528</v>
      </c>
      <c r="B468" s="0" t="s">
        <v>95</v>
      </c>
      <c r="D468" s="21" t="n">
        <f aca="false">D465+D466+D467</f>
        <v>450</v>
      </c>
      <c r="E468" s="21" t="n">
        <f aca="false">E465+E466+E467</f>
        <v>682</v>
      </c>
      <c r="F468" s="21" t="n">
        <f aca="false">F465+F466+F467</f>
        <v>792</v>
      </c>
      <c r="G468" s="21" t="n">
        <f aca="false">G465+G466+G467</f>
        <v>877</v>
      </c>
    </row>
    <row r="469" customFormat="false" ht="17.15" hidden="false" customHeight="false" outlineLevel="0" collapsed="false">
      <c r="A469" s="0" t="s">
        <v>529</v>
      </c>
      <c r="B469" s="0" t="s">
        <v>34</v>
      </c>
      <c r="D469" s="23" t="n">
        <f aca="false">D464*D468/1000</f>
        <v>10.5297921189287</v>
      </c>
      <c r="E469" s="23" t="n">
        <f aca="false">E464*E468/1000</f>
        <v>28.4030942933754</v>
      </c>
      <c r="F469" s="23" t="n">
        <f aca="false">F464*F468/1000</f>
        <v>41.8113734474684</v>
      </c>
      <c r="G469" s="23" t="n">
        <f aca="false">G464*G468/1000</f>
        <v>52.7415449525698</v>
      </c>
    </row>
    <row r="470" customFormat="false" ht="17.15" hidden="false" customHeight="false" outlineLevel="0" collapsed="false">
      <c r="A470" s="0" t="s">
        <v>530</v>
      </c>
      <c r="B470" s="0" t="s">
        <v>194</v>
      </c>
      <c r="D470" s="22" t="n">
        <f aca="false">D469*fx</f>
        <v>70.7602030392012</v>
      </c>
      <c r="E470" s="22" t="n">
        <f aca="false">E469*fx</f>
        <v>190.868793651483</v>
      </c>
      <c r="F470" s="22" t="n">
        <f aca="false">F469*fx</f>
        <v>280.972429566988</v>
      </c>
      <c r="G470" s="22" t="n">
        <f aca="false">G469*fx</f>
        <v>354.423182081269</v>
      </c>
    </row>
    <row r="471" customFormat="false" ht="17.15" hidden="false" customHeight="false" outlineLevel="0" collapsed="false">
      <c r="A471" s="0" t="s">
        <v>531</v>
      </c>
      <c r="B471" s="0" t="s">
        <v>67</v>
      </c>
      <c r="D471" s="17" t="n">
        <f aca="false">1</f>
        <v>1</v>
      </c>
      <c r="E471" s="17" t="n">
        <f aca="false">pp_27</f>
        <v>1</v>
      </c>
      <c r="F471" s="17" t="n">
        <f aca="false">pp_28</f>
        <v>0.97</v>
      </c>
      <c r="G471" s="17" t="n">
        <f aca="false">pp_29</f>
        <v>0.94</v>
      </c>
    </row>
    <row r="472" customFormat="false" ht="17.15" hidden="false" customHeight="false" outlineLevel="0" collapsed="false">
      <c r="A472" s="3" t="s">
        <v>532</v>
      </c>
      <c r="B472" s="0" t="s">
        <v>54</v>
      </c>
      <c r="D472" s="13" t="n">
        <f aca="false">a26_ai/D470</f>
        <v>0.247531793970355</v>
      </c>
      <c r="K472" s="7" t="s">
        <v>533</v>
      </c>
    </row>
    <row r="473" customFormat="false" ht="17.15" hidden="false" customHeight="false" outlineLevel="0" collapsed="false">
      <c r="A473" s="3" t="s">
        <v>534</v>
      </c>
      <c r="B473" s="0" t="s">
        <v>67</v>
      </c>
      <c r="D473" s="17" t="n">
        <f aca="false">1</f>
        <v>1</v>
      </c>
      <c r="E473" s="17" t="n">
        <f aca="false">rel_27</f>
        <v>0.9</v>
      </c>
      <c r="F473" s="17" t="n">
        <f aca="false">rel_28</f>
        <v>0.8</v>
      </c>
      <c r="G473" s="17" t="n">
        <f aca="false">rel_29</f>
        <v>0.75</v>
      </c>
    </row>
    <row r="474" customFormat="false" ht="15" hidden="false" customHeight="false" outlineLevel="0" collapsed="false">
      <c r="A474" s="3" t="s">
        <v>485</v>
      </c>
      <c r="B474" s="0" t="s">
        <v>54</v>
      </c>
      <c r="D474" s="13" t="n">
        <f aca="false">$D$472*D473</f>
        <v>0.247531793970355</v>
      </c>
      <c r="E474" s="13" t="n">
        <f aca="false">$D$472*E473</f>
        <v>0.222778614573319</v>
      </c>
      <c r="F474" s="13" t="n">
        <f aca="false">$D$472*F473</f>
        <v>0.198025435176284</v>
      </c>
      <c r="G474" s="13" t="n">
        <f aca="false">$D$472*G473</f>
        <v>0.185648845477766</v>
      </c>
    </row>
    <row r="475" customFormat="false" ht="17.15" hidden="false" customHeight="false" outlineLevel="0" collapsed="false">
      <c r="A475" s="0" t="s">
        <v>535</v>
      </c>
      <c r="B475" s="0" t="s">
        <v>194</v>
      </c>
      <c r="D475" s="22" t="n">
        <f aca="false">D470*D474*D471</f>
        <v>17.5154</v>
      </c>
      <c r="E475" s="22" t="n">
        <f aca="false">E470*E474*E471</f>
        <v>42.5214854149581</v>
      </c>
      <c r="F475" s="22" t="n">
        <f aca="false">F470*F474*F471</f>
        <v>53.9704970084142</v>
      </c>
      <c r="G475" s="22" t="n">
        <f aca="false">G470*G474*G471</f>
        <v>61.850359290107</v>
      </c>
    </row>
    <row r="476" customFormat="false" ht="17.15" hidden="false" customHeight="false" outlineLevel="0" collapsed="false">
      <c r="A476" s="5" t="s">
        <v>536</v>
      </c>
    </row>
    <row r="477" customFormat="false" ht="17.15" hidden="false" customHeight="false" outlineLevel="0" collapsed="false">
      <c r="A477" s="3" t="s">
        <v>537</v>
      </c>
      <c r="B477" s="0" t="s">
        <v>67</v>
      </c>
      <c r="D477" s="17" t="n">
        <f aca="false">1</f>
        <v>1</v>
      </c>
      <c r="E477" s="17" t="n">
        <f aca="false">CAPHI_27</f>
        <v>1.9</v>
      </c>
      <c r="F477" s="17" t="n">
        <f aca="false">CAPHI_28</f>
        <v>2.8</v>
      </c>
      <c r="G477" s="17" t="n">
        <f aca="false">CAPHI_29</f>
        <v>3.4</v>
      </c>
      <c r="K477" s="7" t="s">
        <v>538</v>
      </c>
    </row>
    <row r="478" customFormat="false" ht="17.15" hidden="false" customHeight="false" outlineLevel="0" collapsed="false">
      <c r="A478" s="3" t="s">
        <v>539</v>
      </c>
      <c r="B478" s="0" t="s">
        <v>194</v>
      </c>
      <c r="D478" s="22" t="n">
        <f aca="false">a26_rev*D477*D471</f>
        <v>28.126</v>
      </c>
      <c r="E478" s="22" t="n">
        <f aca="false">a26_rev*E477*E471</f>
        <v>53.4394</v>
      </c>
      <c r="F478" s="22" t="n">
        <f aca="false">a26_rev*F477*F471</f>
        <v>76.390216</v>
      </c>
      <c r="G478" s="22" t="n">
        <f aca="false">a26_rev*G477*G471</f>
        <v>89.890696</v>
      </c>
    </row>
    <row r="479" customFormat="false" ht="17.15" hidden="false" customHeight="false" outlineLevel="0" collapsed="false">
      <c r="A479" s="3" t="s">
        <v>540</v>
      </c>
      <c r="B479" s="0" t="s">
        <v>194</v>
      </c>
      <c r="C479" s="22" t="n">
        <f aca="false">a25_nai</f>
        <v>10.6106</v>
      </c>
      <c r="D479" s="22" t="n">
        <f aca="false">a26_nai</f>
        <v>10.6106</v>
      </c>
      <c r="E479" s="22" t="n">
        <f aca="false">D479*(1+g_nai27)</f>
        <v>10.6106</v>
      </c>
      <c r="F479" s="22" t="n">
        <f aca="false">E479*(1+g_nai28)</f>
        <v>10.6106</v>
      </c>
      <c r="G479" s="22" t="n">
        <f aca="false">F479*(1+g_nai29)</f>
        <v>10.6106</v>
      </c>
    </row>
    <row r="480" customFormat="false" ht="17.15" hidden="false" customHeight="false" outlineLevel="0" collapsed="false">
      <c r="A480" s="0" t="s">
        <v>541</v>
      </c>
      <c r="B480" s="0" t="s">
        <v>194</v>
      </c>
      <c r="C480" s="22" t="n">
        <f aca="false">a25_ai</f>
        <v>8.6814</v>
      </c>
      <c r="D480" s="22" t="n">
        <f aca="false">D475</f>
        <v>17.5154</v>
      </c>
      <c r="E480" s="22" t="n">
        <f aca="false">MIN(E475,E478-E479)</f>
        <v>42.5214854149581</v>
      </c>
      <c r="F480" s="22" t="n">
        <f aca="false">MIN(F475,F478-F479)</f>
        <v>53.9704970084142</v>
      </c>
      <c r="G480" s="22" t="n">
        <f aca="false">MIN(G475,G478-G479)</f>
        <v>61.850359290107</v>
      </c>
      <c r="K480" s="3" t="s">
        <v>542</v>
      </c>
    </row>
    <row r="481" customFormat="false" ht="15" hidden="false" customHeight="false" outlineLevel="0" collapsed="false">
      <c r="A481" s="3" t="s">
        <v>543</v>
      </c>
      <c r="E481" s="0" t="str">
        <f aca="false">IF(E475&gt;E478-E479+0.0001,"受限","未受限")</f>
        <v>未受限</v>
      </c>
      <c r="F481" s="0" t="str">
        <f aca="false">IF(F475&gt;F478-F479+0.0001,"受限","未受限")</f>
        <v>未受限</v>
      </c>
      <c r="G481" s="0" t="str">
        <f aca="false">IF(G475&gt;G478-G479+0.0001,"受限","未受限")</f>
        <v>未受限</v>
      </c>
    </row>
    <row r="482" customFormat="false" ht="17.15" hidden="false" customHeight="false" outlineLevel="0" collapsed="false">
      <c r="A482" s="3" t="s">
        <v>414</v>
      </c>
      <c r="B482" s="0" t="s">
        <v>194</v>
      </c>
      <c r="C482" s="22" t="n">
        <f aca="false">C480+C479</f>
        <v>19.292</v>
      </c>
      <c r="D482" s="22" t="n">
        <f aca="false">D480+D479</f>
        <v>28.126</v>
      </c>
      <c r="E482" s="22" t="n">
        <f aca="false">E480+E479</f>
        <v>53.1320854149581</v>
      </c>
      <c r="F482" s="22" t="n">
        <f aca="false">F480+F479</f>
        <v>64.5810970084142</v>
      </c>
      <c r="G482" s="22" t="n">
        <f aca="false">G480+G479</f>
        <v>72.460959290107</v>
      </c>
      <c r="H482" s="24" t="n">
        <f aca="false">G482*(1+H483)</f>
        <v>79.8043942392926</v>
      </c>
      <c r="I482" s="24" t="n">
        <f aca="false">H482*(1+I483)</f>
        <v>86.2423476187719</v>
      </c>
      <c r="J482" s="24" t="n">
        <f aca="false">I482*(1+J483)</f>
        <v>91.4168884758983</v>
      </c>
      <c r="K482" s="7" t="s">
        <v>544</v>
      </c>
    </row>
    <row r="483" customFormat="false" ht="15" hidden="false" customHeight="false" outlineLevel="0" collapsed="false">
      <c r="A483" s="3" t="s">
        <v>545</v>
      </c>
      <c r="B483" s="0" t="s">
        <v>54</v>
      </c>
      <c r="D483" s="13" t="n">
        <f aca="false">D482/C482-1</f>
        <v>0.457910014513788</v>
      </c>
      <c r="E483" s="13" t="n">
        <f aca="false">E482/D482-1</f>
        <v>0.889073647691036</v>
      </c>
      <c r="F483" s="13" t="n">
        <f aca="false">F482/E482-1</f>
        <v>0.215482067079433</v>
      </c>
      <c r="G483" s="13" t="n">
        <f aca="false">G482/F482-1</f>
        <v>0.122014995822479</v>
      </c>
      <c r="H483" s="25" t="n">
        <f aca="false">$G483+(fade_gA-$G483)*1/3</f>
        <v>0.101343330548319</v>
      </c>
      <c r="I483" s="25" t="n">
        <f aca="false">$G483+(fade_gA-$G483)*2/3</f>
        <v>0.0806716652741597</v>
      </c>
      <c r="J483" s="25" t="n">
        <f aca="false">$G483+(fade_gA-$G483)*3/3</f>
        <v>0.06</v>
      </c>
    </row>
    <row r="484" customFormat="false" ht="17.15" hidden="false" customHeight="false" outlineLevel="0" collapsed="false">
      <c r="A484" s="0" t="s">
        <v>546</v>
      </c>
      <c r="B484" s="0" t="s">
        <v>54</v>
      </c>
      <c r="C484" s="13" t="n">
        <f aca="false">C480/C482</f>
        <v>0.45</v>
      </c>
      <c r="D484" s="13" t="n">
        <f aca="false">D480/D482</f>
        <v>0.622747635639622</v>
      </c>
      <c r="E484" s="13" t="n">
        <f aca="false">E480/E482</f>
        <v>0.800297693622753</v>
      </c>
      <c r="F484" s="13" t="n">
        <f aca="false">F480/F482</f>
        <v>0.835701149538888</v>
      </c>
      <c r="G484" s="13" t="n">
        <f aca="false">G480/G482</f>
        <v>0.853568044034318</v>
      </c>
    </row>
    <row r="485" customFormat="false" ht="17.15" hidden="false" customHeight="false" outlineLevel="0" collapsed="false">
      <c r="A485" s="3" t="s">
        <v>547</v>
      </c>
      <c r="B485" s="0" t="s">
        <v>54</v>
      </c>
      <c r="D485" s="13" t="n">
        <f aca="false">(D475+D479)/D478</f>
        <v>1</v>
      </c>
      <c r="E485" s="13" t="n">
        <f aca="false">(E475+E479)/E478</f>
        <v>0.99424928825844</v>
      </c>
      <c r="F485" s="13" t="n">
        <f aca="false">(F475+F479)/F478</f>
        <v>0.845410582533426</v>
      </c>
      <c r="G485" s="13" t="n">
        <f aca="false">(G475+G479)/G478</f>
        <v>0.806100770318955</v>
      </c>
      <c r="K485" s="3" t="s">
        <v>548</v>
      </c>
    </row>
    <row r="486" customFormat="false" ht="17.15" hidden="false" customHeight="false" outlineLevel="0" collapsed="false">
      <c r="A486" s="3" t="s">
        <v>489</v>
      </c>
      <c r="B486" s="0" t="s">
        <v>95</v>
      </c>
      <c r="D486" s="21" t="n">
        <f aca="false">D480/fx/D464*1000</f>
        <v>111.38930728666</v>
      </c>
      <c r="E486" s="21" t="n">
        <f aca="false">E480/fx/E464*1000</f>
        <v>151.935015139004</v>
      </c>
      <c r="F486" s="21" t="n">
        <f aca="false">F480/fx/F464*1000</f>
        <v>152.131060319828</v>
      </c>
      <c r="G486" s="21" t="n">
        <f aca="false">G480/fx/G464*1000</f>
        <v>153.045195234961</v>
      </c>
    </row>
    <row r="487" customFormat="false" ht="17.15" hidden="false" customHeight="false" outlineLevel="0" collapsed="false">
      <c r="A487" s="5" t="s">
        <v>549</v>
      </c>
    </row>
    <row r="488" customFormat="false" ht="17.15" hidden="false" customHeight="false" outlineLevel="0" collapsed="false">
      <c r="A488" s="3" t="s">
        <v>550</v>
      </c>
      <c r="B488" s="0" t="s">
        <v>54</v>
      </c>
      <c r="D488" s="13" t="n">
        <f aca="false">a26_gp/D482-d_ai*D484</f>
        <v>0.237492000284434</v>
      </c>
      <c r="K488" s="7" t="s">
        <v>551</v>
      </c>
    </row>
    <row r="489" customFormat="false" ht="17.15" hidden="false" customHeight="false" outlineLevel="0" collapsed="false">
      <c r="A489" s="0" t="s">
        <v>552</v>
      </c>
      <c r="B489" s="0" t="s">
        <v>54</v>
      </c>
      <c r="D489" s="13" t="n">
        <f aca="false">D488+d_ai</f>
        <v>0.387492000284434</v>
      </c>
      <c r="E489" s="13" t="n">
        <f aca="false">1-(1-$D$489)/E471+gmu_27</f>
        <v>0.397492000284434</v>
      </c>
      <c r="F489" s="13" t="n">
        <f aca="false">1-(1-$D$489)/F471+gmu_28</f>
        <v>0.388548453901479</v>
      </c>
      <c r="G489" s="13" t="n">
        <f aca="false">1-(1-$D$489)/G471+gmu_29</f>
        <v>0.378395744983441</v>
      </c>
      <c r="K489" s="7" t="s">
        <v>553</v>
      </c>
    </row>
    <row r="490" customFormat="false" ht="15" hidden="false" customHeight="false" outlineLevel="0" collapsed="false">
      <c r="A490" s="3" t="s">
        <v>418</v>
      </c>
      <c r="B490" s="0" t="s">
        <v>194</v>
      </c>
      <c r="C490" s="22" t="n">
        <f aca="false">a25_gp</f>
        <v>6.7946424</v>
      </c>
      <c r="D490" s="22" t="n">
        <f aca="false">a26_gp</f>
        <v>9.30701</v>
      </c>
      <c r="E490" s="22" t="n">
        <f aca="false">E480*E489+E479*$D$488</f>
        <v>19.4218829108751</v>
      </c>
      <c r="F490" s="22" t="n">
        <f aca="false">F480*F489+F479*$D$488</f>
        <v>23.4900857871317</v>
      </c>
      <c r="G490" s="22" t="n">
        <f aca="false">G480*G489+G479*$D$488</f>
        <v>25.9238453992915</v>
      </c>
    </row>
    <row r="491" customFormat="false" ht="15" hidden="false" customHeight="false" outlineLevel="0" collapsed="false">
      <c r="A491" s="3" t="s">
        <v>421</v>
      </c>
      <c r="B491" s="0" t="s">
        <v>54</v>
      </c>
      <c r="C491" s="13" t="n">
        <f aca="false">C490/C482</f>
        <v>0.3522</v>
      </c>
      <c r="D491" s="13" t="n">
        <f aca="false">D490/D482</f>
        <v>0.330904145630378</v>
      </c>
      <c r="E491" s="13" t="n">
        <f aca="false">E490/E482</f>
        <v>0.365539631264075</v>
      </c>
      <c r="F491" s="13" t="n">
        <f aca="false">F490/F482</f>
        <v>0.363730052217466</v>
      </c>
      <c r="G491" s="13" t="n">
        <f aca="false">G490/G482</f>
        <v>0.357762934044276</v>
      </c>
    </row>
    <row r="492" customFormat="false" ht="17.15" hidden="false" customHeight="false" outlineLevel="0" collapsed="false">
      <c r="A492" s="3" t="s">
        <v>554</v>
      </c>
      <c r="B492" s="0" t="s">
        <v>194</v>
      </c>
      <c r="C492" s="22" t="n">
        <f aca="false">a25_opx</f>
        <v>1.6466424</v>
      </c>
      <c r="D492" s="22" t="n">
        <f aca="false">a26_opx</f>
        <v>1.827905</v>
      </c>
      <c r="E492" s="22" t="n">
        <f aca="false">D492*(1+MAX(0,phi*E483))</f>
        <v>2.80299029958961</v>
      </c>
      <c r="F492" s="22" t="n">
        <f aca="false">E492*(1+MAX(0,phi*F483))</f>
        <v>3.16538678584511</v>
      </c>
      <c r="G492" s="22" t="n">
        <f aca="false">F492*(1+MAX(0,phi*G483))</f>
        <v>3.39712157911596</v>
      </c>
      <c r="K492" s="7" t="s">
        <v>555</v>
      </c>
    </row>
    <row r="493" customFormat="false" ht="15" hidden="false" customHeight="false" outlineLevel="0" collapsed="false">
      <c r="A493" s="3" t="s">
        <v>423</v>
      </c>
      <c r="B493" s="0" t="s">
        <v>194</v>
      </c>
      <c r="C493" s="22" t="n">
        <f aca="false">C492</f>
        <v>1.6466424</v>
      </c>
      <c r="D493" s="22" t="n">
        <f aca="false">D492</f>
        <v>1.827905</v>
      </c>
      <c r="E493" s="22" t="n">
        <f aca="false">E492+0*E482</f>
        <v>2.80299029958961</v>
      </c>
      <c r="F493" s="22" t="n">
        <f aca="false">F492+0*F482</f>
        <v>3.16538678584511</v>
      </c>
      <c r="G493" s="22" t="n">
        <f aca="false">G492+0*G482</f>
        <v>3.39712157911596</v>
      </c>
    </row>
    <row r="494" customFormat="false" ht="15" hidden="false" customHeight="false" outlineLevel="0" collapsed="false">
      <c r="A494" s="3" t="s">
        <v>556</v>
      </c>
      <c r="B494" s="0" t="s">
        <v>194</v>
      </c>
      <c r="C494" s="22" t="n">
        <f aca="false">C490-C493</f>
        <v>5.148</v>
      </c>
      <c r="D494" s="22" t="n">
        <f aca="false">D490-D493</f>
        <v>7.479105</v>
      </c>
      <c r="E494" s="22" t="n">
        <f aca="false">E490-E493</f>
        <v>16.6188926112855</v>
      </c>
      <c r="F494" s="22" t="n">
        <f aca="false">F490-F493</f>
        <v>20.3246990012866</v>
      </c>
      <c r="G494" s="22" t="n">
        <f aca="false">G490-G493</f>
        <v>22.5267238201756</v>
      </c>
    </row>
    <row r="495" customFormat="false" ht="15" hidden="false" customHeight="false" outlineLevel="0" collapsed="false">
      <c r="A495" s="3" t="s">
        <v>429</v>
      </c>
      <c r="B495" s="0" t="s">
        <v>54</v>
      </c>
      <c r="C495" s="13" t="n">
        <f aca="false">C494/C482</f>
        <v>0.266846361185984</v>
      </c>
      <c r="D495" s="13" t="n">
        <f aca="false">D494/D482</f>
        <v>0.265914278603427</v>
      </c>
      <c r="E495" s="13" t="n">
        <f aca="false">E494/E482</f>
        <v>0.312784497003892</v>
      </c>
      <c r="F495" s="13" t="n">
        <f aca="false">F494/F482</f>
        <v>0.314715914451539</v>
      </c>
      <c r="G495" s="13" t="n">
        <f aca="false">G494/G482</f>
        <v>0.310880839018248</v>
      </c>
    </row>
    <row r="496" customFormat="false" ht="17.15" hidden="false" customHeight="false" outlineLevel="0" collapsed="false">
      <c r="A496" s="3" t="s">
        <v>430</v>
      </c>
      <c r="B496" s="0" t="s">
        <v>194</v>
      </c>
      <c r="E496" s="22" t="n">
        <f aca="false">nop_f</f>
        <v>-0.2</v>
      </c>
      <c r="F496" s="22" t="n">
        <f aca="false">nop_f</f>
        <v>-0.2</v>
      </c>
      <c r="G496" s="22" t="n">
        <f aca="false">nop_f</f>
        <v>-0.2</v>
      </c>
      <c r="K496" s="7" t="s">
        <v>557</v>
      </c>
    </row>
    <row r="497" customFormat="false" ht="15" hidden="false" customHeight="false" outlineLevel="0" collapsed="false">
      <c r="A497" s="3" t="s">
        <v>436</v>
      </c>
      <c r="B497" s="0" t="s">
        <v>194</v>
      </c>
      <c r="C497" s="22" t="n">
        <f aca="false">a25_ni</f>
        <v>4.312</v>
      </c>
      <c r="D497" s="22" t="n">
        <f aca="false">a26_ni</f>
        <v>6.5441924845173</v>
      </c>
      <c r="E497" s="22" t="n">
        <f aca="false">(E494+E496)*nir_f</f>
        <v>14.2351798939845</v>
      </c>
      <c r="F497" s="22" t="n">
        <f aca="false">(F494+F496)*nir_f</f>
        <v>17.4481140341155</v>
      </c>
      <c r="G497" s="22" t="n">
        <f aca="false">(G494+G496)*nir_f</f>
        <v>19.3572695520922</v>
      </c>
      <c r="H497" s="24" t="n">
        <f aca="false">H482*H502</f>
        <v>21.327075074758</v>
      </c>
      <c r="I497" s="24" t="n">
        <f aca="false">I482*I502</f>
        <v>23.0562925448119</v>
      </c>
      <c r="J497" s="24" t="n">
        <f aca="false">J482*J502</f>
        <v>24.4489205143476</v>
      </c>
    </row>
    <row r="498" customFormat="false" ht="17.15" hidden="false" customHeight="false" outlineLevel="0" collapsed="false">
      <c r="A498" s="3" t="s">
        <v>439</v>
      </c>
      <c r="B498" s="0" t="s">
        <v>54</v>
      </c>
      <c r="C498" s="13" t="n">
        <f aca="false">C497/C494</f>
        <v>0.837606837606838</v>
      </c>
      <c r="D498" s="13" t="n">
        <f aca="false">D497/D494</f>
        <v>0.874996738850077</v>
      </c>
      <c r="E498" s="13" t="n">
        <f aca="false">E497/E494</f>
        <v>0.85656609179349</v>
      </c>
      <c r="F498" s="13" t="n">
        <f aca="false">F497/F494</f>
        <v>0.858468508341057</v>
      </c>
      <c r="G498" s="13" t="n">
        <f aca="false">G497/G494</f>
        <v>0.859302475877797</v>
      </c>
    </row>
    <row r="499" customFormat="false" ht="17.15" hidden="false" customHeight="false" outlineLevel="0" collapsed="false">
      <c r="A499" s="3" t="s">
        <v>558</v>
      </c>
      <c r="B499" s="3" t="s">
        <v>222</v>
      </c>
      <c r="C499" s="27" t="n">
        <f aca="false">a25_sh</f>
        <v>0.860678642714571</v>
      </c>
      <c r="D499" s="27" t="n">
        <f aca="false">a26_sh</f>
        <v>0.946074458598726</v>
      </c>
      <c r="E499" s="27" t="n">
        <f aca="false">sh_h2*(1+sh_g)</f>
        <v>0.98234</v>
      </c>
      <c r="F499" s="27" t="n">
        <f aca="false">E499*(1+sh_g)</f>
        <v>0.98234</v>
      </c>
      <c r="G499" s="27" t="n">
        <f aca="false">F499*(1+sh_g)</f>
        <v>0.98234</v>
      </c>
      <c r="H499" s="28" t="n">
        <f aca="false">G499*(1+sh_g)</f>
        <v>0.98234</v>
      </c>
      <c r="I499" s="28" t="n">
        <f aca="false">H499*(1+sh_g)</f>
        <v>0.98234</v>
      </c>
      <c r="J499" s="28" t="n">
        <f aca="false">I499*(1+sh_g)</f>
        <v>0.98234</v>
      </c>
      <c r="K499" s="7" t="s">
        <v>559</v>
      </c>
    </row>
    <row r="500" customFormat="false" ht="15" hidden="false" customHeight="false" outlineLevel="0" collapsed="false">
      <c r="A500" s="0" t="s">
        <v>442</v>
      </c>
      <c r="B500" s="0" t="s">
        <v>258</v>
      </c>
      <c r="C500" s="23" t="n">
        <f aca="false">C497/C499</f>
        <v>5.01</v>
      </c>
      <c r="D500" s="23" t="n">
        <f aca="false">D497/D499</f>
        <v>6.91720659514496</v>
      </c>
      <c r="E500" s="23" t="n">
        <f aca="false">E497/E499</f>
        <v>14.4910925891082</v>
      </c>
      <c r="F500" s="23" t="n">
        <f aca="false">F497/F499</f>
        <v>17.7617871959968</v>
      </c>
      <c r="G500" s="23" t="n">
        <f aca="false">G497/G499</f>
        <v>19.7052645235786</v>
      </c>
      <c r="H500" s="29" t="n">
        <f aca="false">H497/H499</f>
        <v>21.7104821902376</v>
      </c>
      <c r="I500" s="29" t="n">
        <f aca="false">I497/I499</f>
        <v>23.4707866368181</v>
      </c>
      <c r="J500" s="29" t="n">
        <f aca="false">J497/J499</f>
        <v>24.8884505510796</v>
      </c>
    </row>
    <row r="501" customFormat="false" ht="17.15" hidden="false" customHeight="false" outlineLevel="0" collapsed="false">
      <c r="A501" s="0" t="s">
        <v>560</v>
      </c>
      <c r="B501" s="0" t="s">
        <v>54</v>
      </c>
      <c r="D501" s="13" t="n">
        <f aca="false">D500/C500-1</f>
        <v>0.38067995911077</v>
      </c>
      <c r="E501" s="13" t="n">
        <f aca="false">E500/D500-1</f>
        <v>1.09493418908135</v>
      </c>
      <c r="F501" s="13" t="n">
        <f aca="false">F500/E500-1</f>
        <v>0.225703796092434</v>
      </c>
      <c r="G501" s="13" t="n">
        <f aca="false">G500/F500-1</f>
        <v>0.109419018825978</v>
      </c>
      <c r="H501" s="25" t="n">
        <f aca="false">H500/G500-1</f>
        <v>0.101760504877243</v>
      </c>
      <c r="I501" s="25" t="n">
        <f aca="false">I500/H500-1</f>
        <v>0.0810808544534338</v>
      </c>
      <c r="J501" s="25" t="n">
        <f aca="false">J500/I500-1</f>
        <v>0.060401210074384</v>
      </c>
    </row>
    <row r="502" customFormat="false" ht="17.15" hidden="false" customHeight="false" outlineLevel="0" collapsed="false">
      <c r="A502" s="3" t="s">
        <v>561</v>
      </c>
      <c r="B502" s="0" t="s">
        <v>54</v>
      </c>
      <c r="C502" s="13" t="n">
        <f aca="false">C497/C482</f>
        <v>0.223512336719884</v>
      </c>
      <c r="D502" s="13" t="n">
        <f aca="false">D497/D482</f>
        <v>0.23267412659167</v>
      </c>
      <c r="E502" s="13" t="n">
        <f aca="false">E497/E482</f>
        <v>0.267920594172216</v>
      </c>
      <c r="F502" s="13" t="n">
        <f aca="false">F497/F482</f>
        <v>0.270173701630404</v>
      </c>
      <c r="G502" s="13" t="n">
        <f aca="false">G497/G482</f>
        <v>0.267140674671347</v>
      </c>
      <c r="H502" s="25" t="n">
        <f aca="false">$G502+(fade_mA-$G502)*1/3</f>
        <v>0.26724186403582</v>
      </c>
      <c r="I502" s="25" t="n">
        <f aca="false">$G502+(fade_mA-$G502)*2/3</f>
        <v>0.267343053400292</v>
      </c>
      <c r="J502" s="25" t="n">
        <f aca="false">$G502+(fade_mA-$G502)*3/3</f>
        <v>0.267444242764765</v>
      </c>
    </row>
    <row r="505" customFormat="false" ht="17.15" hidden="false" customHeight="false" outlineLevel="0" collapsed="false">
      <c r="A505" s="1" t="s">
        <v>897</v>
      </c>
    </row>
    <row r="506" customFormat="false" ht="17.15" hidden="false" customHeight="false" outlineLevel="0" collapsed="false">
      <c r="A506" s="4" t="s">
        <v>23</v>
      </c>
      <c r="B506" s="4" t="s">
        <v>24</v>
      </c>
      <c r="C506" s="14" t="s">
        <v>409</v>
      </c>
      <c r="D506" s="14" t="s">
        <v>502</v>
      </c>
      <c r="E506" s="14" t="s">
        <v>503</v>
      </c>
      <c r="F506" s="14" t="s">
        <v>504</v>
      </c>
      <c r="G506" s="14" t="s">
        <v>505</v>
      </c>
      <c r="H506" s="14" t="s">
        <v>506</v>
      </c>
      <c r="I506" s="14" t="s">
        <v>507</v>
      </c>
      <c r="J506" s="14" t="s">
        <v>508</v>
      </c>
      <c r="K506" s="4" t="s">
        <v>391</v>
      </c>
    </row>
    <row r="507" customFormat="false" ht="17.15" hidden="false" customHeight="false" outlineLevel="0" collapsed="false">
      <c r="A507" s="5" t="s">
        <v>524</v>
      </c>
    </row>
    <row r="508" customFormat="false" ht="17.15" hidden="false" customHeight="false" outlineLevel="0" collapsed="false">
      <c r="A508" s="0" t="s">
        <v>525</v>
      </c>
      <c r="B508" s="0" t="s">
        <v>34</v>
      </c>
      <c r="D508" s="23" t="n">
        <f aca="false">itc_26*1</f>
        <v>781.872916666666</v>
      </c>
      <c r="E508" s="23" t="n">
        <f aca="false">itc_27*1*1</f>
        <v>1565.35</v>
      </c>
      <c r="F508" s="23" t="n">
        <f aca="false">itc_28*um28_A*1</f>
        <v>1984.26388888889</v>
      </c>
      <c r="G508" s="23" t="n">
        <f aca="false">itc_29*um29_A*1</f>
        <v>2260.39027777778</v>
      </c>
    </row>
    <row r="509" customFormat="false" ht="17.15" hidden="false" customHeight="false" outlineLevel="0" collapsed="false">
      <c r="A509" s="3" t="s">
        <v>526</v>
      </c>
      <c r="B509" s="0" t="s">
        <v>34</v>
      </c>
      <c r="D509" s="23" t="n">
        <f aca="false">itpg_gb*(1-vr26)+itpg_vr*vr26</f>
        <v>33.41403216</v>
      </c>
      <c r="E509" s="23" t="n">
        <f aca="false">itpg_vr</f>
        <v>37.586352</v>
      </c>
      <c r="F509" s="23" t="n">
        <f aca="false">itpg_vr</f>
        <v>37.586352</v>
      </c>
      <c r="G509" s="23" t="n">
        <f aca="false">itpg_vr</f>
        <v>37.586352</v>
      </c>
    </row>
    <row r="510" customFormat="false" ht="17.15" hidden="false" customHeight="false" outlineLevel="0" collapsed="false">
      <c r="A510" s="3" t="s">
        <v>527</v>
      </c>
      <c r="B510" s="0" t="s">
        <v>468</v>
      </c>
      <c r="D510" s="20" t="n">
        <f aca="false">D508/D509</f>
        <v>23.3995380420639</v>
      </c>
      <c r="E510" s="20" t="n">
        <f aca="false">E508/E509</f>
        <v>41.6467658260637</v>
      </c>
      <c r="F510" s="20" t="n">
        <f aca="false">F508/F509</f>
        <v>52.792138191248</v>
      </c>
      <c r="G510" s="20" t="n">
        <f aca="false">G508/G509</f>
        <v>60.1385917361116</v>
      </c>
    </row>
    <row r="511" customFormat="false" ht="17.15" hidden="false" customHeight="false" outlineLevel="0" collapsed="false">
      <c r="A511" s="3" t="s">
        <v>470</v>
      </c>
      <c r="B511" s="0" t="s">
        <v>95</v>
      </c>
      <c r="D511" s="21" t="n">
        <f aca="false">cmp_26</f>
        <v>280</v>
      </c>
      <c r="E511" s="21" t="n">
        <f aca="false">cmp_26*cmpx_27</f>
        <v>420</v>
      </c>
      <c r="F511" s="21" t="n">
        <f aca="false">cmp_26*cmpx_28</f>
        <v>462</v>
      </c>
      <c r="G511" s="21" t="n">
        <f aca="false">cmp_26*cmpx_29</f>
        <v>504</v>
      </c>
    </row>
    <row r="512" customFormat="false" ht="17.15" hidden="false" customHeight="false" outlineLevel="0" collapsed="false">
      <c r="A512" s="3" t="s">
        <v>472</v>
      </c>
      <c r="B512" s="0" t="s">
        <v>95</v>
      </c>
      <c r="D512" s="21" t="n">
        <f aca="false">sw_26</f>
        <v>120</v>
      </c>
      <c r="E512" s="21" t="n">
        <f aca="false">sw_26*swx_27</f>
        <v>162</v>
      </c>
      <c r="F512" s="21" t="n">
        <f aca="false">sw_26*swx_28</f>
        <v>180</v>
      </c>
      <c r="G512" s="21" t="n">
        <f aca="false">sw_26*swx_29</f>
        <v>198</v>
      </c>
    </row>
    <row r="513" customFormat="false" ht="17.15" hidden="false" customHeight="false" outlineLevel="0" collapsed="false">
      <c r="A513" s="3" t="s">
        <v>473</v>
      </c>
      <c r="B513" s="0" t="s">
        <v>95</v>
      </c>
      <c r="D513" s="21" t="n">
        <f aca="false">mid_26</f>
        <v>50</v>
      </c>
      <c r="E513" s="21" t="n">
        <f aca="false">mid_26*midx_27</f>
        <v>100</v>
      </c>
      <c r="F513" s="21" t="n">
        <f aca="false">mid_26*midx_28</f>
        <v>150</v>
      </c>
      <c r="G513" s="21" t="n">
        <f aca="false">mid_26*midx_29</f>
        <v>175</v>
      </c>
    </row>
    <row r="514" customFormat="false" ht="17.15" hidden="false" customHeight="false" outlineLevel="0" collapsed="false">
      <c r="A514" s="3" t="s">
        <v>528</v>
      </c>
      <c r="B514" s="0" t="s">
        <v>95</v>
      </c>
      <c r="D514" s="21" t="n">
        <f aca="false">D511+D512+D513</f>
        <v>450</v>
      </c>
      <c r="E514" s="21" t="n">
        <f aca="false">E511+E512+E513</f>
        <v>682</v>
      </c>
      <c r="F514" s="21" t="n">
        <f aca="false">F511+F512+F513</f>
        <v>792</v>
      </c>
      <c r="G514" s="21" t="n">
        <f aca="false">G511+G512+G513</f>
        <v>877</v>
      </c>
    </row>
    <row r="515" customFormat="false" ht="17.15" hidden="false" customHeight="false" outlineLevel="0" collapsed="false">
      <c r="A515" s="0" t="s">
        <v>529</v>
      </c>
      <c r="B515" s="0" t="s">
        <v>34</v>
      </c>
      <c r="D515" s="23" t="n">
        <f aca="false">D510*D514/1000</f>
        <v>10.5297921189287</v>
      </c>
      <c r="E515" s="23" t="n">
        <f aca="false">E510*E514/1000</f>
        <v>28.4030942933754</v>
      </c>
      <c r="F515" s="23" t="n">
        <f aca="false">F510*F514/1000</f>
        <v>41.8113734474684</v>
      </c>
      <c r="G515" s="23" t="n">
        <f aca="false">G510*G514/1000</f>
        <v>52.7415449525698</v>
      </c>
    </row>
    <row r="516" customFormat="false" ht="17.15" hidden="false" customHeight="false" outlineLevel="0" collapsed="false">
      <c r="A516" s="0" t="s">
        <v>530</v>
      </c>
      <c r="B516" s="0" t="s">
        <v>194</v>
      </c>
      <c r="D516" s="22" t="n">
        <f aca="false">D515*fx</f>
        <v>70.7602030392012</v>
      </c>
      <c r="E516" s="22" t="n">
        <f aca="false">E515*fx</f>
        <v>190.868793651483</v>
      </c>
      <c r="F516" s="22" t="n">
        <f aca="false">F515*fx</f>
        <v>280.972429566988</v>
      </c>
      <c r="G516" s="22" t="n">
        <f aca="false">G515*fx</f>
        <v>354.423182081269</v>
      </c>
    </row>
    <row r="517" customFormat="false" ht="17.15" hidden="false" customHeight="false" outlineLevel="0" collapsed="false">
      <c r="A517" s="0" t="s">
        <v>531</v>
      </c>
      <c r="B517" s="0" t="s">
        <v>67</v>
      </c>
      <c r="D517" s="17" t="n">
        <f aca="false">1</f>
        <v>1</v>
      </c>
      <c r="E517" s="17" t="n">
        <f aca="false">pp_27</f>
        <v>1</v>
      </c>
      <c r="F517" s="17" t="n">
        <f aca="false">pp_28</f>
        <v>0.97</v>
      </c>
      <c r="G517" s="17" t="n">
        <f aca="false">pp_29</f>
        <v>0.94</v>
      </c>
    </row>
    <row r="518" customFormat="false" ht="17.15" hidden="false" customHeight="false" outlineLevel="0" collapsed="false">
      <c r="A518" s="3" t="s">
        <v>532</v>
      </c>
      <c r="B518" s="0" t="s">
        <v>54</v>
      </c>
      <c r="D518" s="13" t="n">
        <f aca="false">a26_ai/D516</f>
        <v>0.247531793970355</v>
      </c>
      <c r="K518" s="7" t="s">
        <v>533</v>
      </c>
    </row>
    <row r="519" customFormat="false" ht="17.15" hidden="false" customHeight="false" outlineLevel="0" collapsed="false">
      <c r="A519" s="3" t="s">
        <v>534</v>
      </c>
      <c r="B519" s="0" t="s">
        <v>67</v>
      </c>
      <c r="D519" s="17" t="n">
        <f aca="false">1</f>
        <v>1</v>
      </c>
      <c r="E519" s="17" t="n">
        <f aca="false">rel_27</f>
        <v>0.9</v>
      </c>
      <c r="F519" s="17" t="n">
        <f aca="false">rel_28</f>
        <v>0.8</v>
      </c>
      <c r="G519" s="17" t="n">
        <f aca="false">rel_29</f>
        <v>0.75</v>
      </c>
    </row>
    <row r="520" customFormat="false" ht="15" hidden="false" customHeight="false" outlineLevel="0" collapsed="false">
      <c r="A520" s="3" t="s">
        <v>485</v>
      </c>
      <c r="B520" s="0" t="s">
        <v>54</v>
      </c>
      <c r="D520" s="13" t="n">
        <f aca="false">$D$518*D519</f>
        <v>0.247531793970355</v>
      </c>
      <c r="E520" s="13" t="n">
        <f aca="false">$D$518*E519</f>
        <v>0.222778614573319</v>
      </c>
      <c r="F520" s="13" t="n">
        <f aca="false">$D$518*F519</f>
        <v>0.198025435176284</v>
      </c>
      <c r="G520" s="13" t="n">
        <f aca="false">$D$518*G519</f>
        <v>0.185648845477766</v>
      </c>
    </row>
    <row r="521" customFormat="false" ht="17.15" hidden="false" customHeight="false" outlineLevel="0" collapsed="false">
      <c r="A521" s="0" t="s">
        <v>535</v>
      </c>
      <c r="B521" s="0" t="s">
        <v>194</v>
      </c>
      <c r="D521" s="22" t="n">
        <f aca="false">D516*D520*D517</f>
        <v>17.5154</v>
      </c>
      <c r="E521" s="22" t="n">
        <f aca="false">E516*E520*E517</f>
        <v>42.5214854149581</v>
      </c>
      <c r="F521" s="22" t="n">
        <f aca="false">F516*F520*F517</f>
        <v>53.9704970084142</v>
      </c>
      <c r="G521" s="22" t="n">
        <f aca="false">G516*G520*G517</f>
        <v>61.850359290107</v>
      </c>
    </row>
    <row r="522" customFormat="false" ht="17.15" hidden="false" customHeight="false" outlineLevel="0" collapsed="false">
      <c r="A522" s="5" t="s">
        <v>536</v>
      </c>
    </row>
    <row r="523" customFormat="false" ht="17.15" hidden="false" customHeight="false" outlineLevel="0" collapsed="false">
      <c r="A523" s="3" t="s">
        <v>537</v>
      </c>
      <c r="B523" s="0" t="s">
        <v>67</v>
      </c>
      <c r="D523" s="17" t="n">
        <f aca="false">1</f>
        <v>1</v>
      </c>
      <c r="E523" s="17" t="n">
        <f aca="false">cx_27</f>
        <v>1.7</v>
      </c>
      <c r="F523" s="17" t="n">
        <f aca="false">cx_28</f>
        <v>2.4</v>
      </c>
      <c r="G523" s="17" t="n">
        <f aca="false">cx_29</f>
        <v>3</v>
      </c>
      <c r="K523" s="7" t="s">
        <v>538</v>
      </c>
    </row>
    <row r="524" customFormat="false" ht="17.15" hidden="false" customHeight="false" outlineLevel="0" collapsed="false">
      <c r="A524" s="3" t="s">
        <v>539</v>
      </c>
      <c r="B524" s="0" t="s">
        <v>194</v>
      </c>
      <c r="D524" s="22" t="n">
        <f aca="false">a26_rev*D523*D517</f>
        <v>28.126</v>
      </c>
      <c r="E524" s="22" t="n">
        <f aca="false">a26_rev*E523*E517</f>
        <v>47.8142</v>
      </c>
      <c r="F524" s="22" t="n">
        <f aca="false">a26_rev*F523*F517</f>
        <v>65.477328</v>
      </c>
      <c r="G524" s="22" t="n">
        <f aca="false">a26_rev*G523*G517</f>
        <v>79.31532</v>
      </c>
    </row>
    <row r="525" customFormat="false" ht="17.15" hidden="false" customHeight="false" outlineLevel="0" collapsed="false">
      <c r="A525" s="3" t="s">
        <v>540</v>
      </c>
      <c r="B525" s="0" t="s">
        <v>194</v>
      </c>
      <c r="C525" s="22" t="n">
        <f aca="false">a25_nai</f>
        <v>10.6106</v>
      </c>
      <c r="D525" s="22" t="n">
        <f aca="false">a26_nai</f>
        <v>10.6106</v>
      </c>
      <c r="E525" s="22" t="n">
        <f aca="false">D525*(1+g_nai27)</f>
        <v>10.6106</v>
      </c>
      <c r="F525" s="22" t="n">
        <f aca="false">E525*(1+g_nai28)</f>
        <v>10.6106</v>
      </c>
      <c r="G525" s="22" t="n">
        <f aca="false">F525*(1+g_nai29)</f>
        <v>10.6106</v>
      </c>
    </row>
    <row r="526" customFormat="false" ht="17.15" hidden="false" customHeight="false" outlineLevel="0" collapsed="false">
      <c r="A526" s="0" t="s">
        <v>541</v>
      </c>
      <c r="B526" s="0" t="s">
        <v>194</v>
      </c>
      <c r="C526" s="22" t="n">
        <f aca="false">a25_ai</f>
        <v>8.6814</v>
      </c>
      <c r="D526" s="22" t="n">
        <f aca="false">D521</f>
        <v>17.5154</v>
      </c>
      <c r="E526" s="22" t="n">
        <f aca="false">MIN(E521,E524-E525)</f>
        <v>37.2036</v>
      </c>
      <c r="F526" s="22" t="n">
        <f aca="false">MIN(F521,F524-F525)</f>
        <v>53.9704970084142</v>
      </c>
      <c r="G526" s="22" t="n">
        <f aca="false">MIN(G521,G524-G525)</f>
        <v>61.850359290107</v>
      </c>
      <c r="K526" s="3" t="s">
        <v>542</v>
      </c>
    </row>
    <row r="527" customFormat="false" ht="15" hidden="false" customHeight="false" outlineLevel="0" collapsed="false">
      <c r="A527" s="3" t="s">
        <v>543</v>
      </c>
      <c r="E527" s="0" t="str">
        <f aca="false">IF(E521&gt;E524-E525+0.0001,"受限","未受限")</f>
        <v>受限</v>
      </c>
      <c r="F527" s="0" t="str">
        <f aca="false">IF(F521&gt;F524-F525+0.0001,"受限","未受限")</f>
        <v>未受限</v>
      </c>
      <c r="G527" s="0" t="str">
        <f aca="false">IF(G521&gt;G524-G525+0.0001,"受限","未受限")</f>
        <v>未受限</v>
      </c>
    </row>
    <row r="528" customFormat="false" ht="17.15" hidden="false" customHeight="false" outlineLevel="0" collapsed="false">
      <c r="A528" s="3" t="s">
        <v>414</v>
      </c>
      <c r="B528" s="0" t="s">
        <v>194</v>
      </c>
      <c r="C528" s="22" t="n">
        <f aca="false">C526+C525</f>
        <v>19.292</v>
      </c>
      <c r="D528" s="22" t="n">
        <f aca="false">D526+D525</f>
        <v>28.126</v>
      </c>
      <c r="E528" s="22" t="n">
        <f aca="false">E526+E525</f>
        <v>47.8142</v>
      </c>
      <c r="F528" s="22" t="n">
        <f aca="false">F526+F525</f>
        <v>64.5810970084142</v>
      </c>
      <c r="G528" s="22" t="n">
        <f aca="false">G526+G525</f>
        <v>72.460959290107</v>
      </c>
      <c r="H528" s="24" t="n">
        <f aca="false">G528*(1+H529)</f>
        <v>79.8043942392926</v>
      </c>
      <c r="I528" s="24" t="n">
        <f aca="false">H528*(1+I529)</f>
        <v>86.2423476187719</v>
      </c>
      <c r="J528" s="24" t="n">
        <f aca="false">I528*(1+J529)</f>
        <v>91.4168884758983</v>
      </c>
      <c r="K528" s="7" t="s">
        <v>544</v>
      </c>
    </row>
    <row r="529" customFormat="false" ht="15" hidden="false" customHeight="false" outlineLevel="0" collapsed="false">
      <c r="A529" s="3" t="s">
        <v>545</v>
      </c>
      <c r="B529" s="0" t="s">
        <v>54</v>
      </c>
      <c r="D529" s="13" t="n">
        <f aca="false">D528/C528-1</f>
        <v>0.457910014513788</v>
      </c>
      <c r="E529" s="13" t="n">
        <f aca="false">E528/D528-1</f>
        <v>0.7</v>
      </c>
      <c r="F529" s="13" t="n">
        <f aca="false">F528/E528-1</f>
        <v>0.350667730682815</v>
      </c>
      <c r="G529" s="13" t="n">
        <f aca="false">G528/F528-1</f>
        <v>0.122014995822479</v>
      </c>
      <c r="H529" s="25" t="n">
        <f aca="false">$G529+(fade_gA-$G529)*1/3</f>
        <v>0.101343330548319</v>
      </c>
      <c r="I529" s="25" t="n">
        <f aca="false">$G529+(fade_gA-$G529)*2/3</f>
        <v>0.0806716652741597</v>
      </c>
      <c r="J529" s="25" t="n">
        <f aca="false">$G529+(fade_gA-$G529)*3/3</f>
        <v>0.06</v>
      </c>
    </row>
    <row r="530" customFormat="false" ht="17.15" hidden="false" customHeight="false" outlineLevel="0" collapsed="false">
      <c r="A530" s="0" t="s">
        <v>546</v>
      </c>
      <c r="B530" s="0" t="s">
        <v>54</v>
      </c>
      <c r="C530" s="13" t="n">
        <f aca="false">C526/C528</f>
        <v>0.45</v>
      </c>
      <c r="D530" s="13" t="n">
        <f aca="false">D526/D528</f>
        <v>0.622747635639622</v>
      </c>
      <c r="E530" s="13" t="n">
        <f aca="false">E526/E528</f>
        <v>0.778086844493895</v>
      </c>
      <c r="F530" s="13" t="n">
        <f aca="false">F526/F528</f>
        <v>0.835701149538888</v>
      </c>
      <c r="G530" s="13" t="n">
        <f aca="false">G526/G528</f>
        <v>0.853568044034318</v>
      </c>
    </row>
    <row r="531" customFormat="false" ht="17.15" hidden="false" customHeight="false" outlineLevel="0" collapsed="false">
      <c r="A531" s="3" t="s">
        <v>547</v>
      </c>
      <c r="B531" s="0" t="s">
        <v>54</v>
      </c>
      <c r="D531" s="13" t="n">
        <f aca="false">(D521+D525)/D524</f>
        <v>1</v>
      </c>
      <c r="E531" s="13" t="n">
        <f aca="false">(E521+E525)/E524</f>
        <v>1.11121979275943</v>
      </c>
      <c r="F531" s="13" t="n">
        <f aca="false">(F521+F525)/F524</f>
        <v>0.986312346288997</v>
      </c>
      <c r="G531" s="13" t="n">
        <f aca="false">(G521+G525)/G524</f>
        <v>0.913580873028149</v>
      </c>
      <c r="K531" s="3" t="s">
        <v>548</v>
      </c>
    </row>
    <row r="532" customFormat="false" ht="17.15" hidden="false" customHeight="false" outlineLevel="0" collapsed="false">
      <c r="A532" s="3" t="s">
        <v>489</v>
      </c>
      <c r="B532" s="0" t="s">
        <v>95</v>
      </c>
      <c r="D532" s="21" t="n">
        <f aca="false">D526/fx/D510*1000</f>
        <v>111.38930728666</v>
      </c>
      <c r="E532" s="21" t="n">
        <f aca="false">E526/fx/E510*1000</f>
        <v>132.933491717507</v>
      </c>
      <c r="F532" s="21" t="n">
        <f aca="false">F526/fx/F510*1000</f>
        <v>152.131060319828</v>
      </c>
      <c r="G532" s="21" t="n">
        <f aca="false">G526/fx/G510*1000</f>
        <v>153.045195234961</v>
      </c>
    </row>
    <row r="533" customFormat="false" ht="17.15" hidden="false" customHeight="false" outlineLevel="0" collapsed="false">
      <c r="A533" s="5" t="s">
        <v>549</v>
      </c>
    </row>
    <row r="534" customFormat="false" ht="17.15" hidden="false" customHeight="false" outlineLevel="0" collapsed="false">
      <c r="A534" s="3" t="s">
        <v>550</v>
      </c>
      <c r="B534" s="0" t="s">
        <v>54</v>
      </c>
      <c r="D534" s="13" t="n">
        <f aca="false">a26_gp/D528-d_ai*D530</f>
        <v>0.237492000284434</v>
      </c>
      <c r="K534" s="7" t="s">
        <v>551</v>
      </c>
    </row>
    <row r="535" customFormat="false" ht="17.15" hidden="false" customHeight="false" outlineLevel="0" collapsed="false">
      <c r="A535" s="0" t="s">
        <v>552</v>
      </c>
      <c r="B535" s="0" t="s">
        <v>54</v>
      </c>
      <c r="D535" s="13" t="n">
        <f aca="false">D534+d_ai</f>
        <v>0.387492000284434</v>
      </c>
      <c r="E535" s="13" t="n">
        <f aca="false">1-(1-$D$535)/E517+GULO_27</f>
        <v>0.377492000284434</v>
      </c>
      <c r="F535" s="13" t="n">
        <f aca="false">1-(1-$D$535)/F517+GULO_28</f>
        <v>0.358548453901479</v>
      </c>
      <c r="G535" s="13" t="n">
        <f aca="false">1-(1-$D$535)/G517+GULO_29</f>
        <v>0.338395744983441</v>
      </c>
      <c r="K535" s="7" t="s">
        <v>553</v>
      </c>
    </row>
    <row r="536" customFormat="false" ht="15" hidden="false" customHeight="false" outlineLevel="0" collapsed="false">
      <c r="A536" s="3" t="s">
        <v>418</v>
      </c>
      <c r="B536" s="0" t="s">
        <v>194</v>
      </c>
      <c r="C536" s="22" t="n">
        <f aca="false">a25_gp</f>
        <v>6.7946424</v>
      </c>
      <c r="D536" s="22" t="n">
        <f aca="false">a26_gp</f>
        <v>9.30701</v>
      </c>
      <c r="E536" s="22" t="n">
        <f aca="false">E526*E535+E525*$D$534</f>
        <v>16.563994</v>
      </c>
      <c r="F536" s="22" t="n">
        <f aca="false">F526*F535+F525*$D$534</f>
        <v>21.8709708768793</v>
      </c>
      <c r="G536" s="22" t="n">
        <f aca="false">G526*G535+G525*$D$534</f>
        <v>23.4498310276872</v>
      </c>
    </row>
    <row r="537" customFormat="false" ht="15" hidden="false" customHeight="false" outlineLevel="0" collapsed="false">
      <c r="A537" s="3" t="s">
        <v>421</v>
      </c>
      <c r="B537" s="0" t="s">
        <v>54</v>
      </c>
      <c r="C537" s="13" t="n">
        <f aca="false">C536/C528</f>
        <v>0.3522</v>
      </c>
      <c r="D537" s="13" t="n">
        <f aca="false">D536/D528</f>
        <v>0.330904145630378</v>
      </c>
      <c r="E537" s="13" t="n">
        <f aca="false">E536/E528</f>
        <v>0.34642415851358</v>
      </c>
      <c r="F537" s="13" t="n">
        <f aca="false">F536/F528</f>
        <v>0.338659017731299</v>
      </c>
      <c r="G537" s="13" t="n">
        <f aca="false">G536/G528</f>
        <v>0.323620212282903</v>
      </c>
    </row>
    <row r="538" customFormat="false" ht="17.15" hidden="false" customHeight="false" outlineLevel="0" collapsed="false">
      <c r="A538" s="3" t="s">
        <v>554</v>
      </c>
      <c r="B538" s="0" t="s">
        <v>194</v>
      </c>
      <c r="C538" s="22" t="n">
        <f aca="false">a25_opx</f>
        <v>1.6466424</v>
      </c>
      <c r="D538" s="22" t="n">
        <f aca="false">a26_opx</f>
        <v>1.827905</v>
      </c>
      <c r="E538" s="22" t="n">
        <f aca="false">D538*(1+MAX(0,phi*E529))</f>
        <v>2.5956251</v>
      </c>
      <c r="F538" s="22" t="n">
        <f aca="false">E538*(1+MAX(0,phi*F529))</f>
        <v>3.14174627811221</v>
      </c>
      <c r="G538" s="22" t="n">
        <f aca="false">F538*(1+MAX(0,phi*G529))</f>
        <v>3.3717503735117</v>
      </c>
      <c r="K538" s="7" t="s">
        <v>555</v>
      </c>
    </row>
    <row r="539" customFormat="false" ht="15" hidden="false" customHeight="false" outlineLevel="0" collapsed="false">
      <c r="A539" s="3" t="s">
        <v>423</v>
      </c>
      <c r="B539" s="0" t="s">
        <v>194</v>
      </c>
      <c r="C539" s="22" t="n">
        <f aca="false">C538</f>
        <v>1.6466424</v>
      </c>
      <c r="D539" s="22" t="n">
        <f aca="false">D538</f>
        <v>1.827905</v>
      </c>
      <c r="E539" s="22" t="n">
        <f aca="false">E538+0*E528</f>
        <v>2.5956251</v>
      </c>
      <c r="F539" s="22" t="n">
        <f aca="false">F538+0*F528</f>
        <v>3.14174627811221</v>
      </c>
      <c r="G539" s="22" t="n">
        <f aca="false">G538+0*G528</f>
        <v>3.3717503735117</v>
      </c>
    </row>
    <row r="540" customFormat="false" ht="15" hidden="false" customHeight="false" outlineLevel="0" collapsed="false">
      <c r="A540" s="3" t="s">
        <v>556</v>
      </c>
      <c r="B540" s="0" t="s">
        <v>194</v>
      </c>
      <c r="C540" s="22" t="n">
        <f aca="false">C536-C539</f>
        <v>5.148</v>
      </c>
      <c r="D540" s="22" t="n">
        <f aca="false">D536-D539</f>
        <v>7.479105</v>
      </c>
      <c r="E540" s="22" t="n">
        <f aca="false">E536-E539</f>
        <v>13.9683689</v>
      </c>
      <c r="F540" s="22" t="n">
        <f aca="false">F536-F539</f>
        <v>18.7292245987671</v>
      </c>
      <c r="G540" s="22" t="n">
        <f aca="false">G536-G539</f>
        <v>20.0780806541755</v>
      </c>
    </row>
    <row r="541" customFormat="false" ht="15" hidden="false" customHeight="false" outlineLevel="0" collapsed="false">
      <c r="A541" s="3" t="s">
        <v>429</v>
      </c>
      <c r="B541" s="0" t="s">
        <v>54</v>
      </c>
      <c r="C541" s="13" t="n">
        <f aca="false">C540/C528</f>
        <v>0.266846361185984</v>
      </c>
      <c r="D541" s="13" t="n">
        <f aca="false">D540/D528</f>
        <v>0.265914278603427</v>
      </c>
      <c r="E541" s="13" t="n">
        <f aca="false">E540/E528</f>
        <v>0.292138504879304</v>
      </c>
      <c r="F541" s="13" t="n">
        <f aca="false">F540/F528</f>
        <v>0.290010939212242</v>
      </c>
      <c r="G541" s="13" t="n">
        <f aca="false">G540/G528</f>
        <v>0.277088253466122</v>
      </c>
    </row>
    <row r="542" customFormat="false" ht="17.15" hidden="false" customHeight="false" outlineLevel="0" collapsed="false">
      <c r="A542" s="3" t="s">
        <v>430</v>
      </c>
      <c r="B542" s="0" t="s">
        <v>194</v>
      </c>
      <c r="E542" s="22" t="n">
        <f aca="false">nop_f</f>
        <v>-0.2</v>
      </c>
      <c r="F542" s="22" t="n">
        <f aca="false">nop_f</f>
        <v>-0.2</v>
      </c>
      <c r="G542" s="22" t="n">
        <f aca="false">nop_f</f>
        <v>-0.2</v>
      </c>
      <c r="K542" s="7" t="s">
        <v>557</v>
      </c>
    </row>
    <row r="543" customFormat="false" ht="15" hidden="false" customHeight="false" outlineLevel="0" collapsed="false">
      <c r="A543" s="3" t="s">
        <v>436</v>
      </c>
      <c r="B543" s="0" t="s">
        <v>194</v>
      </c>
      <c r="C543" s="22" t="n">
        <f aca="false">a25_ni</f>
        <v>4.312</v>
      </c>
      <c r="D543" s="22" t="n">
        <f aca="false">a26_ni</f>
        <v>6.5441924845173</v>
      </c>
      <c r="E543" s="22" t="n">
        <f aca="false">(E540+E542)*nir_f</f>
        <v>11.9371758363</v>
      </c>
      <c r="F543" s="22" t="n">
        <f aca="false">(F540+F542)*nir_f</f>
        <v>16.0648377271311</v>
      </c>
      <c r="G543" s="22" t="n">
        <f aca="false">(G540+G542)*nir_f</f>
        <v>17.2342959271702</v>
      </c>
      <c r="H543" s="24" t="n">
        <f aca="false">H528*H548</f>
        <v>19.7683265129328</v>
      </c>
      <c r="I543" s="24" t="n">
        <f aca="false">I528*I548</f>
        <v>22.2140448427862</v>
      </c>
      <c r="J543" s="24" t="n">
        <f aca="false">J528*J548</f>
        <v>24.4489205143476</v>
      </c>
    </row>
    <row r="544" customFormat="false" ht="17.15" hidden="false" customHeight="false" outlineLevel="0" collapsed="false">
      <c r="A544" s="3" t="s">
        <v>439</v>
      </c>
      <c r="B544" s="0" t="s">
        <v>54</v>
      </c>
      <c r="C544" s="13" t="n">
        <f aca="false">C543/C540</f>
        <v>0.837606837606838</v>
      </c>
      <c r="D544" s="13" t="n">
        <f aca="false">D543/D540</f>
        <v>0.874996738850077</v>
      </c>
      <c r="E544" s="13" t="n">
        <f aca="false">E543/E540</f>
        <v>0.854586238504912</v>
      </c>
      <c r="F544" s="13" t="n">
        <f aca="false">F543/F540</f>
        <v>0.857741741651632</v>
      </c>
      <c r="G544" s="13" t="n">
        <f aca="false">G543/G540</f>
        <v>0.858363716333915</v>
      </c>
    </row>
    <row r="545" customFormat="false" ht="17.15" hidden="false" customHeight="false" outlineLevel="0" collapsed="false">
      <c r="A545" s="3" t="s">
        <v>558</v>
      </c>
      <c r="B545" s="3" t="s">
        <v>222</v>
      </c>
      <c r="C545" s="27" t="n">
        <f aca="false">a25_sh</f>
        <v>0.860678642714571</v>
      </c>
      <c r="D545" s="27" t="n">
        <f aca="false">a26_sh</f>
        <v>0.946074458598726</v>
      </c>
      <c r="E545" s="27" t="n">
        <f aca="false">sh_h2*(1+sh_g)</f>
        <v>0.98234</v>
      </c>
      <c r="F545" s="27" t="n">
        <f aca="false">E545*(1+sh_g)</f>
        <v>0.98234</v>
      </c>
      <c r="G545" s="27" t="n">
        <f aca="false">F545*(1+sh_g)</f>
        <v>0.98234</v>
      </c>
      <c r="H545" s="28" t="n">
        <f aca="false">G545*(1+sh_g)</f>
        <v>0.98234</v>
      </c>
      <c r="I545" s="28" t="n">
        <f aca="false">H545*(1+sh_g)</f>
        <v>0.98234</v>
      </c>
      <c r="J545" s="28" t="n">
        <f aca="false">I545*(1+sh_g)</f>
        <v>0.98234</v>
      </c>
      <c r="K545" s="7" t="s">
        <v>559</v>
      </c>
    </row>
    <row r="546" customFormat="false" ht="15" hidden="false" customHeight="false" outlineLevel="0" collapsed="false">
      <c r="A546" s="0" t="s">
        <v>442</v>
      </c>
      <c r="B546" s="0" t="s">
        <v>258</v>
      </c>
      <c r="C546" s="23" t="n">
        <f aca="false">C543/C545</f>
        <v>5.01</v>
      </c>
      <c r="D546" s="23" t="n">
        <f aca="false">D543/D545</f>
        <v>6.91720659514496</v>
      </c>
      <c r="E546" s="23" t="n">
        <f aca="false">E543/E545</f>
        <v>12.1517762040638</v>
      </c>
      <c r="F546" s="23" t="n">
        <f aca="false">F543/F545</f>
        <v>16.3536430636349</v>
      </c>
      <c r="G546" s="23" t="n">
        <f aca="false">G543/G545</f>
        <v>17.5441251778103</v>
      </c>
      <c r="H546" s="29" t="n">
        <f aca="false">H543/H545</f>
        <v>20.1237112536726</v>
      </c>
      <c r="I546" s="29" t="n">
        <f aca="false">I543/I545</f>
        <v>22.613397441605</v>
      </c>
      <c r="J546" s="29" t="n">
        <f aca="false">J543/J545</f>
        <v>24.8884505510796</v>
      </c>
    </row>
    <row r="547" customFormat="false" ht="17.15" hidden="false" customHeight="false" outlineLevel="0" collapsed="false">
      <c r="A547" s="0" t="s">
        <v>560</v>
      </c>
      <c r="B547" s="0" t="s">
        <v>54</v>
      </c>
      <c r="D547" s="13" t="n">
        <f aca="false">D546/C546-1</f>
        <v>0.38067995911077</v>
      </c>
      <c r="E547" s="13" t="n">
        <f aca="false">E546/D546-1</f>
        <v>0.756746171582159</v>
      </c>
      <c r="F547" s="13" t="n">
        <f aca="false">F546/E546-1</f>
        <v>0.345782113578254</v>
      </c>
      <c r="G547" s="13" t="n">
        <f aca="false">G546/F546-1</f>
        <v>0.0727961414801024</v>
      </c>
      <c r="H547" s="25" t="n">
        <f aca="false">H546/G546-1</f>
        <v>0.147034180941945</v>
      </c>
      <c r="I547" s="25" t="n">
        <f aca="false">I546/H546-1</f>
        <v>0.123719037534787</v>
      </c>
      <c r="J547" s="25" t="n">
        <f aca="false">J546/I546-1</f>
        <v>0.100606426581833</v>
      </c>
    </row>
    <row r="548" customFormat="false" ht="17.15" hidden="false" customHeight="false" outlineLevel="0" collapsed="false">
      <c r="A548" s="3" t="s">
        <v>561</v>
      </c>
      <c r="B548" s="0" t="s">
        <v>54</v>
      </c>
      <c r="C548" s="13" t="n">
        <f aca="false">C543/C528</f>
        <v>0.223512336719884</v>
      </c>
      <c r="D548" s="13" t="n">
        <f aca="false">D543/D528</f>
        <v>0.23267412659167</v>
      </c>
      <c r="E548" s="13" t="n">
        <f aca="false">E543/E528</f>
        <v>0.249657546007253</v>
      </c>
      <c r="F548" s="13" t="n">
        <f aca="false">F543/F528</f>
        <v>0.248754488097934</v>
      </c>
      <c r="G548" s="13" t="n">
        <f aca="false">G543/G528</f>
        <v>0.237842502997655</v>
      </c>
      <c r="H548" s="25" t="n">
        <f aca="false">$G548+(fade_mA-$G548)*1/3</f>
        <v>0.247709749586691</v>
      </c>
      <c r="I548" s="25" t="n">
        <f aca="false">$G548+(fade_mA-$G548)*2/3</f>
        <v>0.257576996175728</v>
      </c>
      <c r="J548" s="25" t="n">
        <f aca="false">$G548+(fade_mA-$G548)*3/3</f>
        <v>0.267444242764765</v>
      </c>
    </row>
    <row r="551" customFormat="false" ht="17.15" hidden="false" customHeight="false" outlineLevel="0" collapsed="false">
      <c r="A551" s="1" t="s">
        <v>898</v>
      </c>
    </row>
    <row r="552" customFormat="false" ht="17.15" hidden="false" customHeight="false" outlineLevel="0" collapsed="false">
      <c r="A552" s="4" t="s">
        <v>23</v>
      </c>
      <c r="B552" s="4" t="s">
        <v>24</v>
      </c>
      <c r="C552" s="14" t="s">
        <v>409</v>
      </c>
      <c r="D552" s="14" t="s">
        <v>502</v>
      </c>
      <c r="E552" s="14" t="s">
        <v>503</v>
      </c>
      <c r="F552" s="14" t="s">
        <v>504</v>
      </c>
      <c r="G552" s="14" t="s">
        <v>505</v>
      </c>
      <c r="H552" s="14" t="s">
        <v>506</v>
      </c>
      <c r="I552" s="14" t="s">
        <v>507</v>
      </c>
      <c r="J552" s="14" t="s">
        <v>508</v>
      </c>
      <c r="K552" s="4" t="s">
        <v>391</v>
      </c>
    </row>
    <row r="553" customFormat="false" ht="17.15" hidden="false" customHeight="false" outlineLevel="0" collapsed="false">
      <c r="A553" s="5" t="s">
        <v>524</v>
      </c>
    </row>
    <row r="554" customFormat="false" ht="17.15" hidden="false" customHeight="false" outlineLevel="0" collapsed="false">
      <c r="A554" s="0" t="s">
        <v>525</v>
      </c>
      <c r="B554" s="0" t="s">
        <v>34</v>
      </c>
      <c r="D554" s="23" t="n">
        <f aca="false">itc_26*1</f>
        <v>781.872916666666</v>
      </c>
      <c r="E554" s="23" t="n">
        <f aca="false">itc_27*1*1</f>
        <v>1565.35</v>
      </c>
      <c r="F554" s="23" t="n">
        <f aca="false">itc_28*um28_A*1</f>
        <v>1984.26388888889</v>
      </c>
      <c r="G554" s="23" t="n">
        <f aca="false">itc_29*um29_A*1</f>
        <v>2260.39027777778</v>
      </c>
    </row>
    <row r="555" customFormat="false" ht="17.15" hidden="false" customHeight="false" outlineLevel="0" collapsed="false">
      <c r="A555" s="3" t="s">
        <v>526</v>
      </c>
      <c r="B555" s="0" t="s">
        <v>34</v>
      </c>
      <c r="D555" s="23" t="n">
        <f aca="false">itpg_gb*(1-vr26)+itpg_vr*vr26</f>
        <v>33.41403216</v>
      </c>
      <c r="E555" s="23" t="n">
        <f aca="false">itpg_vr</f>
        <v>37.586352</v>
      </c>
      <c r="F555" s="23" t="n">
        <f aca="false">itpg_vr</f>
        <v>37.586352</v>
      </c>
      <c r="G555" s="23" t="n">
        <f aca="false">itpg_vr</f>
        <v>37.586352</v>
      </c>
    </row>
    <row r="556" customFormat="false" ht="17.15" hidden="false" customHeight="false" outlineLevel="0" collapsed="false">
      <c r="A556" s="3" t="s">
        <v>527</v>
      </c>
      <c r="B556" s="0" t="s">
        <v>468</v>
      </c>
      <c r="D556" s="20" t="n">
        <f aca="false">D554/D555</f>
        <v>23.3995380420639</v>
      </c>
      <c r="E556" s="20" t="n">
        <f aca="false">E554/E555</f>
        <v>41.6467658260637</v>
      </c>
      <c r="F556" s="20" t="n">
        <f aca="false">F554/F555</f>
        <v>52.792138191248</v>
      </c>
      <c r="G556" s="20" t="n">
        <f aca="false">G554/G555</f>
        <v>60.1385917361116</v>
      </c>
    </row>
    <row r="557" customFormat="false" ht="17.15" hidden="false" customHeight="false" outlineLevel="0" collapsed="false">
      <c r="A557" s="3" t="s">
        <v>470</v>
      </c>
      <c r="B557" s="0" t="s">
        <v>95</v>
      </c>
      <c r="D557" s="21" t="n">
        <f aca="false">cmp_26</f>
        <v>280</v>
      </c>
      <c r="E557" s="21" t="n">
        <f aca="false">cmp_26*cmpx_27</f>
        <v>420</v>
      </c>
      <c r="F557" s="21" t="n">
        <f aca="false">cmp_26*cmpx_28</f>
        <v>462</v>
      </c>
      <c r="G557" s="21" t="n">
        <f aca="false">cmp_26*cmpx_29</f>
        <v>504</v>
      </c>
    </row>
    <row r="558" customFormat="false" ht="17.15" hidden="false" customHeight="false" outlineLevel="0" collapsed="false">
      <c r="A558" s="3" t="s">
        <v>472</v>
      </c>
      <c r="B558" s="0" t="s">
        <v>95</v>
      </c>
      <c r="D558" s="21" t="n">
        <f aca="false">sw_26</f>
        <v>120</v>
      </c>
      <c r="E558" s="21" t="n">
        <f aca="false">sw_26*swx_27</f>
        <v>162</v>
      </c>
      <c r="F558" s="21" t="n">
        <f aca="false">sw_26*swx_28</f>
        <v>180</v>
      </c>
      <c r="G558" s="21" t="n">
        <f aca="false">sw_26*swx_29</f>
        <v>198</v>
      </c>
    </row>
    <row r="559" customFormat="false" ht="17.15" hidden="false" customHeight="false" outlineLevel="0" collapsed="false">
      <c r="A559" s="3" t="s">
        <v>473</v>
      </c>
      <c r="B559" s="0" t="s">
        <v>95</v>
      </c>
      <c r="D559" s="21" t="n">
        <f aca="false">mid_26</f>
        <v>50</v>
      </c>
      <c r="E559" s="21" t="n">
        <f aca="false">mid_26*midx_27</f>
        <v>100</v>
      </c>
      <c r="F559" s="21" t="n">
        <f aca="false">mid_26*midx_28</f>
        <v>150</v>
      </c>
      <c r="G559" s="21" t="n">
        <f aca="false">mid_26*midx_29</f>
        <v>175</v>
      </c>
    </row>
    <row r="560" customFormat="false" ht="17.15" hidden="false" customHeight="false" outlineLevel="0" collapsed="false">
      <c r="A560" s="3" t="s">
        <v>528</v>
      </c>
      <c r="B560" s="0" t="s">
        <v>95</v>
      </c>
      <c r="D560" s="21" t="n">
        <f aca="false">D557+D558+D559</f>
        <v>450</v>
      </c>
      <c r="E560" s="21" t="n">
        <f aca="false">E557+E558+E559</f>
        <v>682</v>
      </c>
      <c r="F560" s="21" t="n">
        <f aca="false">F557+F558+F559</f>
        <v>792</v>
      </c>
      <c r="G560" s="21" t="n">
        <f aca="false">G557+G558+G559</f>
        <v>877</v>
      </c>
    </row>
    <row r="561" customFormat="false" ht="17.15" hidden="false" customHeight="false" outlineLevel="0" collapsed="false">
      <c r="A561" s="0" t="s">
        <v>529</v>
      </c>
      <c r="B561" s="0" t="s">
        <v>34</v>
      </c>
      <c r="D561" s="23" t="n">
        <f aca="false">D556*D560/1000</f>
        <v>10.5297921189287</v>
      </c>
      <c r="E561" s="23" t="n">
        <f aca="false">E556*E560/1000</f>
        <v>28.4030942933754</v>
      </c>
      <c r="F561" s="23" t="n">
        <f aca="false">F556*F560/1000</f>
        <v>41.8113734474684</v>
      </c>
      <c r="G561" s="23" t="n">
        <f aca="false">G556*G560/1000</f>
        <v>52.7415449525698</v>
      </c>
    </row>
    <row r="562" customFormat="false" ht="17.15" hidden="false" customHeight="false" outlineLevel="0" collapsed="false">
      <c r="A562" s="0" t="s">
        <v>530</v>
      </c>
      <c r="B562" s="0" t="s">
        <v>194</v>
      </c>
      <c r="D562" s="22" t="n">
        <f aca="false">D561*fx</f>
        <v>70.7602030392012</v>
      </c>
      <c r="E562" s="22" t="n">
        <f aca="false">E561*fx</f>
        <v>190.868793651483</v>
      </c>
      <c r="F562" s="22" t="n">
        <f aca="false">F561*fx</f>
        <v>280.972429566988</v>
      </c>
      <c r="G562" s="22" t="n">
        <f aca="false">G561*fx</f>
        <v>354.423182081269</v>
      </c>
    </row>
    <row r="563" customFormat="false" ht="17.15" hidden="false" customHeight="false" outlineLevel="0" collapsed="false">
      <c r="A563" s="0" t="s">
        <v>531</v>
      </c>
      <c r="B563" s="0" t="s">
        <v>67</v>
      </c>
      <c r="D563" s="17" t="n">
        <f aca="false">1</f>
        <v>1</v>
      </c>
      <c r="E563" s="17" t="n">
        <f aca="false">pp_27</f>
        <v>1</v>
      </c>
      <c r="F563" s="17" t="n">
        <f aca="false">pp_28</f>
        <v>0.97</v>
      </c>
      <c r="G563" s="17" t="n">
        <f aca="false">pp_29</f>
        <v>0.94</v>
      </c>
    </row>
    <row r="564" customFormat="false" ht="17.15" hidden="false" customHeight="false" outlineLevel="0" collapsed="false">
      <c r="A564" s="3" t="s">
        <v>532</v>
      </c>
      <c r="B564" s="0" t="s">
        <v>54</v>
      </c>
      <c r="D564" s="13" t="n">
        <f aca="false">a26_ai/D562</f>
        <v>0.247531793970355</v>
      </c>
      <c r="K564" s="7" t="s">
        <v>533</v>
      </c>
    </row>
    <row r="565" customFormat="false" ht="17.15" hidden="false" customHeight="false" outlineLevel="0" collapsed="false">
      <c r="A565" s="3" t="s">
        <v>534</v>
      </c>
      <c r="B565" s="0" t="s">
        <v>67</v>
      </c>
      <c r="D565" s="17" t="n">
        <f aca="false">1</f>
        <v>1</v>
      </c>
      <c r="E565" s="17" t="n">
        <f aca="false">rel_27</f>
        <v>0.9</v>
      </c>
      <c r="F565" s="17" t="n">
        <f aca="false">rel_28</f>
        <v>0.8</v>
      </c>
      <c r="G565" s="17" t="n">
        <f aca="false">rel_29</f>
        <v>0.75</v>
      </c>
    </row>
    <row r="566" customFormat="false" ht="15" hidden="false" customHeight="false" outlineLevel="0" collapsed="false">
      <c r="A566" s="3" t="s">
        <v>485</v>
      </c>
      <c r="B566" s="0" t="s">
        <v>54</v>
      </c>
      <c r="D566" s="13" t="n">
        <f aca="false">$D$564*D565</f>
        <v>0.247531793970355</v>
      </c>
      <c r="E566" s="13" t="n">
        <f aca="false">$D$564*E565</f>
        <v>0.222778614573319</v>
      </c>
      <c r="F566" s="13" t="n">
        <f aca="false">$D$564*F565</f>
        <v>0.198025435176284</v>
      </c>
      <c r="G566" s="13" t="n">
        <f aca="false">$D$564*G565</f>
        <v>0.185648845477766</v>
      </c>
    </row>
    <row r="567" customFormat="false" ht="17.15" hidden="false" customHeight="false" outlineLevel="0" collapsed="false">
      <c r="A567" s="0" t="s">
        <v>535</v>
      </c>
      <c r="B567" s="0" t="s">
        <v>194</v>
      </c>
      <c r="D567" s="22" t="n">
        <f aca="false">D562*D566*D563</f>
        <v>17.5154</v>
      </c>
      <c r="E567" s="22" t="n">
        <f aca="false">E562*E566*E563</f>
        <v>42.5214854149581</v>
      </c>
      <c r="F567" s="22" t="n">
        <f aca="false">F562*F566*F563</f>
        <v>53.9704970084142</v>
      </c>
      <c r="G567" s="22" t="n">
        <f aca="false">G562*G566*G563</f>
        <v>61.850359290107</v>
      </c>
    </row>
    <row r="568" customFormat="false" ht="17.15" hidden="false" customHeight="false" outlineLevel="0" collapsed="false">
      <c r="A568" s="5" t="s">
        <v>536</v>
      </c>
    </row>
    <row r="569" customFormat="false" ht="17.15" hidden="false" customHeight="false" outlineLevel="0" collapsed="false">
      <c r="A569" s="3" t="s">
        <v>537</v>
      </c>
      <c r="B569" s="0" t="s">
        <v>67</v>
      </c>
      <c r="D569" s="17" t="n">
        <f aca="false">1</f>
        <v>1</v>
      </c>
      <c r="E569" s="17" t="n">
        <f aca="false">cx_27</f>
        <v>1.7</v>
      </c>
      <c r="F569" s="17" t="n">
        <f aca="false">cx_28</f>
        <v>2.4</v>
      </c>
      <c r="G569" s="17" t="n">
        <f aca="false">cx_29</f>
        <v>3</v>
      </c>
      <c r="K569" s="7" t="s">
        <v>538</v>
      </c>
    </row>
    <row r="570" customFormat="false" ht="17.15" hidden="false" customHeight="false" outlineLevel="0" collapsed="false">
      <c r="A570" s="3" t="s">
        <v>539</v>
      </c>
      <c r="B570" s="0" t="s">
        <v>194</v>
      </c>
      <c r="D570" s="22" t="n">
        <f aca="false">a26_rev*D569*D563</f>
        <v>28.126</v>
      </c>
      <c r="E570" s="22" t="n">
        <f aca="false">a26_rev*E569*E563</f>
        <v>47.8142</v>
      </c>
      <c r="F570" s="22" t="n">
        <f aca="false">a26_rev*F569*F563</f>
        <v>65.477328</v>
      </c>
      <c r="G570" s="22" t="n">
        <f aca="false">a26_rev*G569*G563</f>
        <v>79.31532</v>
      </c>
    </row>
    <row r="571" customFormat="false" ht="17.15" hidden="false" customHeight="false" outlineLevel="0" collapsed="false">
      <c r="A571" s="3" t="s">
        <v>540</v>
      </c>
      <c r="B571" s="0" t="s">
        <v>194</v>
      </c>
      <c r="C571" s="22" t="n">
        <f aca="false">a25_nai</f>
        <v>10.6106</v>
      </c>
      <c r="D571" s="22" t="n">
        <f aca="false">a26_nai</f>
        <v>10.6106</v>
      </c>
      <c r="E571" s="22" t="n">
        <f aca="false">D571*(1+g_nai27)</f>
        <v>10.6106</v>
      </c>
      <c r="F571" s="22" t="n">
        <f aca="false">E571*(1+g_nai28)</f>
        <v>10.6106</v>
      </c>
      <c r="G571" s="22" t="n">
        <f aca="false">F571*(1+g_nai29)</f>
        <v>10.6106</v>
      </c>
    </row>
    <row r="572" customFormat="false" ht="17.15" hidden="false" customHeight="false" outlineLevel="0" collapsed="false">
      <c r="A572" s="0" t="s">
        <v>541</v>
      </c>
      <c r="B572" s="0" t="s">
        <v>194</v>
      </c>
      <c r="C572" s="22" t="n">
        <f aca="false">a25_ai</f>
        <v>8.6814</v>
      </c>
      <c r="D572" s="22" t="n">
        <f aca="false">D567</f>
        <v>17.5154</v>
      </c>
      <c r="E572" s="22" t="n">
        <f aca="false">MIN(E567,E570-E571)</f>
        <v>37.2036</v>
      </c>
      <c r="F572" s="22" t="n">
        <f aca="false">MIN(F567,F570-F571)</f>
        <v>53.9704970084142</v>
      </c>
      <c r="G572" s="22" t="n">
        <f aca="false">MIN(G567,G570-G571)</f>
        <v>61.850359290107</v>
      </c>
      <c r="K572" s="3" t="s">
        <v>542</v>
      </c>
    </row>
    <row r="573" customFormat="false" ht="15" hidden="false" customHeight="false" outlineLevel="0" collapsed="false">
      <c r="A573" s="3" t="s">
        <v>543</v>
      </c>
      <c r="E573" s="0" t="str">
        <f aca="false">IF(E567&gt;E570-E571+0.0001,"受限","未受限")</f>
        <v>受限</v>
      </c>
      <c r="F573" s="0" t="str">
        <f aca="false">IF(F567&gt;F570-F571+0.0001,"受限","未受限")</f>
        <v>未受限</v>
      </c>
      <c r="G573" s="0" t="str">
        <f aca="false">IF(G567&gt;G570-G571+0.0001,"受限","未受限")</f>
        <v>未受限</v>
      </c>
    </row>
    <row r="574" customFormat="false" ht="17.15" hidden="false" customHeight="false" outlineLevel="0" collapsed="false">
      <c r="A574" s="3" t="s">
        <v>414</v>
      </c>
      <c r="B574" s="0" t="s">
        <v>194</v>
      </c>
      <c r="C574" s="22" t="n">
        <f aca="false">C572+C571</f>
        <v>19.292</v>
      </c>
      <c r="D574" s="22" t="n">
        <f aca="false">D572+D571</f>
        <v>28.126</v>
      </c>
      <c r="E574" s="22" t="n">
        <f aca="false">E572+E571</f>
        <v>47.8142</v>
      </c>
      <c r="F574" s="22" t="n">
        <f aca="false">F572+F571</f>
        <v>64.5810970084142</v>
      </c>
      <c r="G574" s="22" t="n">
        <f aca="false">G572+G571</f>
        <v>72.460959290107</v>
      </c>
      <c r="H574" s="24" t="n">
        <f aca="false">G574*(1+H575)</f>
        <v>79.8043942392926</v>
      </c>
      <c r="I574" s="24" t="n">
        <f aca="false">H574*(1+I575)</f>
        <v>86.2423476187719</v>
      </c>
      <c r="J574" s="24" t="n">
        <f aca="false">I574*(1+J575)</f>
        <v>91.4168884758983</v>
      </c>
      <c r="K574" s="7" t="s">
        <v>544</v>
      </c>
    </row>
    <row r="575" customFormat="false" ht="15" hidden="false" customHeight="false" outlineLevel="0" collapsed="false">
      <c r="A575" s="3" t="s">
        <v>545</v>
      </c>
      <c r="B575" s="0" t="s">
        <v>54</v>
      </c>
      <c r="D575" s="13" t="n">
        <f aca="false">D574/C574-1</f>
        <v>0.457910014513788</v>
      </c>
      <c r="E575" s="13" t="n">
        <f aca="false">E574/D574-1</f>
        <v>0.7</v>
      </c>
      <c r="F575" s="13" t="n">
        <f aca="false">F574/E574-1</f>
        <v>0.350667730682815</v>
      </c>
      <c r="G575" s="13" t="n">
        <f aca="false">G574/F574-1</f>
        <v>0.122014995822479</v>
      </c>
      <c r="H575" s="25" t="n">
        <f aca="false">$G575+(fade_gA-$G575)*1/3</f>
        <v>0.101343330548319</v>
      </c>
      <c r="I575" s="25" t="n">
        <f aca="false">$G575+(fade_gA-$G575)*2/3</f>
        <v>0.0806716652741597</v>
      </c>
      <c r="J575" s="25" t="n">
        <f aca="false">$G575+(fade_gA-$G575)*3/3</f>
        <v>0.06</v>
      </c>
    </row>
    <row r="576" customFormat="false" ht="17.15" hidden="false" customHeight="false" outlineLevel="0" collapsed="false">
      <c r="A576" s="0" t="s">
        <v>546</v>
      </c>
      <c r="B576" s="0" t="s">
        <v>54</v>
      </c>
      <c r="C576" s="13" t="n">
        <f aca="false">C572/C574</f>
        <v>0.45</v>
      </c>
      <c r="D576" s="13" t="n">
        <f aca="false">D572/D574</f>
        <v>0.622747635639622</v>
      </c>
      <c r="E576" s="13" t="n">
        <f aca="false">E572/E574</f>
        <v>0.778086844493895</v>
      </c>
      <c r="F576" s="13" t="n">
        <f aca="false">F572/F574</f>
        <v>0.835701149538888</v>
      </c>
      <c r="G576" s="13" t="n">
        <f aca="false">G572/G574</f>
        <v>0.853568044034318</v>
      </c>
    </row>
    <row r="577" customFormat="false" ht="17.15" hidden="false" customHeight="false" outlineLevel="0" collapsed="false">
      <c r="A577" s="3" t="s">
        <v>547</v>
      </c>
      <c r="B577" s="0" t="s">
        <v>54</v>
      </c>
      <c r="D577" s="13" t="n">
        <f aca="false">(D567+D571)/D570</f>
        <v>1</v>
      </c>
      <c r="E577" s="13" t="n">
        <f aca="false">(E567+E571)/E570</f>
        <v>1.11121979275943</v>
      </c>
      <c r="F577" s="13" t="n">
        <f aca="false">(F567+F571)/F570</f>
        <v>0.986312346288997</v>
      </c>
      <c r="G577" s="13" t="n">
        <f aca="false">(G567+G571)/G570</f>
        <v>0.913580873028149</v>
      </c>
      <c r="K577" s="3" t="s">
        <v>548</v>
      </c>
    </row>
    <row r="578" customFormat="false" ht="17.15" hidden="false" customHeight="false" outlineLevel="0" collapsed="false">
      <c r="A578" s="3" t="s">
        <v>489</v>
      </c>
      <c r="B578" s="0" t="s">
        <v>95</v>
      </c>
      <c r="D578" s="21" t="n">
        <f aca="false">D572/fx/D556*1000</f>
        <v>111.38930728666</v>
      </c>
      <c r="E578" s="21" t="n">
        <f aca="false">E572/fx/E556*1000</f>
        <v>132.933491717507</v>
      </c>
      <c r="F578" s="21" t="n">
        <f aca="false">F572/fx/F556*1000</f>
        <v>152.131060319828</v>
      </c>
      <c r="G578" s="21" t="n">
        <f aca="false">G572/fx/G556*1000</f>
        <v>153.045195234961</v>
      </c>
    </row>
    <row r="579" customFormat="false" ht="17.15" hidden="false" customHeight="false" outlineLevel="0" collapsed="false">
      <c r="A579" s="5" t="s">
        <v>549</v>
      </c>
    </row>
    <row r="580" customFormat="false" ht="17.15" hidden="false" customHeight="false" outlineLevel="0" collapsed="false">
      <c r="A580" s="3" t="s">
        <v>550</v>
      </c>
      <c r="B580" s="0" t="s">
        <v>54</v>
      </c>
      <c r="D580" s="13" t="n">
        <f aca="false">a26_gp/D574-d_ai*D576</f>
        <v>0.237492000284434</v>
      </c>
      <c r="K580" s="7" t="s">
        <v>551</v>
      </c>
    </row>
    <row r="581" customFormat="false" ht="17.15" hidden="false" customHeight="false" outlineLevel="0" collapsed="false">
      <c r="A581" s="0" t="s">
        <v>552</v>
      </c>
      <c r="B581" s="0" t="s">
        <v>54</v>
      </c>
      <c r="D581" s="13" t="n">
        <f aca="false">D580+d_ai</f>
        <v>0.387492000284434</v>
      </c>
      <c r="E581" s="13" t="n">
        <f aca="false">1-(1-$D$581)/E563+GUHI_27</f>
        <v>0.417492000284434</v>
      </c>
      <c r="F581" s="13" t="n">
        <f aca="false">1-(1-$D$581)/F563+GUHI_28</f>
        <v>0.408548453901479</v>
      </c>
      <c r="G581" s="13" t="n">
        <f aca="false">1-(1-$D$581)/G563+GUHI_29</f>
        <v>0.398395744983441</v>
      </c>
      <c r="K581" s="7" t="s">
        <v>553</v>
      </c>
    </row>
    <row r="582" customFormat="false" ht="15" hidden="false" customHeight="false" outlineLevel="0" collapsed="false">
      <c r="A582" s="3" t="s">
        <v>418</v>
      </c>
      <c r="B582" s="0" t="s">
        <v>194</v>
      </c>
      <c r="C582" s="22" t="n">
        <f aca="false">a25_gp</f>
        <v>6.7946424</v>
      </c>
      <c r="D582" s="22" t="n">
        <f aca="false">a26_gp</f>
        <v>9.30701</v>
      </c>
      <c r="E582" s="22" t="n">
        <f aca="false">E572*E581+E571*$D$580</f>
        <v>18.052138</v>
      </c>
      <c r="F582" s="22" t="n">
        <f aca="false">F572*F581+F571*$D$580</f>
        <v>24.5694957273</v>
      </c>
      <c r="G582" s="22" t="n">
        <f aca="false">G572*G581+G571*$D$580</f>
        <v>27.1608525850937</v>
      </c>
    </row>
    <row r="583" customFormat="false" ht="15" hidden="false" customHeight="false" outlineLevel="0" collapsed="false">
      <c r="A583" s="3" t="s">
        <v>421</v>
      </c>
      <c r="B583" s="0" t="s">
        <v>54</v>
      </c>
      <c r="C583" s="13" t="n">
        <f aca="false">C582/C574</f>
        <v>0.3522</v>
      </c>
      <c r="D583" s="13" t="n">
        <f aca="false">D582/D574</f>
        <v>0.330904145630378</v>
      </c>
      <c r="E583" s="13" t="n">
        <f aca="false">E582/E574</f>
        <v>0.377547632293336</v>
      </c>
      <c r="F583" s="13" t="n">
        <f aca="false">F582/F574</f>
        <v>0.380444075208244</v>
      </c>
      <c r="G583" s="13" t="n">
        <f aca="false">G582/G574</f>
        <v>0.374834294924963</v>
      </c>
    </row>
    <row r="584" customFormat="false" ht="17.15" hidden="false" customHeight="false" outlineLevel="0" collapsed="false">
      <c r="A584" s="3" t="s">
        <v>554</v>
      </c>
      <c r="B584" s="0" t="s">
        <v>194</v>
      </c>
      <c r="C584" s="22" t="n">
        <f aca="false">a25_opx</f>
        <v>1.6466424</v>
      </c>
      <c r="D584" s="22" t="n">
        <f aca="false">a26_opx</f>
        <v>1.827905</v>
      </c>
      <c r="E584" s="22" t="n">
        <f aca="false">D584*(1+MAX(0,phi*E575))</f>
        <v>2.5956251</v>
      </c>
      <c r="F584" s="22" t="n">
        <f aca="false">E584*(1+MAX(0,phi*F575))</f>
        <v>3.14174627811221</v>
      </c>
      <c r="G584" s="22" t="n">
        <f aca="false">F584*(1+MAX(0,phi*G575))</f>
        <v>3.3717503735117</v>
      </c>
      <c r="K584" s="7" t="s">
        <v>555</v>
      </c>
    </row>
    <row r="585" customFormat="false" ht="15" hidden="false" customHeight="false" outlineLevel="0" collapsed="false">
      <c r="A585" s="3" t="s">
        <v>423</v>
      </c>
      <c r="B585" s="0" t="s">
        <v>194</v>
      </c>
      <c r="C585" s="22" t="n">
        <f aca="false">C584</f>
        <v>1.6466424</v>
      </c>
      <c r="D585" s="22" t="n">
        <f aca="false">D584</f>
        <v>1.827905</v>
      </c>
      <c r="E585" s="22" t="n">
        <f aca="false">E584+0*E574</f>
        <v>2.5956251</v>
      </c>
      <c r="F585" s="22" t="n">
        <f aca="false">F584+0*F574</f>
        <v>3.14174627811221</v>
      </c>
      <c r="G585" s="22" t="n">
        <f aca="false">G584+0*G574</f>
        <v>3.3717503735117</v>
      </c>
    </row>
    <row r="586" customFormat="false" ht="15" hidden="false" customHeight="false" outlineLevel="0" collapsed="false">
      <c r="A586" s="3" t="s">
        <v>556</v>
      </c>
      <c r="B586" s="0" t="s">
        <v>194</v>
      </c>
      <c r="C586" s="22" t="n">
        <f aca="false">C582-C585</f>
        <v>5.148</v>
      </c>
      <c r="D586" s="22" t="n">
        <f aca="false">D582-D585</f>
        <v>7.479105</v>
      </c>
      <c r="E586" s="22" t="n">
        <f aca="false">E582-E585</f>
        <v>15.4565129</v>
      </c>
      <c r="F586" s="22" t="n">
        <f aca="false">F582-F585</f>
        <v>21.4277494491878</v>
      </c>
      <c r="G586" s="22" t="n">
        <f aca="false">G582-G585</f>
        <v>23.789102211582</v>
      </c>
    </row>
    <row r="587" customFormat="false" ht="15" hidden="false" customHeight="false" outlineLevel="0" collapsed="false">
      <c r="A587" s="3" t="s">
        <v>429</v>
      </c>
      <c r="B587" s="0" t="s">
        <v>54</v>
      </c>
      <c r="C587" s="13" t="n">
        <f aca="false">C586/C574</f>
        <v>0.266846361185984</v>
      </c>
      <c r="D587" s="13" t="n">
        <f aca="false">D586/D574</f>
        <v>0.265914278603427</v>
      </c>
      <c r="E587" s="13" t="n">
        <f aca="false">E586/E574</f>
        <v>0.32326197865906</v>
      </c>
      <c r="F587" s="13" t="n">
        <f aca="false">F586/F574</f>
        <v>0.331795996689186</v>
      </c>
      <c r="G587" s="13" t="n">
        <f aca="false">G586/G574</f>
        <v>0.328302336108182</v>
      </c>
    </row>
    <row r="588" customFormat="false" ht="17.15" hidden="false" customHeight="false" outlineLevel="0" collapsed="false">
      <c r="A588" s="3" t="s">
        <v>430</v>
      </c>
      <c r="B588" s="0" t="s">
        <v>194</v>
      </c>
      <c r="E588" s="22" t="n">
        <f aca="false">nop_f</f>
        <v>-0.2</v>
      </c>
      <c r="F588" s="22" t="n">
        <f aca="false">nop_f</f>
        <v>-0.2</v>
      </c>
      <c r="G588" s="22" t="n">
        <f aca="false">nop_f</f>
        <v>-0.2</v>
      </c>
      <c r="K588" s="7" t="s">
        <v>557</v>
      </c>
    </row>
    <row r="589" customFormat="false" ht="15" hidden="false" customHeight="false" outlineLevel="0" collapsed="false">
      <c r="A589" s="3" t="s">
        <v>436</v>
      </c>
      <c r="B589" s="0" t="s">
        <v>194</v>
      </c>
      <c r="C589" s="22" t="n">
        <f aca="false">a25_ni</f>
        <v>4.312</v>
      </c>
      <c r="D589" s="22" t="n">
        <f aca="false">a26_ni</f>
        <v>6.5441924845173</v>
      </c>
      <c r="E589" s="22" t="n">
        <f aca="false">(E586+E588)*nir_f</f>
        <v>13.2273966843</v>
      </c>
      <c r="F589" s="22" t="n">
        <f aca="false">(F586+F588)*nir_f</f>
        <v>18.4044587724458</v>
      </c>
      <c r="G589" s="22" t="n">
        <f aca="false">(G586+G588)*nir_f</f>
        <v>20.4517516174416</v>
      </c>
      <c r="H589" s="24" t="n">
        <f aca="false">H574*H594</f>
        <v>22.1306754234762</v>
      </c>
      <c r="I589" s="24" t="n">
        <f aca="false">I574*I594</f>
        <v>23.490506608344</v>
      </c>
      <c r="J589" s="24" t="n">
        <f aca="false">J574*J594</f>
        <v>24.4489205143476</v>
      </c>
    </row>
    <row r="590" customFormat="false" ht="17.15" hidden="false" customHeight="false" outlineLevel="0" collapsed="false">
      <c r="A590" s="3" t="s">
        <v>439</v>
      </c>
      <c r="B590" s="0" t="s">
        <v>54</v>
      </c>
      <c r="C590" s="13" t="n">
        <f aca="false">C589/C586</f>
        <v>0.837606837606838</v>
      </c>
      <c r="D590" s="13" t="n">
        <f aca="false">D589/D586</f>
        <v>0.874996738850077</v>
      </c>
      <c r="E590" s="13" t="n">
        <f aca="false">E589/E586</f>
        <v>0.855781428183585</v>
      </c>
      <c r="F590" s="13" t="n">
        <f aca="false">F589/F586</f>
        <v>0.858907689586758</v>
      </c>
      <c r="G590" s="13" t="n">
        <f aca="false">G589/G586</f>
        <v>0.859710948128359</v>
      </c>
    </row>
    <row r="591" customFormat="false" ht="17.15" hidden="false" customHeight="false" outlineLevel="0" collapsed="false">
      <c r="A591" s="3" t="s">
        <v>558</v>
      </c>
      <c r="B591" s="3" t="s">
        <v>222</v>
      </c>
      <c r="C591" s="27" t="n">
        <f aca="false">a25_sh</f>
        <v>0.860678642714571</v>
      </c>
      <c r="D591" s="27" t="n">
        <f aca="false">a26_sh</f>
        <v>0.946074458598726</v>
      </c>
      <c r="E591" s="27" t="n">
        <f aca="false">sh_h2*(1+sh_g)</f>
        <v>0.98234</v>
      </c>
      <c r="F591" s="27" t="n">
        <f aca="false">E591*(1+sh_g)</f>
        <v>0.98234</v>
      </c>
      <c r="G591" s="27" t="n">
        <f aca="false">F591*(1+sh_g)</f>
        <v>0.98234</v>
      </c>
      <c r="H591" s="28" t="n">
        <f aca="false">G591*(1+sh_g)</f>
        <v>0.98234</v>
      </c>
      <c r="I591" s="28" t="n">
        <f aca="false">H591*(1+sh_g)</f>
        <v>0.98234</v>
      </c>
      <c r="J591" s="28" t="n">
        <f aca="false">I591*(1+sh_g)</f>
        <v>0.98234</v>
      </c>
      <c r="K591" s="7" t="s">
        <v>559</v>
      </c>
    </row>
    <row r="592" customFormat="false" ht="15" hidden="false" customHeight="false" outlineLevel="0" collapsed="false">
      <c r="A592" s="0" t="s">
        <v>442</v>
      </c>
      <c r="B592" s="0" t="s">
        <v>258</v>
      </c>
      <c r="C592" s="23" t="n">
        <f aca="false">C589/C591</f>
        <v>5.01</v>
      </c>
      <c r="D592" s="23" t="n">
        <f aca="false">D589/D591</f>
        <v>6.91720659514496</v>
      </c>
      <c r="E592" s="23" t="n">
        <f aca="false">E589/E591</f>
        <v>13.4651919745709</v>
      </c>
      <c r="F592" s="23" t="n">
        <f aca="false">F589/F591</f>
        <v>18.7353246049696</v>
      </c>
      <c r="G592" s="23" t="n">
        <f aca="false">G589/G591</f>
        <v>20.8194226209271</v>
      </c>
      <c r="H592" s="29" t="n">
        <f aca="false">H589/H591</f>
        <v>22.5285292500317</v>
      </c>
      <c r="I592" s="29" t="n">
        <f aca="false">I589/I591</f>
        <v>23.9128067760083</v>
      </c>
      <c r="J592" s="29" t="n">
        <f aca="false">J589/J591</f>
        <v>24.8884505510796</v>
      </c>
    </row>
    <row r="593" customFormat="false" ht="17.15" hidden="false" customHeight="false" outlineLevel="0" collapsed="false">
      <c r="A593" s="0" t="s">
        <v>560</v>
      </c>
      <c r="B593" s="0" t="s">
        <v>54</v>
      </c>
      <c r="D593" s="13" t="n">
        <f aca="false">D592/C592-1</f>
        <v>0.38067995911077</v>
      </c>
      <c r="E593" s="13" t="n">
        <f aca="false">E592/D592-1</f>
        <v>0.94662278614345</v>
      </c>
      <c r="F593" s="13" t="n">
        <f aca="false">F592/E592-1</f>
        <v>0.391389342264955</v>
      </c>
      <c r="G593" s="13" t="n">
        <f aca="false">G592/F592-1</f>
        <v>0.111238959553694</v>
      </c>
      <c r="H593" s="25" t="n">
        <f aca="false">H592/G592-1</f>
        <v>0.0820919321454499</v>
      </c>
      <c r="I593" s="25" t="n">
        <f aca="false">I592/H592-1</f>
        <v>0.0614455347090452</v>
      </c>
      <c r="J593" s="25" t="n">
        <f aca="false">J592/I592-1</f>
        <v>0.0408000526333103</v>
      </c>
    </row>
    <row r="594" customFormat="false" ht="17.15" hidden="false" customHeight="false" outlineLevel="0" collapsed="false">
      <c r="A594" s="3" t="s">
        <v>561</v>
      </c>
      <c r="B594" s="0" t="s">
        <v>54</v>
      </c>
      <c r="C594" s="13" t="n">
        <f aca="false">C589/C574</f>
        <v>0.223512336719884</v>
      </c>
      <c r="D594" s="13" t="n">
        <f aca="false">D589/D574</f>
        <v>0.23267412659167</v>
      </c>
      <c r="E594" s="13" t="n">
        <f aca="false">E589/E574</f>
        <v>0.276641597774301</v>
      </c>
      <c r="F594" s="13" t="n">
        <f aca="false">F589/F574</f>
        <v>0.284982132930444</v>
      </c>
      <c r="G594" s="13" t="n">
        <f aca="false">G589/G574</f>
        <v>0.28224511264832</v>
      </c>
      <c r="H594" s="25" t="n">
        <f aca="false">$G594+(fade_mA-$G594)*1/3</f>
        <v>0.277311489353801</v>
      </c>
      <c r="I594" s="25" t="n">
        <f aca="false">$G594+(fade_mA-$G594)*2/3</f>
        <v>0.272377866059283</v>
      </c>
      <c r="J594" s="25" t="n">
        <f aca="false">$G594+(fade_mA-$G594)*3/3</f>
        <v>0.267444242764765</v>
      </c>
    </row>
    <row r="597" customFormat="false" ht="17.15" hidden="false" customHeight="false" outlineLevel="0" collapsed="false">
      <c r="A597" s="1" t="s">
        <v>899</v>
      </c>
    </row>
    <row r="598" customFormat="false" ht="17.15" hidden="false" customHeight="false" outlineLevel="0" collapsed="false">
      <c r="A598" s="4" t="s">
        <v>23</v>
      </c>
      <c r="B598" s="4" t="s">
        <v>24</v>
      </c>
      <c r="C598" s="14" t="s">
        <v>409</v>
      </c>
      <c r="D598" s="14" t="s">
        <v>502</v>
      </c>
      <c r="E598" s="14" t="s">
        <v>503</v>
      </c>
      <c r="F598" s="14" t="s">
        <v>504</v>
      </c>
      <c r="G598" s="14" t="s">
        <v>505</v>
      </c>
      <c r="H598" s="14" t="s">
        <v>506</v>
      </c>
      <c r="I598" s="14" t="s">
        <v>507</v>
      </c>
      <c r="J598" s="14" t="s">
        <v>508</v>
      </c>
      <c r="K598" s="4" t="s">
        <v>391</v>
      </c>
    </row>
    <row r="599" customFormat="false" ht="17.15" hidden="false" customHeight="false" outlineLevel="0" collapsed="false">
      <c r="A599" s="5" t="s">
        <v>524</v>
      </c>
    </row>
    <row r="600" customFormat="false" ht="17.15" hidden="false" customHeight="false" outlineLevel="0" collapsed="false">
      <c r="A600" s="0" t="s">
        <v>525</v>
      </c>
      <c r="B600" s="0" t="s">
        <v>34</v>
      </c>
      <c r="D600" s="23" t="n">
        <f aca="false">itc_26*1</f>
        <v>781.872916666666</v>
      </c>
      <c r="E600" s="23" t="n">
        <f aca="false">itc_27*1*mf_lo</f>
        <v>1252.28</v>
      </c>
      <c r="F600" s="23" t="n">
        <f aca="false">itc_28*um28_A*mf_lo</f>
        <v>1587.41111111111</v>
      </c>
      <c r="G600" s="23" t="n">
        <f aca="false">itc_29*um29_A*mf_lo</f>
        <v>1808.31222222222</v>
      </c>
    </row>
    <row r="601" customFormat="false" ht="17.15" hidden="false" customHeight="false" outlineLevel="0" collapsed="false">
      <c r="A601" s="3" t="s">
        <v>526</v>
      </c>
      <c r="B601" s="0" t="s">
        <v>34</v>
      </c>
      <c r="D601" s="23" t="n">
        <f aca="false">itpg_gb*(1-vr26)+itpg_vr*vr26</f>
        <v>33.41403216</v>
      </c>
      <c r="E601" s="23" t="n">
        <f aca="false">itpg_vr</f>
        <v>37.586352</v>
      </c>
      <c r="F601" s="23" t="n">
        <f aca="false">itpg_vr</f>
        <v>37.586352</v>
      </c>
      <c r="G601" s="23" t="n">
        <f aca="false">itpg_vr</f>
        <v>37.586352</v>
      </c>
    </row>
    <row r="602" customFormat="false" ht="17.15" hidden="false" customHeight="false" outlineLevel="0" collapsed="false">
      <c r="A602" s="3" t="s">
        <v>527</v>
      </c>
      <c r="B602" s="0" t="s">
        <v>468</v>
      </c>
      <c r="D602" s="20" t="n">
        <f aca="false">D600/D601</f>
        <v>23.3995380420639</v>
      </c>
      <c r="E602" s="20" t="n">
        <f aca="false">E600/E601</f>
        <v>33.3174126608509</v>
      </c>
      <c r="F602" s="20" t="n">
        <f aca="false">F600/F601</f>
        <v>42.2337105529984</v>
      </c>
      <c r="G602" s="20" t="n">
        <f aca="false">G600/G601</f>
        <v>48.1108733888892</v>
      </c>
    </row>
    <row r="603" customFormat="false" ht="17.15" hidden="false" customHeight="false" outlineLevel="0" collapsed="false">
      <c r="A603" s="3" t="s">
        <v>470</v>
      </c>
      <c r="B603" s="0" t="s">
        <v>95</v>
      </c>
      <c r="D603" s="21" t="n">
        <f aca="false">cmp_26</f>
        <v>280</v>
      </c>
      <c r="E603" s="21" t="n">
        <f aca="false">cmp_26*cmpx_27</f>
        <v>420</v>
      </c>
      <c r="F603" s="21" t="n">
        <f aca="false">cmp_26*cmpx_28</f>
        <v>462</v>
      </c>
      <c r="G603" s="21" t="n">
        <f aca="false">cmp_26*cmpx_29</f>
        <v>504</v>
      </c>
    </row>
    <row r="604" customFormat="false" ht="17.15" hidden="false" customHeight="false" outlineLevel="0" collapsed="false">
      <c r="A604" s="3" t="s">
        <v>472</v>
      </c>
      <c r="B604" s="0" t="s">
        <v>95</v>
      </c>
      <c r="D604" s="21" t="n">
        <f aca="false">sw_26</f>
        <v>120</v>
      </c>
      <c r="E604" s="21" t="n">
        <f aca="false">sw_26*swx_27</f>
        <v>162</v>
      </c>
      <c r="F604" s="21" t="n">
        <f aca="false">sw_26*swx_28</f>
        <v>180</v>
      </c>
      <c r="G604" s="21" t="n">
        <f aca="false">sw_26*swx_29</f>
        <v>198</v>
      </c>
    </row>
    <row r="605" customFormat="false" ht="17.15" hidden="false" customHeight="false" outlineLevel="0" collapsed="false">
      <c r="A605" s="3" t="s">
        <v>473</v>
      </c>
      <c r="B605" s="0" t="s">
        <v>95</v>
      </c>
      <c r="D605" s="21" t="n">
        <f aca="false">mid_26</f>
        <v>50</v>
      </c>
      <c r="E605" s="21" t="n">
        <f aca="false">mid_26*midx_27</f>
        <v>100</v>
      </c>
      <c r="F605" s="21" t="n">
        <f aca="false">mid_26*midx_28</f>
        <v>150</v>
      </c>
      <c r="G605" s="21" t="n">
        <f aca="false">mid_26*midx_29</f>
        <v>175</v>
      </c>
    </row>
    <row r="606" customFormat="false" ht="17.15" hidden="false" customHeight="false" outlineLevel="0" collapsed="false">
      <c r="A606" s="3" t="s">
        <v>528</v>
      </c>
      <c r="B606" s="0" t="s">
        <v>95</v>
      </c>
      <c r="D606" s="21" t="n">
        <f aca="false">D603+D604+D605</f>
        <v>450</v>
      </c>
      <c r="E606" s="21" t="n">
        <f aca="false">E603+E604+E605</f>
        <v>682</v>
      </c>
      <c r="F606" s="21" t="n">
        <f aca="false">F603+F604+F605</f>
        <v>792</v>
      </c>
      <c r="G606" s="21" t="n">
        <f aca="false">G603+G604+G605</f>
        <v>877</v>
      </c>
    </row>
    <row r="607" customFormat="false" ht="17.15" hidden="false" customHeight="false" outlineLevel="0" collapsed="false">
      <c r="A607" s="0" t="s">
        <v>529</v>
      </c>
      <c r="B607" s="0" t="s">
        <v>34</v>
      </c>
      <c r="D607" s="23" t="n">
        <f aca="false">D602*D606/1000</f>
        <v>10.5297921189287</v>
      </c>
      <c r="E607" s="23" t="n">
        <f aca="false">E602*E606/1000</f>
        <v>22.7224754347003</v>
      </c>
      <c r="F607" s="23" t="n">
        <f aca="false">F602*F606/1000</f>
        <v>33.4490987579747</v>
      </c>
      <c r="G607" s="23" t="n">
        <f aca="false">G602*G606/1000</f>
        <v>42.1932359620559</v>
      </c>
    </row>
    <row r="608" customFormat="false" ht="17.15" hidden="false" customHeight="false" outlineLevel="0" collapsed="false">
      <c r="A608" s="0" t="s">
        <v>530</v>
      </c>
      <c r="B608" s="0" t="s">
        <v>194</v>
      </c>
      <c r="D608" s="22" t="n">
        <f aca="false">D607*fx</f>
        <v>70.7602030392012</v>
      </c>
      <c r="E608" s="22" t="n">
        <f aca="false">E607*fx</f>
        <v>152.695034921186</v>
      </c>
      <c r="F608" s="22" t="n">
        <f aca="false">F607*fx</f>
        <v>224.77794365359</v>
      </c>
      <c r="G608" s="22" t="n">
        <f aca="false">G607*fx</f>
        <v>283.538545665016</v>
      </c>
    </row>
    <row r="609" customFormat="false" ht="17.15" hidden="false" customHeight="false" outlineLevel="0" collapsed="false">
      <c r="A609" s="0" t="s">
        <v>531</v>
      </c>
      <c r="B609" s="0" t="s">
        <v>67</v>
      </c>
      <c r="D609" s="17" t="n">
        <f aca="false">1</f>
        <v>1</v>
      </c>
      <c r="E609" s="17" t="n">
        <f aca="false">pp_27</f>
        <v>1</v>
      </c>
      <c r="F609" s="17" t="n">
        <f aca="false">pp_28</f>
        <v>0.97</v>
      </c>
      <c r="G609" s="17" t="n">
        <f aca="false">pp_29</f>
        <v>0.94</v>
      </c>
    </row>
    <row r="610" customFormat="false" ht="17.15" hidden="false" customHeight="false" outlineLevel="0" collapsed="false">
      <c r="A610" s="3" t="s">
        <v>532</v>
      </c>
      <c r="B610" s="0" t="s">
        <v>54</v>
      </c>
      <c r="D610" s="13" t="n">
        <f aca="false">a26_ai/D608</f>
        <v>0.247531793970355</v>
      </c>
      <c r="K610" s="7" t="s">
        <v>533</v>
      </c>
    </row>
    <row r="611" customFormat="false" ht="17.15" hidden="false" customHeight="false" outlineLevel="0" collapsed="false">
      <c r="A611" s="3" t="s">
        <v>534</v>
      </c>
      <c r="B611" s="0" t="s">
        <v>67</v>
      </c>
      <c r="D611" s="17" t="n">
        <f aca="false">1</f>
        <v>1</v>
      </c>
      <c r="E611" s="17" t="n">
        <f aca="false">rel_27</f>
        <v>0.9</v>
      </c>
      <c r="F611" s="17" t="n">
        <f aca="false">rel_28</f>
        <v>0.8</v>
      </c>
      <c r="G611" s="17" t="n">
        <f aca="false">rel_29</f>
        <v>0.75</v>
      </c>
    </row>
    <row r="612" customFormat="false" ht="15" hidden="false" customHeight="false" outlineLevel="0" collapsed="false">
      <c r="A612" s="3" t="s">
        <v>485</v>
      </c>
      <c r="B612" s="0" t="s">
        <v>54</v>
      </c>
      <c r="D612" s="13" t="n">
        <f aca="false">$D$610*D611</f>
        <v>0.247531793970355</v>
      </c>
      <c r="E612" s="13" t="n">
        <f aca="false">$D$610*E611</f>
        <v>0.222778614573319</v>
      </c>
      <c r="F612" s="13" t="n">
        <f aca="false">$D$610*F611</f>
        <v>0.198025435176284</v>
      </c>
      <c r="G612" s="13" t="n">
        <f aca="false">$D$610*G611</f>
        <v>0.185648845477766</v>
      </c>
    </row>
    <row r="613" customFormat="false" ht="17.15" hidden="false" customHeight="false" outlineLevel="0" collapsed="false">
      <c r="A613" s="0" t="s">
        <v>535</v>
      </c>
      <c r="B613" s="0" t="s">
        <v>194</v>
      </c>
      <c r="D613" s="22" t="n">
        <f aca="false">D608*D612*D609</f>
        <v>17.5154</v>
      </c>
      <c r="E613" s="22" t="n">
        <f aca="false">E608*E612*E609</f>
        <v>34.0171883319665</v>
      </c>
      <c r="F613" s="22" t="n">
        <f aca="false">F608*F612*F609</f>
        <v>43.1763976067314</v>
      </c>
      <c r="G613" s="22" t="n">
        <f aca="false">G608*G612*G609</f>
        <v>49.4802874320856</v>
      </c>
    </row>
    <row r="614" customFormat="false" ht="17.15" hidden="false" customHeight="false" outlineLevel="0" collapsed="false">
      <c r="A614" s="5" t="s">
        <v>536</v>
      </c>
    </row>
    <row r="615" customFormat="false" ht="17.15" hidden="false" customHeight="false" outlineLevel="0" collapsed="false">
      <c r="A615" s="3" t="s">
        <v>537</v>
      </c>
      <c r="B615" s="0" t="s">
        <v>67</v>
      </c>
      <c r="D615" s="17" t="n">
        <f aca="false">1</f>
        <v>1</v>
      </c>
      <c r="E615" s="17" t="n">
        <f aca="false">cx_27</f>
        <v>1.7</v>
      </c>
      <c r="F615" s="17" t="n">
        <f aca="false">cx_28</f>
        <v>2.4</v>
      </c>
      <c r="G615" s="17" t="n">
        <f aca="false">cx_29</f>
        <v>3</v>
      </c>
      <c r="K615" s="7" t="s">
        <v>538</v>
      </c>
    </row>
    <row r="616" customFormat="false" ht="17.15" hidden="false" customHeight="false" outlineLevel="0" collapsed="false">
      <c r="A616" s="3" t="s">
        <v>539</v>
      </c>
      <c r="B616" s="0" t="s">
        <v>194</v>
      </c>
      <c r="D616" s="22" t="n">
        <f aca="false">a26_rev*D615*D609</f>
        <v>28.126</v>
      </c>
      <c r="E616" s="22" t="n">
        <f aca="false">a26_rev*E615*E609</f>
        <v>47.8142</v>
      </c>
      <c r="F616" s="22" t="n">
        <f aca="false">a26_rev*F615*F609</f>
        <v>65.477328</v>
      </c>
      <c r="G616" s="22" t="n">
        <f aca="false">a26_rev*G615*G609</f>
        <v>79.31532</v>
      </c>
    </row>
    <row r="617" customFormat="false" ht="17.15" hidden="false" customHeight="false" outlineLevel="0" collapsed="false">
      <c r="A617" s="3" t="s">
        <v>540</v>
      </c>
      <c r="B617" s="0" t="s">
        <v>194</v>
      </c>
      <c r="C617" s="22" t="n">
        <f aca="false">a25_nai</f>
        <v>10.6106</v>
      </c>
      <c r="D617" s="22" t="n">
        <f aca="false">a26_nai</f>
        <v>10.6106</v>
      </c>
      <c r="E617" s="22" t="n">
        <f aca="false">D617*(1+g_nai27)</f>
        <v>10.6106</v>
      </c>
      <c r="F617" s="22" t="n">
        <f aca="false">E617*(1+g_nai28)</f>
        <v>10.6106</v>
      </c>
      <c r="G617" s="22" t="n">
        <f aca="false">F617*(1+g_nai29)</f>
        <v>10.6106</v>
      </c>
    </row>
    <row r="618" customFormat="false" ht="17.15" hidden="false" customHeight="false" outlineLevel="0" collapsed="false">
      <c r="A618" s="0" t="s">
        <v>541</v>
      </c>
      <c r="B618" s="0" t="s">
        <v>194</v>
      </c>
      <c r="C618" s="22" t="n">
        <f aca="false">a25_ai</f>
        <v>8.6814</v>
      </c>
      <c r="D618" s="22" t="n">
        <f aca="false">D613</f>
        <v>17.5154</v>
      </c>
      <c r="E618" s="22" t="n">
        <f aca="false">MIN(E613,E616-E617)</f>
        <v>34.0171883319665</v>
      </c>
      <c r="F618" s="22" t="n">
        <f aca="false">MIN(F613,F616-F617)</f>
        <v>43.1763976067314</v>
      </c>
      <c r="G618" s="22" t="n">
        <f aca="false">MIN(G613,G616-G617)</f>
        <v>49.4802874320856</v>
      </c>
      <c r="K618" s="3" t="s">
        <v>542</v>
      </c>
    </row>
    <row r="619" customFormat="false" ht="15" hidden="false" customHeight="false" outlineLevel="0" collapsed="false">
      <c r="A619" s="3" t="s">
        <v>543</v>
      </c>
      <c r="E619" s="0" t="str">
        <f aca="false">IF(E613&gt;E616-E617+0.0001,"受限","未受限")</f>
        <v>未受限</v>
      </c>
      <c r="F619" s="0" t="str">
        <f aca="false">IF(F613&gt;F616-F617+0.0001,"受限","未受限")</f>
        <v>未受限</v>
      </c>
      <c r="G619" s="0" t="str">
        <f aca="false">IF(G613&gt;G616-G617+0.0001,"受限","未受限")</f>
        <v>未受限</v>
      </c>
    </row>
    <row r="620" customFormat="false" ht="17.15" hidden="false" customHeight="false" outlineLevel="0" collapsed="false">
      <c r="A620" s="3" t="s">
        <v>414</v>
      </c>
      <c r="B620" s="0" t="s">
        <v>194</v>
      </c>
      <c r="C620" s="22" t="n">
        <f aca="false">C618+C617</f>
        <v>19.292</v>
      </c>
      <c r="D620" s="22" t="n">
        <f aca="false">D618+D617</f>
        <v>28.126</v>
      </c>
      <c r="E620" s="22" t="n">
        <f aca="false">E618+E617</f>
        <v>44.6277883319665</v>
      </c>
      <c r="F620" s="22" t="n">
        <f aca="false">F618+F617</f>
        <v>53.7869976067314</v>
      </c>
      <c r="G620" s="22" t="n">
        <f aca="false">G618+G617</f>
        <v>60.0908874320856</v>
      </c>
      <c r="H620" s="24" t="n">
        <f aca="false">G620*(1+H621)</f>
        <v>65.9878465189036</v>
      </c>
      <c r="I620" s="24" t="n">
        <f aca="false">H620*(1+I621)</f>
        <v>71.2053075464269</v>
      </c>
      <c r="J620" s="24" t="n">
        <f aca="false">I620*(1+J621)</f>
        <v>75.4776259992126</v>
      </c>
      <c r="K620" s="7" t="s">
        <v>544</v>
      </c>
    </row>
    <row r="621" customFormat="false" ht="15" hidden="false" customHeight="false" outlineLevel="0" collapsed="false">
      <c r="A621" s="3" t="s">
        <v>545</v>
      </c>
      <c r="B621" s="0" t="s">
        <v>54</v>
      </c>
      <c r="D621" s="13" t="n">
        <f aca="false">D620/C620-1</f>
        <v>0.457910014513788</v>
      </c>
      <c r="E621" s="13" t="n">
        <f aca="false">E620/D620-1</f>
        <v>0.586709391024904</v>
      </c>
      <c r="F621" s="13" t="n">
        <f aca="false">F620/E620-1</f>
        <v>0.205235563246684</v>
      </c>
      <c r="G621" s="13" t="n">
        <f aca="false">G620/F620-1</f>
        <v>0.117200998491229</v>
      </c>
      <c r="H621" s="25" t="n">
        <f aca="false">$G621+(fade_gA-$G621)*1/3</f>
        <v>0.0981339989941524</v>
      </c>
      <c r="I621" s="25" t="n">
        <f aca="false">$G621+(fade_gA-$G621)*2/3</f>
        <v>0.0790669994970762</v>
      </c>
      <c r="J621" s="25" t="n">
        <f aca="false">$G621+(fade_gA-$G621)*3/3</f>
        <v>0.06</v>
      </c>
    </row>
    <row r="622" customFormat="false" ht="17.15" hidden="false" customHeight="false" outlineLevel="0" collapsed="false">
      <c r="A622" s="0" t="s">
        <v>546</v>
      </c>
      <c r="B622" s="0" t="s">
        <v>54</v>
      </c>
      <c r="C622" s="13" t="n">
        <f aca="false">C618/C620</f>
        <v>0.45</v>
      </c>
      <c r="D622" s="13" t="n">
        <f aca="false">D618/D620</f>
        <v>0.622747635639622</v>
      </c>
      <c r="E622" s="13" t="n">
        <f aca="false">E618/E620</f>
        <v>0.762242306943996</v>
      </c>
      <c r="F622" s="13" t="n">
        <f aca="false">F618/F620</f>
        <v>0.802729275250119</v>
      </c>
      <c r="G622" s="13" t="n">
        <f aca="false">G618/G620</f>
        <v>0.823424142104873</v>
      </c>
    </row>
    <row r="623" customFormat="false" ht="17.15" hidden="false" customHeight="false" outlineLevel="0" collapsed="false">
      <c r="A623" s="3" t="s">
        <v>547</v>
      </c>
      <c r="B623" s="0" t="s">
        <v>54</v>
      </c>
      <c r="D623" s="13" t="n">
        <f aca="false">(D613+D617)/D616</f>
        <v>1</v>
      </c>
      <c r="E623" s="13" t="n">
        <f aca="false">(E613+E617)/E616</f>
        <v>0.933358465308767</v>
      </c>
      <c r="F623" s="13" t="n">
        <f aca="false">(F613+F617)/F616</f>
        <v>0.821459873969374</v>
      </c>
      <c r="G623" s="13" t="n">
        <f aca="false">(G613+G617)/G616</f>
        <v>0.757620185256589</v>
      </c>
      <c r="K623" s="3" t="s">
        <v>548</v>
      </c>
    </row>
    <row r="624" customFormat="false" ht="17.15" hidden="false" customHeight="false" outlineLevel="0" collapsed="false">
      <c r="A624" s="3" t="s">
        <v>489</v>
      </c>
      <c r="B624" s="0" t="s">
        <v>95</v>
      </c>
      <c r="D624" s="21" t="n">
        <f aca="false">D618/fx/D602*1000</f>
        <v>111.38930728666</v>
      </c>
      <c r="E624" s="21" t="n">
        <f aca="false">E618/fx/E602*1000</f>
        <v>151.935015139004</v>
      </c>
      <c r="F624" s="21" t="n">
        <f aca="false">F618/fx/F602*1000</f>
        <v>152.131060319828</v>
      </c>
      <c r="G624" s="21" t="n">
        <f aca="false">G618/fx/G602*1000</f>
        <v>153.045195234961</v>
      </c>
    </row>
    <row r="625" customFormat="false" ht="17.15" hidden="false" customHeight="false" outlineLevel="0" collapsed="false">
      <c r="A625" s="5" t="s">
        <v>549</v>
      </c>
    </row>
    <row r="626" customFormat="false" ht="17.15" hidden="false" customHeight="false" outlineLevel="0" collapsed="false">
      <c r="A626" s="3" t="s">
        <v>550</v>
      </c>
      <c r="B626" s="0" t="s">
        <v>54</v>
      </c>
      <c r="D626" s="13" t="n">
        <f aca="false">a26_gp/D620-d_ai*D622</f>
        <v>0.237492000284434</v>
      </c>
      <c r="K626" s="7" t="s">
        <v>551</v>
      </c>
    </row>
    <row r="627" customFormat="false" ht="17.15" hidden="false" customHeight="false" outlineLevel="0" collapsed="false">
      <c r="A627" s="0" t="s">
        <v>552</v>
      </c>
      <c r="B627" s="0" t="s">
        <v>54</v>
      </c>
      <c r="D627" s="13" t="n">
        <f aca="false">D626+d_ai</f>
        <v>0.387492000284434</v>
      </c>
      <c r="E627" s="13" t="n">
        <f aca="false">1-(1-$D$627)/E609+gmu_27</f>
        <v>0.397492000284434</v>
      </c>
      <c r="F627" s="13" t="n">
        <f aca="false">1-(1-$D$627)/F609+gmu_28</f>
        <v>0.388548453901479</v>
      </c>
      <c r="G627" s="13" t="n">
        <f aca="false">1-(1-$D$627)/G609+gmu_29</f>
        <v>0.378395744983441</v>
      </c>
      <c r="K627" s="7" t="s">
        <v>553</v>
      </c>
    </row>
    <row r="628" customFormat="false" ht="15" hidden="false" customHeight="false" outlineLevel="0" collapsed="false">
      <c r="A628" s="3" t="s">
        <v>418</v>
      </c>
      <c r="B628" s="0" t="s">
        <v>194</v>
      </c>
      <c r="C628" s="22" t="n">
        <f aca="false">a25_gp</f>
        <v>6.7946424</v>
      </c>
      <c r="D628" s="22" t="n">
        <f aca="false">a26_gp</f>
        <v>9.30701</v>
      </c>
      <c r="E628" s="22" t="n">
        <f aca="false">E618*E627+E617*$D$626</f>
        <v>16.0414928523437</v>
      </c>
      <c r="F628" s="22" t="n">
        <f aca="false">F618*F627+F617*$D$626</f>
        <v>19.296055153349</v>
      </c>
      <c r="G628" s="22" t="n">
        <f aca="false">G618*G627+G617*$D$626</f>
        <v>21.2430628430768</v>
      </c>
    </row>
    <row r="629" customFormat="false" ht="15" hidden="false" customHeight="false" outlineLevel="0" collapsed="false">
      <c r="A629" s="3" t="s">
        <v>421</v>
      </c>
      <c r="B629" s="0" t="s">
        <v>54</v>
      </c>
      <c r="C629" s="13" t="n">
        <f aca="false">C628/C620</f>
        <v>0.3522</v>
      </c>
      <c r="D629" s="13" t="n">
        <f aca="false">D628/D620</f>
        <v>0.330904145630378</v>
      </c>
      <c r="E629" s="13" t="n">
        <f aca="false">E628/E620</f>
        <v>0.359450769395474</v>
      </c>
      <c r="F629" s="13" t="n">
        <f aca="false">F628/F620</f>
        <v>0.358749437818298</v>
      </c>
      <c r="G629" s="13" t="n">
        <f aca="false">G628/G620</f>
        <v>0.353515545382578</v>
      </c>
    </row>
    <row r="630" customFormat="false" ht="17.15" hidden="false" customHeight="false" outlineLevel="0" collapsed="false">
      <c r="A630" s="3" t="s">
        <v>554</v>
      </c>
      <c r="B630" s="0" t="s">
        <v>194</v>
      </c>
      <c r="C630" s="22" t="n">
        <f aca="false">a25_opx</f>
        <v>1.6466424</v>
      </c>
      <c r="D630" s="22" t="n">
        <f aca="false">a26_opx</f>
        <v>1.827905</v>
      </c>
      <c r="E630" s="22" t="n">
        <f aca="false">D630*(1+MAX(0,phi*E621))</f>
        <v>2.47137441764083</v>
      </c>
      <c r="F630" s="22" t="n">
        <f aca="false">E630*(1+MAX(0,phi*F621))</f>
        <v>2.7757027699996</v>
      </c>
      <c r="G630" s="22" t="n">
        <f aca="false">F630*(1+MAX(0,phi*G621))</f>
        <v>2.9708918516949</v>
      </c>
      <c r="K630" s="7" t="s">
        <v>555</v>
      </c>
    </row>
    <row r="631" customFormat="false" ht="15" hidden="false" customHeight="false" outlineLevel="0" collapsed="false">
      <c r="A631" s="3" t="s">
        <v>423</v>
      </c>
      <c r="B631" s="0" t="s">
        <v>194</v>
      </c>
      <c r="C631" s="22" t="n">
        <f aca="false">C630</f>
        <v>1.6466424</v>
      </c>
      <c r="D631" s="22" t="n">
        <f aca="false">D630</f>
        <v>1.827905</v>
      </c>
      <c r="E631" s="22" t="n">
        <f aca="false">E630+0*E620</f>
        <v>2.47137441764083</v>
      </c>
      <c r="F631" s="22" t="n">
        <f aca="false">F630+0*F620</f>
        <v>2.7757027699996</v>
      </c>
      <c r="G631" s="22" t="n">
        <f aca="false">G630+0*G620</f>
        <v>2.9708918516949</v>
      </c>
    </row>
    <row r="632" customFormat="false" ht="15" hidden="false" customHeight="false" outlineLevel="0" collapsed="false">
      <c r="A632" s="3" t="s">
        <v>556</v>
      </c>
      <c r="B632" s="0" t="s">
        <v>194</v>
      </c>
      <c r="C632" s="22" t="n">
        <f aca="false">C628-C631</f>
        <v>5.148</v>
      </c>
      <c r="D632" s="22" t="n">
        <f aca="false">D628-D631</f>
        <v>7.479105</v>
      </c>
      <c r="E632" s="22" t="n">
        <f aca="false">E628-E631</f>
        <v>13.5701184347029</v>
      </c>
      <c r="F632" s="22" t="n">
        <f aca="false">F628-F631</f>
        <v>16.5203523833494</v>
      </c>
      <c r="G632" s="22" t="n">
        <f aca="false">G628-G631</f>
        <v>18.2721709913819</v>
      </c>
    </row>
    <row r="633" customFormat="false" ht="15" hidden="false" customHeight="false" outlineLevel="0" collapsed="false">
      <c r="A633" s="3" t="s">
        <v>429</v>
      </c>
      <c r="B633" s="0" t="s">
        <v>54</v>
      </c>
      <c r="C633" s="13" t="n">
        <f aca="false">C632/C620</f>
        <v>0.266846361185984</v>
      </c>
      <c r="D633" s="13" t="n">
        <f aca="false">D632/D620</f>
        <v>0.265914278603427</v>
      </c>
      <c r="E633" s="13" t="n">
        <f aca="false">E632/E620</f>
        <v>0.304073290250476</v>
      </c>
      <c r="F633" s="13" t="n">
        <f aca="false">F632/F620</f>
        <v>0.307143977511805</v>
      </c>
      <c r="G633" s="13" t="n">
        <f aca="false">G632/G620</f>
        <v>0.30407557239079</v>
      </c>
    </row>
    <row r="634" customFormat="false" ht="17.15" hidden="false" customHeight="false" outlineLevel="0" collapsed="false">
      <c r="A634" s="3" t="s">
        <v>430</v>
      </c>
      <c r="B634" s="0" t="s">
        <v>194</v>
      </c>
      <c r="E634" s="22" t="n">
        <f aca="false">nop_f</f>
        <v>-0.2</v>
      </c>
      <c r="F634" s="22" t="n">
        <f aca="false">nop_f</f>
        <v>-0.2</v>
      </c>
      <c r="G634" s="22" t="n">
        <f aca="false">nop_f</f>
        <v>-0.2</v>
      </c>
      <c r="K634" s="7" t="s">
        <v>557</v>
      </c>
    </row>
    <row r="635" customFormat="false" ht="15" hidden="false" customHeight="false" outlineLevel="0" collapsed="false">
      <c r="A635" s="3" t="s">
        <v>436</v>
      </c>
      <c r="B635" s="0" t="s">
        <v>194</v>
      </c>
      <c r="C635" s="22" t="n">
        <f aca="false">a25_ni</f>
        <v>4.312</v>
      </c>
      <c r="D635" s="22" t="n">
        <f aca="false">a26_ni</f>
        <v>6.5441924845173</v>
      </c>
      <c r="E635" s="22" t="n">
        <f aca="false">(E632+E634)*nir_f</f>
        <v>11.5918926828874</v>
      </c>
      <c r="F635" s="22" t="n">
        <f aca="false">(F632+F634)*nir_f</f>
        <v>14.1497455163639</v>
      </c>
      <c r="G635" s="22" t="n">
        <f aca="false">(G632+G634)*nir_f</f>
        <v>15.6685722495281</v>
      </c>
      <c r="H635" s="24" t="n">
        <f aca="false">H620*H640</f>
        <v>17.353484483244</v>
      </c>
      <c r="I635" s="24" t="n">
        <f aca="false">I620*I640</f>
        <v>18.8845109948698</v>
      </c>
      <c r="J635" s="24" t="n">
        <f aca="false">J620*J640</f>
        <v>20.1860565310415</v>
      </c>
    </row>
    <row r="636" customFormat="false" ht="17.15" hidden="false" customHeight="false" outlineLevel="0" collapsed="false">
      <c r="A636" s="3" t="s">
        <v>439</v>
      </c>
      <c r="B636" s="0" t="s">
        <v>54</v>
      </c>
      <c r="C636" s="13" t="n">
        <f aca="false">C635/C632</f>
        <v>0.837606837606838</v>
      </c>
      <c r="D636" s="13" t="n">
        <f aca="false">D635/D632</f>
        <v>0.874996738850077</v>
      </c>
      <c r="E636" s="13" t="n">
        <f aca="false">E635/E632</f>
        <v>0.854221924345438</v>
      </c>
      <c r="F636" s="13" t="n">
        <f aca="false">F635/F632</f>
        <v>0.856503855851479</v>
      </c>
      <c r="G636" s="13" t="n">
        <f aca="false">G635/G632</f>
        <v>0.857510158859515</v>
      </c>
    </row>
    <row r="637" customFormat="false" ht="17.15" hidden="false" customHeight="false" outlineLevel="0" collapsed="false">
      <c r="A637" s="3" t="s">
        <v>558</v>
      </c>
      <c r="B637" s="3" t="s">
        <v>222</v>
      </c>
      <c r="C637" s="27" t="n">
        <f aca="false">a25_sh</f>
        <v>0.860678642714571</v>
      </c>
      <c r="D637" s="27" t="n">
        <f aca="false">a26_sh</f>
        <v>0.946074458598726</v>
      </c>
      <c r="E637" s="27" t="n">
        <f aca="false">sh_h2*(1+sh_g)</f>
        <v>0.98234</v>
      </c>
      <c r="F637" s="27" t="n">
        <f aca="false">E637*(1+sh_g)</f>
        <v>0.98234</v>
      </c>
      <c r="G637" s="27" t="n">
        <f aca="false">F637*(1+sh_g)</f>
        <v>0.98234</v>
      </c>
      <c r="H637" s="28" t="n">
        <f aca="false">G637*(1+sh_g)</f>
        <v>0.98234</v>
      </c>
      <c r="I637" s="28" t="n">
        <f aca="false">H637*(1+sh_g)</f>
        <v>0.98234</v>
      </c>
      <c r="J637" s="28" t="n">
        <f aca="false">I637*(1+sh_g)</f>
        <v>0.98234</v>
      </c>
      <c r="K637" s="7" t="s">
        <v>559</v>
      </c>
    </row>
    <row r="638" customFormat="false" ht="15" hidden="false" customHeight="false" outlineLevel="0" collapsed="false">
      <c r="A638" s="0" t="s">
        <v>442</v>
      </c>
      <c r="B638" s="0" t="s">
        <v>258</v>
      </c>
      <c r="C638" s="23" t="n">
        <f aca="false">C635/C637</f>
        <v>5.01</v>
      </c>
      <c r="D638" s="23" t="n">
        <f aca="false">D635/D637</f>
        <v>6.91720659514496</v>
      </c>
      <c r="E638" s="23" t="n">
        <f aca="false">E635/E637</f>
        <v>11.800285728859</v>
      </c>
      <c r="F638" s="23" t="n">
        <f aca="false">F635/F637</f>
        <v>14.4041223164728</v>
      </c>
      <c r="G638" s="23" t="n">
        <f aca="false">G635/G637</f>
        <v>15.9502537304071</v>
      </c>
      <c r="H638" s="29" t="n">
        <f aca="false">H635/H637</f>
        <v>17.6654564440458</v>
      </c>
      <c r="I638" s="29" t="n">
        <f aca="false">I635/I637</f>
        <v>19.2240069577435</v>
      </c>
      <c r="J638" s="29" t="n">
        <f aca="false">J635/J637</f>
        <v>20.548951005804</v>
      </c>
    </row>
    <row r="639" customFormat="false" ht="17.15" hidden="false" customHeight="false" outlineLevel="0" collapsed="false">
      <c r="A639" s="0" t="s">
        <v>560</v>
      </c>
      <c r="B639" s="0" t="s">
        <v>54</v>
      </c>
      <c r="D639" s="13" t="n">
        <f aca="false">D638/C638-1</f>
        <v>0.38067995911077</v>
      </c>
      <c r="E639" s="13" t="n">
        <f aca="false">E638/D638-1</f>
        <v>0.705932238187219</v>
      </c>
      <c r="F639" s="13" t="n">
        <f aca="false">F638/E638-1</f>
        <v>0.220658774494402</v>
      </c>
      <c r="G639" s="13" t="n">
        <f aca="false">G638/F638-1</f>
        <v>0.10733950878535</v>
      </c>
      <c r="H639" s="25" t="n">
        <f aca="false">H638/G638-1</f>
        <v>0.107534509646633</v>
      </c>
      <c r="I639" s="25" t="n">
        <f aca="false">I638/H638-1</f>
        <v>0.0882258841504757</v>
      </c>
      <c r="J639" s="25" t="n">
        <f aca="false">J638/I638-1</f>
        <v>0.0689213258699337</v>
      </c>
    </row>
    <row r="640" customFormat="false" ht="17.15" hidden="false" customHeight="false" outlineLevel="0" collapsed="false">
      <c r="A640" s="3" t="s">
        <v>561</v>
      </c>
      <c r="B640" s="0" t="s">
        <v>54</v>
      </c>
      <c r="C640" s="13" t="n">
        <f aca="false">C635/C620</f>
        <v>0.223512336719884</v>
      </c>
      <c r="D640" s="13" t="n">
        <f aca="false">D635/D620</f>
        <v>0.23267412659167</v>
      </c>
      <c r="E640" s="13" t="n">
        <f aca="false">E635/E620</f>
        <v>0.259746071139811</v>
      </c>
      <c r="F640" s="13" t="n">
        <f aca="false">F635/F620</f>
        <v>0.263070001040421</v>
      </c>
      <c r="G640" s="13" t="n">
        <f aca="false">G635/G620</f>
        <v>0.260747892386124</v>
      </c>
      <c r="H640" s="25" t="n">
        <f aca="false">$G640+(fade_mA-$G640)*1/3</f>
        <v>0.262980009179004</v>
      </c>
      <c r="I640" s="25" t="n">
        <f aca="false">$G640+(fade_mA-$G640)*2/3</f>
        <v>0.265212125971885</v>
      </c>
      <c r="J640" s="25" t="n">
        <f aca="false">$G640+(fade_mA-$G640)*3/3</f>
        <v>0.267444242764765</v>
      </c>
    </row>
    <row r="643" customFormat="false" ht="17.15" hidden="false" customHeight="false" outlineLevel="0" collapsed="false">
      <c r="A643" s="1" t="s">
        <v>900</v>
      </c>
    </row>
    <row r="644" customFormat="false" ht="17.15" hidden="false" customHeight="false" outlineLevel="0" collapsed="false">
      <c r="A644" s="4" t="s">
        <v>23</v>
      </c>
      <c r="B644" s="4" t="s">
        <v>24</v>
      </c>
      <c r="C644" s="14" t="s">
        <v>409</v>
      </c>
      <c r="D644" s="14" t="s">
        <v>502</v>
      </c>
      <c r="E644" s="14" t="s">
        <v>503</v>
      </c>
      <c r="F644" s="14" t="s">
        <v>504</v>
      </c>
      <c r="G644" s="14" t="s">
        <v>505</v>
      </c>
      <c r="H644" s="14" t="s">
        <v>506</v>
      </c>
      <c r="I644" s="14" t="s">
        <v>507</v>
      </c>
      <c r="J644" s="14" t="s">
        <v>508</v>
      </c>
      <c r="K644" s="4" t="s">
        <v>391</v>
      </c>
    </row>
    <row r="645" customFormat="false" ht="17.15" hidden="false" customHeight="false" outlineLevel="0" collapsed="false">
      <c r="A645" s="5" t="s">
        <v>524</v>
      </c>
    </row>
    <row r="646" customFormat="false" ht="17.15" hidden="false" customHeight="false" outlineLevel="0" collapsed="false">
      <c r="A646" s="0" t="s">
        <v>525</v>
      </c>
      <c r="B646" s="0" t="s">
        <v>34</v>
      </c>
      <c r="D646" s="23" t="n">
        <f aca="false">itc_26*1</f>
        <v>781.872916666666</v>
      </c>
      <c r="E646" s="23" t="n">
        <f aca="false">itc_27*1*mf_hi</f>
        <v>1878.42</v>
      </c>
      <c r="F646" s="23" t="n">
        <f aca="false">itc_28*um28_A*mf_hi</f>
        <v>2381.11666666667</v>
      </c>
      <c r="G646" s="23" t="n">
        <f aca="false">itc_29*um29_A*mf_hi</f>
        <v>2712.46833333334</v>
      </c>
    </row>
    <row r="647" customFormat="false" ht="17.15" hidden="false" customHeight="false" outlineLevel="0" collapsed="false">
      <c r="A647" s="3" t="s">
        <v>526</v>
      </c>
      <c r="B647" s="0" t="s">
        <v>34</v>
      </c>
      <c r="D647" s="23" t="n">
        <f aca="false">itpg_gb*(1-vr26)+itpg_vr*vr26</f>
        <v>33.41403216</v>
      </c>
      <c r="E647" s="23" t="n">
        <f aca="false">itpg_vr</f>
        <v>37.586352</v>
      </c>
      <c r="F647" s="23" t="n">
        <f aca="false">itpg_vr</f>
        <v>37.586352</v>
      </c>
      <c r="G647" s="23" t="n">
        <f aca="false">itpg_vr</f>
        <v>37.586352</v>
      </c>
    </row>
    <row r="648" customFormat="false" ht="17.15" hidden="false" customHeight="false" outlineLevel="0" collapsed="false">
      <c r="A648" s="3" t="s">
        <v>527</v>
      </c>
      <c r="B648" s="0" t="s">
        <v>468</v>
      </c>
      <c r="D648" s="20" t="n">
        <f aca="false">D646/D647</f>
        <v>23.3995380420639</v>
      </c>
      <c r="E648" s="20" t="n">
        <f aca="false">E646/E647</f>
        <v>49.9761189912764</v>
      </c>
      <c r="F648" s="20" t="n">
        <f aca="false">F646/F647</f>
        <v>63.3505658294976</v>
      </c>
      <c r="G648" s="20" t="n">
        <f aca="false">G646/G647</f>
        <v>72.1663100833339</v>
      </c>
    </row>
    <row r="649" customFormat="false" ht="17.15" hidden="false" customHeight="false" outlineLevel="0" collapsed="false">
      <c r="A649" s="3" t="s">
        <v>470</v>
      </c>
      <c r="B649" s="0" t="s">
        <v>95</v>
      </c>
      <c r="D649" s="21" t="n">
        <f aca="false">cmp_26</f>
        <v>280</v>
      </c>
      <c r="E649" s="21" t="n">
        <f aca="false">cmp_26*cmpx_27</f>
        <v>420</v>
      </c>
      <c r="F649" s="21" t="n">
        <f aca="false">cmp_26*cmpx_28</f>
        <v>462</v>
      </c>
      <c r="G649" s="21" t="n">
        <f aca="false">cmp_26*cmpx_29</f>
        <v>504</v>
      </c>
    </row>
    <row r="650" customFormat="false" ht="17.15" hidden="false" customHeight="false" outlineLevel="0" collapsed="false">
      <c r="A650" s="3" t="s">
        <v>472</v>
      </c>
      <c r="B650" s="0" t="s">
        <v>95</v>
      </c>
      <c r="D650" s="21" t="n">
        <f aca="false">sw_26</f>
        <v>120</v>
      </c>
      <c r="E650" s="21" t="n">
        <f aca="false">sw_26*swx_27</f>
        <v>162</v>
      </c>
      <c r="F650" s="21" t="n">
        <f aca="false">sw_26*swx_28</f>
        <v>180</v>
      </c>
      <c r="G650" s="21" t="n">
        <f aca="false">sw_26*swx_29</f>
        <v>198</v>
      </c>
    </row>
    <row r="651" customFormat="false" ht="17.15" hidden="false" customHeight="false" outlineLevel="0" collapsed="false">
      <c r="A651" s="3" t="s">
        <v>473</v>
      </c>
      <c r="B651" s="0" t="s">
        <v>95</v>
      </c>
      <c r="D651" s="21" t="n">
        <f aca="false">mid_26</f>
        <v>50</v>
      </c>
      <c r="E651" s="21" t="n">
        <f aca="false">mid_26*midx_27</f>
        <v>100</v>
      </c>
      <c r="F651" s="21" t="n">
        <f aca="false">mid_26*midx_28</f>
        <v>150</v>
      </c>
      <c r="G651" s="21" t="n">
        <f aca="false">mid_26*midx_29</f>
        <v>175</v>
      </c>
    </row>
    <row r="652" customFormat="false" ht="17.15" hidden="false" customHeight="false" outlineLevel="0" collapsed="false">
      <c r="A652" s="3" t="s">
        <v>528</v>
      </c>
      <c r="B652" s="0" t="s">
        <v>95</v>
      </c>
      <c r="D652" s="21" t="n">
        <f aca="false">D649+D650+D651</f>
        <v>450</v>
      </c>
      <c r="E652" s="21" t="n">
        <f aca="false">E649+E650+E651</f>
        <v>682</v>
      </c>
      <c r="F652" s="21" t="n">
        <f aca="false">F649+F650+F651</f>
        <v>792</v>
      </c>
      <c r="G652" s="21" t="n">
        <f aca="false">G649+G650+G651</f>
        <v>877</v>
      </c>
    </row>
    <row r="653" customFormat="false" ht="17.15" hidden="false" customHeight="false" outlineLevel="0" collapsed="false">
      <c r="A653" s="0" t="s">
        <v>529</v>
      </c>
      <c r="B653" s="0" t="s">
        <v>34</v>
      </c>
      <c r="D653" s="23" t="n">
        <f aca="false">D648*D652/1000</f>
        <v>10.5297921189287</v>
      </c>
      <c r="E653" s="23" t="n">
        <f aca="false">E648*E652/1000</f>
        <v>34.0837131520505</v>
      </c>
      <c r="F653" s="23" t="n">
        <f aca="false">F648*F652/1000</f>
        <v>50.1736481369621</v>
      </c>
      <c r="G653" s="23" t="n">
        <f aca="false">G648*G652/1000</f>
        <v>63.2898539430838</v>
      </c>
    </row>
    <row r="654" customFormat="false" ht="17.15" hidden="false" customHeight="false" outlineLevel="0" collapsed="false">
      <c r="A654" s="0" t="s">
        <v>530</v>
      </c>
      <c r="B654" s="0" t="s">
        <v>194</v>
      </c>
      <c r="D654" s="22" t="n">
        <f aca="false">D653*fx</f>
        <v>70.7602030392012</v>
      </c>
      <c r="E654" s="22" t="n">
        <f aca="false">E653*fx</f>
        <v>229.042552381779</v>
      </c>
      <c r="F654" s="22" t="n">
        <f aca="false">F653*fx</f>
        <v>337.166915480385</v>
      </c>
      <c r="G654" s="22" t="n">
        <f aca="false">G653*fx</f>
        <v>425.307818497523</v>
      </c>
    </row>
    <row r="655" customFormat="false" ht="17.15" hidden="false" customHeight="false" outlineLevel="0" collapsed="false">
      <c r="A655" s="0" t="s">
        <v>531</v>
      </c>
      <c r="B655" s="0" t="s">
        <v>67</v>
      </c>
      <c r="D655" s="17" t="n">
        <f aca="false">1</f>
        <v>1</v>
      </c>
      <c r="E655" s="17" t="n">
        <f aca="false">pp_27</f>
        <v>1</v>
      </c>
      <c r="F655" s="17" t="n">
        <f aca="false">pp_28</f>
        <v>0.97</v>
      </c>
      <c r="G655" s="17" t="n">
        <f aca="false">pp_29</f>
        <v>0.94</v>
      </c>
    </row>
    <row r="656" customFormat="false" ht="17.15" hidden="false" customHeight="false" outlineLevel="0" collapsed="false">
      <c r="A656" s="3" t="s">
        <v>532</v>
      </c>
      <c r="B656" s="0" t="s">
        <v>54</v>
      </c>
      <c r="D656" s="13" t="n">
        <f aca="false">a26_ai/D654</f>
        <v>0.247531793970355</v>
      </c>
      <c r="K656" s="7" t="s">
        <v>533</v>
      </c>
    </row>
    <row r="657" customFormat="false" ht="17.15" hidden="false" customHeight="false" outlineLevel="0" collapsed="false">
      <c r="A657" s="3" t="s">
        <v>534</v>
      </c>
      <c r="B657" s="0" t="s">
        <v>67</v>
      </c>
      <c r="D657" s="17" t="n">
        <f aca="false">1</f>
        <v>1</v>
      </c>
      <c r="E657" s="17" t="n">
        <f aca="false">rel_27</f>
        <v>0.9</v>
      </c>
      <c r="F657" s="17" t="n">
        <f aca="false">rel_28</f>
        <v>0.8</v>
      </c>
      <c r="G657" s="17" t="n">
        <f aca="false">rel_29</f>
        <v>0.75</v>
      </c>
    </row>
    <row r="658" customFormat="false" ht="15" hidden="false" customHeight="false" outlineLevel="0" collapsed="false">
      <c r="A658" s="3" t="s">
        <v>485</v>
      </c>
      <c r="B658" s="0" t="s">
        <v>54</v>
      </c>
      <c r="D658" s="13" t="n">
        <f aca="false">$D$656*D657</f>
        <v>0.247531793970355</v>
      </c>
      <c r="E658" s="13" t="n">
        <f aca="false">$D$656*E657</f>
        <v>0.222778614573319</v>
      </c>
      <c r="F658" s="13" t="n">
        <f aca="false">$D$656*F657</f>
        <v>0.198025435176284</v>
      </c>
      <c r="G658" s="13" t="n">
        <f aca="false">$D$656*G657</f>
        <v>0.185648845477766</v>
      </c>
    </row>
    <row r="659" customFormat="false" ht="17.15" hidden="false" customHeight="false" outlineLevel="0" collapsed="false">
      <c r="A659" s="0" t="s">
        <v>535</v>
      </c>
      <c r="B659" s="0" t="s">
        <v>194</v>
      </c>
      <c r="D659" s="22" t="n">
        <f aca="false">D654*D658*D655</f>
        <v>17.5154</v>
      </c>
      <c r="E659" s="22" t="n">
        <f aca="false">E654*E658*E655</f>
        <v>51.0257824979497</v>
      </c>
      <c r="F659" s="22" t="n">
        <f aca="false">F654*F658*F655</f>
        <v>64.7645964100971</v>
      </c>
      <c r="G659" s="22" t="n">
        <f aca="false">G654*G658*G655</f>
        <v>74.2204311481284</v>
      </c>
    </row>
    <row r="660" customFormat="false" ht="17.15" hidden="false" customHeight="false" outlineLevel="0" collapsed="false">
      <c r="A660" s="5" t="s">
        <v>536</v>
      </c>
    </row>
    <row r="661" customFormat="false" ht="17.15" hidden="false" customHeight="false" outlineLevel="0" collapsed="false">
      <c r="A661" s="3" t="s">
        <v>537</v>
      </c>
      <c r="B661" s="0" t="s">
        <v>67</v>
      </c>
      <c r="D661" s="17" t="n">
        <f aca="false">1</f>
        <v>1</v>
      </c>
      <c r="E661" s="17" t="n">
        <f aca="false">cx_27</f>
        <v>1.7</v>
      </c>
      <c r="F661" s="17" t="n">
        <f aca="false">cx_28</f>
        <v>2.4</v>
      </c>
      <c r="G661" s="17" t="n">
        <f aca="false">cx_29</f>
        <v>3</v>
      </c>
      <c r="K661" s="7" t="s">
        <v>538</v>
      </c>
    </row>
    <row r="662" customFormat="false" ht="17.15" hidden="false" customHeight="false" outlineLevel="0" collapsed="false">
      <c r="A662" s="3" t="s">
        <v>539</v>
      </c>
      <c r="B662" s="0" t="s">
        <v>194</v>
      </c>
      <c r="D662" s="22" t="n">
        <f aca="false">a26_rev*D661*D655</f>
        <v>28.126</v>
      </c>
      <c r="E662" s="22" t="n">
        <f aca="false">a26_rev*E661*E655</f>
        <v>47.8142</v>
      </c>
      <c r="F662" s="22" t="n">
        <f aca="false">a26_rev*F661*F655</f>
        <v>65.477328</v>
      </c>
      <c r="G662" s="22" t="n">
        <f aca="false">a26_rev*G661*G655</f>
        <v>79.31532</v>
      </c>
    </row>
    <row r="663" customFormat="false" ht="17.15" hidden="false" customHeight="false" outlineLevel="0" collapsed="false">
      <c r="A663" s="3" t="s">
        <v>540</v>
      </c>
      <c r="B663" s="0" t="s">
        <v>194</v>
      </c>
      <c r="C663" s="22" t="n">
        <f aca="false">a25_nai</f>
        <v>10.6106</v>
      </c>
      <c r="D663" s="22" t="n">
        <f aca="false">a26_nai</f>
        <v>10.6106</v>
      </c>
      <c r="E663" s="22" t="n">
        <f aca="false">D663*(1+g_nai27)</f>
        <v>10.6106</v>
      </c>
      <c r="F663" s="22" t="n">
        <f aca="false">E663*(1+g_nai28)</f>
        <v>10.6106</v>
      </c>
      <c r="G663" s="22" t="n">
        <f aca="false">F663*(1+g_nai29)</f>
        <v>10.6106</v>
      </c>
    </row>
    <row r="664" customFormat="false" ht="17.15" hidden="false" customHeight="false" outlineLevel="0" collapsed="false">
      <c r="A664" s="0" t="s">
        <v>541</v>
      </c>
      <c r="B664" s="0" t="s">
        <v>194</v>
      </c>
      <c r="C664" s="22" t="n">
        <f aca="false">a25_ai</f>
        <v>8.6814</v>
      </c>
      <c r="D664" s="22" t="n">
        <f aca="false">D659</f>
        <v>17.5154</v>
      </c>
      <c r="E664" s="22" t="n">
        <f aca="false">MIN(E659,E662-E663)</f>
        <v>37.2036</v>
      </c>
      <c r="F664" s="22" t="n">
        <f aca="false">MIN(F659,F662-F663)</f>
        <v>54.866728</v>
      </c>
      <c r="G664" s="22" t="n">
        <f aca="false">MIN(G659,G662-G663)</f>
        <v>68.70472</v>
      </c>
      <c r="K664" s="3" t="s">
        <v>542</v>
      </c>
    </row>
    <row r="665" customFormat="false" ht="15" hidden="false" customHeight="false" outlineLevel="0" collapsed="false">
      <c r="A665" s="3" t="s">
        <v>543</v>
      </c>
      <c r="E665" s="0" t="str">
        <f aca="false">IF(E659&gt;E662-E663+0.0001,"受限","未受限")</f>
        <v>受限</v>
      </c>
      <c r="F665" s="0" t="str">
        <f aca="false">IF(F659&gt;F662-F663+0.0001,"受限","未受限")</f>
        <v>受限</v>
      </c>
      <c r="G665" s="0" t="str">
        <f aca="false">IF(G659&gt;G662-G663+0.0001,"受限","未受限")</f>
        <v>受限</v>
      </c>
    </row>
    <row r="666" customFormat="false" ht="17.15" hidden="false" customHeight="false" outlineLevel="0" collapsed="false">
      <c r="A666" s="3" t="s">
        <v>414</v>
      </c>
      <c r="B666" s="0" t="s">
        <v>194</v>
      </c>
      <c r="C666" s="22" t="n">
        <f aca="false">C664+C663</f>
        <v>19.292</v>
      </c>
      <c r="D666" s="22" t="n">
        <f aca="false">D664+D663</f>
        <v>28.126</v>
      </c>
      <c r="E666" s="22" t="n">
        <f aca="false">E664+E663</f>
        <v>47.8142</v>
      </c>
      <c r="F666" s="22" t="n">
        <f aca="false">F664+F663</f>
        <v>65.477328</v>
      </c>
      <c r="G666" s="22" t="n">
        <f aca="false">G664+G663</f>
        <v>79.31532</v>
      </c>
      <c r="H666" s="24" t="n">
        <f aca="false">G666*(1+H667)</f>
        <v>92.0766371216495</v>
      </c>
      <c r="I666" s="24" t="n">
        <f aca="false">H666*(1+I667)</f>
        <v>102.246201097903</v>
      </c>
      <c r="J666" s="24" t="n">
        <f aca="false">I666*(1+J667)</f>
        <v>108.380973163777</v>
      </c>
      <c r="K666" s="7" t="s">
        <v>544</v>
      </c>
    </row>
    <row r="667" customFormat="false" ht="15" hidden="false" customHeight="false" outlineLevel="0" collapsed="false">
      <c r="A667" s="3" t="s">
        <v>545</v>
      </c>
      <c r="B667" s="0" t="s">
        <v>54</v>
      </c>
      <c r="D667" s="13" t="n">
        <f aca="false">D666/C666-1</f>
        <v>0.457910014513788</v>
      </c>
      <c r="E667" s="13" t="n">
        <f aca="false">E666/D666-1</f>
        <v>0.7</v>
      </c>
      <c r="F667" s="13" t="n">
        <f aca="false">F666/E666-1</f>
        <v>0.369411764705882</v>
      </c>
      <c r="G667" s="13" t="n">
        <f aca="false">G666/F666-1</f>
        <v>0.211340206185567</v>
      </c>
      <c r="H667" s="25" t="n">
        <f aca="false">$G667+(fade_gA-$G667)*1/3</f>
        <v>0.160893470790378</v>
      </c>
      <c r="I667" s="25" t="n">
        <f aca="false">$G667+(fade_gA-$G667)*2/3</f>
        <v>0.110446735395189</v>
      </c>
      <c r="J667" s="25" t="n">
        <f aca="false">$G667+(fade_gA-$G667)*3/3</f>
        <v>0.06</v>
      </c>
    </row>
    <row r="668" customFormat="false" ht="17.15" hidden="false" customHeight="false" outlineLevel="0" collapsed="false">
      <c r="A668" s="0" t="s">
        <v>546</v>
      </c>
      <c r="B668" s="0" t="s">
        <v>54</v>
      </c>
      <c r="C668" s="13" t="n">
        <f aca="false">C664/C666</f>
        <v>0.45</v>
      </c>
      <c r="D668" s="13" t="n">
        <f aca="false">D664/D666</f>
        <v>0.622747635639622</v>
      </c>
      <c r="E668" s="13" t="n">
        <f aca="false">E664/E666</f>
        <v>0.778086844493895</v>
      </c>
      <c r="F668" s="13" t="n">
        <f aca="false">F664/F666</f>
        <v>0.837950015309116</v>
      </c>
      <c r="G668" s="13" t="n">
        <f aca="false">G664/G666</f>
        <v>0.866222565829653</v>
      </c>
    </row>
    <row r="669" customFormat="false" ht="17.15" hidden="false" customHeight="false" outlineLevel="0" collapsed="false">
      <c r="A669" s="3" t="s">
        <v>547</v>
      </c>
      <c r="B669" s="0" t="s">
        <v>54</v>
      </c>
      <c r="D669" s="13" t="n">
        <f aca="false">(D659+D663)/D662</f>
        <v>1</v>
      </c>
      <c r="E669" s="13" t="n">
        <f aca="false">(E659+E663)/E662</f>
        <v>1.2890811202101</v>
      </c>
      <c r="F669" s="13" t="n">
        <f aca="false">(F659+F663)/F662</f>
        <v>1.15116481860862</v>
      </c>
      <c r="G669" s="13" t="n">
        <f aca="false">(G659+G663)/G662</f>
        <v>1.06954156079971</v>
      </c>
      <c r="K669" s="3" t="s">
        <v>548</v>
      </c>
    </row>
    <row r="670" customFormat="false" ht="17.15" hidden="false" customHeight="false" outlineLevel="0" collapsed="false">
      <c r="A670" s="3" t="s">
        <v>489</v>
      </c>
      <c r="B670" s="0" t="s">
        <v>95</v>
      </c>
      <c r="D670" s="21" t="n">
        <f aca="false">D664/fx/D648*1000</f>
        <v>111.38930728666</v>
      </c>
      <c r="E670" s="21" t="n">
        <f aca="false">E664/fx/E648*1000</f>
        <v>110.777909764589</v>
      </c>
      <c r="F670" s="21" t="n">
        <f aca="false">F664/fx/F648*1000</f>
        <v>128.881116683965</v>
      </c>
      <c r="G670" s="21" t="n">
        <f aca="false">G664/fx/G648*1000</f>
        <v>141.671600707596</v>
      </c>
    </row>
    <row r="671" customFormat="false" ht="17.15" hidden="false" customHeight="false" outlineLevel="0" collapsed="false">
      <c r="A671" s="5" t="s">
        <v>549</v>
      </c>
    </row>
    <row r="672" customFormat="false" ht="17.15" hidden="false" customHeight="false" outlineLevel="0" collapsed="false">
      <c r="A672" s="3" t="s">
        <v>550</v>
      </c>
      <c r="B672" s="0" t="s">
        <v>54</v>
      </c>
      <c r="D672" s="13" t="n">
        <f aca="false">a26_gp/D666-d_ai*D668</f>
        <v>0.237492000284434</v>
      </c>
      <c r="K672" s="7" t="s">
        <v>551</v>
      </c>
    </row>
    <row r="673" customFormat="false" ht="17.15" hidden="false" customHeight="false" outlineLevel="0" collapsed="false">
      <c r="A673" s="0" t="s">
        <v>552</v>
      </c>
      <c r="B673" s="0" t="s">
        <v>54</v>
      </c>
      <c r="D673" s="13" t="n">
        <f aca="false">D672+d_ai</f>
        <v>0.387492000284434</v>
      </c>
      <c r="E673" s="13" t="n">
        <f aca="false">1-(1-$D$673)/E655+gmu_27</f>
        <v>0.397492000284434</v>
      </c>
      <c r="F673" s="13" t="n">
        <f aca="false">1-(1-$D$673)/F655+gmu_28</f>
        <v>0.388548453901479</v>
      </c>
      <c r="G673" s="13" t="n">
        <f aca="false">1-(1-$D$673)/G655+gmu_29</f>
        <v>0.378395744983441</v>
      </c>
      <c r="K673" s="7" t="s">
        <v>553</v>
      </c>
    </row>
    <row r="674" customFormat="false" ht="15" hidden="false" customHeight="false" outlineLevel="0" collapsed="false">
      <c r="A674" s="3" t="s">
        <v>418</v>
      </c>
      <c r="B674" s="0" t="s">
        <v>194</v>
      </c>
      <c r="C674" s="22" t="n">
        <f aca="false">a25_gp</f>
        <v>6.7946424</v>
      </c>
      <c r="D674" s="22" t="n">
        <f aca="false">a26_gp</f>
        <v>9.30701</v>
      </c>
      <c r="E674" s="22" t="n">
        <f aca="false">E664*E673+E663*$D$672</f>
        <v>17.308066</v>
      </c>
      <c r="F674" s="22" t="n">
        <f aca="false">F664*F673+F663*$D$672</f>
        <v>23.838314953251</v>
      </c>
      <c r="G674" s="22" t="n">
        <f aca="false">G664*G673+G663*$D$672</f>
        <v>28.5175063264967</v>
      </c>
    </row>
    <row r="675" customFormat="false" ht="15" hidden="false" customHeight="false" outlineLevel="0" collapsed="false">
      <c r="A675" s="3" t="s">
        <v>421</v>
      </c>
      <c r="B675" s="0" t="s">
        <v>54</v>
      </c>
      <c r="C675" s="13" t="n">
        <f aca="false">C674/C666</f>
        <v>0.3522</v>
      </c>
      <c r="D675" s="13" t="n">
        <f aca="false">D674/D666</f>
        <v>0.330904145630378</v>
      </c>
      <c r="E675" s="13" t="n">
        <f aca="false">E674/E666</f>
        <v>0.361985895403458</v>
      </c>
      <c r="F675" s="13" t="n">
        <f aca="false">F674/F666</f>
        <v>0.364069757905377</v>
      </c>
      <c r="G675" s="13" t="n">
        <f aca="false">G674/G666</f>
        <v>0.359546003552614</v>
      </c>
    </row>
    <row r="676" customFormat="false" ht="17.15" hidden="false" customHeight="false" outlineLevel="0" collapsed="false">
      <c r="A676" s="3" t="s">
        <v>554</v>
      </c>
      <c r="B676" s="0" t="s">
        <v>194</v>
      </c>
      <c r="C676" s="22" t="n">
        <f aca="false">a25_opx</f>
        <v>1.6466424</v>
      </c>
      <c r="D676" s="22" t="n">
        <f aca="false">a26_opx</f>
        <v>1.827905</v>
      </c>
      <c r="E676" s="22" t="n">
        <f aca="false">D676*(1+MAX(0,phi*E667))</f>
        <v>2.5956251</v>
      </c>
      <c r="F676" s="22" t="n">
        <f aca="false">E676*(1+MAX(0,phi*F667))</f>
        <v>3.17093776922353</v>
      </c>
      <c r="G676" s="22" t="n">
        <f aca="false">F676*(1+MAX(0,phi*G667))</f>
        <v>3.57302575439311</v>
      </c>
      <c r="K676" s="7" t="s">
        <v>555</v>
      </c>
    </row>
    <row r="677" customFormat="false" ht="15" hidden="false" customHeight="false" outlineLevel="0" collapsed="false">
      <c r="A677" s="3" t="s">
        <v>423</v>
      </c>
      <c r="B677" s="0" t="s">
        <v>194</v>
      </c>
      <c r="C677" s="22" t="n">
        <f aca="false">C676</f>
        <v>1.6466424</v>
      </c>
      <c r="D677" s="22" t="n">
        <f aca="false">D676</f>
        <v>1.827905</v>
      </c>
      <c r="E677" s="22" t="n">
        <f aca="false">E676+0*E666</f>
        <v>2.5956251</v>
      </c>
      <c r="F677" s="22" t="n">
        <f aca="false">F676+0*F666</f>
        <v>3.17093776922353</v>
      </c>
      <c r="G677" s="22" t="n">
        <f aca="false">G676+0*G666</f>
        <v>3.57302575439311</v>
      </c>
    </row>
    <row r="678" customFormat="false" ht="15" hidden="false" customHeight="false" outlineLevel="0" collapsed="false">
      <c r="A678" s="3" t="s">
        <v>556</v>
      </c>
      <c r="B678" s="0" t="s">
        <v>194</v>
      </c>
      <c r="C678" s="22" t="n">
        <f aca="false">C674-C677</f>
        <v>5.148</v>
      </c>
      <c r="D678" s="22" t="n">
        <f aca="false">D674-D677</f>
        <v>7.479105</v>
      </c>
      <c r="E678" s="22" t="n">
        <f aca="false">E674-E677</f>
        <v>14.7124409</v>
      </c>
      <c r="F678" s="22" t="n">
        <f aca="false">F674-F677</f>
        <v>20.6673771840275</v>
      </c>
      <c r="G678" s="22" t="n">
        <f aca="false">G674-G677</f>
        <v>24.9444805721036</v>
      </c>
    </row>
    <row r="679" customFormat="false" ht="15" hidden="false" customHeight="false" outlineLevel="0" collapsed="false">
      <c r="A679" s="3" t="s">
        <v>429</v>
      </c>
      <c r="B679" s="0" t="s">
        <v>54</v>
      </c>
      <c r="C679" s="13" t="n">
        <f aca="false">C678/C666</f>
        <v>0.266846361185984</v>
      </c>
      <c r="D679" s="13" t="n">
        <f aca="false">D678/D666</f>
        <v>0.265914278603427</v>
      </c>
      <c r="E679" s="13" t="n">
        <f aca="false">E678/E666</f>
        <v>0.307700241769182</v>
      </c>
      <c r="F679" s="13" t="n">
        <f aca="false">F678/F666</f>
        <v>0.315641731501741</v>
      </c>
      <c r="G679" s="13" t="n">
        <f aca="false">G678/G666</f>
        <v>0.314497635161828</v>
      </c>
    </row>
    <row r="680" customFormat="false" ht="17.15" hidden="false" customHeight="false" outlineLevel="0" collapsed="false">
      <c r="A680" s="3" t="s">
        <v>430</v>
      </c>
      <c r="B680" s="0" t="s">
        <v>194</v>
      </c>
      <c r="E680" s="22" t="n">
        <f aca="false">nop_f</f>
        <v>-0.2</v>
      </c>
      <c r="F680" s="22" t="n">
        <f aca="false">nop_f</f>
        <v>-0.2</v>
      </c>
      <c r="G680" s="22" t="n">
        <f aca="false">nop_f</f>
        <v>-0.2</v>
      </c>
      <c r="K680" s="7" t="s">
        <v>557</v>
      </c>
    </row>
    <row r="681" customFormat="false" ht="15" hidden="false" customHeight="false" outlineLevel="0" collapsed="false">
      <c r="A681" s="3" t="s">
        <v>436</v>
      </c>
      <c r="B681" s="0" t="s">
        <v>194</v>
      </c>
      <c r="C681" s="22" t="n">
        <f aca="false">a25_ni</f>
        <v>4.312</v>
      </c>
      <c r="D681" s="22" t="n">
        <f aca="false">a26_ni</f>
        <v>6.5441924845173</v>
      </c>
      <c r="E681" s="22" t="n">
        <f aca="false">(E678+E680)*nir_f</f>
        <v>12.5822862603</v>
      </c>
      <c r="F681" s="22" t="n">
        <f aca="false">(F678+F680)*nir_f</f>
        <v>17.7452160185518</v>
      </c>
      <c r="G681" s="22" t="n">
        <f aca="false">(G678+G680)*nir_f</f>
        <v>21.4534646560138</v>
      </c>
      <c r="H681" s="24" t="n">
        <f aca="false">H666*H686</f>
        <v>24.8119135271076</v>
      </c>
      <c r="I681" s="24" t="n">
        <f aca="false">I666*I686</f>
        <v>27.4487331016435</v>
      </c>
      <c r="J681" s="24" t="n">
        <f aca="false">J666*J686</f>
        <v>28.9858672978947</v>
      </c>
    </row>
    <row r="682" customFormat="false" ht="17.15" hidden="false" customHeight="false" outlineLevel="0" collapsed="false">
      <c r="A682" s="3" t="s">
        <v>439</v>
      </c>
      <c r="B682" s="0" t="s">
        <v>54</v>
      </c>
      <c r="C682" s="13" t="n">
        <f aca="false">C681/C678</f>
        <v>0.837606837606838</v>
      </c>
      <c r="D682" s="13" t="n">
        <f aca="false">D681/D678</f>
        <v>0.874996738850077</v>
      </c>
      <c r="E682" s="13" t="n">
        <f aca="false">E681/E678</f>
        <v>0.85521405630931</v>
      </c>
      <c r="F682" s="13" t="n">
        <f aca="false">F681/F678</f>
        <v>0.858609965867657</v>
      </c>
      <c r="G682" s="13" t="n">
        <f aca="false">G681/G678</f>
        <v>0.86004856240647</v>
      </c>
    </row>
    <row r="683" customFormat="false" ht="17.15" hidden="false" customHeight="false" outlineLevel="0" collapsed="false">
      <c r="A683" s="3" t="s">
        <v>558</v>
      </c>
      <c r="B683" s="3" t="s">
        <v>222</v>
      </c>
      <c r="C683" s="27" t="n">
        <f aca="false">a25_sh</f>
        <v>0.860678642714571</v>
      </c>
      <c r="D683" s="27" t="n">
        <f aca="false">a26_sh</f>
        <v>0.946074458598726</v>
      </c>
      <c r="E683" s="27" t="n">
        <f aca="false">sh_h2*(1+sh_g)</f>
        <v>0.98234</v>
      </c>
      <c r="F683" s="27" t="n">
        <f aca="false">E683*(1+sh_g)</f>
        <v>0.98234</v>
      </c>
      <c r="G683" s="27" t="n">
        <f aca="false">F683*(1+sh_g)</f>
        <v>0.98234</v>
      </c>
      <c r="H683" s="28" t="n">
        <f aca="false">G683*(1+sh_g)</f>
        <v>0.98234</v>
      </c>
      <c r="I683" s="28" t="n">
        <f aca="false">H683*(1+sh_g)</f>
        <v>0.98234</v>
      </c>
      <c r="J683" s="28" t="n">
        <f aca="false">I683*(1+sh_g)</f>
        <v>0.98234</v>
      </c>
      <c r="K683" s="7" t="s">
        <v>559</v>
      </c>
    </row>
    <row r="684" customFormat="false" ht="15" hidden="false" customHeight="false" outlineLevel="0" collapsed="false">
      <c r="A684" s="0" t="s">
        <v>442</v>
      </c>
      <c r="B684" s="0" t="s">
        <v>258</v>
      </c>
      <c r="C684" s="23" t="n">
        <f aca="false">C681/C683</f>
        <v>5.01</v>
      </c>
      <c r="D684" s="23" t="n">
        <f aca="false">D681/D683</f>
        <v>6.91720659514496</v>
      </c>
      <c r="E684" s="23" t="n">
        <f aca="false">E681/E683</f>
        <v>12.8084840893173</v>
      </c>
      <c r="F684" s="23" t="n">
        <f aca="false">F681/F683</f>
        <v>18.0642303261109</v>
      </c>
      <c r="G684" s="23" t="n">
        <f aca="false">G681/G683</f>
        <v>21.8391439379582</v>
      </c>
      <c r="H684" s="29" t="n">
        <f aca="false">H681/H683</f>
        <v>25.2579692643154</v>
      </c>
      <c r="I684" s="29" t="n">
        <f aca="false">I681/I683</f>
        <v>27.9421922161812</v>
      </c>
      <c r="J684" s="29" t="n">
        <f aca="false">J681/J683</f>
        <v>29.5069602152969</v>
      </c>
    </row>
    <row r="685" customFormat="false" ht="17.15" hidden="false" customHeight="false" outlineLevel="0" collapsed="false">
      <c r="A685" s="0" t="s">
        <v>560</v>
      </c>
      <c r="B685" s="0" t="s">
        <v>54</v>
      </c>
      <c r="D685" s="13" t="n">
        <f aca="false">D684/C684-1</f>
        <v>0.38067995911077</v>
      </c>
      <c r="E685" s="13" t="n">
        <f aca="false">E684/D684-1</f>
        <v>0.851684478862804</v>
      </c>
      <c r="F685" s="13" t="n">
        <f aca="false">F684/E684-1</f>
        <v>0.410333197913485</v>
      </c>
      <c r="G685" s="13" t="n">
        <f aca="false">G684/F684-1</f>
        <v>0.208971738274993</v>
      </c>
      <c r="H685" s="25" t="n">
        <f aca="false">H684/G684-1</f>
        <v>0.156545757291111</v>
      </c>
      <c r="I685" s="25" t="n">
        <f aca="false">I684/H684-1</f>
        <v>0.106272318402814</v>
      </c>
      <c r="J685" s="25" t="n">
        <f aca="false">J684/I684-1</f>
        <v>0.0560001873514238</v>
      </c>
    </row>
    <row r="686" customFormat="false" ht="17.15" hidden="false" customHeight="false" outlineLevel="0" collapsed="false">
      <c r="A686" s="3" t="s">
        <v>561</v>
      </c>
      <c r="B686" s="0" t="s">
        <v>54</v>
      </c>
      <c r="C686" s="13" t="n">
        <f aca="false">C681/C666</f>
        <v>0.223512336719884</v>
      </c>
      <c r="D686" s="13" t="n">
        <f aca="false">D681/D666</f>
        <v>0.23267412659167</v>
      </c>
      <c r="E686" s="13" t="n">
        <f aca="false">E681/E666</f>
        <v>0.263149571890777</v>
      </c>
      <c r="F686" s="13" t="n">
        <f aca="false">F681/F666</f>
        <v>0.271013136311118</v>
      </c>
      <c r="G686" s="13" t="n">
        <f aca="false">G681/G666</f>
        <v>0.270483239001164</v>
      </c>
      <c r="H686" s="25" t="n">
        <f aca="false">$G686+(fade_mA-$G686)*1/3</f>
        <v>0.269470240255698</v>
      </c>
      <c r="I686" s="25" t="n">
        <f aca="false">$G686+(fade_mA-$G686)*2/3</f>
        <v>0.268457241510231</v>
      </c>
      <c r="J686" s="25" t="n">
        <f aca="false">$G686+(fade_mA-$G686)*3/3</f>
        <v>0.267444242764765</v>
      </c>
    </row>
    <row r="689" customFormat="false" ht="17.15" hidden="false" customHeight="false" outlineLevel="0" collapsed="false">
      <c r="A689" s="1" t="s">
        <v>901</v>
      </c>
    </row>
    <row r="690" customFormat="false" ht="17.15" hidden="false" customHeight="false" outlineLevel="0" collapsed="false">
      <c r="A690" s="4" t="s">
        <v>23</v>
      </c>
      <c r="B690" s="4" t="s">
        <v>24</v>
      </c>
      <c r="C690" s="14" t="s">
        <v>409</v>
      </c>
      <c r="D690" s="14" t="s">
        <v>502</v>
      </c>
      <c r="E690" s="14" t="s">
        <v>503</v>
      </c>
      <c r="F690" s="14" t="s">
        <v>504</v>
      </c>
      <c r="G690" s="14" t="s">
        <v>505</v>
      </c>
      <c r="H690" s="14" t="s">
        <v>506</v>
      </c>
      <c r="I690" s="14" t="s">
        <v>507</v>
      </c>
      <c r="J690" s="14" t="s">
        <v>508</v>
      </c>
      <c r="K690" s="4" t="s">
        <v>391</v>
      </c>
    </row>
    <row r="691" customFormat="false" ht="17.15" hidden="false" customHeight="false" outlineLevel="0" collapsed="false">
      <c r="A691" s="5" t="s">
        <v>524</v>
      </c>
    </row>
    <row r="692" customFormat="false" ht="17.15" hidden="false" customHeight="false" outlineLevel="0" collapsed="false">
      <c r="A692" s="0" t="s">
        <v>525</v>
      </c>
      <c r="B692" s="0" t="s">
        <v>34</v>
      </c>
      <c r="D692" s="23" t="n">
        <f aca="false">itc_26*1</f>
        <v>781.872916666666</v>
      </c>
      <c r="E692" s="23" t="n">
        <f aca="false">itc_27*1*1</f>
        <v>1565.35</v>
      </c>
      <c r="F692" s="23" t="n">
        <f aca="false">itc_28*um28_A*1</f>
        <v>1984.26388888889</v>
      </c>
      <c r="G692" s="23" t="n">
        <f aca="false">itc_29*um29_A*1</f>
        <v>2260.39027777778</v>
      </c>
    </row>
    <row r="693" customFormat="false" ht="17.15" hidden="false" customHeight="false" outlineLevel="0" collapsed="false">
      <c r="A693" s="3" t="s">
        <v>526</v>
      </c>
      <c r="B693" s="0" t="s">
        <v>34</v>
      </c>
      <c r="D693" s="23" t="n">
        <f aca="false">itpg_gb*(1-vr26)+itpg_vr*vr26</f>
        <v>33.41403216</v>
      </c>
      <c r="E693" s="23" t="n">
        <f aca="false">itpg_vr</f>
        <v>37.586352</v>
      </c>
      <c r="F693" s="23" t="n">
        <f aca="false">itpg_vr</f>
        <v>37.586352</v>
      </c>
      <c r="G693" s="23" t="n">
        <f aca="false">itpg_vr</f>
        <v>37.586352</v>
      </c>
    </row>
    <row r="694" customFormat="false" ht="17.15" hidden="false" customHeight="false" outlineLevel="0" collapsed="false">
      <c r="A694" s="3" t="s">
        <v>527</v>
      </c>
      <c r="B694" s="0" t="s">
        <v>468</v>
      </c>
      <c r="D694" s="20" t="n">
        <f aca="false">D692/D693</f>
        <v>23.3995380420639</v>
      </c>
      <c r="E694" s="20" t="n">
        <f aca="false">E692/E693</f>
        <v>41.6467658260637</v>
      </c>
      <c r="F694" s="20" t="n">
        <f aca="false">F692/F693</f>
        <v>52.792138191248</v>
      </c>
      <c r="G694" s="20" t="n">
        <f aca="false">G692/G693</f>
        <v>60.1385917361116</v>
      </c>
    </row>
    <row r="695" customFormat="false" ht="17.15" hidden="false" customHeight="false" outlineLevel="0" collapsed="false">
      <c r="A695" s="3" t="s">
        <v>470</v>
      </c>
      <c r="B695" s="0" t="s">
        <v>95</v>
      </c>
      <c r="D695" s="21" t="n">
        <f aca="false">cmp_26</f>
        <v>280</v>
      </c>
      <c r="E695" s="21" t="n">
        <f aca="false">cmp_26*cmpx_27</f>
        <v>420</v>
      </c>
      <c r="F695" s="21" t="n">
        <f aca="false">cmp_26*cmpx_28</f>
        <v>462</v>
      </c>
      <c r="G695" s="21" t="n">
        <f aca="false">cmp_26*cmpx_29</f>
        <v>504</v>
      </c>
    </row>
    <row r="696" customFormat="false" ht="17.15" hidden="false" customHeight="false" outlineLevel="0" collapsed="false">
      <c r="A696" s="3" t="s">
        <v>472</v>
      </c>
      <c r="B696" s="0" t="s">
        <v>95</v>
      </c>
      <c r="D696" s="21" t="n">
        <f aca="false">sw_26</f>
        <v>120</v>
      </c>
      <c r="E696" s="21" t="n">
        <f aca="false">sw_26*swx_27</f>
        <v>162</v>
      </c>
      <c r="F696" s="21" t="n">
        <f aca="false">sw_26*swx_28</f>
        <v>180</v>
      </c>
      <c r="G696" s="21" t="n">
        <f aca="false">sw_26*swx_29</f>
        <v>198</v>
      </c>
    </row>
    <row r="697" customFormat="false" ht="17.15" hidden="false" customHeight="false" outlineLevel="0" collapsed="false">
      <c r="A697" s="3" t="s">
        <v>473</v>
      </c>
      <c r="B697" s="0" t="s">
        <v>95</v>
      </c>
      <c r="D697" s="21" t="n">
        <f aca="false">mid_26</f>
        <v>50</v>
      </c>
      <c r="E697" s="21" t="n">
        <f aca="false">mid_26*midx_27</f>
        <v>100</v>
      </c>
      <c r="F697" s="21" t="n">
        <f aca="false">mid_26*midx_28</f>
        <v>150</v>
      </c>
      <c r="G697" s="21" t="n">
        <f aca="false">mid_26*midx_29</f>
        <v>175</v>
      </c>
    </row>
    <row r="698" customFormat="false" ht="17.15" hidden="false" customHeight="false" outlineLevel="0" collapsed="false">
      <c r="A698" s="3" t="s">
        <v>528</v>
      </c>
      <c r="B698" s="0" t="s">
        <v>95</v>
      </c>
      <c r="D698" s="21" t="n">
        <f aca="false">D695+D696+D697</f>
        <v>450</v>
      </c>
      <c r="E698" s="21" t="n">
        <f aca="false">E695+E696+E697</f>
        <v>682</v>
      </c>
      <c r="F698" s="21" t="n">
        <f aca="false">F695+F696+F697</f>
        <v>792</v>
      </c>
      <c r="G698" s="21" t="n">
        <f aca="false">G695+G696+G697</f>
        <v>877</v>
      </c>
    </row>
    <row r="699" customFormat="false" ht="17.15" hidden="false" customHeight="false" outlineLevel="0" collapsed="false">
      <c r="A699" s="0" t="s">
        <v>529</v>
      </c>
      <c r="B699" s="0" t="s">
        <v>34</v>
      </c>
      <c r="D699" s="23" t="n">
        <f aca="false">D694*D698/1000</f>
        <v>10.5297921189287</v>
      </c>
      <c r="E699" s="23" t="n">
        <f aca="false">E694*E698/1000</f>
        <v>28.4030942933754</v>
      </c>
      <c r="F699" s="23" t="n">
        <f aca="false">F694*F698/1000</f>
        <v>41.8113734474684</v>
      </c>
      <c r="G699" s="23" t="n">
        <f aca="false">G694*G698/1000</f>
        <v>52.7415449525698</v>
      </c>
    </row>
    <row r="700" customFormat="false" ht="17.15" hidden="false" customHeight="false" outlineLevel="0" collapsed="false">
      <c r="A700" s="0" t="s">
        <v>530</v>
      </c>
      <c r="B700" s="0" t="s">
        <v>194</v>
      </c>
      <c r="D700" s="22" t="n">
        <f aca="false">D699*fx</f>
        <v>70.7602030392012</v>
      </c>
      <c r="E700" s="22" t="n">
        <f aca="false">E699*fx</f>
        <v>190.868793651483</v>
      </c>
      <c r="F700" s="22" t="n">
        <f aca="false">F699*fx</f>
        <v>280.972429566988</v>
      </c>
      <c r="G700" s="22" t="n">
        <f aca="false">G699*fx</f>
        <v>354.423182081269</v>
      </c>
    </row>
    <row r="701" customFormat="false" ht="17.15" hidden="false" customHeight="false" outlineLevel="0" collapsed="false">
      <c r="A701" s="0" t="s">
        <v>531</v>
      </c>
      <c r="B701" s="0" t="s">
        <v>67</v>
      </c>
      <c r="D701" s="17" t="n">
        <f aca="false">1</f>
        <v>1</v>
      </c>
      <c r="E701" s="17" t="n">
        <f aca="false">pp_27</f>
        <v>1</v>
      </c>
      <c r="F701" s="17" t="n">
        <f aca="false">pp_28</f>
        <v>0.97</v>
      </c>
      <c r="G701" s="17" t="n">
        <f aca="false">pp_29</f>
        <v>0.94</v>
      </c>
    </row>
    <row r="702" customFormat="false" ht="17.15" hidden="false" customHeight="false" outlineLevel="0" collapsed="false">
      <c r="A702" s="3" t="s">
        <v>532</v>
      </c>
      <c r="B702" s="0" t="s">
        <v>54</v>
      </c>
      <c r="D702" s="13" t="n">
        <f aca="false">a26_ai/D700</f>
        <v>0.247531793970355</v>
      </c>
      <c r="K702" s="7" t="s">
        <v>533</v>
      </c>
    </row>
    <row r="703" customFormat="false" ht="17.15" hidden="false" customHeight="false" outlineLevel="0" collapsed="false">
      <c r="A703" s="3" t="s">
        <v>534</v>
      </c>
      <c r="B703" s="0" t="s">
        <v>67</v>
      </c>
      <c r="D703" s="17" t="n">
        <f aca="false">1</f>
        <v>1</v>
      </c>
      <c r="E703" s="17" t="n">
        <f aca="false">rel_27</f>
        <v>0.9</v>
      </c>
      <c r="F703" s="17" t="n">
        <f aca="false">rel_28</f>
        <v>0.8</v>
      </c>
      <c r="G703" s="17" t="n">
        <f aca="false">rel_29</f>
        <v>0.75</v>
      </c>
    </row>
    <row r="704" customFormat="false" ht="15" hidden="false" customHeight="false" outlineLevel="0" collapsed="false">
      <c r="A704" s="3" t="s">
        <v>485</v>
      </c>
      <c r="B704" s="0" t="s">
        <v>54</v>
      </c>
      <c r="D704" s="13" t="n">
        <f aca="false">$D$702*D703</f>
        <v>0.247531793970355</v>
      </c>
      <c r="E704" s="13" t="n">
        <f aca="false">$D$702*E703</f>
        <v>0.222778614573319</v>
      </c>
      <c r="F704" s="13" t="n">
        <f aca="false">$D$702*F703</f>
        <v>0.198025435176284</v>
      </c>
      <c r="G704" s="13" t="n">
        <f aca="false">$D$702*G703</f>
        <v>0.185648845477766</v>
      </c>
    </row>
    <row r="705" customFormat="false" ht="17.15" hidden="false" customHeight="false" outlineLevel="0" collapsed="false">
      <c r="A705" s="0" t="s">
        <v>535</v>
      </c>
      <c r="B705" s="0" t="s">
        <v>194</v>
      </c>
      <c r="D705" s="22" t="n">
        <f aca="false">D700*D704*D701</f>
        <v>17.5154</v>
      </c>
      <c r="E705" s="22" t="n">
        <f aca="false">E700*E704*E701</f>
        <v>42.5214854149581</v>
      </c>
      <c r="F705" s="22" t="n">
        <f aca="false">F700*F704*F701</f>
        <v>53.9704970084142</v>
      </c>
      <c r="G705" s="22" t="n">
        <f aca="false">G700*G704*G701</f>
        <v>61.850359290107</v>
      </c>
    </row>
    <row r="706" customFormat="false" ht="17.15" hidden="false" customHeight="false" outlineLevel="0" collapsed="false">
      <c r="A706" s="5" t="s">
        <v>536</v>
      </c>
    </row>
    <row r="707" customFormat="false" ht="17.15" hidden="false" customHeight="false" outlineLevel="0" collapsed="false">
      <c r="A707" s="3" t="s">
        <v>537</v>
      </c>
      <c r="B707" s="0" t="s">
        <v>67</v>
      </c>
      <c r="D707" s="17" t="n">
        <f aca="false">1</f>
        <v>1</v>
      </c>
      <c r="E707" s="17" t="n">
        <f aca="false">cx_27</f>
        <v>1.7</v>
      </c>
      <c r="F707" s="17" t="n">
        <f aca="false">cx_28</f>
        <v>2.4</v>
      </c>
      <c r="G707" s="17" t="n">
        <f aca="false">cx_29</f>
        <v>3</v>
      </c>
      <c r="K707" s="7" t="s">
        <v>538</v>
      </c>
    </row>
    <row r="708" customFormat="false" ht="17.15" hidden="false" customHeight="false" outlineLevel="0" collapsed="false">
      <c r="A708" s="3" t="s">
        <v>539</v>
      </c>
      <c r="B708" s="0" t="s">
        <v>194</v>
      </c>
      <c r="D708" s="22" t="n">
        <f aca="false">a26_rev*D707*D701</f>
        <v>28.126</v>
      </c>
      <c r="E708" s="22" t="n">
        <f aca="false">a26_rev*E707*E701</f>
        <v>47.8142</v>
      </c>
      <c r="F708" s="22" t="n">
        <f aca="false">a26_rev*F707*F701</f>
        <v>65.477328</v>
      </c>
      <c r="G708" s="22" t="n">
        <f aca="false">a26_rev*G707*G701</f>
        <v>79.31532</v>
      </c>
    </row>
    <row r="709" customFormat="false" ht="17.15" hidden="false" customHeight="false" outlineLevel="0" collapsed="false">
      <c r="A709" s="3" t="s">
        <v>540</v>
      </c>
      <c r="B709" s="0" t="s">
        <v>194</v>
      </c>
      <c r="C709" s="22" t="n">
        <f aca="false">a25_nai</f>
        <v>10.6106</v>
      </c>
      <c r="D709" s="22" t="n">
        <f aca="false">a26_nai</f>
        <v>10.6106</v>
      </c>
      <c r="E709" s="22" t="n">
        <f aca="false">D709*(1+g_nai27)</f>
        <v>10.6106</v>
      </c>
      <c r="F709" s="22" t="n">
        <f aca="false">E709*(1+g_nai28)</f>
        <v>10.6106</v>
      </c>
      <c r="G709" s="22" t="n">
        <f aca="false">F709*(1+g_nai29)</f>
        <v>10.6106</v>
      </c>
    </row>
    <row r="710" customFormat="false" ht="17.15" hidden="false" customHeight="false" outlineLevel="0" collapsed="false">
      <c r="A710" s="0" t="s">
        <v>541</v>
      </c>
      <c r="B710" s="0" t="s">
        <v>194</v>
      </c>
      <c r="C710" s="22" t="n">
        <f aca="false">a25_ai</f>
        <v>8.6814</v>
      </c>
      <c r="D710" s="22" t="n">
        <f aca="false">D705</f>
        <v>17.5154</v>
      </c>
      <c r="E710" s="22" t="n">
        <f aca="false">MIN(E705,E708-E709)</f>
        <v>37.2036</v>
      </c>
      <c r="F710" s="22" t="n">
        <f aca="false">MIN(F705,F708-F709)</f>
        <v>53.9704970084142</v>
      </c>
      <c r="G710" s="22" t="n">
        <f aca="false">MIN(G705,G708-G709)</f>
        <v>61.850359290107</v>
      </c>
      <c r="K710" s="3" t="s">
        <v>542</v>
      </c>
    </row>
    <row r="711" customFormat="false" ht="15" hidden="false" customHeight="false" outlineLevel="0" collapsed="false">
      <c r="A711" s="3" t="s">
        <v>543</v>
      </c>
      <c r="E711" s="0" t="str">
        <f aca="false">IF(E705&gt;E708-E709+0.0001,"受限","未受限")</f>
        <v>受限</v>
      </c>
      <c r="F711" s="0" t="str">
        <f aca="false">IF(F705&gt;F708-F709+0.0001,"受限","未受限")</f>
        <v>未受限</v>
      </c>
      <c r="G711" s="0" t="str">
        <f aca="false">IF(G705&gt;G708-G709+0.0001,"受限","未受限")</f>
        <v>未受限</v>
      </c>
    </row>
    <row r="712" customFormat="false" ht="17.15" hidden="false" customHeight="false" outlineLevel="0" collapsed="false">
      <c r="A712" s="3" t="s">
        <v>414</v>
      </c>
      <c r="B712" s="0" t="s">
        <v>194</v>
      </c>
      <c r="C712" s="22" t="n">
        <f aca="false">C710+C709</f>
        <v>19.292</v>
      </c>
      <c r="D712" s="22" t="n">
        <f aca="false">D710+D709</f>
        <v>28.126</v>
      </c>
      <c r="E712" s="22" t="n">
        <f aca="false">E710+E709</f>
        <v>47.8142</v>
      </c>
      <c r="F712" s="22" t="n">
        <f aca="false">F710+F709</f>
        <v>64.5810970084142</v>
      </c>
      <c r="G712" s="22" t="n">
        <f aca="false">G710+G709</f>
        <v>72.460959290107</v>
      </c>
      <c r="H712" s="24" t="n">
        <f aca="false">G712*(1+H713)</f>
        <v>79.8043942392926</v>
      </c>
      <c r="I712" s="24" t="n">
        <f aca="false">H712*(1+I713)</f>
        <v>86.2423476187719</v>
      </c>
      <c r="J712" s="24" t="n">
        <f aca="false">I712*(1+J713)</f>
        <v>91.4168884758983</v>
      </c>
      <c r="K712" s="7" t="s">
        <v>544</v>
      </c>
    </row>
    <row r="713" customFormat="false" ht="15" hidden="false" customHeight="false" outlineLevel="0" collapsed="false">
      <c r="A713" s="3" t="s">
        <v>545</v>
      </c>
      <c r="B713" s="0" t="s">
        <v>54</v>
      </c>
      <c r="D713" s="13" t="n">
        <f aca="false">D712/C712-1</f>
        <v>0.457910014513788</v>
      </c>
      <c r="E713" s="13" t="n">
        <f aca="false">E712/D712-1</f>
        <v>0.7</v>
      </c>
      <c r="F713" s="13" t="n">
        <f aca="false">F712/E712-1</f>
        <v>0.350667730682815</v>
      </c>
      <c r="G713" s="13" t="n">
        <f aca="false">G712/F712-1</f>
        <v>0.122014995822479</v>
      </c>
      <c r="H713" s="25" t="n">
        <f aca="false">$G713+(fade_gA-$G713)*1/3</f>
        <v>0.101343330548319</v>
      </c>
      <c r="I713" s="25" t="n">
        <f aca="false">$G713+(fade_gA-$G713)*2/3</f>
        <v>0.0806716652741597</v>
      </c>
      <c r="J713" s="25" t="n">
        <f aca="false">$G713+(fade_gA-$G713)*3/3</f>
        <v>0.06</v>
      </c>
    </row>
    <row r="714" customFormat="false" ht="17.15" hidden="false" customHeight="false" outlineLevel="0" collapsed="false">
      <c r="A714" s="0" t="s">
        <v>546</v>
      </c>
      <c r="B714" s="0" t="s">
        <v>54</v>
      </c>
      <c r="C714" s="13" t="n">
        <f aca="false">C710/C712</f>
        <v>0.45</v>
      </c>
      <c r="D714" s="13" t="n">
        <f aca="false">D710/D712</f>
        <v>0.622747635639622</v>
      </c>
      <c r="E714" s="13" t="n">
        <f aca="false">E710/E712</f>
        <v>0.778086844493895</v>
      </c>
      <c r="F714" s="13" t="n">
        <f aca="false">F710/F712</f>
        <v>0.835701149538888</v>
      </c>
      <c r="G714" s="13" t="n">
        <f aca="false">G710/G712</f>
        <v>0.853568044034318</v>
      </c>
    </row>
    <row r="715" customFormat="false" ht="17.15" hidden="false" customHeight="false" outlineLevel="0" collapsed="false">
      <c r="A715" s="3" t="s">
        <v>547</v>
      </c>
      <c r="B715" s="0" t="s">
        <v>54</v>
      </c>
      <c r="D715" s="13" t="n">
        <f aca="false">(D705+D709)/D708</f>
        <v>1</v>
      </c>
      <c r="E715" s="13" t="n">
        <f aca="false">(E705+E709)/E708</f>
        <v>1.11121979275943</v>
      </c>
      <c r="F715" s="13" t="n">
        <f aca="false">(F705+F709)/F708</f>
        <v>0.986312346288997</v>
      </c>
      <c r="G715" s="13" t="n">
        <f aca="false">(G705+G709)/G708</f>
        <v>0.913580873028149</v>
      </c>
      <c r="K715" s="3" t="s">
        <v>548</v>
      </c>
    </row>
    <row r="716" customFormat="false" ht="17.15" hidden="false" customHeight="false" outlineLevel="0" collapsed="false">
      <c r="A716" s="3" t="s">
        <v>489</v>
      </c>
      <c r="B716" s="0" t="s">
        <v>95</v>
      </c>
      <c r="D716" s="21" t="n">
        <f aca="false">D710/fx/D694*1000</f>
        <v>111.38930728666</v>
      </c>
      <c r="E716" s="21" t="n">
        <f aca="false">E710/fx/E694*1000</f>
        <v>132.933491717507</v>
      </c>
      <c r="F716" s="21" t="n">
        <f aca="false">F710/fx/F694*1000</f>
        <v>152.131060319828</v>
      </c>
      <c r="G716" s="21" t="n">
        <f aca="false">G710/fx/G694*1000</f>
        <v>153.045195234961</v>
      </c>
    </row>
    <row r="717" customFormat="false" ht="17.15" hidden="false" customHeight="false" outlineLevel="0" collapsed="false">
      <c r="A717" s="5" t="s">
        <v>549</v>
      </c>
    </row>
    <row r="718" customFormat="false" ht="17.15" hidden="false" customHeight="false" outlineLevel="0" collapsed="false">
      <c r="A718" s="3" t="s">
        <v>550</v>
      </c>
      <c r="B718" s="0" t="s">
        <v>54</v>
      </c>
      <c r="D718" s="13" t="n">
        <f aca="false">a26_gp/D712-d_ai_lo*D714</f>
        <v>0.268629382066415</v>
      </c>
      <c r="K718" s="7" t="s">
        <v>551</v>
      </c>
    </row>
    <row r="719" customFormat="false" ht="17.15" hidden="false" customHeight="false" outlineLevel="0" collapsed="false">
      <c r="A719" s="0" t="s">
        <v>552</v>
      </c>
      <c r="B719" s="0" t="s">
        <v>54</v>
      </c>
      <c r="D719" s="13" t="n">
        <f aca="false">D718+d_ai_lo</f>
        <v>0.368629382066415</v>
      </c>
      <c r="E719" s="13" t="n">
        <f aca="false">1-(1-$D$719)/E701+gmu_27</f>
        <v>0.378629382066415</v>
      </c>
      <c r="F719" s="13" t="n">
        <f aca="false">1-(1-$D$719)/F701+gmu_28</f>
        <v>0.369102455738573</v>
      </c>
      <c r="G719" s="13" t="n">
        <f aca="false">1-(1-$D$719)/G701+gmu_29</f>
        <v>0.358329129857889</v>
      </c>
      <c r="K719" s="7" t="s">
        <v>553</v>
      </c>
    </row>
    <row r="720" customFormat="false" ht="15" hidden="false" customHeight="false" outlineLevel="0" collapsed="false">
      <c r="A720" s="3" t="s">
        <v>418</v>
      </c>
      <c r="B720" s="0" t="s">
        <v>194</v>
      </c>
      <c r="C720" s="22" t="n">
        <f aca="false">a25_gp</f>
        <v>6.7946424</v>
      </c>
      <c r="D720" s="22" t="n">
        <f aca="false">a26_gp</f>
        <v>9.30701</v>
      </c>
      <c r="E720" s="22" t="n">
        <f aca="false">E710*E719+E709*$D$718</f>
        <v>16.936695</v>
      </c>
      <c r="F720" s="22" t="n">
        <f aca="false">F710*F719+F709*$D$718</f>
        <v>22.7709619045909</v>
      </c>
      <c r="G720" s="22" t="n">
        <f aca="false">G710*G719+G709*$D$718</f>
        <v>25.0131043471757</v>
      </c>
    </row>
    <row r="721" customFormat="false" ht="15" hidden="false" customHeight="false" outlineLevel="0" collapsed="false">
      <c r="A721" s="3" t="s">
        <v>421</v>
      </c>
      <c r="B721" s="0" t="s">
        <v>54</v>
      </c>
      <c r="C721" s="13" t="n">
        <f aca="false">C720/C712</f>
        <v>0.3522</v>
      </c>
      <c r="D721" s="13" t="n">
        <f aca="false">D720/D712</f>
        <v>0.330904145630378</v>
      </c>
      <c r="E721" s="13" t="n">
        <f aca="false">E720/E712</f>
        <v>0.354218934960744</v>
      </c>
      <c r="F721" s="13" t="n">
        <f aca="false">F720/F712</f>
        <v>0.352594845231943</v>
      </c>
      <c r="G721" s="13" t="n">
        <f aca="false">G720/G712</f>
        <v>0.345194220339155</v>
      </c>
    </row>
    <row r="722" customFormat="false" ht="17.15" hidden="false" customHeight="false" outlineLevel="0" collapsed="false">
      <c r="A722" s="3" t="s">
        <v>554</v>
      </c>
      <c r="B722" s="0" t="s">
        <v>194</v>
      </c>
      <c r="C722" s="22" t="n">
        <f aca="false">a25_opx</f>
        <v>1.6466424</v>
      </c>
      <c r="D722" s="22" t="n">
        <f aca="false">a26_opx</f>
        <v>1.827905</v>
      </c>
      <c r="E722" s="22" t="n">
        <f aca="false">D722*(1+MAX(0,phi*E713))</f>
        <v>2.5956251</v>
      </c>
      <c r="F722" s="22" t="n">
        <f aca="false">E722*(1+MAX(0,phi*F713))</f>
        <v>3.14174627811221</v>
      </c>
      <c r="G722" s="22" t="n">
        <f aca="false">F722*(1+MAX(0,phi*G713))</f>
        <v>3.3717503735117</v>
      </c>
      <c r="K722" s="7" t="s">
        <v>555</v>
      </c>
    </row>
    <row r="723" customFormat="false" ht="15" hidden="false" customHeight="false" outlineLevel="0" collapsed="false">
      <c r="A723" s="3" t="s">
        <v>423</v>
      </c>
      <c r="B723" s="0" t="s">
        <v>194</v>
      </c>
      <c r="C723" s="22" t="n">
        <f aca="false">C722</f>
        <v>1.6466424</v>
      </c>
      <c r="D723" s="22" t="n">
        <f aca="false">D722</f>
        <v>1.827905</v>
      </c>
      <c r="E723" s="22" t="n">
        <f aca="false">E722+0*E712</f>
        <v>2.5956251</v>
      </c>
      <c r="F723" s="22" t="n">
        <f aca="false">F722+0*F712</f>
        <v>3.14174627811221</v>
      </c>
      <c r="G723" s="22" t="n">
        <f aca="false">G722+0*G712</f>
        <v>3.3717503735117</v>
      </c>
    </row>
    <row r="724" customFormat="false" ht="15" hidden="false" customHeight="false" outlineLevel="0" collapsed="false">
      <c r="A724" s="3" t="s">
        <v>556</v>
      </c>
      <c r="B724" s="0" t="s">
        <v>194</v>
      </c>
      <c r="C724" s="22" t="n">
        <f aca="false">C720-C723</f>
        <v>5.148</v>
      </c>
      <c r="D724" s="22" t="n">
        <f aca="false">D720-D723</f>
        <v>7.479105</v>
      </c>
      <c r="E724" s="22" t="n">
        <f aca="false">E720-E723</f>
        <v>14.3410699</v>
      </c>
      <c r="F724" s="22" t="n">
        <f aca="false">F720-F723</f>
        <v>19.6292156264787</v>
      </c>
      <c r="G724" s="22" t="n">
        <f aca="false">G720-G723</f>
        <v>21.641353973664</v>
      </c>
    </row>
    <row r="725" customFormat="false" ht="15" hidden="false" customHeight="false" outlineLevel="0" collapsed="false">
      <c r="A725" s="3" t="s">
        <v>429</v>
      </c>
      <c r="B725" s="0" t="s">
        <v>54</v>
      </c>
      <c r="C725" s="13" t="n">
        <f aca="false">C724/C712</f>
        <v>0.266846361185984</v>
      </c>
      <c r="D725" s="13" t="n">
        <f aca="false">D724/D712</f>
        <v>0.265914278603427</v>
      </c>
      <c r="E725" s="13" t="n">
        <f aca="false">E724/E712</f>
        <v>0.299933281326468</v>
      </c>
      <c r="F725" s="13" t="n">
        <f aca="false">F724/F712</f>
        <v>0.303946766712885</v>
      </c>
      <c r="G725" s="13" t="n">
        <f aca="false">G724/G712</f>
        <v>0.298662261522374</v>
      </c>
    </row>
    <row r="726" customFormat="false" ht="17.15" hidden="false" customHeight="false" outlineLevel="0" collapsed="false">
      <c r="A726" s="3" t="s">
        <v>430</v>
      </c>
      <c r="B726" s="0" t="s">
        <v>194</v>
      </c>
      <c r="E726" s="22" t="n">
        <f aca="false">nop_f</f>
        <v>-0.2</v>
      </c>
      <c r="F726" s="22" t="n">
        <f aca="false">nop_f</f>
        <v>-0.2</v>
      </c>
      <c r="G726" s="22" t="n">
        <f aca="false">nop_f</f>
        <v>-0.2</v>
      </c>
      <c r="K726" s="7" t="s">
        <v>557</v>
      </c>
    </row>
    <row r="727" customFormat="false" ht="15" hidden="false" customHeight="false" outlineLevel="0" collapsed="false">
      <c r="A727" s="3" t="s">
        <v>436</v>
      </c>
      <c r="B727" s="0" t="s">
        <v>194</v>
      </c>
      <c r="C727" s="22" t="n">
        <f aca="false">a25_ni</f>
        <v>4.312</v>
      </c>
      <c r="D727" s="22" t="n">
        <f aca="false">a26_ni</f>
        <v>6.5441924845173</v>
      </c>
      <c r="E727" s="22" t="n">
        <f aca="false">(E724+E726)*nir_f</f>
        <v>12.2603076033</v>
      </c>
      <c r="F727" s="22" t="n">
        <f aca="false">(F724+F726)*nir_f</f>
        <v>16.845129948157</v>
      </c>
      <c r="G727" s="22" t="n">
        <f aca="false">(G724+G726)*nir_f</f>
        <v>18.5896538951667</v>
      </c>
      <c r="H727" s="24" t="n">
        <f aca="false">H712*H732</f>
        <v>20.7634694853051</v>
      </c>
      <c r="I727" s="24" t="n">
        <f aca="false">I712*I732</f>
        <v>22.751756249356</v>
      </c>
      <c r="J727" s="24" t="n">
        <f aca="false">J712*J732</f>
        <v>24.4489205143476</v>
      </c>
    </row>
    <row r="728" customFormat="false" ht="17.15" hidden="false" customHeight="false" outlineLevel="0" collapsed="false">
      <c r="A728" s="3" t="s">
        <v>439</v>
      </c>
      <c r="B728" s="0" t="s">
        <v>54</v>
      </c>
      <c r="C728" s="13" t="n">
        <f aca="false">C727/C724</f>
        <v>0.837606837606838</v>
      </c>
      <c r="D728" s="13" t="n">
        <f aca="false">D727/D724</f>
        <v>0.874996738850077</v>
      </c>
      <c r="E728" s="13" t="n">
        <f aca="false">E727/E724</f>
        <v>0.854908851905115</v>
      </c>
      <c r="F728" s="13" t="n">
        <f aca="false">F727/F724</f>
        <v>0.858166228783686</v>
      </c>
      <c r="G728" s="13" t="n">
        <f aca="false">G727/G724</f>
        <v>0.858987562321146</v>
      </c>
    </row>
    <row r="729" customFormat="false" ht="17.15" hidden="false" customHeight="false" outlineLevel="0" collapsed="false">
      <c r="A729" s="3" t="s">
        <v>558</v>
      </c>
      <c r="B729" s="3" t="s">
        <v>222</v>
      </c>
      <c r="C729" s="27" t="n">
        <f aca="false">a25_sh</f>
        <v>0.860678642714571</v>
      </c>
      <c r="D729" s="27" t="n">
        <f aca="false">a26_sh</f>
        <v>0.946074458598726</v>
      </c>
      <c r="E729" s="27" t="n">
        <f aca="false">sh_h2*(1+sh_g)</f>
        <v>0.98234</v>
      </c>
      <c r="F729" s="27" t="n">
        <f aca="false">E729*(1+sh_g)</f>
        <v>0.98234</v>
      </c>
      <c r="G729" s="27" t="n">
        <f aca="false">F729*(1+sh_g)</f>
        <v>0.98234</v>
      </c>
      <c r="H729" s="28" t="n">
        <f aca="false">G729*(1+sh_g)</f>
        <v>0.98234</v>
      </c>
      <c r="I729" s="28" t="n">
        <f aca="false">H729*(1+sh_g)</f>
        <v>0.98234</v>
      </c>
      <c r="J729" s="28" t="n">
        <f aca="false">I729*(1+sh_g)</f>
        <v>0.98234</v>
      </c>
      <c r="K729" s="7" t="s">
        <v>559</v>
      </c>
    </row>
    <row r="730" customFormat="false" ht="15" hidden="false" customHeight="false" outlineLevel="0" collapsed="false">
      <c r="A730" s="0" t="s">
        <v>442</v>
      </c>
      <c r="B730" s="0" t="s">
        <v>258</v>
      </c>
      <c r="C730" s="23" t="n">
        <f aca="false">C727/C729</f>
        <v>5.01</v>
      </c>
      <c r="D730" s="23" t="n">
        <f aca="false">D727/D729</f>
        <v>6.91720659514496</v>
      </c>
      <c r="E730" s="23" t="n">
        <f aca="false">E727/E729</f>
        <v>12.4807170666979</v>
      </c>
      <c r="F730" s="23" t="n">
        <f aca="false">F727/F729</f>
        <v>17.1479629742828</v>
      </c>
      <c r="G730" s="23" t="n">
        <f aca="false">G727/G729</f>
        <v>18.9238490697383</v>
      </c>
      <c r="H730" s="29" t="n">
        <f aca="false">H727/H729</f>
        <v>21.1367443912546</v>
      </c>
      <c r="I730" s="29" t="n">
        <f aca="false">I727/I729</f>
        <v>23.1607755454893</v>
      </c>
      <c r="J730" s="29" t="n">
        <f aca="false">J727/J729</f>
        <v>24.8884505510796</v>
      </c>
    </row>
    <row r="731" customFormat="false" ht="17.15" hidden="false" customHeight="false" outlineLevel="0" collapsed="false">
      <c r="A731" s="0" t="s">
        <v>560</v>
      </c>
      <c r="B731" s="0" t="s">
        <v>54</v>
      </c>
      <c r="D731" s="13" t="n">
        <f aca="false">D730/C730-1</f>
        <v>0.38067995911077</v>
      </c>
      <c r="E731" s="13" t="n">
        <f aca="false">E730/D730-1</f>
        <v>0.804300174503656</v>
      </c>
      <c r="F731" s="13" t="n">
        <f aca="false">F730/E730-1</f>
        <v>0.373956550945178</v>
      </c>
      <c r="G731" s="13" t="n">
        <f aca="false">G730/F730-1</f>
        <v>0.103562510492866</v>
      </c>
      <c r="H731" s="25" t="n">
        <f aca="false">H730/G730-1</f>
        <v>0.116936851132208</v>
      </c>
      <c r="I731" s="25" t="n">
        <f aca="false">I730/H730-1</f>
        <v>0.0957588887280156</v>
      </c>
      <c r="J731" s="25" t="n">
        <f aca="false">J730/I730-1</f>
        <v>0.0745948684748079</v>
      </c>
    </row>
    <row r="732" customFormat="false" ht="17.15" hidden="false" customHeight="false" outlineLevel="0" collapsed="false">
      <c r="A732" s="3" t="s">
        <v>561</v>
      </c>
      <c r="B732" s="0" t="s">
        <v>54</v>
      </c>
      <c r="C732" s="13" t="n">
        <f aca="false">C727/C712</f>
        <v>0.223512336719884</v>
      </c>
      <c r="D732" s="13" t="n">
        <f aca="false">D727/D712</f>
        <v>0.23267412659167</v>
      </c>
      <c r="E732" s="13" t="n">
        <f aca="false">E727/E712</f>
        <v>0.256415617186944</v>
      </c>
      <c r="F732" s="13" t="n">
        <f aca="false">F727/F712</f>
        <v>0.260836850540991</v>
      </c>
      <c r="G732" s="13" t="n">
        <f aca="false">G727/G712</f>
        <v>0.256547167982425</v>
      </c>
      <c r="H732" s="25" t="n">
        <f aca="false">$G732+(fade_mA-$G732)*1/3</f>
        <v>0.260179526243205</v>
      </c>
      <c r="I732" s="25" t="n">
        <f aca="false">$G732+(fade_mA-$G732)*2/3</f>
        <v>0.263811884503985</v>
      </c>
      <c r="J732" s="25" t="n">
        <f aca="false">$G732+(fade_mA-$G732)*3/3</f>
        <v>0.267444242764765</v>
      </c>
    </row>
    <row r="735" customFormat="false" ht="17.15" hidden="false" customHeight="false" outlineLevel="0" collapsed="false">
      <c r="A735" s="1" t="s">
        <v>902</v>
      </c>
    </row>
    <row r="736" customFormat="false" ht="17.15" hidden="false" customHeight="false" outlineLevel="0" collapsed="false">
      <c r="A736" s="4" t="s">
        <v>23</v>
      </c>
      <c r="B736" s="4" t="s">
        <v>24</v>
      </c>
      <c r="C736" s="14" t="s">
        <v>409</v>
      </c>
      <c r="D736" s="14" t="s">
        <v>502</v>
      </c>
      <c r="E736" s="14" t="s">
        <v>503</v>
      </c>
      <c r="F736" s="14" t="s">
        <v>504</v>
      </c>
      <c r="G736" s="14" t="s">
        <v>505</v>
      </c>
      <c r="H736" s="14" t="s">
        <v>506</v>
      </c>
      <c r="I736" s="14" t="s">
        <v>507</v>
      </c>
      <c r="J736" s="14" t="s">
        <v>508</v>
      </c>
      <c r="K736" s="4" t="s">
        <v>391</v>
      </c>
    </row>
    <row r="737" customFormat="false" ht="17.15" hidden="false" customHeight="false" outlineLevel="0" collapsed="false">
      <c r="A737" s="5" t="s">
        <v>524</v>
      </c>
    </row>
    <row r="738" customFormat="false" ht="17.15" hidden="false" customHeight="false" outlineLevel="0" collapsed="false">
      <c r="A738" s="0" t="s">
        <v>525</v>
      </c>
      <c r="B738" s="0" t="s">
        <v>34</v>
      </c>
      <c r="D738" s="23" t="n">
        <f aca="false">itc_26*1</f>
        <v>781.872916666666</v>
      </c>
      <c r="E738" s="23" t="n">
        <f aca="false">itc_27*1*1</f>
        <v>1565.35</v>
      </c>
      <c r="F738" s="23" t="n">
        <f aca="false">itc_28*um28_A*1</f>
        <v>1984.26388888889</v>
      </c>
      <c r="G738" s="23" t="n">
        <f aca="false">itc_29*um29_A*1</f>
        <v>2260.39027777778</v>
      </c>
    </row>
    <row r="739" customFormat="false" ht="17.15" hidden="false" customHeight="false" outlineLevel="0" collapsed="false">
      <c r="A739" s="3" t="s">
        <v>526</v>
      </c>
      <c r="B739" s="0" t="s">
        <v>34</v>
      </c>
      <c r="D739" s="23" t="n">
        <f aca="false">itpg_gb*(1-vr26)+itpg_vr*vr26</f>
        <v>33.41403216</v>
      </c>
      <c r="E739" s="23" t="n">
        <f aca="false">itpg_vr</f>
        <v>37.586352</v>
      </c>
      <c r="F739" s="23" t="n">
        <f aca="false">itpg_vr</f>
        <v>37.586352</v>
      </c>
      <c r="G739" s="23" t="n">
        <f aca="false">itpg_vr</f>
        <v>37.586352</v>
      </c>
    </row>
    <row r="740" customFormat="false" ht="17.15" hidden="false" customHeight="false" outlineLevel="0" collapsed="false">
      <c r="A740" s="3" t="s">
        <v>527</v>
      </c>
      <c r="B740" s="0" t="s">
        <v>468</v>
      </c>
      <c r="D740" s="20" t="n">
        <f aca="false">D738/D739</f>
        <v>23.3995380420639</v>
      </c>
      <c r="E740" s="20" t="n">
        <f aca="false">E738/E739</f>
        <v>41.6467658260637</v>
      </c>
      <c r="F740" s="20" t="n">
        <f aca="false">F738/F739</f>
        <v>52.792138191248</v>
      </c>
      <c r="G740" s="20" t="n">
        <f aca="false">G738/G739</f>
        <v>60.1385917361116</v>
      </c>
    </row>
    <row r="741" customFormat="false" ht="17.15" hidden="false" customHeight="false" outlineLevel="0" collapsed="false">
      <c r="A741" s="3" t="s">
        <v>470</v>
      </c>
      <c r="B741" s="0" t="s">
        <v>95</v>
      </c>
      <c r="D741" s="21" t="n">
        <f aca="false">cmp_26</f>
        <v>280</v>
      </c>
      <c r="E741" s="21" t="n">
        <f aca="false">cmp_26*cmpx_27</f>
        <v>420</v>
      </c>
      <c r="F741" s="21" t="n">
        <f aca="false">cmp_26*cmpx_28</f>
        <v>462</v>
      </c>
      <c r="G741" s="21" t="n">
        <f aca="false">cmp_26*cmpx_29</f>
        <v>504</v>
      </c>
    </row>
    <row r="742" customFormat="false" ht="17.15" hidden="false" customHeight="false" outlineLevel="0" collapsed="false">
      <c r="A742" s="3" t="s">
        <v>472</v>
      </c>
      <c r="B742" s="0" t="s">
        <v>95</v>
      </c>
      <c r="D742" s="21" t="n">
        <f aca="false">sw_26</f>
        <v>120</v>
      </c>
      <c r="E742" s="21" t="n">
        <f aca="false">sw_26*swx_27</f>
        <v>162</v>
      </c>
      <c r="F742" s="21" t="n">
        <f aca="false">sw_26*swx_28</f>
        <v>180</v>
      </c>
      <c r="G742" s="21" t="n">
        <f aca="false">sw_26*swx_29</f>
        <v>198</v>
      </c>
    </row>
    <row r="743" customFormat="false" ht="17.15" hidden="false" customHeight="false" outlineLevel="0" collapsed="false">
      <c r="A743" s="3" t="s">
        <v>473</v>
      </c>
      <c r="B743" s="0" t="s">
        <v>95</v>
      </c>
      <c r="D743" s="21" t="n">
        <f aca="false">mid_26</f>
        <v>50</v>
      </c>
      <c r="E743" s="21" t="n">
        <f aca="false">mid_26*midx_27</f>
        <v>100</v>
      </c>
      <c r="F743" s="21" t="n">
        <f aca="false">mid_26*midx_28</f>
        <v>150</v>
      </c>
      <c r="G743" s="21" t="n">
        <f aca="false">mid_26*midx_29</f>
        <v>175</v>
      </c>
    </row>
    <row r="744" customFormat="false" ht="17.15" hidden="false" customHeight="false" outlineLevel="0" collapsed="false">
      <c r="A744" s="3" t="s">
        <v>528</v>
      </c>
      <c r="B744" s="0" t="s">
        <v>95</v>
      </c>
      <c r="D744" s="21" t="n">
        <f aca="false">D741+D742+D743</f>
        <v>450</v>
      </c>
      <c r="E744" s="21" t="n">
        <f aca="false">E741+E742+E743</f>
        <v>682</v>
      </c>
      <c r="F744" s="21" t="n">
        <f aca="false">F741+F742+F743</f>
        <v>792</v>
      </c>
      <c r="G744" s="21" t="n">
        <f aca="false">G741+G742+G743</f>
        <v>877</v>
      </c>
    </row>
    <row r="745" customFormat="false" ht="17.15" hidden="false" customHeight="false" outlineLevel="0" collapsed="false">
      <c r="A745" s="0" t="s">
        <v>529</v>
      </c>
      <c r="B745" s="0" t="s">
        <v>34</v>
      </c>
      <c r="D745" s="23" t="n">
        <f aca="false">D740*D744/1000</f>
        <v>10.5297921189287</v>
      </c>
      <c r="E745" s="23" t="n">
        <f aca="false">E740*E744/1000</f>
        <v>28.4030942933754</v>
      </c>
      <c r="F745" s="23" t="n">
        <f aca="false">F740*F744/1000</f>
        <v>41.8113734474684</v>
      </c>
      <c r="G745" s="23" t="n">
        <f aca="false">G740*G744/1000</f>
        <v>52.7415449525698</v>
      </c>
    </row>
    <row r="746" customFormat="false" ht="17.15" hidden="false" customHeight="false" outlineLevel="0" collapsed="false">
      <c r="A746" s="0" t="s">
        <v>530</v>
      </c>
      <c r="B746" s="0" t="s">
        <v>194</v>
      </c>
      <c r="D746" s="22" t="n">
        <f aca="false">D745*fx</f>
        <v>70.7602030392012</v>
      </c>
      <c r="E746" s="22" t="n">
        <f aca="false">E745*fx</f>
        <v>190.868793651483</v>
      </c>
      <c r="F746" s="22" t="n">
        <f aca="false">F745*fx</f>
        <v>280.972429566988</v>
      </c>
      <c r="G746" s="22" t="n">
        <f aca="false">G745*fx</f>
        <v>354.423182081269</v>
      </c>
    </row>
    <row r="747" customFormat="false" ht="17.15" hidden="false" customHeight="false" outlineLevel="0" collapsed="false">
      <c r="A747" s="0" t="s">
        <v>531</v>
      </c>
      <c r="B747" s="0" t="s">
        <v>67</v>
      </c>
      <c r="D747" s="17" t="n">
        <f aca="false">1</f>
        <v>1</v>
      </c>
      <c r="E747" s="17" t="n">
        <f aca="false">pp_27</f>
        <v>1</v>
      </c>
      <c r="F747" s="17" t="n">
        <f aca="false">pp_28</f>
        <v>0.97</v>
      </c>
      <c r="G747" s="17" t="n">
        <f aca="false">pp_29</f>
        <v>0.94</v>
      </c>
    </row>
    <row r="748" customFormat="false" ht="17.15" hidden="false" customHeight="false" outlineLevel="0" collapsed="false">
      <c r="A748" s="3" t="s">
        <v>532</v>
      </c>
      <c r="B748" s="0" t="s">
        <v>54</v>
      </c>
      <c r="D748" s="13" t="n">
        <f aca="false">a26_ai/D746</f>
        <v>0.247531793970355</v>
      </c>
      <c r="K748" s="7" t="s">
        <v>533</v>
      </c>
    </row>
    <row r="749" customFormat="false" ht="17.15" hidden="false" customHeight="false" outlineLevel="0" collapsed="false">
      <c r="A749" s="3" t="s">
        <v>534</v>
      </c>
      <c r="B749" s="0" t="s">
        <v>67</v>
      </c>
      <c r="D749" s="17" t="n">
        <f aca="false">1</f>
        <v>1</v>
      </c>
      <c r="E749" s="17" t="n">
        <f aca="false">rel_27</f>
        <v>0.9</v>
      </c>
      <c r="F749" s="17" t="n">
        <f aca="false">rel_28</f>
        <v>0.8</v>
      </c>
      <c r="G749" s="17" t="n">
        <f aca="false">rel_29</f>
        <v>0.75</v>
      </c>
    </row>
    <row r="750" customFormat="false" ht="15" hidden="false" customHeight="false" outlineLevel="0" collapsed="false">
      <c r="A750" s="3" t="s">
        <v>485</v>
      </c>
      <c r="B750" s="0" t="s">
        <v>54</v>
      </c>
      <c r="D750" s="13" t="n">
        <f aca="false">$D$748*D749</f>
        <v>0.247531793970355</v>
      </c>
      <c r="E750" s="13" t="n">
        <f aca="false">$D$748*E749</f>
        <v>0.222778614573319</v>
      </c>
      <c r="F750" s="13" t="n">
        <f aca="false">$D$748*F749</f>
        <v>0.198025435176284</v>
      </c>
      <c r="G750" s="13" t="n">
        <f aca="false">$D$748*G749</f>
        <v>0.185648845477766</v>
      </c>
    </row>
    <row r="751" customFormat="false" ht="17.15" hidden="false" customHeight="false" outlineLevel="0" collapsed="false">
      <c r="A751" s="0" t="s">
        <v>535</v>
      </c>
      <c r="B751" s="0" t="s">
        <v>194</v>
      </c>
      <c r="D751" s="22" t="n">
        <f aca="false">D746*D750*D747</f>
        <v>17.5154</v>
      </c>
      <c r="E751" s="22" t="n">
        <f aca="false">E746*E750*E747</f>
        <v>42.5214854149581</v>
      </c>
      <c r="F751" s="22" t="n">
        <f aca="false">F746*F750*F747</f>
        <v>53.9704970084142</v>
      </c>
      <c r="G751" s="22" t="n">
        <f aca="false">G746*G750*G747</f>
        <v>61.850359290107</v>
      </c>
    </row>
    <row r="752" customFormat="false" ht="17.15" hidden="false" customHeight="false" outlineLevel="0" collapsed="false">
      <c r="A752" s="5" t="s">
        <v>536</v>
      </c>
    </row>
    <row r="753" customFormat="false" ht="17.15" hidden="false" customHeight="false" outlineLevel="0" collapsed="false">
      <c r="A753" s="3" t="s">
        <v>537</v>
      </c>
      <c r="B753" s="0" t="s">
        <v>67</v>
      </c>
      <c r="D753" s="17" t="n">
        <f aca="false">1</f>
        <v>1</v>
      </c>
      <c r="E753" s="17" t="n">
        <f aca="false">cx_27</f>
        <v>1.7</v>
      </c>
      <c r="F753" s="17" t="n">
        <f aca="false">cx_28</f>
        <v>2.4</v>
      </c>
      <c r="G753" s="17" t="n">
        <f aca="false">cx_29</f>
        <v>3</v>
      </c>
      <c r="K753" s="7" t="s">
        <v>538</v>
      </c>
    </row>
    <row r="754" customFormat="false" ht="17.15" hidden="false" customHeight="false" outlineLevel="0" collapsed="false">
      <c r="A754" s="3" t="s">
        <v>539</v>
      </c>
      <c r="B754" s="0" t="s">
        <v>194</v>
      </c>
      <c r="D754" s="22" t="n">
        <f aca="false">a26_rev*D753*D747</f>
        <v>28.126</v>
      </c>
      <c r="E754" s="22" t="n">
        <f aca="false">a26_rev*E753*E747</f>
        <v>47.8142</v>
      </c>
      <c r="F754" s="22" t="n">
        <f aca="false">a26_rev*F753*F747</f>
        <v>65.477328</v>
      </c>
      <c r="G754" s="22" t="n">
        <f aca="false">a26_rev*G753*G747</f>
        <v>79.31532</v>
      </c>
    </row>
    <row r="755" customFormat="false" ht="17.15" hidden="false" customHeight="false" outlineLevel="0" collapsed="false">
      <c r="A755" s="3" t="s">
        <v>540</v>
      </c>
      <c r="B755" s="0" t="s">
        <v>194</v>
      </c>
      <c r="C755" s="22" t="n">
        <f aca="false">a25_nai</f>
        <v>10.6106</v>
      </c>
      <c r="D755" s="22" t="n">
        <f aca="false">a26_nai</f>
        <v>10.6106</v>
      </c>
      <c r="E755" s="22" t="n">
        <f aca="false">D755*(1+g_nai27)</f>
        <v>10.6106</v>
      </c>
      <c r="F755" s="22" t="n">
        <f aca="false">E755*(1+g_nai28)</f>
        <v>10.6106</v>
      </c>
      <c r="G755" s="22" t="n">
        <f aca="false">F755*(1+g_nai29)</f>
        <v>10.6106</v>
      </c>
    </row>
    <row r="756" customFormat="false" ht="17.15" hidden="false" customHeight="false" outlineLevel="0" collapsed="false">
      <c r="A756" s="0" t="s">
        <v>541</v>
      </c>
      <c r="B756" s="0" t="s">
        <v>194</v>
      </c>
      <c r="C756" s="22" t="n">
        <f aca="false">a25_ai</f>
        <v>8.6814</v>
      </c>
      <c r="D756" s="22" t="n">
        <f aca="false">D751</f>
        <v>17.5154</v>
      </c>
      <c r="E756" s="22" t="n">
        <f aca="false">MIN(E751,E754-E755)</f>
        <v>37.2036</v>
      </c>
      <c r="F756" s="22" t="n">
        <f aca="false">MIN(F751,F754-F755)</f>
        <v>53.9704970084142</v>
      </c>
      <c r="G756" s="22" t="n">
        <f aca="false">MIN(G751,G754-G755)</f>
        <v>61.850359290107</v>
      </c>
      <c r="K756" s="3" t="s">
        <v>542</v>
      </c>
    </row>
    <row r="757" customFormat="false" ht="15" hidden="false" customHeight="false" outlineLevel="0" collapsed="false">
      <c r="A757" s="3" t="s">
        <v>543</v>
      </c>
      <c r="E757" s="0" t="str">
        <f aca="false">IF(E751&gt;E754-E755+0.0001,"受限","未受限")</f>
        <v>受限</v>
      </c>
      <c r="F757" s="0" t="str">
        <f aca="false">IF(F751&gt;F754-F755+0.0001,"受限","未受限")</f>
        <v>未受限</v>
      </c>
      <c r="G757" s="0" t="str">
        <f aca="false">IF(G751&gt;G754-G755+0.0001,"受限","未受限")</f>
        <v>未受限</v>
      </c>
    </row>
    <row r="758" customFormat="false" ht="17.15" hidden="false" customHeight="false" outlineLevel="0" collapsed="false">
      <c r="A758" s="3" t="s">
        <v>414</v>
      </c>
      <c r="B758" s="0" t="s">
        <v>194</v>
      </c>
      <c r="C758" s="22" t="n">
        <f aca="false">C756+C755</f>
        <v>19.292</v>
      </c>
      <c r="D758" s="22" t="n">
        <f aca="false">D756+D755</f>
        <v>28.126</v>
      </c>
      <c r="E758" s="22" t="n">
        <f aca="false">E756+E755</f>
        <v>47.8142</v>
      </c>
      <c r="F758" s="22" t="n">
        <f aca="false">F756+F755</f>
        <v>64.5810970084142</v>
      </c>
      <c r="G758" s="22" t="n">
        <f aca="false">G756+G755</f>
        <v>72.460959290107</v>
      </c>
      <c r="H758" s="24" t="n">
        <f aca="false">G758*(1+H759)</f>
        <v>79.8043942392926</v>
      </c>
      <c r="I758" s="24" t="n">
        <f aca="false">H758*(1+I759)</f>
        <v>86.2423476187719</v>
      </c>
      <c r="J758" s="24" t="n">
        <f aca="false">I758*(1+J759)</f>
        <v>91.4168884758983</v>
      </c>
      <c r="K758" s="7" t="s">
        <v>544</v>
      </c>
    </row>
    <row r="759" customFormat="false" ht="15" hidden="false" customHeight="false" outlineLevel="0" collapsed="false">
      <c r="A759" s="3" t="s">
        <v>545</v>
      </c>
      <c r="B759" s="0" t="s">
        <v>54</v>
      </c>
      <c r="D759" s="13" t="n">
        <f aca="false">D758/C758-1</f>
        <v>0.457910014513788</v>
      </c>
      <c r="E759" s="13" t="n">
        <f aca="false">E758/D758-1</f>
        <v>0.7</v>
      </c>
      <c r="F759" s="13" t="n">
        <f aca="false">F758/E758-1</f>
        <v>0.350667730682815</v>
      </c>
      <c r="G759" s="13" t="n">
        <f aca="false">G758/F758-1</f>
        <v>0.122014995822479</v>
      </c>
      <c r="H759" s="25" t="n">
        <f aca="false">$G759+(fade_gA-$G759)*1/3</f>
        <v>0.101343330548319</v>
      </c>
      <c r="I759" s="25" t="n">
        <f aca="false">$G759+(fade_gA-$G759)*2/3</f>
        <v>0.0806716652741597</v>
      </c>
      <c r="J759" s="25" t="n">
        <f aca="false">$G759+(fade_gA-$G759)*3/3</f>
        <v>0.06</v>
      </c>
    </row>
    <row r="760" customFormat="false" ht="17.15" hidden="false" customHeight="false" outlineLevel="0" collapsed="false">
      <c r="A760" s="0" t="s">
        <v>546</v>
      </c>
      <c r="B760" s="0" t="s">
        <v>54</v>
      </c>
      <c r="C760" s="13" t="n">
        <f aca="false">C756/C758</f>
        <v>0.45</v>
      </c>
      <c r="D760" s="13" t="n">
        <f aca="false">D756/D758</f>
        <v>0.622747635639622</v>
      </c>
      <c r="E760" s="13" t="n">
        <f aca="false">E756/E758</f>
        <v>0.778086844493895</v>
      </c>
      <c r="F760" s="13" t="n">
        <f aca="false">F756/F758</f>
        <v>0.835701149538888</v>
      </c>
      <c r="G760" s="13" t="n">
        <f aca="false">G756/G758</f>
        <v>0.853568044034318</v>
      </c>
    </row>
    <row r="761" customFormat="false" ht="17.15" hidden="false" customHeight="false" outlineLevel="0" collapsed="false">
      <c r="A761" s="3" t="s">
        <v>547</v>
      </c>
      <c r="B761" s="0" t="s">
        <v>54</v>
      </c>
      <c r="D761" s="13" t="n">
        <f aca="false">(D751+D755)/D754</f>
        <v>1</v>
      </c>
      <c r="E761" s="13" t="n">
        <f aca="false">(E751+E755)/E754</f>
        <v>1.11121979275943</v>
      </c>
      <c r="F761" s="13" t="n">
        <f aca="false">(F751+F755)/F754</f>
        <v>0.986312346288997</v>
      </c>
      <c r="G761" s="13" t="n">
        <f aca="false">(G751+G755)/G754</f>
        <v>0.913580873028149</v>
      </c>
      <c r="K761" s="3" t="s">
        <v>548</v>
      </c>
    </row>
    <row r="762" customFormat="false" ht="17.15" hidden="false" customHeight="false" outlineLevel="0" collapsed="false">
      <c r="A762" s="3" t="s">
        <v>489</v>
      </c>
      <c r="B762" s="0" t="s">
        <v>95</v>
      </c>
      <c r="D762" s="21" t="n">
        <f aca="false">D756/fx/D740*1000</f>
        <v>111.38930728666</v>
      </c>
      <c r="E762" s="21" t="n">
        <f aca="false">E756/fx/E740*1000</f>
        <v>132.933491717507</v>
      </c>
      <c r="F762" s="21" t="n">
        <f aca="false">F756/fx/F740*1000</f>
        <v>152.131060319828</v>
      </c>
      <c r="G762" s="21" t="n">
        <f aca="false">G756/fx/G740*1000</f>
        <v>153.045195234961</v>
      </c>
    </row>
    <row r="763" customFormat="false" ht="17.15" hidden="false" customHeight="false" outlineLevel="0" collapsed="false">
      <c r="A763" s="5" t="s">
        <v>549</v>
      </c>
    </row>
    <row r="764" customFormat="false" ht="17.15" hidden="false" customHeight="false" outlineLevel="0" collapsed="false">
      <c r="A764" s="3" t="s">
        <v>550</v>
      </c>
      <c r="B764" s="0" t="s">
        <v>54</v>
      </c>
      <c r="D764" s="13" t="n">
        <f aca="false">a26_gp/D758-d_ai_hi*D760</f>
        <v>0.206354618502453</v>
      </c>
      <c r="K764" s="7" t="s">
        <v>551</v>
      </c>
    </row>
    <row r="765" customFormat="false" ht="17.15" hidden="false" customHeight="false" outlineLevel="0" collapsed="false">
      <c r="A765" s="0" t="s">
        <v>552</v>
      </c>
      <c r="B765" s="0" t="s">
        <v>54</v>
      </c>
      <c r="D765" s="13" t="n">
        <f aca="false">D764+d_ai_hi</f>
        <v>0.406354618502453</v>
      </c>
      <c r="E765" s="13" t="n">
        <f aca="false">1-(1-$D$765)/E747+gmu_27</f>
        <v>0.416354618502453</v>
      </c>
      <c r="F765" s="13" t="n">
        <f aca="false">1-(1-$D$765)/F747+gmu_28</f>
        <v>0.407994452064385</v>
      </c>
      <c r="G765" s="13" t="n">
        <f aca="false">1-(1-$D$765)/G747+gmu_29</f>
        <v>0.398462360108993</v>
      </c>
      <c r="K765" s="7" t="s">
        <v>553</v>
      </c>
    </row>
    <row r="766" customFormat="false" ht="15" hidden="false" customHeight="false" outlineLevel="0" collapsed="false">
      <c r="A766" s="3" t="s">
        <v>418</v>
      </c>
      <c r="B766" s="0" t="s">
        <v>194</v>
      </c>
      <c r="C766" s="22" t="n">
        <f aca="false">a25_gp</f>
        <v>6.7946424</v>
      </c>
      <c r="D766" s="22" t="n">
        <f aca="false">a26_gp</f>
        <v>9.30701</v>
      </c>
      <c r="E766" s="22" t="n">
        <f aca="false">E756*E765+E755*$D$764</f>
        <v>17.679437</v>
      </c>
      <c r="F766" s="22" t="n">
        <f aca="false">F756*F765+F755*$D$764</f>
        <v>24.2092096696726</v>
      </c>
      <c r="G766" s="22" t="n">
        <f aca="false">G756*G765+G755*$D$764</f>
        <v>26.8345864514073</v>
      </c>
    </row>
    <row r="767" customFormat="false" ht="15" hidden="false" customHeight="false" outlineLevel="0" collapsed="false">
      <c r="A767" s="3" t="s">
        <v>421</v>
      </c>
      <c r="B767" s="0" t="s">
        <v>54</v>
      </c>
      <c r="C767" s="13" t="n">
        <f aca="false">C766/C758</f>
        <v>0.3522</v>
      </c>
      <c r="D767" s="13" t="n">
        <f aca="false">D766/D758</f>
        <v>0.330904145630378</v>
      </c>
      <c r="E767" s="13" t="n">
        <f aca="false">E766/E758</f>
        <v>0.369752855846171</v>
      </c>
      <c r="F767" s="13" t="n">
        <f aca="false">F766/F758</f>
        <v>0.374865259202989</v>
      </c>
      <c r="G767" s="13" t="n">
        <f aca="false">G766/G758</f>
        <v>0.370331647749397</v>
      </c>
    </row>
    <row r="768" customFormat="false" ht="17.15" hidden="false" customHeight="false" outlineLevel="0" collapsed="false">
      <c r="A768" s="3" t="s">
        <v>554</v>
      </c>
      <c r="B768" s="0" t="s">
        <v>194</v>
      </c>
      <c r="C768" s="22" t="n">
        <f aca="false">a25_opx</f>
        <v>1.6466424</v>
      </c>
      <c r="D768" s="22" t="n">
        <f aca="false">a26_opx</f>
        <v>1.827905</v>
      </c>
      <c r="E768" s="22" t="n">
        <f aca="false">D768*(1+MAX(0,phi*E759))</f>
        <v>2.5956251</v>
      </c>
      <c r="F768" s="22" t="n">
        <f aca="false">E768*(1+MAX(0,phi*F759))</f>
        <v>3.14174627811221</v>
      </c>
      <c r="G768" s="22" t="n">
        <f aca="false">F768*(1+MAX(0,phi*G759))</f>
        <v>3.3717503735117</v>
      </c>
      <c r="K768" s="7" t="s">
        <v>555</v>
      </c>
    </row>
    <row r="769" customFormat="false" ht="15" hidden="false" customHeight="false" outlineLevel="0" collapsed="false">
      <c r="A769" s="3" t="s">
        <v>423</v>
      </c>
      <c r="B769" s="0" t="s">
        <v>194</v>
      </c>
      <c r="C769" s="22" t="n">
        <f aca="false">C768</f>
        <v>1.6466424</v>
      </c>
      <c r="D769" s="22" t="n">
        <f aca="false">D768</f>
        <v>1.827905</v>
      </c>
      <c r="E769" s="22" t="n">
        <f aca="false">E768+0*E758</f>
        <v>2.5956251</v>
      </c>
      <c r="F769" s="22" t="n">
        <f aca="false">F768+0*F758</f>
        <v>3.14174627811221</v>
      </c>
      <c r="G769" s="22" t="n">
        <f aca="false">G768+0*G758</f>
        <v>3.3717503735117</v>
      </c>
    </row>
    <row r="770" customFormat="false" ht="15" hidden="false" customHeight="false" outlineLevel="0" collapsed="false">
      <c r="A770" s="3" t="s">
        <v>556</v>
      </c>
      <c r="B770" s="0" t="s">
        <v>194</v>
      </c>
      <c r="C770" s="22" t="n">
        <f aca="false">C766-C769</f>
        <v>5.148</v>
      </c>
      <c r="D770" s="22" t="n">
        <f aca="false">D766-D769</f>
        <v>7.479105</v>
      </c>
      <c r="E770" s="22" t="n">
        <f aca="false">E766-E769</f>
        <v>15.0838119</v>
      </c>
      <c r="F770" s="22" t="n">
        <f aca="false">F766-F769</f>
        <v>21.0674633915604</v>
      </c>
      <c r="G770" s="22" t="n">
        <f aca="false">G766-G769</f>
        <v>23.4628360778956</v>
      </c>
    </row>
    <row r="771" customFormat="false" ht="15" hidden="false" customHeight="false" outlineLevel="0" collapsed="false">
      <c r="A771" s="3" t="s">
        <v>429</v>
      </c>
      <c r="B771" s="0" t="s">
        <v>54</v>
      </c>
      <c r="C771" s="13" t="n">
        <f aca="false">C770/C758</f>
        <v>0.266846361185984</v>
      </c>
      <c r="D771" s="13" t="n">
        <f aca="false">D770/D758</f>
        <v>0.265914278603427</v>
      </c>
      <c r="E771" s="13" t="n">
        <f aca="false">E770/E758</f>
        <v>0.315467202211895</v>
      </c>
      <c r="F771" s="13" t="n">
        <f aca="false">F770/F758</f>
        <v>0.326217180683932</v>
      </c>
      <c r="G771" s="13" t="n">
        <f aca="false">G770/G758</f>
        <v>0.323799688932616</v>
      </c>
    </row>
    <row r="772" customFormat="false" ht="17.15" hidden="false" customHeight="false" outlineLevel="0" collapsed="false">
      <c r="A772" s="3" t="s">
        <v>430</v>
      </c>
      <c r="B772" s="0" t="s">
        <v>194</v>
      </c>
      <c r="E772" s="22" t="n">
        <f aca="false">nop_f</f>
        <v>-0.2</v>
      </c>
      <c r="F772" s="22" t="n">
        <f aca="false">nop_f</f>
        <v>-0.2</v>
      </c>
      <c r="G772" s="22" t="n">
        <f aca="false">nop_f</f>
        <v>-0.2</v>
      </c>
      <c r="K772" s="7" t="s">
        <v>557</v>
      </c>
    </row>
    <row r="773" customFormat="false" ht="15" hidden="false" customHeight="false" outlineLevel="0" collapsed="false">
      <c r="A773" s="3" t="s">
        <v>436</v>
      </c>
      <c r="B773" s="0" t="s">
        <v>194</v>
      </c>
      <c r="C773" s="22" t="n">
        <f aca="false">a25_ni</f>
        <v>4.312</v>
      </c>
      <c r="D773" s="22" t="n">
        <f aca="false">a26_ni</f>
        <v>6.5441924845173</v>
      </c>
      <c r="E773" s="22" t="n">
        <f aca="false">(E770+E772)*nir_f</f>
        <v>12.9042649173</v>
      </c>
      <c r="F773" s="22" t="n">
        <f aca="false">(F770+F772)*nir_f</f>
        <v>18.0920907604829</v>
      </c>
      <c r="G773" s="22" t="n">
        <f aca="false">(G770+G772)*nir_f</f>
        <v>20.1688788795355</v>
      </c>
      <c r="H773" s="24" t="n">
        <f aca="false">H758*H778</f>
        <v>21.9229820879517</v>
      </c>
      <c r="I773" s="24" t="n">
        <f aca="false">I758*I778</f>
        <v>23.3782824569602</v>
      </c>
      <c r="J773" s="24" t="n">
        <f aca="false">J758*J778</f>
        <v>24.4489205143476</v>
      </c>
    </row>
    <row r="774" customFormat="false" ht="17.15" hidden="false" customHeight="false" outlineLevel="0" collapsed="false">
      <c r="A774" s="3" t="s">
        <v>439</v>
      </c>
      <c r="B774" s="0" t="s">
        <v>54</v>
      </c>
      <c r="C774" s="13" t="n">
        <f aca="false">C773/C770</f>
        <v>0.837606837606838</v>
      </c>
      <c r="D774" s="13" t="n">
        <f aca="false">D773/D770</f>
        <v>0.874996738850077</v>
      </c>
      <c r="E774" s="13" t="n">
        <f aca="false">E773/E770</f>
        <v>0.85550423214307</v>
      </c>
      <c r="F774" s="13" t="n">
        <f aca="false">F773/F770</f>
        <v>0.858769298620476</v>
      </c>
      <c r="G774" s="13" t="n">
        <f aca="false">G773/G770</f>
        <v>0.859609589078476</v>
      </c>
    </row>
    <row r="775" customFormat="false" ht="17.15" hidden="false" customHeight="false" outlineLevel="0" collapsed="false">
      <c r="A775" s="3" t="s">
        <v>558</v>
      </c>
      <c r="B775" s="3" t="s">
        <v>222</v>
      </c>
      <c r="C775" s="27" t="n">
        <f aca="false">a25_sh</f>
        <v>0.860678642714571</v>
      </c>
      <c r="D775" s="27" t="n">
        <f aca="false">a26_sh</f>
        <v>0.946074458598726</v>
      </c>
      <c r="E775" s="27" t="n">
        <f aca="false">sh_h2*(1+sh_g)</f>
        <v>0.98234</v>
      </c>
      <c r="F775" s="27" t="n">
        <f aca="false">E775*(1+sh_g)</f>
        <v>0.98234</v>
      </c>
      <c r="G775" s="27" t="n">
        <f aca="false">F775*(1+sh_g)</f>
        <v>0.98234</v>
      </c>
      <c r="H775" s="28" t="n">
        <f aca="false">G775*(1+sh_g)</f>
        <v>0.98234</v>
      </c>
      <c r="I775" s="28" t="n">
        <f aca="false">H775*(1+sh_g)</f>
        <v>0.98234</v>
      </c>
      <c r="J775" s="28" t="n">
        <f aca="false">I775*(1+sh_g)</f>
        <v>0.98234</v>
      </c>
      <c r="K775" s="7" t="s">
        <v>559</v>
      </c>
    </row>
    <row r="776" customFormat="false" ht="15" hidden="false" customHeight="false" outlineLevel="0" collapsed="false">
      <c r="A776" s="0" t="s">
        <v>442</v>
      </c>
      <c r="B776" s="0" t="s">
        <v>258</v>
      </c>
      <c r="C776" s="23" t="n">
        <f aca="false">C773/C775</f>
        <v>5.01</v>
      </c>
      <c r="D776" s="23" t="n">
        <f aca="false">D773/D775</f>
        <v>6.91720659514496</v>
      </c>
      <c r="E776" s="23" t="n">
        <f aca="false">E773/E775</f>
        <v>13.1362511119368</v>
      </c>
      <c r="F776" s="23" t="n">
        <f aca="false">F773/F775</f>
        <v>18.4173410025886</v>
      </c>
      <c r="G776" s="23" t="n">
        <f aca="false">G773/G775</f>
        <v>20.5314645433715</v>
      </c>
      <c r="H776" s="29" t="n">
        <f aca="false">H773/H775</f>
        <v>22.3171021112361</v>
      </c>
      <c r="I776" s="29" t="n">
        <f aca="false">I773/I775</f>
        <v>23.7985651169251</v>
      </c>
      <c r="J776" s="29" t="n">
        <f aca="false">J773/J775</f>
        <v>24.8884505510796</v>
      </c>
    </row>
    <row r="777" customFormat="false" ht="17.15" hidden="false" customHeight="false" outlineLevel="0" collapsed="false">
      <c r="A777" s="0" t="s">
        <v>560</v>
      </c>
      <c r="B777" s="0" t="s">
        <v>54</v>
      </c>
      <c r="D777" s="13" t="n">
        <f aca="false">D776/C776-1</f>
        <v>0.38067995911077</v>
      </c>
      <c r="E777" s="13" t="n">
        <f aca="false">E776/D776-1</f>
        <v>0.899068783221953</v>
      </c>
      <c r="F777" s="13" t="n">
        <f aca="false">F776/E776-1</f>
        <v>0.402024127405184</v>
      </c>
      <c r="G777" s="13" t="n">
        <f aca="false">G776/F776-1</f>
        <v>0.114789835323445</v>
      </c>
      <c r="H777" s="25" t="n">
        <f aca="false">H776/G776-1</f>
        <v>0.0869707839931528</v>
      </c>
      <c r="I777" s="25" t="n">
        <f aca="false">I776/H776-1</f>
        <v>0.0663824092529968</v>
      </c>
      <c r="J777" s="25" t="n">
        <f aca="false">J776/I776-1</f>
        <v>0.0457962666572465</v>
      </c>
    </row>
    <row r="778" customFormat="false" ht="17.15" hidden="false" customHeight="false" outlineLevel="0" collapsed="false">
      <c r="A778" s="3" t="s">
        <v>561</v>
      </c>
      <c r="B778" s="0" t="s">
        <v>54</v>
      </c>
      <c r="C778" s="13" t="n">
        <f aca="false">C773/C758</f>
        <v>0.223512336719884</v>
      </c>
      <c r="D778" s="13" t="n">
        <f aca="false">D773/D758</f>
        <v>0.23267412659167</v>
      </c>
      <c r="E778" s="13" t="n">
        <f aca="false">E773/E758</f>
        <v>0.26988352659461</v>
      </c>
      <c r="F778" s="13" t="n">
        <f aca="false">F773/F758</f>
        <v>0.280145299453889</v>
      </c>
      <c r="G778" s="13" t="n">
        <f aca="false">G773/G758</f>
        <v>0.278341317547105</v>
      </c>
      <c r="H778" s="25" t="n">
        <f aca="false">$G778+(fade_mA-$G778)*1/3</f>
        <v>0.274708959286325</v>
      </c>
      <c r="I778" s="25" t="n">
        <f aca="false">$G778+(fade_mA-$G778)*2/3</f>
        <v>0.271076601025545</v>
      </c>
      <c r="J778" s="25" t="n">
        <f aca="false">$G778+(fade_mA-$G778)*3/3</f>
        <v>0.267444242764765</v>
      </c>
    </row>
    <row r="781" customFormat="false" ht="17.15" hidden="false" customHeight="false" outlineLevel="0" collapsed="false">
      <c r="A781" s="1" t="s">
        <v>903</v>
      </c>
    </row>
    <row r="782" customFormat="false" ht="17.15" hidden="false" customHeight="false" outlineLevel="0" collapsed="false">
      <c r="A782" s="4" t="s">
        <v>23</v>
      </c>
      <c r="B782" s="4" t="s">
        <v>24</v>
      </c>
      <c r="C782" s="14" t="s">
        <v>409</v>
      </c>
      <c r="D782" s="14" t="s">
        <v>502</v>
      </c>
      <c r="E782" s="14" t="s">
        <v>503</v>
      </c>
      <c r="F782" s="14" t="s">
        <v>504</v>
      </c>
      <c r="G782" s="14" t="s">
        <v>505</v>
      </c>
      <c r="H782" s="14" t="s">
        <v>506</v>
      </c>
      <c r="I782" s="14" t="s">
        <v>507</v>
      </c>
      <c r="J782" s="14" t="s">
        <v>508</v>
      </c>
      <c r="K782" s="4" t="s">
        <v>391</v>
      </c>
    </row>
    <row r="783" customFormat="false" ht="17.15" hidden="false" customHeight="false" outlineLevel="0" collapsed="false">
      <c r="A783" s="5" t="s">
        <v>524</v>
      </c>
    </row>
    <row r="784" customFormat="false" ht="17.15" hidden="false" customHeight="false" outlineLevel="0" collapsed="false">
      <c r="A784" s="0" t="s">
        <v>525</v>
      </c>
      <c r="B784" s="0" t="s">
        <v>34</v>
      </c>
      <c r="D784" s="23" t="n">
        <f aca="false">itc_26*1</f>
        <v>781.872916666666</v>
      </c>
      <c r="E784" s="23" t="n">
        <f aca="false">itc_27*1*1</f>
        <v>1565.35</v>
      </c>
      <c r="F784" s="23" t="n">
        <f aca="false">itc_28*um28_A*1</f>
        <v>1984.26388888889</v>
      </c>
      <c r="G784" s="23" t="n">
        <f aca="false">itc_29*um29_A*1</f>
        <v>2260.39027777778</v>
      </c>
    </row>
    <row r="785" customFormat="false" ht="17.15" hidden="false" customHeight="false" outlineLevel="0" collapsed="false">
      <c r="A785" s="3" t="s">
        <v>526</v>
      </c>
      <c r="B785" s="0" t="s">
        <v>34</v>
      </c>
      <c r="D785" s="23" t="n">
        <f aca="false">itpg_gb*(1-vr26)+itpg_vr*vr26</f>
        <v>33.41403216</v>
      </c>
      <c r="E785" s="23" t="n">
        <f aca="false">itpg_vr</f>
        <v>37.586352</v>
      </c>
      <c r="F785" s="23" t="n">
        <f aca="false">itpg_vr</f>
        <v>37.586352</v>
      </c>
      <c r="G785" s="23" t="n">
        <f aca="false">itpg_vr</f>
        <v>37.586352</v>
      </c>
    </row>
    <row r="786" customFormat="false" ht="17.15" hidden="false" customHeight="false" outlineLevel="0" collapsed="false">
      <c r="A786" s="3" t="s">
        <v>527</v>
      </c>
      <c r="B786" s="0" t="s">
        <v>468</v>
      </c>
      <c r="D786" s="20" t="n">
        <f aca="false">D784/D785</f>
        <v>23.3995380420639</v>
      </c>
      <c r="E786" s="20" t="n">
        <f aca="false">E784/E785</f>
        <v>41.6467658260637</v>
      </c>
      <c r="F786" s="20" t="n">
        <f aca="false">F784/F785</f>
        <v>52.792138191248</v>
      </c>
      <c r="G786" s="20" t="n">
        <f aca="false">G784/G785</f>
        <v>60.1385917361116</v>
      </c>
    </row>
    <row r="787" customFormat="false" ht="17.15" hidden="false" customHeight="false" outlineLevel="0" collapsed="false">
      <c r="A787" s="3" t="s">
        <v>470</v>
      </c>
      <c r="B787" s="0" t="s">
        <v>95</v>
      </c>
      <c r="D787" s="21" t="n">
        <f aca="false">cmp_26</f>
        <v>280</v>
      </c>
      <c r="E787" s="21" t="n">
        <f aca="false">cmp_26*cmpx_27</f>
        <v>420</v>
      </c>
      <c r="F787" s="21" t="n">
        <f aca="false">cmp_26*cmpx_28</f>
        <v>462</v>
      </c>
      <c r="G787" s="21" t="n">
        <f aca="false">cmp_26*cmpx_29</f>
        <v>504</v>
      </c>
    </row>
    <row r="788" customFormat="false" ht="17.15" hidden="false" customHeight="false" outlineLevel="0" collapsed="false">
      <c r="A788" s="3" t="s">
        <v>472</v>
      </c>
      <c r="B788" s="0" t="s">
        <v>95</v>
      </c>
      <c r="D788" s="21" t="n">
        <f aca="false">sw_26</f>
        <v>120</v>
      </c>
      <c r="E788" s="21" t="n">
        <f aca="false">sw_26*swx_27</f>
        <v>162</v>
      </c>
      <c r="F788" s="21" t="n">
        <f aca="false">sw_26*swx_28</f>
        <v>180</v>
      </c>
      <c r="G788" s="21" t="n">
        <f aca="false">sw_26*swx_29</f>
        <v>198</v>
      </c>
    </row>
    <row r="789" customFormat="false" ht="17.15" hidden="false" customHeight="false" outlineLevel="0" collapsed="false">
      <c r="A789" s="3" t="s">
        <v>473</v>
      </c>
      <c r="B789" s="0" t="s">
        <v>95</v>
      </c>
      <c r="D789" s="21" t="n">
        <f aca="false">mid_26</f>
        <v>50</v>
      </c>
      <c r="E789" s="21" t="n">
        <f aca="false">mid_26*midx_27</f>
        <v>100</v>
      </c>
      <c r="F789" s="21" t="n">
        <f aca="false">mid_26*midx_28</f>
        <v>150</v>
      </c>
      <c r="G789" s="21" t="n">
        <f aca="false">mid_26*midx_29</f>
        <v>175</v>
      </c>
    </row>
    <row r="790" customFormat="false" ht="17.15" hidden="false" customHeight="false" outlineLevel="0" collapsed="false">
      <c r="A790" s="3" t="s">
        <v>528</v>
      </c>
      <c r="B790" s="0" t="s">
        <v>95</v>
      </c>
      <c r="D790" s="21" t="n">
        <f aca="false">D787+D788+D789</f>
        <v>450</v>
      </c>
      <c r="E790" s="21" t="n">
        <f aca="false">E787+E788+E789</f>
        <v>682</v>
      </c>
      <c r="F790" s="21" t="n">
        <f aca="false">F787+F788+F789</f>
        <v>792</v>
      </c>
      <c r="G790" s="21" t="n">
        <f aca="false">G787+G788+G789</f>
        <v>877</v>
      </c>
    </row>
    <row r="791" customFormat="false" ht="17.15" hidden="false" customHeight="false" outlineLevel="0" collapsed="false">
      <c r="A791" s="0" t="s">
        <v>529</v>
      </c>
      <c r="B791" s="0" t="s">
        <v>34</v>
      </c>
      <c r="D791" s="23" t="n">
        <f aca="false">D786*D790/1000</f>
        <v>10.5297921189287</v>
      </c>
      <c r="E791" s="23" t="n">
        <f aca="false">E786*E790/1000</f>
        <v>28.4030942933754</v>
      </c>
      <c r="F791" s="23" t="n">
        <f aca="false">F786*F790/1000</f>
        <v>41.8113734474684</v>
      </c>
      <c r="G791" s="23" t="n">
        <f aca="false">G786*G790/1000</f>
        <v>52.7415449525698</v>
      </c>
    </row>
    <row r="792" customFormat="false" ht="17.15" hidden="false" customHeight="false" outlineLevel="0" collapsed="false">
      <c r="A792" s="0" t="s">
        <v>530</v>
      </c>
      <c r="B792" s="0" t="s">
        <v>194</v>
      </c>
      <c r="D792" s="22" t="n">
        <f aca="false">D791*fx</f>
        <v>70.7602030392012</v>
      </c>
      <c r="E792" s="22" t="n">
        <f aca="false">E791*fx</f>
        <v>190.868793651483</v>
      </c>
      <c r="F792" s="22" t="n">
        <f aca="false">F791*fx</f>
        <v>280.972429566988</v>
      </c>
      <c r="G792" s="22" t="n">
        <f aca="false">G791*fx</f>
        <v>354.423182081269</v>
      </c>
    </row>
    <row r="793" customFormat="false" ht="17.15" hidden="false" customHeight="false" outlineLevel="0" collapsed="false">
      <c r="A793" s="0" t="s">
        <v>531</v>
      </c>
      <c r="B793" s="0" t="s">
        <v>67</v>
      </c>
      <c r="D793" s="17" t="n">
        <f aca="false">1</f>
        <v>1</v>
      </c>
      <c r="E793" s="17" t="n">
        <f aca="false">pp_27</f>
        <v>1</v>
      </c>
      <c r="F793" s="17" t="n">
        <f aca="false">pp_28</f>
        <v>0.97</v>
      </c>
      <c r="G793" s="17" t="n">
        <f aca="false">pp_29</f>
        <v>0.94</v>
      </c>
    </row>
    <row r="794" customFormat="false" ht="17.15" hidden="false" customHeight="false" outlineLevel="0" collapsed="false">
      <c r="A794" s="3" t="s">
        <v>532</v>
      </c>
      <c r="B794" s="0" t="s">
        <v>54</v>
      </c>
      <c r="D794" s="13" t="n">
        <f aca="false">a26_ai/D792</f>
        <v>0.247531793970355</v>
      </c>
      <c r="K794" s="7" t="s">
        <v>533</v>
      </c>
    </row>
    <row r="795" customFormat="false" ht="17.15" hidden="false" customHeight="false" outlineLevel="0" collapsed="false">
      <c r="A795" s="3" t="s">
        <v>534</v>
      </c>
      <c r="B795" s="0" t="s">
        <v>67</v>
      </c>
      <c r="D795" s="17" t="n">
        <f aca="false">1</f>
        <v>1</v>
      </c>
      <c r="E795" s="17" t="n">
        <f aca="false">rel_27</f>
        <v>0.9</v>
      </c>
      <c r="F795" s="17" t="n">
        <f aca="false">rel_28</f>
        <v>0.8</v>
      </c>
      <c r="G795" s="17" t="n">
        <f aca="false">rel_29</f>
        <v>0.75</v>
      </c>
    </row>
    <row r="796" customFormat="false" ht="15" hidden="false" customHeight="false" outlineLevel="0" collapsed="false">
      <c r="A796" s="3" t="s">
        <v>485</v>
      </c>
      <c r="B796" s="0" t="s">
        <v>54</v>
      </c>
      <c r="D796" s="13" t="n">
        <f aca="false">$D$794*D795</f>
        <v>0.247531793970355</v>
      </c>
      <c r="E796" s="13" t="n">
        <f aca="false">$D$794*E795</f>
        <v>0.222778614573319</v>
      </c>
      <c r="F796" s="13" t="n">
        <f aca="false">$D$794*F795</f>
        <v>0.198025435176284</v>
      </c>
      <c r="G796" s="13" t="n">
        <f aca="false">$D$794*G795</f>
        <v>0.185648845477766</v>
      </c>
    </row>
    <row r="797" customFormat="false" ht="17.15" hidden="false" customHeight="false" outlineLevel="0" collapsed="false">
      <c r="A797" s="0" t="s">
        <v>535</v>
      </c>
      <c r="B797" s="0" t="s">
        <v>194</v>
      </c>
      <c r="D797" s="22" t="n">
        <f aca="false">D792*D796*D793</f>
        <v>17.5154</v>
      </c>
      <c r="E797" s="22" t="n">
        <f aca="false">E792*E796*E793</f>
        <v>42.5214854149581</v>
      </c>
      <c r="F797" s="22" t="n">
        <f aca="false">F792*F796*F793</f>
        <v>53.9704970084142</v>
      </c>
      <c r="G797" s="22" t="n">
        <f aca="false">G792*G796*G793</f>
        <v>61.850359290107</v>
      </c>
    </row>
    <row r="798" customFormat="false" ht="17.15" hidden="false" customHeight="false" outlineLevel="0" collapsed="false">
      <c r="A798" s="5" t="s">
        <v>536</v>
      </c>
    </row>
    <row r="799" customFormat="false" ht="17.15" hidden="false" customHeight="false" outlineLevel="0" collapsed="false">
      <c r="A799" s="3" t="s">
        <v>537</v>
      </c>
      <c r="B799" s="0" t="s">
        <v>67</v>
      </c>
      <c r="D799" s="17" t="n">
        <f aca="false">1</f>
        <v>1</v>
      </c>
      <c r="E799" s="17" t="n">
        <f aca="false">cx_27</f>
        <v>1.7</v>
      </c>
      <c r="F799" s="17" t="n">
        <f aca="false">cx_28</f>
        <v>2.4</v>
      </c>
      <c r="G799" s="17" t="n">
        <f aca="false">cx_29</f>
        <v>3</v>
      </c>
      <c r="K799" s="7" t="s">
        <v>538</v>
      </c>
    </row>
    <row r="800" customFormat="false" ht="17.15" hidden="false" customHeight="false" outlineLevel="0" collapsed="false">
      <c r="A800" s="3" t="s">
        <v>539</v>
      </c>
      <c r="B800" s="0" t="s">
        <v>194</v>
      </c>
      <c r="D800" s="22" t="n">
        <f aca="false">a26_rev*D799*D793</f>
        <v>28.126</v>
      </c>
      <c r="E800" s="22" t="n">
        <f aca="false">a26_rev*E799*E793</f>
        <v>47.8142</v>
      </c>
      <c r="F800" s="22" t="n">
        <f aca="false">a26_rev*F799*F793</f>
        <v>65.477328</v>
      </c>
      <c r="G800" s="22" t="n">
        <f aca="false">a26_rev*G799*G793</f>
        <v>79.31532</v>
      </c>
    </row>
    <row r="801" customFormat="false" ht="17.15" hidden="false" customHeight="false" outlineLevel="0" collapsed="false">
      <c r="A801" s="3" t="s">
        <v>540</v>
      </c>
      <c r="B801" s="0" t="s">
        <v>194</v>
      </c>
      <c r="C801" s="22" t="n">
        <f aca="false">a25_nai</f>
        <v>10.6106</v>
      </c>
      <c r="D801" s="22" t="n">
        <f aca="false">a26_nai</f>
        <v>10.6106</v>
      </c>
      <c r="E801" s="22" t="n">
        <f aca="false">D801*(1+GNLO27)</f>
        <v>10.08007</v>
      </c>
      <c r="F801" s="22" t="n">
        <f aca="false">E801*(1+GNLO28)</f>
        <v>9.5760665</v>
      </c>
      <c r="G801" s="22" t="n">
        <f aca="false">F801*(1+GNLO29)</f>
        <v>9.097263175</v>
      </c>
    </row>
    <row r="802" customFormat="false" ht="17.15" hidden="false" customHeight="false" outlineLevel="0" collapsed="false">
      <c r="A802" s="0" t="s">
        <v>541</v>
      </c>
      <c r="B802" s="0" t="s">
        <v>194</v>
      </c>
      <c r="C802" s="22" t="n">
        <f aca="false">a25_ai</f>
        <v>8.6814</v>
      </c>
      <c r="D802" s="22" t="n">
        <f aca="false">D797</f>
        <v>17.5154</v>
      </c>
      <c r="E802" s="22" t="n">
        <f aca="false">MIN(E797,E800-E801)</f>
        <v>37.73413</v>
      </c>
      <c r="F802" s="22" t="n">
        <f aca="false">MIN(F797,F800-F801)</f>
        <v>53.9704970084142</v>
      </c>
      <c r="G802" s="22" t="n">
        <f aca="false">MIN(G797,G800-G801)</f>
        <v>61.850359290107</v>
      </c>
      <c r="K802" s="3" t="s">
        <v>542</v>
      </c>
    </row>
    <row r="803" customFormat="false" ht="15" hidden="false" customHeight="false" outlineLevel="0" collapsed="false">
      <c r="A803" s="3" t="s">
        <v>543</v>
      </c>
      <c r="E803" s="0" t="str">
        <f aca="false">IF(E797&gt;E800-E801+0.0001,"受限","未受限")</f>
        <v>受限</v>
      </c>
      <c r="F803" s="0" t="str">
        <f aca="false">IF(F797&gt;F800-F801+0.0001,"受限","未受限")</f>
        <v>未受限</v>
      </c>
      <c r="G803" s="0" t="str">
        <f aca="false">IF(G797&gt;G800-G801+0.0001,"受限","未受限")</f>
        <v>未受限</v>
      </c>
    </row>
    <row r="804" customFormat="false" ht="17.15" hidden="false" customHeight="false" outlineLevel="0" collapsed="false">
      <c r="A804" s="3" t="s">
        <v>414</v>
      </c>
      <c r="B804" s="0" t="s">
        <v>194</v>
      </c>
      <c r="C804" s="22" t="n">
        <f aca="false">C802+C801</f>
        <v>19.292</v>
      </c>
      <c r="D804" s="22" t="n">
        <f aca="false">D802+D801</f>
        <v>28.126</v>
      </c>
      <c r="E804" s="22" t="n">
        <f aca="false">E802+E801</f>
        <v>47.8142</v>
      </c>
      <c r="F804" s="22" t="n">
        <f aca="false">F802+F801</f>
        <v>63.5465635084142</v>
      </c>
      <c r="G804" s="22" t="n">
        <f aca="false">G802+G801</f>
        <v>70.947622465107</v>
      </c>
      <c r="H804" s="24" t="n">
        <f aca="false">G804*(1+H805)</f>
        <v>77.8752655260518</v>
      </c>
      <c r="I804" s="24" t="n">
        <f aca="false">H804*(1+I805)</f>
        <v>84.0135680431228</v>
      </c>
      <c r="J804" s="24" t="n">
        <f aca="false">I804*(1+J805)</f>
        <v>89.0543821257101</v>
      </c>
      <c r="K804" s="7" t="s">
        <v>544</v>
      </c>
    </row>
    <row r="805" customFormat="false" ht="15" hidden="false" customHeight="false" outlineLevel="0" collapsed="false">
      <c r="A805" s="3" t="s">
        <v>545</v>
      </c>
      <c r="B805" s="0" t="s">
        <v>54</v>
      </c>
      <c r="D805" s="13" t="n">
        <f aca="false">D804/C804-1</f>
        <v>0.457910014513788</v>
      </c>
      <c r="E805" s="13" t="n">
        <f aca="false">E804/D804-1</f>
        <v>0.7</v>
      </c>
      <c r="F805" s="13" t="n">
        <f aca="false">F804/E804-1</f>
        <v>0.329031198020969</v>
      </c>
      <c r="G805" s="13" t="n">
        <f aca="false">G804/F804-1</f>
        <v>0.116466706428787</v>
      </c>
      <c r="H805" s="25" t="n">
        <f aca="false">$G805+(fade_gA-$G805)*1/3</f>
        <v>0.0976444709525249</v>
      </c>
      <c r="I805" s="25" t="n">
        <f aca="false">$G805+(fade_gA-$G805)*2/3</f>
        <v>0.0788222354762625</v>
      </c>
      <c r="J805" s="25" t="n">
        <f aca="false">$G805+(fade_gA-$G805)*3/3</f>
        <v>0.06</v>
      </c>
    </row>
    <row r="806" customFormat="false" ht="17.15" hidden="false" customHeight="false" outlineLevel="0" collapsed="false">
      <c r="A806" s="0" t="s">
        <v>546</v>
      </c>
      <c r="B806" s="0" t="s">
        <v>54</v>
      </c>
      <c r="C806" s="13" t="n">
        <f aca="false">C802/C804</f>
        <v>0.45</v>
      </c>
      <c r="D806" s="13" t="n">
        <f aca="false">D802/D804</f>
        <v>0.622747635639622</v>
      </c>
      <c r="E806" s="13" t="n">
        <f aca="false">E802/E804</f>
        <v>0.7891825022692</v>
      </c>
      <c r="F806" s="13" t="n">
        <f aca="false">F802/F804</f>
        <v>0.849306304364798</v>
      </c>
      <c r="G806" s="13" t="n">
        <f aca="false">G802/G804</f>
        <v>0.871774939611625</v>
      </c>
    </row>
    <row r="807" customFormat="false" ht="17.15" hidden="false" customHeight="false" outlineLevel="0" collapsed="false">
      <c r="A807" s="3" t="s">
        <v>547</v>
      </c>
      <c r="B807" s="0" t="s">
        <v>54</v>
      </c>
      <c r="D807" s="13" t="n">
        <f aca="false">(D797+D801)/D800</f>
        <v>1</v>
      </c>
      <c r="E807" s="13" t="n">
        <f aca="false">(E797+E801)/E800</f>
        <v>1.10012413498413</v>
      </c>
      <c r="F807" s="13" t="n">
        <f aca="false">(F797+F801)/F800</f>
        <v>0.970512472781636</v>
      </c>
      <c r="G807" s="13" t="n">
        <f aca="false">(G797+G801)/G800</f>
        <v>0.894500866479603</v>
      </c>
      <c r="K807" s="3" t="s">
        <v>548</v>
      </c>
    </row>
    <row r="808" customFormat="false" ht="17.15" hidden="false" customHeight="false" outlineLevel="0" collapsed="false">
      <c r="A808" s="3" t="s">
        <v>489</v>
      </c>
      <c r="B808" s="0" t="s">
        <v>95</v>
      </c>
      <c r="D808" s="21" t="n">
        <f aca="false">D802/fx/D786*1000</f>
        <v>111.38930728666</v>
      </c>
      <c r="E808" s="21" t="n">
        <f aca="false">E802/fx/E786*1000</f>
        <v>134.829147120772</v>
      </c>
      <c r="F808" s="21" t="n">
        <f aca="false">F802/fx/F786*1000</f>
        <v>152.131060319828</v>
      </c>
      <c r="G808" s="21" t="n">
        <f aca="false">G802/fx/G786*1000</f>
        <v>153.045195234961</v>
      </c>
    </row>
    <row r="809" customFormat="false" ht="17.15" hidden="false" customHeight="false" outlineLevel="0" collapsed="false">
      <c r="A809" s="5" t="s">
        <v>549</v>
      </c>
    </row>
    <row r="810" customFormat="false" ht="17.15" hidden="false" customHeight="false" outlineLevel="0" collapsed="false">
      <c r="A810" s="3" t="s">
        <v>550</v>
      </c>
      <c r="B810" s="0" t="s">
        <v>54</v>
      </c>
      <c r="D810" s="13" t="n">
        <f aca="false">a26_gp/D804-d_ai*D806</f>
        <v>0.237492000284434</v>
      </c>
      <c r="K810" s="7" t="s">
        <v>551</v>
      </c>
    </row>
    <row r="811" customFormat="false" ht="17.15" hidden="false" customHeight="false" outlineLevel="0" collapsed="false">
      <c r="A811" s="0" t="s">
        <v>552</v>
      </c>
      <c r="B811" s="0" t="s">
        <v>54</v>
      </c>
      <c r="D811" s="13" t="n">
        <f aca="false">D810+d_ai</f>
        <v>0.387492000284434</v>
      </c>
      <c r="E811" s="13" t="n">
        <f aca="false">1-(1-$D$811)/E793+gmu_27</f>
        <v>0.397492000284434</v>
      </c>
      <c r="F811" s="13" t="n">
        <f aca="false">1-(1-$D$811)/F793+gmu_28</f>
        <v>0.388548453901479</v>
      </c>
      <c r="G811" s="13" t="n">
        <f aca="false">1-(1-$D$811)/G793+gmu_29</f>
        <v>0.378395744983441</v>
      </c>
      <c r="K811" s="7" t="s">
        <v>553</v>
      </c>
    </row>
    <row r="812" customFormat="false" ht="15" hidden="false" customHeight="false" outlineLevel="0" collapsed="false">
      <c r="A812" s="3" t="s">
        <v>418</v>
      </c>
      <c r="B812" s="0" t="s">
        <v>194</v>
      </c>
      <c r="C812" s="22" t="n">
        <f aca="false">a25_gp</f>
        <v>6.7946424</v>
      </c>
      <c r="D812" s="22" t="n">
        <f aca="false">a26_gp</f>
        <v>9.30701</v>
      </c>
      <c r="E812" s="22" t="n">
        <f aca="false">E802*E811+E801*$D$810</f>
        <v>17.3929508</v>
      </c>
      <c r="F812" s="22" t="n">
        <f aca="false">F802*F811+F801*$D$810</f>
        <v>23.2443923568555</v>
      </c>
      <c r="G812" s="22" t="n">
        <f aca="false">G802*G811+G801*$D$810</f>
        <v>25.5644400096182</v>
      </c>
    </row>
    <row r="813" customFormat="false" ht="15" hidden="false" customHeight="false" outlineLevel="0" collapsed="false">
      <c r="A813" s="3" t="s">
        <v>421</v>
      </c>
      <c r="B813" s="0" t="s">
        <v>54</v>
      </c>
      <c r="C813" s="13" t="n">
        <f aca="false">C812/C804</f>
        <v>0.3522</v>
      </c>
      <c r="D813" s="13" t="n">
        <f aca="false">D812/D804</f>
        <v>0.330904145630378</v>
      </c>
      <c r="E813" s="13" t="n">
        <f aca="false">E812/E804</f>
        <v>0.363761200647506</v>
      </c>
      <c r="F813" s="13" t="n">
        <f aca="false">F812/F804</f>
        <v>0.365785198656379</v>
      </c>
      <c r="G813" s="13" t="n">
        <f aca="false">G812/G804</f>
        <v>0.360328353810462</v>
      </c>
    </row>
    <row r="814" customFormat="false" ht="17.15" hidden="false" customHeight="false" outlineLevel="0" collapsed="false">
      <c r="A814" s="3" t="s">
        <v>554</v>
      </c>
      <c r="B814" s="0" t="s">
        <v>194</v>
      </c>
      <c r="C814" s="22" t="n">
        <f aca="false">a25_opx</f>
        <v>1.6466424</v>
      </c>
      <c r="D814" s="22" t="n">
        <f aca="false">a26_opx</f>
        <v>1.827905</v>
      </c>
      <c r="E814" s="22" t="n">
        <f aca="false">D814*(1+MAX(0,phi*E805))</f>
        <v>2.5956251</v>
      </c>
      <c r="F814" s="22" t="n">
        <f aca="false">E814*(1+MAX(0,phi*F805))</f>
        <v>3.10805008175978</v>
      </c>
      <c r="G814" s="22" t="n">
        <f aca="false">F814*(1+MAX(0,phi*G805))</f>
        <v>3.32524069562275</v>
      </c>
      <c r="K814" s="7" t="s">
        <v>555</v>
      </c>
    </row>
    <row r="815" customFormat="false" ht="15" hidden="false" customHeight="false" outlineLevel="0" collapsed="false">
      <c r="A815" s="3" t="s">
        <v>423</v>
      </c>
      <c r="B815" s="0" t="s">
        <v>194</v>
      </c>
      <c r="C815" s="22" t="n">
        <f aca="false">C814</f>
        <v>1.6466424</v>
      </c>
      <c r="D815" s="22" t="n">
        <f aca="false">D814</f>
        <v>1.827905</v>
      </c>
      <c r="E815" s="22" t="n">
        <f aca="false">E814+0*E804</f>
        <v>2.5956251</v>
      </c>
      <c r="F815" s="22" t="n">
        <f aca="false">F814+0*F804</f>
        <v>3.10805008175978</v>
      </c>
      <c r="G815" s="22" t="n">
        <f aca="false">G814+0*G804</f>
        <v>3.32524069562275</v>
      </c>
    </row>
    <row r="816" customFormat="false" ht="15" hidden="false" customHeight="false" outlineLevel="0" collapsed="false">
      <c r="A816" s="3" t="s">
        <v>556</v>
      </c>
      <c r="B816" s="0" t="s">
        <v>194</v>
      </c>
      <c r="C816" s="22" t="n">
        <f aca="false">C812-C815</f>
        <v>5.148</v>
      </c>
      <c r="D816" s="22" t="n">
        <f aca="false">D812-D815</f>
        <v>7.479105</v>
      </c>
      <c r="E816" s="22" t="n">
        <f aca="false">E812-E815</f>
        <v>14.7973257</v>
      </c>
      <c r="F816" s="22" t="n">
        <f aca="false">F812-F815</f>
        <v>20.1363422750957</v>
      </c>
      <c r="G816" s="22" t="n">
        <f aca="false">G812-G815</f>
        <v>22.2391993139954</v>
      </c>
    </row>
    <row r="817" customFormat="false" ht="15" hidden="false" customHeight="false" outlineLevel="0" collapsed="false">
      <c r="A817" s="3" t="s">
        <v>429</v>
      </c>
      <c r="B817" s="0" t="s">
        <v>54</v>
      </c>
      <c r="C817" s="13" t="n">
        <f aca="false">C816/C804</f>
        <v>0.266846361185984</v>
      </c>
      <c r="D817" s="13" t="n">
        <f aca="false">D816/D804</f>
        <v>0.265914278603427</v>
      </c>
      <c r="E817" s="13" t="n">
        <f aca="false">E816/E804</f>
        <v>0.30947554701323</v>
      </c>
      <c r="F817" s="13" t="n">
        <f aca="false">F816/F804</f>
        <v>0.316875392835829</v>
      </c>
      <c r="G817" s="13" t="n">
        <f aca="false">G816/G804</f>
        <v>0.313459402038919</v>
      </c>
    </row>
    <row r="818" customFormat="false" ht="17.15" hidden="false" customHeight="false" outlineLevel="0" collapsed="false">
      <c r="A818" s="3" t="s">
        <v>430</v>
      </c>
      <c r="B818" s="0" t="s">
        <v>194</v>
      </c>
      <c r="E818" s="22" t="n">
        <f aca="false">nop_f</f>
        <v>-0.2</v>
      </c>
      <c r="F818" s="22" t="n">
        <f aca="false">nop_f</f>
        <v>-0.2</v>
      </c>
      <c r="G818" s="22" t="n">
        <f aca="false">nop_f</f>
        <v>-0.2</v>
      </c>
      <c r="K818" s="7" t="s">
        <v>557</v>
      </c>
    </row>
    <row r="819" customFormat="false" ht="15" hidden="false" customHeight="false" outlineLevel="0" collapsed="false">
      <c r="A819" s="3" t="s">
        <v>436</v>
      </c>
      <c r="B819" s="0" t="s">
        <v>194</v>
      </c>
      <c r="C819" s="22" t="n">
        <f aca="false">a25_ni</f>
        <v>4.312</v>
      </c>
      <c r="D819" s="22" t="n">
        <f aca="false">a26_ni</f>
        <v>6.5441924845173</v>
      </c>
      <c r="E819" s="22" t="n">
        <f aca="false">(E816+E818)*nir_f</f>
        <v>12.6558813819</v>
      </c>
      <c r="F819" s="22" t="n">
        <f aca="false">(F816+F818)*nir_f</f>
        <v>17.284808752508</v>
      </c>
      <c r="G819" s="22" t="n">
        <f aca="false">(G816+G818)*nir_f</f>
        <v>19.107985805234</v>
      </c>
      <c r="H819" s="24" t="n">
        <f aca="false">H804*H824</f>
        <v>20.9249471196763</v>
      </c>
      <c r="I819" s="24" t="n">
        <f aca="false">I804*I824</f>
        <v>22.5216216580654</v>
      </c>
      <c r="J819" s="24" t="n">
        <f aca="false">J804*J824</f>
        <v>23.8170817924945</v>
      </c>
    </row>
    <row r="820" customFormat="false" ht="17.15" hidden="false" customHeight="false" outlineLevel="0" collapsed="false">
      <c r="A820" s="3" t="s">
        <v>439</v>
      </c>
      <c r="B820" s="0" t="s">
        <v>54</v>
      </c>
      <c r="C820" s="13" t="n">
        <f aca="false">C819/C816</f>
        <v>0.837606837606838</v>
      </c>
      <c r="D820" s="13" t="n">
        <f aca="false">D819/D816</f>
        <v>0.874996738850077</v>
      </c>
      <c r="E820" s="13" t="n">
        <f aca="false">E819/E816</f>
        <v>0.855281666328396</v>
      </c>
      <c r="F820" s="13" t="n">
        <f aca="false">F819/F816</f>
        <v>0.85838870418316</v>
      </c>
      <c r="G820" s="13" t="n">
        <f aca="false">G819/G816</f>
        <v>0.859202956700385</v>
      </c>
    </row>
    <row r="821" customFormat="false" ht="17.15" hidden="false" customHeight="false" outlineLevel="0" collapsed="false">
      <c r="A821" s="3" t="s">
        <v>558</v>
      </c>
      <c r="B821" s="3" t="s">
        <v>222</v>
      </c>
      <c r="C821" s="27" t="n">
        <f aca="false">a25_sh</f>
        <v>0.860678642714571</v>
      </c>
      <c r="D821" s="27" t="n">
        <f aca="false">a26_sh</f>
        <v>0.946074458598726</v>
      </c>
      <c r="E821" s="27" t="n">
        <f aca="false">sh_h2*(1+sh_g)</f>
        <v>0.98234</v>
      </c>
      <c r="F821" s="27" t="n">
        <f aca="false">E821*(1+sh_g)</f>
        <v>0.98234</v>
      </c>
      <c r="G821" s="27" t="n">
        <f aca="false">F821*(1+sh_g)</f>
        <v>0.98234</v>
      </c>
      <c r="H821" s="28" t="n">
        <f aca="false">G821*(1+sh_g)</f>
        <v>0.98234</v>
      </c>
      <c r="I821" s="28" t="n">
        <f aca="false">H821*(1+sh_g)</f>
        <v>0.98234</v>
      </c>
      <c r="J821" s="28" t="n">
        <f aca="false">I821*(1+sh_g)</f>
        <v>0.98234</v>
      </c>
      <c r="K821" s="7" t="s">
        <v>559</v>
      </c>
    </row>
    <row r="822" customFormat="false" ht="15" hidden="false" customHeight="false" outlineLevel="0" collapsed="false">
      <c r="A822" s="0" t="s">
        <v>442</v>
      </c>
      <c r="B822" s="0" t="s">
        <v>258</v>
      </c>
      <c r="C822" s="23" t="n">
        <f aca="false">C819/C821</f>
        <v>5.01</v>
      </c>
      <c r="D822" s="23" t="n">
        <f aca="false">D819/D821</f>
        <v>6.91720659514496</v>
      </c>
      <c r="E822" s="23" t="n">
        <f aca="false">E819/E821</f>
        <v>12.8834022659161</v>
      </c>
      <c r="F822" s="23" t="n">
        <f aca="false">F819/F821</f>
        <v>17.5955460965735</v>
      </c>
      <c r="G822" s="23" t="n">
        <f aca="false">G819/G821</f>
        <v>19.4514992825641</v>
      </c>
      <c r="H822" s="29" t="n">
        <f aca="false">H819/H821</f>
        <v>21.3011249869458</v>
      </c>
      <c r="I822" s="29" t="n">
        <f aca="false">I819/I821</f>
        <v>22.9265037136484</v>
      </c>
      <c r="J822" s="29" t="n">
        <f aca="false">J819/J821</f>
        <v>24.245252959764</v>
      </c>
    </row>
    <row r="823" customFormat="false" ht="17.15" hidden="false" customHeight="false" outlineLevel="0" collapsed="false">
      <c r="A823" s="0" t="s">
        <v>560</v>
      </c>
      <c r="B823" s="0" t="s">
        <v>54</v>
      </c>
      <c r="D823" s="13" t="n">
        <f aca="false">D822/C822-1</f>
        <v>0.38067995911077</v>
      </c>
      <c r="E823" s="13" t="n">
        <f aca="false">E822/D822-1</f>
        <v>0.862515177002038</v>
      </c>
      <c r="F823" s="13" t="n">
        <f aca="false">F822/E822-1</f>
        <v>0.365753062226714</v>
      </c>
      <c r="G823" s="13" t="n">
        <f aca="false">G822/F822-1</f>
        <v>0.105478578260898</v>
      </c>
      <c r="H823" s="25" t="n">
        <f aca="false">H822/G822-1</f>
        <v>0.0950891074005587</v>
      </c>
      <c r="I823" s="25" t="n">
        <f aca="false">I822/H822-1</f>
        <v>0.0763048302706435</v>
      </c>
      <c r="J823" s="25" t="n">
        <f aca="false">J822/I822-1</f>
        <v>0.0575207307048089</v>
      </c>
    </row>
    <row r="824" customFormat="false" ht="17.15" hidden="false" customHeight="false" outlineLevel="0" collapsed="false">
      <c r="A824" s="3" t="s">
        <v>561</v>
      </c>
      <c r="B824" s="0" t="s">
        <v>54</v>
      </c>
      <c r="C824" s="13" t="n">
        <f aca="false">C819/C804</f>
        <v>0.223512336719884</v>
      </c>
      <c r="D824" s="13" t="n">
        <f aca="false">D819/D804</f>
        <v>0.23267412659167</v>
      </c>
      <c r="E824" s="13" t="n">
        <f aca="false">E819/E804</f>
        <v>0.264688761537368</v>
      </c>
      <c r="F824" s="13" t="n">
        <f aca="false">F819/F804</f>
        <v>0.272002257843877</v>
      </c>
      <c r="G824" s="13" t="n">
        <f aca="false">G819/G804</f>
        <v>0.269325245037374</v>
      </c>
      <c r="H824" s="25" t="n">
        <f aca="false">$G824+(fade_mA-$G824)*1/3</f>
        <v>0.268698244279838</v>
      </c>
      <c r="I824" s="25" t="n">
        <f aca="false">$G824+(fade_mA-$G824)*2/3</f>
        <v>0.268071243522301</v>
      </c>
      <c r="J824" s="25" t="n">
        <f aca="false">$G824+(fade_mA-$G824)*3/3</f>
        <v>0.267444242764765</v>
      </c>
    </row>
    <row r="827" customFormat="false" ht="17.15" hidden="false" customHeight="false" outlineLevel="0" collapsed="false">
      <c r="A827" s="1" t="s">
        <v>904</v>
      </c>
    </row>
    <row r="828" customFormat="false" ht="17.15" hidden="false" customHeight="false" outlineLevel="0" collapsed="false">
      <c r="A828" s="4" t="s">
        <v>23</v>
      </c>
      <c r="B828" s="4" t="s">
        <v>24</v>
      </c>
      <c r="C828" s="14" t="s">
        <v>409</v>
      </c>
      <c r="D828" s="14" t="s">
        <v>502</v>
      </c>
      <c r="E828" s="14" t="s">
        <v>503</v>
      </c>
      <c r="F828" s="14" t="s">
        <v>504</v>
      </c>
      <c r="G828" s="14" t="s">
        <v>505</v>
      </c>
      <c r="H828" s="14" t="s">
        <v>506</v>
      </c>
      <c r="I828" s="14" t="s">
        <v>507</v>
      </c>
      <c r="J828" s="14" t="s">
        <v>508</v>
      </c>
      <c r="K828" s="4" t="s">
        <v>391</v>
      </c>
    </row>
    <row r="829" customFormat="false" ht="17.15" hidden="false" customHeight="false" outlineLevel="0" collapsed="false">
      <c r="A829" s="5" t="s">
        <v>524</v>
      </c>
    </row>
    <row r="830" customFormat="false" ht="17.15" hidden="false" customHeight="false" outlineLevel="0" collapsed="false">
      <c r="A830" s="0" t="s">
        <v>525</v>
      </c>
      <c r="B830" s="0" t="s">
        <v>34</v>
      </c>
      <c r="D830" s="23" t="n">
        <f aca="false">itc_26*1</f>
        <v>781.872916666666</v>
      </c>
      <c r="E830" s="23" t="n">
        <f aca="false">itc_27*1*1</f>
        <v>1565.35</v>
      </c>
      <c r="F830" s="23" t="n">
        <f aca="false">itc_28*um28_A*1</f>
        <v>1984.26388888889</v>
      </c>
      <c r="G830" s="23" t="n">
        <f aca="false">itc_29*um29_A*1</f>
        <v>2260.39027777778</v>
      </c>
    </row>
    <row r="831" customFormat="false" ht="17.15" hidden="false" customHeight="false" outlineLevel="0" collapsed="false">
      <c r="A831" s="3" t="s">
        <v>526</v>
      </c>
      <c r="B831" s="0" t="s">
        <v>34</v>
      </c>
      <c r="D831" s="23" t="n">
        <f aca="false">itpg_gb*(1-vr26)+itpg_vr*vr26</f>
        <v>33.41403216</v>
      </c>
      <c r="E831" s="23" t="n">
        <f aca="false">itpg_vr</f>
        <v>37.586352</v>
      </c>
      <c r="F831" s="23" t="n">
        <f aca="false">itpg_vr</f>
        <v>37.586352</v>
      </c>
      <c r="G831" s="23" t="n">
        <f aca="false">itpg_vr</f>
        <v>37.586352</v>
      </c>
    </row>
    <row r="832" customFormat="false" ht="17.15" hidden="false" customHeight="false" outlineLevel="0" collapsed="false">
      <c r="A832" s="3" t="s">
        <v>527</v>
      </c>
      <c r="B832" s="0" t="s">
        <v>468</v>
      </c>
      <c r="D832" s="20" t="n">
        <f aca="false">D830/D831</f>
        <v>23.3995380420639</v>
      </c>
      <c r="E832" s="20" t="n">
        <f aca="false">E830/E831</f>
        <v>41.6467658260637</v>
      </c>
      <c r="F832" s="20" t="n">
        <f aca="false">F830/F831</f>
        <v>52.792138191248</v>
      </c>
      <c r="G832" s="20" t="n">
        <f aca="false">G830/G831</f>
        <v>60.1385917361116</v>
      </c>
    </row>
    <row r="833" customFormat="false" ht="17.15" hidden="false" customHeight="false" outlineLevel="0" collapsed="false">
      <c r="A833" s="3" t="s">
        <v>470</v>
      </c>
      <c r="B833" s="0" t="s">
        <v>95</v>
      </c>
      <c r="D833" s="21" t="n">
        <f aca="false">cmp_26</f>
        <v>280</v>
      </c>
      <c r="E833" s="21" t="n">
        <f aca="false">cmp_26*cmpx_27</f>
        <v>420</v>
      </c>
      <c r="F833" s="21" t="n">
        <f aca="false">cmp_26*cmpx_28</f>
        <v>462</v>
      </c>
      <c r="G833" s="21" t="n">
        <f aca="false">cmp_26*cmpx_29</f>
        <v>504</v>
      </c>
    </row>
    <row r="834" customFormat="false" ht="17.15" hidden="false" customHeight="false" outlineLevel="0" collapsed="false">
      <c r="A834" s="3" t="s">
        <v>472</v>
      </c>
      <c r="B834" s="0" t="s">
        <v>95</v>
      </c>
      <c r="D834" s="21" t="n">
        <f aca="false">sw_26</f>
        <v>120</v>
      </c>
      <c r="E834" s="21" t="n">
        <f aca="false">sw_26*swx_27</f>
        <v>162</v>
      </c>
      <c r="F834" s="21" t="n">
        <f aca="false">sw_26*swx_28</f>
        <v>180</v>
      </c>
      <c r="G834" s="21" t="n">
        <f aca="false">sw_26*swx_29</f>
        <v>198</v>
      </c>
    </row>
    <row r="835" customFormat="false" ht="17.15" hidden="false" customHeight="false" outlineLevel="0" collapsed="false">
      <c r="A835" s="3" t="s">
        <v>473</v>
      </c>
      <c r="B835" s="0" t="s">
        <v>95</v>
      </c>
      <c r="D835" s="21" t="n">
        <f aca="false">mid_26</f>
        <v>50</v>
      </c>
      <c r="E835" s="21" t="n">
        <f aca="false">mid_26*midx_27</f>
        <v>100</v>
      </c>
      <c r="F835" s="21" t="n">
        <f aca="false">mid_26*midx_28</f>
        <v>150</v>
      </c>
      <c r="G835" s="21" t="n">
        <f aca="false">mid_26*midx_29</f>
        <v>175</v>
      </c>
    </row>
    <row r="836" customFormat="false" ht="17.15" hidden="false" customHeight="false" outlineLevel="0" collapsed="false">
      <c r="A836" s="3" t="s">
        <v>528</v>
      </c>
      <c r="B836" s="0" t="s">
        <v>95</v>
      </c>
      <c r="D836" s="21" t="n">
        <f aca="false">D833+D834+D835</f>
        <v>450</v>
      </c>
      <c r="E836" s="21" t="n">
        <f aca="false">E833+E834+E835</f>
        <v>682</v>
      </c>
      <c r="F836" s="21" t="n">
        <f aca="false">F833+F834+F835</f>
        <v>792</v>
      </c>
      <c r="G836" s="21" t="n">
        <f aca="false">G833+G834+G835</f>
        <v>877</v>
      </c>
    </row>
    <row r="837" customFormat="false" ht="17.15" hidden="false" customHeight="false" outlineLevel="0" collapsed="false">
      <c r="A837" s="0" t="s">
        <v>529</v>
      </c>
      <c r="B837" s="0" t="s">
        <v>34</v>
      </c>
      <c r="D837" s="23" t="n">
        <f aca="false">D832*D836/1000</f>
        <v>10.5297921189287</v>
      </c>
      <c r="E837" s="23" t="n">
        <f aca="false">E832*E836/1000</f>
        <v>28.4030942933754</v>
      </c>
      <c r="F837" s="23" t="n">
        <f aca="false">F832*F836/1000</f>
        <v>41.8113734474684</v>
      </c>
      <c r="G837" s="23" t="n">
        <f aca="false">G832*G836/1000</f>
        <v>52.7415449525698</v>
      </c>
    </row>
    <row r="838" customFormat="false" ht="17.15" hidden="false" customHeight="false" outlineLevel="0" collapsed="false">
      <c r="A838" s="0" t="s">
        <v>530</v>
      </c>
      <c r="B838" s="0" t="s">
        <v>194</v>
      </c>
      <c r="D838" s="22" t="n">
        <f aca="false">D837*fx</f>
        <v>70.7602030392012</v>
      </c>
      <c r="E838" s="22" t="n">
        <f aca="false">E837*fx</f>
        <v>190.868793651483</v>
      </c>
      <c r="F838" s="22" t="n">
        <f aca="false">F837*fx</f>
        <v>280.972429566988</v>
      </c>
      <c r="G838" s="22" t="n">
        <f aca="false">G837*fx</f>
        <v>354.423182081269</v>
      </c>
    </row>
    <row r="839" customFormat="false" ht="17.15" hidden="false" customHeight="false" outlineLevel="0" collapsed="false">
      <c r="A839" s="0" t="s">
        <v>531</v>
      </c>
      <c r="B839" s="0" t="s">
        <v>67</v>
      </c>
      <c r="D839" s="17" t="n">
        <f aca="false">1</f>
        <v>1</v>
      </c>
      <c r="E839" s="17" t="n">
        <f aca="false">pp_27</f>
        <v>1</v>
      </c>
      <c r="F839" s="17" t="n">
        <f aca="false">pp_28</f>
        <v>0.97</v>
      </c>
      <c r="G839" s="17" t="n">
        <f aca="false">pp_29</f>
        <v>0.94</v>
      </c>
    </row>
    <row r="840" customFormat="false" ht="17.15" hidden="false" customHeight="false" outlineLevel="0" collapsed="false">
      <c r="A840" s="3" t="s">
        <v>532</v>
      </c>
      <c r="B840" s="0" t="s">
        <v>54</v>
      </c>
      <c r="D840" s="13" t="n">
        <f aca="false">a26_ai/D838</f>
        <v>0.247531793970355</v>
      </c>
      <c r="K840" s="7" t="s">
        <v>533</v>
      </c>
    </row>
    <row r="841" customFormat="false" ht="17.15" hidden="false" customHeight="false" outlineLevel="0" collapsed="false">
      <c r="A841" s="3" t="s">
        <v>534</v>
      </c>
      <c r="B841" s="0" t="s">
        <v>67</v>
      </c>
      <c r="D841" s="17" t="n">
        <f aca="false">1</f>
        <v>1</v>
      </c>
      <c r="E841" s="17" t="n">
        <f aca="false">rel_27</f>
        <v>0.9</v>
      </c>
      <c r="F841" s="17" t="n">
        <f aca="false">rel_28</f>
        <v>0.8</v>
      </c>
      <c r="G841" s="17" t="n">
        <f aca="false">rel_29</f>
        <v>0.75</v>
      </c>
    </row>
    <row r="842" customFormat="false" ht="15" hidden="false" customHeight="false" outlineLevel="0" collapsed="false">
      <c r="A842" s="3" t="s">
        <v>485</v>
      </c>
      <c r="B842" s="0" t="s">
        <v>54</v>
      </c>
      <c r="D842" s="13" t="n">
        <f aca="false">$D$840*D841</f>
        <v>0.247531793970355</v>
      </c>
      <c r="E842" s="13" t="n">
        <f aca="false">$D$840*E841</f>
        <v>0.222778614573319</v>
      </c>
      <c r="F842" s="13" t="n">
        <f aca="false">$D$840*F841</f>
        <v>0.198025435176284</v>
      </c>
      <c r="G842" s="13" t="n">
        <f aca="false">$D$840*G841</f>
        <v>0.185648845477766</v>
      </c>
    </row>
    <row r="843" customFormat="false" ht="17.15" hidden="false" customHeight="false" outlineLevel="0" collapsed="false">
      <c r="A843" s="0" t="s">
        <v>535</v>
      </c>
      <c r="B843" s="0" t="s">
        <v>194</v>
      </c>
      <c r="D843" s="22" t="n">
        <f aca="false">D838*D842*D839</f>
        <v>17.5154</v>
      </c>
      <c r="E843" s="22" t="n">
        <f aca="false">E838*E842*E839</f>
        <v>42.5214854149581</v>
      </c>
      <c r="F843" s="22" t="n">
        <f aca="false">F838*F842*F839</f>
        <v>53.9704970084142</v>
      </c>
      <c r="G843" s="22" t="n">
        <f aca="false">G838*G842*G839</f>
        <v>61.850359290107</v>
      </c>
    </row>
    <row r="844" customFormat="false" ht="17.15" hidden="false" customHeight="false" outlineLevel="0" collapsed="false">
      <c r="A844" s="5" t="s">
        <v>536</v>
      </c>
    </row>
    <row r="845" customFormat="false" ht="17.15" hidden="false" customHeight="false" outlineLevel="0" collapsed="false">
      <c r="A845" s="3" t="s">
        <v>537</v>
      </c>
      <c r="B845" s="0" t="s">
        <v>67</v>
      </c>
      <c r="D845" s="17" t="n">
        <f aca="false">1</f>
        <v>1</v>
      </c>
      <c r="E845" s="17" t="n">
        <f aca="false">cx_27</f>
        <v>1.7</v>
      </c>
      <c r="F845" s="17" t="n">
        <f aca="false">cx_28</f>
        <v>2.4</v>
      </c>
      <c r="G845" s="17" t="n">
        <f aca="false">cx_29</f>
        <v>3</v>
      </c>
      <c r="K845" s="7" t="s">
        <v>538</v>
      </c>
    </row>
    <row r="846" customFormat="false" ht="17.15" hidden="false" customHeight="false" outlineLevel="0" collapsed="false">
      <c r="A846" s="3" t="s">
        <v>539</v>
      </c>
      <c r="B846" s="0" t="s">
        <v>194</v>
      </c>
      <c r="D846" s="22" t="n">
        <f aca="false">a26_rev*D845*D839</f>
        <v>28.126</v>
      </c>
      <c r="E846" s="22" t="n">
        <f aca="false">a26_rev*E845*E839</f>
        <v>47.8142</v>
      </c>
      <c r="F846" s="22" t="n">
        <f aca="false">a26_rev*F845*F839</f>
        <v>65.477328</v>
      </c>
      <c r="G846" s="22" t="n">
        <f aca="false">a26_rev*G845*G839</f>
        <v>79.31532</v>
      </c>
    </row>
    <row r="847" customFormat="false" ht="17.15" hidden="false" customHeight="false" outlineLevel="0" collapsed="false">
      <c r="A847" s="3" t="s">
        <v>540</v>
      </c>
      <c r="B847" s="0" t="s">
        <v>194</v>
      </c>
      <c r="C847" s="22" t="n">
        <f aca="false">a25_nai</f>
        <v>10.6106</v>
      </c>
      <c r="D847" s="22" t="n">
        <f aca="false">a26_nai</f>
        <v>10.6106</v>
      </c>
      <c r="E847" s="22" t="n">
        <f aca="false">D847*(1+GNHI27)</f>
        <v>11.14113</v>
      </c>
      <c r="F847" s="22" t="n">
        <f aca="false">E847*(1+GNHI28)</f>
        <v>11.6981865</v>
      </c>
      <c r="G847" s="22" t="n">
        <f aca="false">F847*(1+GNHI29)</f>
        <v>12.283095825</v>
      </c>
    </row>
    <row r="848" customFormat="false" ht="17.15" hidden="false" customHeight="false" outlineLevel="0" collapsed="false">
      <c r="A848" s="0" t="s">
        <v>541</v>
      </c>
      <c r="B848" s="0" t="s">
        <v>194</v>
      </c>
      <c r="C848" s="22" t="n">
        <f aca="false">a25_ai</f>
        <v>8.6814</v>
      </c>
      <c r="D848" s="22" t="n">
        <f aca="false">D843</f>
        <v>17.5154</v>
      </c>
      <c r="E848" s="22" t="n">
        <f aca="false">MIN(E843,E846-E847)</f>
        <v>36.67307</v>
      </c>
      <c r="F848" s="22" t="n">
        <f aca="false">MIN(F843,F846-F847)</f>
        <v>53.7791415</v>
      </c>
      <c r="G848" s="22" t="n">
        <f aca="false">MIN(G843,G846-G847)</f>
        <v>61.850359290107</v>
      </c>
      <c r="K848" s="3" t="s">
        <v>542</v>
      </c>
    </row>
    <row r="849" customFormat="false" ht="15" hidden="false" customHeight="false" outlineLevel="0" collapsed="false">
      <c r="A849" s="3" t="s">
        <v>543</v>
      </c>
      <c r="E849" s="0" t="str">
        <f aca="false">IF(E843&gt;E846-E847+0.0001,"受限","未受限")</f>
        <v>受限</v>
      </c>
      <c r="F849" s="0" t="str">
        <f aca="false">IF(F843&gt;F846-F847+0.0001,"受限","未受限")</f>
        <v>受限</v>
      </c>
      <c r="G849" s="0" t="str">
        <f aca="false">IF(G843&gt;G846-G847+0.0001,"受限","未受限")</f>
        <v>未受限</v>
      </c>
    </row>
    <row r="850" customFormat="false" ht="17.15" hidden="false" customHeight="false" outlineLevel="0" collapsed="false">
      <c r="A850" s="3" t="s">
        <v>414</v>
      </c>
      <c r="B850" s="0" t="s">
        <v>194</v>
      </c>
      <c r="C850" s="22" t="n">
        <f aca="false">C848+C847</f>
        <v>19.292</v>
      </c>
      <c r="D850" s="22" t="n">
        <f aca="false">D848+D847</f>
        <v>28.126</v>
      </c>
      <c r="E850" s="22" t="n">
        <f aca="false">E848+E847</f>
        <v>47.8142</v>
      </c>
      <c r="F850" s="22" t="n">
        <f aca="false">F848+F847</f>
        <v>65.477328</v>
      </c>
      <c r="G850" s="22" t="n">
        <f aca="false">G848+G847</f>
        <v>74.133455115107</v>
      </c>
      <c r="H850" s="24" t="n">
        <f aca="false">G850*(1+H851)</f>
        <v>82.1497711102537</v>
      </c>
      <c r="I850" s="24" t="n">
        <f aca="false">H850*(1+I851)</f>
        <v>89.0558387197964</v>
      </c>
      <c r="J850" s="24" t="n">
        <f aca="false">I850*(1+J851)</f>
        <v>94.3991890429842</v>
      </c>
      <c r="K850" s="7" t="s">
        <v>544</v>
      </c>
    </row>
    <row r="851" customFormat="false" ht="15" hidden="false" customHeight="false" outlineLevel="0" collapsed="false">
      <c r="A851" s="3" t="s">
        <v>545</v>
      </c>
      <c r="B851" s="0" t="s">
        <v>54</v>
      </c>
      <c r="D851" s="13" t="n">
        <f aca="false">D850/C850-1</f>
        <v>0.457910014513788</v>
      </c>
      <c r="E851" s="13" t="n">
        <f aca="false">E850/D850-1</f>
        <v>0.7</v>
      </c>
      <c r="F851" s="13" t="n">
        <f aca="false">F850/E850-1</f>
        <v>0.369411764705882</v>
      </c>
      <c r="G851" s="13" t="n">
        <f aca="false">G850/F850-1</f>
        <v>0.132200371938009</v>
      </c>
      <c r="H851" s="25" t="n">
        <f aca="false">$G851+(fade_gA-$G851)*1/3</f>
        <v>0.108133581292006</v>
      </c>
      <c r="I851" s="25" t="n">
        <f aca="false">$G851+(fade_gA-$G851)*2/3</f>
        <v>0.084066790646003</v>
      </c>
      <c r="J851" s="25" t="n">
        <f aca="false">$G851+(fade_gA-$G851)*3/3</f>
        <v>0.06</v>
      </c>
    </row>
    <row r="852" customFormat="false" ht="17.15" hidden="false" customHeight="false" outlineLevel="0" collapsed="false">
      <c r="A852" s="0" t="s">
        <v>546</v>
      </c>
      <c r="B852" s="0" t="s">
        <v>54</v>
      </c>
      <c r="C852" s="13" t="n">
        <f aca="false">C848/C850</f>
        <v>0.45</v>
      </c>
      <c r="D852" s="13" t="n">
        <f aca="false">D848/D850</f>
        <v>0.622747635639622</v>
      </c>
      <c r="E852" s="13" t="n">
        <f aca="false">E848/E850</f>
        <v>0.76699118671859</v>
      </c>
      <c r="F852" s="13" t="n">
        <f aca="false">F848/F850</f>
        <v>0.8213398918783</v>
      </c>
      <c r="G852" s="13" t="n">
        <f aca="false">G848/G850</f>
        <v>0.834311029940153</v>
      </c>
    </row>
    <row r="853" customFormat="false" ht="17.15" hidden="false" customHeight="false" outlineLevel="0" collapsed="false">
      <c r="A853" s="3" t="s">
        <v>547</v>
      </c>
      <c r="B853" s="0" t="s">
        <v>54</v>
      </c>
      <c r="D853" s="13" t="n">
        <f aca="false">(D843+D847)/D846</f>
        <v>1</v>
      </c>
      <c r="E853" s="13" t="n">
        <f aca="false">(E843+E847)/E846</f>
        <v>1.12231545053474</v>
      </c>
      <c r="F853" s="13" t="n">
        <f aca="false">(F843+F847)/F846</f>
        <v>1.00292246971981</v>
      </c>
      <c r="G853" s="13" t="n">
        <f aca="false">(G843+G847)/G846</f>
        <v>0.93466754108925</v>
      </c>
      <c r="K853" s="3" t="s">
        <v>548</v>
      </c>
    </row>
    <row r="854" customFormat="false" ht="17.15" hidden="false" customHeight="false" outlineLevel="0" collapsed="false">
      <c r="A854" s="3" t="s">
        <v>489</v>
      </c>
      <c r="B854" s="0" t="s">
        <v>95</v>
      </c>
      <c r="D854" s="21" t="n">
        <f aca="false">D848/fx/D832*1000</f>
        <v>111.38930728666</v>
      </c>
      <c r="E854" s="21" t="n">
        <f aca="false">E848/fx/E832*1000</f>
        <v>131.037836314243</v>
      </c>
      <c r="F854" s="21" t="n">
        <f aca="false">F848/fx/F832*1000</f>
        <v>151.59167087547</v>
      </c>
      <c r="G854" s="21" t="n">
        <f aca="false">G848/fx/G832*1000</f>
        <v>153.045195234961</v>
      </c>
    </row>
    <row r="855" customFormat="false" ht="17.15" hidden="false" customHeight="false" outlineLevel="0" collapsed="false">
      <c r="A855" s="5" t="s">
        <v>549</v>
      </c>
    </row>
    <row r="856" customFormat="false" ht="17.15" hidden="false" customHeight="false" outlineLevel="0" collapsed="false">
      <c r="A856" s="3" t="s">
        <v>550</v>
      </c>
      <c r="B856" s="0" t="s">
        <v>54</v>
      </c>
      <c r="D856" s="13" t="n">
        <f aca="false">a26_gp/D850-d_ai*D852</f>
        <v>0.237492000284434</v>
      </c>
      <c r="K856" s="7" t="s">
        <v>551</v>
      </c>
    </row>
    <row r="857" customFormat="false" ht="17.15" hidden="false" customHeight="false" outlineLevel="0" collapsed="false">
      <c r="A857" s="0" t="s">
        <v>552</v>
      </c>
      <c r="B857" s="0" t="s">
        <v>54</v>
      </c>
      <c r="D857" s="13" t="n">
        <f aca="false">D856+d_ai</f>
        <v>0.387492000284434</v>
      </c>
      <c r="E857" s="13" t="n">
        <f aca="false">1-(1-$D$857)/E839+gmu_27</f>
        <v>0.397492000284434</v>
      </c>
      <c r="F857" s="13" t="n">
        <f aca="false">1-(1-$D$857)/F839+gmu_28</f>
        <v>0.388548453901479</v>
      </c>
      <c r="G857" s="13" t="n">
        <f aca="false">1-(1-$D$857)/G839+gmu_29</f>
        <v>0.378395744983441</v>
      </c>
      <c r="K857" s="7" t="s">
        <v>553</v>
      </c>
    </row>
    <row r="858" customFormat="false" ht="15" hidden="false" customHeight="false" outlineLevel="0" collapsed="false">
      <c r="A858" s="3" t="s">
        <v>418</v>
      </c>
      <c r="B858" s="0" t="s">
        <v>194</v>
      </c>
      <c r="C858" s="22" t="n">
        <f aca="false">a25_gp</f>
        <v>6.7946424</v>
      </c>
      <c r="D858" s="22" t="n">
        <f aca="false">a26_gp</f>
        <v>9.30701</v>
      </c>
      <c r="E858" s="22" t="n">
        <f aca="false">E848*E857+E847*$D$856</f>
        <v>17.2231812</v>
      </c>
      <c r="F858" s="22" t="n">
        <f aca="false">F848*F857+F847*$D$856</f>
        <v>23.6740279935592</v>
      </c>
      <c r="G858" s="22" t="n">
        <f aca="false">G848*G857+G847*$D$856</f>
        <v>26.3210497782381</v>
      </c>
    </row>
    <row r="859" customFormat="false" ht="15" hidden="false" customHeight="false" outlineLevel="0" collapsed="false">
      <c r="A859" s="3" t="s">
        <v>421</v>
      </c>
      <c r="B859" s="0" t="s">
        <v>54</v>
      </c>
      <c r="C859" s="13" t="n">
        <f aca="false">C858/C850</f>
        <v>0.3522</v>
      </c>
      <c r="D859" s="13" t="n">
        <f aca="false">D858/D850</f>
        <v>0.330904145630378</v>
      </c>
      <c r="E859" s="13" t="n">
        <f aca="false">E858/E850</f>
        <v>0.360210590159409</v>
      </c>
      <c r="F859" s="13" t="n">
        <f aca="false">F858/F850</f>
        <v>0.361560691565777</v>
      </c>
      <c r="G859" s="13" t="n">
        <f aca="false">G858/G850</f>
        <v>0.355049548646687</v>
      </c>
    </row>
    <row r="860" customFormat="false" ht="17.15" hidden="false" customHeight="false" outlineLevel="0" collapsed="false">
      <c r="A860" s="3" t="s">
        <v>554</v>
      </c>
      <c r="B860" s="0" t="s">
        <v>194</v>
      </c>
      <c r="C860" s="22" t="n">
        <f aca="false">a25_opx</f>
        <v>1.6466424</v>
      </c>
      <c r="D860" s="22" t="n">
        <f aca="false">a26_opx</f>
        <v>1.827905</v>
      </c>
      <c r="E860" s="22" t="n">
        <f aca="false">D860*(1+MAX(0,phi*E851))</f>
        <v>2.5956251</v>
      </c>
      <c r="F860" s="22" t="n">
        <f aca="false">E860*(1+MAX(0,phi*F851))</f>
        <v>3.17093776922353</v>
      </c>
      <c r="G860" s="22" t="n">
        <f aca="false">F860*(1+MAX(0,phi*G851))</f>
        <v>3.42245726071371</v>
      </c>
      <c r="K860" s="7" t="s">
        <v>555</v>
      </c>
    </row>
    <row r="861" customFormat="false" ht="15" hidden="false" customHeight="false" outlineLevel="0" collapsed="false">
      <c r="A861" s="3" t="s">
        <v>423</v>
      </c>
      <c r="B861" s="0" t="s">
        <v>194</v>
      </c>
      <c r="C861" s="22" t="n">
        <f aca="false">C860</f>
        <v>1.6466424</v>
      </c>
      <c r="D861" s="22" t="n">
        <f aca="false">D860</f>
        <v>1.827905</v>
      </c>
      <c r="E861" s="22" t="n">
        <f aca="false">E860+0*E850</f>
        <v>2.5956251</v>
      </c>
      <c r="F861" s="22" t="n">
        <f aca="false">F860+0*F850</f>
        <v>3.17093776922353</v>
      </c>
      <c r="G861" s="22" t="n">
        <f aca="false">G860+0*G850</f>
        <v>3.42245726071371</v>
      </c>
    </row>
    <row r="862" customFormat="false" ht="15" hidden="false" customHeight="false" outlineLevel="0" collapsed="false">
      <c r="A862" s="3" t="s">
        <v>556</v>
      </c>
      <c r="B862" s="0" t="s">
        <v>194</v>
      </c>
      <c r="C862" s="22" t="n">
        <f aca="false">C858-C861</f>
        <v>5.148</v>
      </c>
      <c r="D862" s="22" t="n">
        <f aca="false">D858-D861</f>
        <v>7.479105</v>
      </c>
      <c r="E862" s="22" t="n">
        <f aca="false">E858-E861</f>
        <v>14.6275561</v>
      </c>
      <c r="F862" s="22" t="n">
        <f aca="false">F858-F861</f>
        <v>20.5030902243357</v>
      </c>
      <c r="G862" s="22" t="n">
        <f aca="false">G858-G861</f>
        <v>22.8985925175244</v>
      </c>
    </row>
    <row r="863" customFormat="false" ht="15" hidden="false" customHeight="false" outlineLevel="0" collapsed="false">
      <c r="A863" s="3" t="s">
        <v>429</v>
      </c>
      <c r="B863" s="0" t="s">
        <v>54</v>
      </c>
      <c r="C863" s="13" t="n">
        <f aca="false">C862/C850</f>
        <v>0.266846361185984</v>
      </c>
      <c r="D863" s="13" t="n">
        <f aca="false">D862/D850</f>
        <v>0.265914278603427</v>
      </c>
      <c r="E863" s="13" t="n">
        <f aca="false">E862/E850</f>
        <v>0.305924936525133</v>
      </c>
      <c r="F863" s="13" t="n">
        <f aca="false">F862/F850</f>
        <v>0.313132665162141</v>
      </c>
      <c r="G863" s="13" t="n">
        <f aca="false">G862/G850</f>
        <v>0.308883384458067</v>
      </c>
    </row>
    <row r="864" customFormat="false" ht="17.15" hidden="false" customHeight="false" outlineLevel="0" collapsed="false">
      <c r="A864" s="3" t="s">
        <v>430</v>
      </c>
      <c r="B864" s="0" t="s">
        <v>194</v>
      </c>
      <c r="E864" s="22" t="n">
        <f aca="false">nop_f</f>
        <v>-0.2</v>
      </c>
      <c r="F864" s="22" t="n">
        <f aca="false">nop_f</f>
        <v>-0.2</v>
      </c>
      <c r="G864" s="22" t="n">
        <f aca="false">nop_f</f>
        <v>-0.2</v>
      </c>
      <c r="K864" s="7" t="s">
        <v>557</v>
      </c>
    </row>
    <row r="865" customFormat="false" ht="15" hidden="false" customHeight="false" outlineLevel="0" collapsed="false">
      <c r="A865" s="3" t="s">
        <v>436</v>
      </c>
      <c r="B865" s="0" t="s">
        <v>194</v>
      </c>
      <c r="C865" s="22" t="n">
        <f aca="false">a25_ni</f>
        <v>4.312</v>
      </c>
      <c r="D865" s="22" t="n">
        <f aca="false">a26_ni</f>
        <v>6.5441924845173</v>
      </c>
      <c r="E865" s="22" t="n">
        <f aca="false">(E862+E864)*nir_f</f>
        <v>12.5086911387</v>
      </c>
      <c r="F865" s="22" t="n">
        <f aca="false">(F862+F864)*nir_f</f>
        <v>17.602779224499</v>
      </c>
      <c r="G865" s="22" t="n">
        <f aca="false">(G862+G864)*nir_f</f>
        <v>19.6796797126937</v>
      </c>
      <c r="H865" s="24" t="n">
        <f aca="false">H850*H870</f>
        <v>21.8619704150981</v>
      </c>
      <c r="I865" s="24" t="n">
        <f aca="false">I850*I870</f>
        <v>23.7586537276451</v>
      </c>
      <c r="J865" s="24" t="n">
        <f aca="false">J850*J870</f>
        <v>25.2465196312088</v>
      </c>
    </row>
    <row r="866" customFormat="false" ht="17.15" hidden="false" customHeight="false" outlineLevel="0" collapsed="false">
      <c r="A866" s="3" t="s">
        <v>439</v>
      </c>
      <c r="B866" s="0" t="s">
        <v>54</v>
      </c>
      <c r="C866" s="13" t="n">
        <f aca="false">C865/C862</f>
        <v>0.837606837606838</v>
      </c>
      <c r="D866" s="13" t="n">
        <f aca="false">D865/D862</f>
        <v>0.874996738850077</v>
      </c>
      <c r="E866" s="13" t="n">
        <f aca="false">E865/E862</f>
        <v>0.855145661598249</v>
      </c>
      <c r="F866" s="13" t="n">
        <f aca="false">F865/F862</f>
        <v>0.858542738284681</v>
      </c>
      <c r="G866" s="13" t="n">
        <f aca="false">G865/G862</f>
        <v>0.859427482175278</v>
      </c>
    </row>
    <row r="867" customFormat="false" ht="17.15" hidden="false" customHeight="false" outlineLevel="0" collapsed="false">
      <c r="A867" s="3" t="s">
        <v>558</v>
      </c>
      <c r="B867" s="3" t="s">
        <v>222</v>
      </c>
      <c r="C867" s="27" t="n">
        <f aca="false">a25_sh</f>
        <v>0.860678642714571</v>
      </c>
      <c r="D867" s="27" t="n">
        <f aca="false">a26_sh</f>
        <v>0.946074458598726</v>
      </c>
      <c r="E867" s="27" t="n">
        <f aca="false">sh_h2*(1+sh_g)</f>
        <v>0.98234</v>
      </c>
      <c r="F867" s="27" t="n">
        <f aca="false">E867*(1+sh_g)</f>
        <v>0.98234</v>
      </c>
      <c r="G867" s="27" t="n">
        <f aca="false">F867*(1+sh_g)</f>
        <v>0.98234</v>
      </c>
      <c r="H867" s="28" t="n">
        <f aca="false">G867*(1+sh_g)</f>
        <v>0.98234</v>
      </c>
      <c r="I867" s="28" t="n">
        <f aca="false">H867*(1+sh_g)</f>
        <v>0.98234</v>
      </c>
      <c r="J867" s="28" t="n">
        <f aca="false">I867*(1+sh_g)</f>
        <v>0.98234</v>
      </c>
      <c r="K867" s="7" t="s">
        <v>559</v>
      </c>
    </row>
    <row r="868" customFormat="false" ht="15" hidden="false" customHeight="false" outlineLevel="0" collapsed="false">
      <c r="A868" s="0" t="s">
        <v>442</v>
      </c>
      <c r="B868" s="0" t="s">
        <v>258</v>
      </c>
      <c r="C868" s="23" t="n">
        <f aca="false">C865/C867</f>
        <v>5.01</v>
      </c>
      <c r="D868" s="23" t="n">
        <f aca="false">D865/D867</f>
        <v>6.91720659514496</v>
      </c>
      <c r="E868" s="23" t="n">
        <f aca="false">E865/E867</f>
        <v>12.7335659127186</v>
      </c>
      <c r="F868" s="23" t="n">
        <f aca="false">F865/F867</f>
        <v>17.9192328771088</v>
      </c>
      <c r="G868" s="23" t="n">
        <f aca="false">G865/G867</f>
        <v>20.0334708071479</v>
      </c>
      <c r="H868" s="29" t="n">
        <f aca="false">H865/H867</f>
        <v>22.2549936021114</v>
      </c>
      <c r="I868" s="29" t="n">
        <f aca="false">I865/I867</f>
        <v>24.1857745054107</v>
      </c>
      <c r="J868" s="29" t="n">
        <f aca="false">J865/J867</f>
        <v>25.7003884919771</v>
      </c>
    </row>
    <row r="869" customFormat="false" ht="17.15" hidden="false" customHeight="false" outlineLevel="0" collapsed="false">
      <c r="A869" s="0" t="s">
        <v>560</v>
      </c>
      <c r="B869" s="0" t="s">
        <v>54</v>
      </c>
      <c r="D869" s="13" t="n">
        <f aca="false">D868/C868-1</f>
        <v>0.38067995911077</v>
      </c>
      <c r="E869" s="13" t="n">
        <f aca="false">E868/D868-1</f>
        <v>0.84085378072357</v>
      </c>
      <c r="F869" s="13" t="n">
        <f aca="false">F868/E868-1</f>
        <v>0.407243893810656</v>
      </c>
      <c r="G869" s="13" t="n">
        <f aca="false">G868/F868-1</f>
        <v>0.117987078160026</v>
      </c>
      <c r="H869" s="25" t="n">
        <f aca="false">H868/G868-1</f>
        <v>0.110890559920892</v>
      </c>
      <c r="I869" s="25" t="n">
        <f aca="false">I868/H868-1</f>
        <v>0.0867571987581295</v>
      </c>
      <c r="J869" s="25" t="n">
        <f aca="false">J868/I868-1</f>
        <v>0.0626241672032293</v>
      </c>
    </row>
    <row r="870" customFormat="false" ht="17.15" hidden="false" customHeight="false" outlineLevel="0" collapsed="false">
      <c r="A870" s="3" t="s">
        <v>561</v>
      </c>
      <c r="B870" s="0" t="s">
        <v>54</v>
      </c>
      <c r="C870" s="13" t="n">
        <f aca="false">C865/C850</f>
        <v>0.223512336719884</v>
      </c>
      <c r="D870" s="13" t="n">
        <f aca="false">D865/D850</f>
        <v>0.23267412659167</v>
      </c>
      <c r="E870" s="13" t="n">
        <f aca="false">E865/E850</f>
        <v>0.261610382244187</v>
      </c>
      <c r="F870" s="13" t="n">
        <f aca="false">F865/F850</f>
        <v>0.268837775794685</v>
      </c>
      <c r="G870" s="13" t="n">
        <f aca="false">G865/G850</f>
        <v>0.265462869390575</v>
      </c>
      <c r="H870" s="25" t="n">
        <f aca="false">$G870+(fade_mA-$G870)*1/3</f>
        <v>0.266123327181971</v>
      </c>
      <c r="I870" s="25" t="n">
        <f aca="false">$G870+(fade_mA-$G870)*2/3</f>
        <v>0.266783784973368</v>
      </c>
      <c r="J870" s="25" t="n">
        <f aca="false">$G870+(fade_mA-$G870)*3/3</f>
        <v>0.267444242764765</v>
      </c>
    </row>
    <row r="873" customFormat="false" ht="17.15" hidden="false" customHeight="false" outlineLevel="0" collapsed="false">
      <c r="A873" s="1" t="s">
        <v>905</v>
      </c>
    </row>
    <row r="874" customFormat="false" ht="17.15" hidden="false" customHeight="false" outlineLevel="0" collapsed="false">
      <c r="A874" s="4" t="s">
        <v>23</v>
      </c>
      <c r="B874" s="4" t="s">
        <v>24</v>
      </c>
      <c r="C874" s="14" t="s">
        <v>409</v>
      </c>
      <c r="D874" s="14" t="s">
        <v>502</v>
      </c>
      <c r="E874" s="14" t="s">
        <v>503</v>
      </c>
      <c r="F874" s="14" t="s">
        <v>504</v>
      </c>
      <c r="G874" s="14" t="s">
        <v>505</v>
      </c>
      <c r="H874" s="14" t="s">
        <v>506</v>
      </c>
      <c r="I874" s="14" t="s">
        <v>507</v>
      </c>
      <c r="J874" s="14" t="s">
        <v>508</v>
      </c>
      <c r="K874" s="4" t="s">
        <v>391</v>
      </c>
    </row>
    <row r="875" customFormat="false" ht="17.15" hidden="false" customHeight="false" outlineLevel="0" collapsed="false">
      <c r="A875" s="5" t="s">
        <v>524</v>
      </c>
    </row>
    <row r="876" customFormat="false" ht="17.15" hidden="false" customHeight="false" outlineLevel="0" collapsed="false">
      <c r="A876" s="0" t="s">
        <v>525</v>
      </c>
      <c r="B876" s="0" t="s">
        <v>34</v>
      </c>
      <c r="D876" s="23" t="n">
        <f aca="false">itc_26*1</f>
        <v>781.872916666666</v>
      </c>
      <c r="E876" s="23" t="n">
        <f aca="false">itc_27*1*1</f>
        <v>1565.35</v>
      </c>
      <c r="F876" s="23" t="n">
        <f aca="false">itc_28*um28_A*1</f>
        <v>1984.26388888889</v>
      </c>
      <c r="G876" s="23" t="n">
        <f aca="false">itc_29*um29_A*1</f>
        <v>2260.39027777778</v>
      </c>
    </row>
    <row r="877" customFormat="false" ht="17.15" hidden="false" customHeight="false" outlineLevel="0" collapsed="false">
      <c r="A877" s="3" t="s">
        <v>526</v>
      </c>
      <c r="B877" s="0" t="s">
        <v>34</v>
      </c>
      <c r="D877" s="23" t="n">
        <f aca="false">itpg_gb*(1-vr26)+itpg_vr*vr26</f>
        <v>33.41403216</v>
      </c>
      <c r="E877" s="23" t="n">
        <f aca="false">itpg_vr</f>
        <v>37.586352</v>
      </c>
      <c r="F877" s="23" t="n">
        <f aca="false">itpg_vr</f>
        <v>37.586352</v>
      </c>
      <c r="G877" s="23" t="n">
        <f aca="false">itpg_vr</f>
        <v>37.586352</v>
      </c>
    </row>
    <row r="878" customFormat="false" ht="17.15" hidden="false" customHeight="false" outlineLevel="0" collapsed="false">
      <c r="A878" s="3" t="s">
        <v>527</v>
      </c>
      <c r="B878" s="0" t="s">
        <v>468</v>
      </c>
      <c r="D878" s="20" t="n">
        <f aca="false">D876/D877</f>
        <v>23.3995380420639</v>
      </c>
      <c r="E878" s="20" t="n">
        <f aca="false">E876/E877</f>
        <v>41.6467658260637</v>
      </c>
      <c r="F878" s="20" t="n">
        <f aca="false">F876/F877</f>
        <v>52.792138191248</v>
      </c>
      <c r="G878" s="20" t="n">
        <f aca="false">G876/G877</f>
        <v>60.1385917361116</v>
      </c>
    </row>
    <row r="879" customFormat="false" ht="17.15" hidden="false" customHeight="false" outlineLevel="0" collapsed="false">
      <c r="A879" s="3" t="s">
        <v>470</v>
      </c>
      <c r="B879" s="0" t="s">
        <v>95</v>
      </c>
      <c r="D879" s="21" t="n">
        <f aca="false">cmp_26</f>
        <v>280</v>
      </c>
      <c r="E879" s="21" t="n">
        <f aca="false">cmp_26*cmpx_27</f>
        <v>420</v>
      </c>
      <c r="F879" s="21" t="n">
        <f aca="false">cmp_26*cmpx_28</f>
        <v>462</v>
      </c>
      <c r="G879" s="21" t="n">
        <f aca="false">cmp_26*cmpx_29</f>
        <v>504</v>
      </c>
    </row>
    <row r="880" customFormat="false" ht="17.15" hidden="false" customHeight="false" outlineLevel="0" collapsed="false">
      <c r="A880" s="3" t="s">
        <v>472</v>
      </c>
      <c r="B880" s="0" t="s">
        <v>95</v>
      </c>
      <c r="D880" s="21" t="n">
        <f aca="false">sw_26</f>
        <v>120</v>
      </c>
      <c r="E880" s="21" t="n">
        <f aca="false">sw_26*swx_27</f>
        <v>162</v>
      </c>
      <c r="F880" s="21" t="n">
        <f aca="false">sw_26*swx_28</f>
        <v>180</v>
      </c>
      <c r="G880" s="21" t="n">
        <f aca="false">sw_26*swx_29</f>
        <v>198</v>
      </c>
    </row>
    <row r="881" customFormat="false" ht="17.15" hidden="false" customHeight="false" outlineLevel="0" collapsed="false">
      <c r="A881" s="3" t="s">
        <v>473</v>
      </c>
      <c r="B881" s="0" t="s">
        <v>95</v>
      </c>
      <c r="D881" s="21" t="n">
        <f aca="false">mid_26</f>
        <v>50</v>
      </c>
      <c r="E881" s="21" t="n">
        <f aca="false">mid_26*midx_27</f>
        <v>100</v>
      </c>
      <c r="F881" s="21" t="n">
        <f aca="false">mid_26*midx_28</f>
        <v>150</v>
      </c>
      <c r="G881" s="21" t="n">
        <f aca="false">mid_26*midx_29</f>
        <v>175</v>
      </c>
    </row>
    <row r="882" customFormat="false" ht="17.15" hidden="false" customHeight="false" outlineLevel="0" collapsed="false">
      <c r="A882" s="3" t="s">
        <v>528</v>
      </c>
      <c r="B882" s="0" t="s">
        <v>95</v>
      </c>
      <c r="D882" s="21" t="n">
        <f aca="false">D879+D880+D881</f>
        <v>450</v>
      </c>
      <c r="E882" s="21" t="n">
        <f aca="false">E879+E880+E881</f>
        <v>682</v>
      </c>
      <c r="F882" s="21" t="n">
        <f aca="false">F879+F880+F881</f>
        <v>792</v>
      </c>
      <c r="G882" s="21" t="n">
        <f aca="false">G879+G880+G881</f>
        <v>877</v>
      </c>
    </row>
    <row r="883" customFormat="false" ht="17.15" hidden="false" customHeight="false" outlineLevel="0" collapsed="false">
      <c r="A883" s="0" t="s">
        <v>529</v>
      </c>
      <c r="B883" s="0" t="s">
        <v>34</v>
      </c>
      <c r="D883" s="23" t="n">
        <f aca="false">D878*D882/1000</f>
        <v>10.5297921189287</v>
      </c>
      <c r="E883" s="23" t="n">
        <f aca="false">E878*E882/1000</f>
        <v>28.4030942933754</v>
      </c>
      <c r="F883" s="23" t="n">
        <f aca="false">F878*F882/1000</f>
        <v>41.8113734474684</v>
      </c>
      <c r="G883" s="23" t="n">
        <f aca="false">G878*G882/1000</f>
        <v>52.7415449525698</v>
      </c>
    </row>
    <row r="884" customFormat="false" ht="17.15" hidden="false" customHeight="false" outlineLevel="0" collapsed="false">
      <c r="A884" s="0" t="s">
        <v>530</v>
      </c>
      <c r="B884" s="0" t="s">
        <v>194</v>
      </c>
      <c r="D884" s="22" t="n">
        <f aca="false">D883*fx</f>
        <v>70.7602030392012</v>
      </c>
      <c r="E884" s="22" t="n">
        <f aca="false">E883*fx</f>
        <v>190.868793651483</v>
      </c>
      <c r="F884" s="22" t="n">
        <f aca="false">F883*fx</f>
        <v>280.972429566988</v>
      </c>
      <c r="G884" s="22" t="n">
        <f aca="false">G883*fx</f>
        <v>354.423182081269</v>
      </c>
    </row>
    <row r="885" customFormat="false" ht="17.15" hidden="false" customHeight="false" outlineLevel="0" collapsed="false">
      <c r="A885" s="0" t="s">
        <v>531</v>
      </c>
      <c r="B885" s="0" t="s">
        <v>67</v>
      </c>
      <c r="D885" s="17" t="n">
        <f aca="false">1</f>
        <v>1</v>
      </c>
      <c r="E885" s="17" t="n">
        <f aca="false">pp_27</f>
        <v>1</v>
      </c>
      <c r="F885" s="17" t="n">
        <f aca="false">pp_28</f>
        <v>0.97</v>
      </c>
      <c r="G885" s="17" t="n">
        <f aca="false">pp_29</f>
        <v>0.94</v>
      </c>
    </row>
    <row r="886" customFormat="false" ht="17.15" hidden="false" customHeight="false" outlineLevel="0" collapsed="false">
      <c r="A886" s="3" t="s">
        <v>532</v>
      </c>
      <c r="B886" s="0" t="s">
        <v>54</v>
      </c>
      <c r="D886" s="13" t="n">
        <f aca="false">a26_ai/D884</f>
        <v>0.247531793970355</v>
      </c>
      <c r="K886" s="7" t="s">
        <v>533</v>
      </c>
    </row>
    <row r="887" customFormat="false" ht="17.15" hidden="false" customHeight="false" outlineLevel="0" collapsed="false">
      <c r="A887" s="3" t="s">
        <v>534</v>
      </c>
      <c r="B887" s="0" t="s">
        <v>67</v>
      </c>
      <c r="D887" s="17" t="n">
        <f aca="false">1</f>
        <v>1</v>
      </c>
      <c r="E887" s="17" t="n">
        <f aca="false">rel_27</f>
        <v>0.9</v>
      </c>
      <c r="F887" s="17" t="n">
        <f aca="false">rel_28</f>
        <v>0.8</v>
      </c>
      <c r="G887" s="17" t="n">
        <f aca="false">rel_29</f>
        <v>0.75</v>
      </c>
    </row>
    <row r="888" customFormat="false" ht="15" hidden="false" customHeight="false" outlineLevel="0" collapsed="false">
      <c r="A888" s="3" t="s">
        <v>485</v>
      </c>
      <c r="B888" s="0" t="s">
        <v>54</v>
      </c>
      <c r="D888" s="13" t="n">
        <f aca="false">$D$886*D887</f>
        <v>0.247531793970355</v>
      </c>
      <c r="E888" s="13" t="n">
        <f aca="false">$D$886*E887</f>
        <v>0.222778614573319</v>
      </c>
      <c r="F888" s="13" t="n">
        <f aca="false">$D$886*F887</f>
        <v>0.198025435176284</v>
      </c>
      <c r="G888" s="13" t="n">
        <f aca="false">$D$886*G887</f>
        <v>0.185648845477766</v>
      </c>
    </row>
    <row r="889" customFormat="false" ht="17.15" hidden="false" customHeight="false" outlineLevel="0" collapsed="false">
      <c r="A889" s="0" t="s">
        <v>535</v>
      </c>
      <c r="B889" s="0" t="s">
        <v>194</v>
      </c>
      <c r="D889" s="22" t="n">
        <f aca="false">D884*D888*D885</f>
        <v>17.5154</v>
      </c>
      <c r="E889" s="22" t="n">
        <f aca="false">E884*E888*E885</f>
        <v>42.5214854149581</v>
      </c>
      <c r="F889" s="22" t="n">
        <f aca="false">F884*F888*F885</f>
        <v>53.9704970084142</v>
      </c>
      <c r="G889" s="22" t="n">
        <f aca="false">G884*G888*G885</f>
        <v>61.850359290107</v>
      </c>
    </row>
    <row r="890" customFormat="false" ht="17.15" hidden="false" customHeight="false" outlineLevel="0" collapsed="false">
      <c r="A890" s="5" t="s">
        <v>536</v>
      </c>
    </row>
    <row r="891" customFormat="false" ht="17.15" hidden="false" customHeight="false" outlineLevel="0" collapsed="false">
      <c r="A891" s="3" t="s">
        <v>537</v>
      </c>
      <c r="B891" s="0" t="s">
        <v>67</v>
      </c>
      <c r="D891" s="17" t="n">
        <f aca="false">1</f>
        <v>1</v>
      </c>
      <c r="E891" s="17" t="n">
        <f aca="false">cx_27</f>
        <v>1.7</v>
      </c>
      <c r="F891" s="17" t="n">
        <f aca="false">cx_28</f>
        <v>2.4</v>
      </c>
      <c r="G891" s="17" t="n">
        <f aca="false">cx_29</f>
        <v>3</v>
      </c>
      <c r="K891" s="7" t="s">
        <v>538</v>
      </c>
    </row>
    <row r="892" customFormat="false" ht="17.15" hidden="false" customHeight="false" outlineLevel="0" collapsed="false">
      <c r="A892" s="3" t="s">
        <v>539</v>
      </c>
      <c r="B892" s="0" t="s">
        <v>194</v>
      </c>
      <c r="D892" s="22" t="n">
        <f aca="false">a26_rev*D891*D885</f>
        <v>28.126</v>
      </c>
      <c r="E892" s="22" t="n">
        <f aca="false">a26_rev*E891*E885</f>
        <v>47.8142</v>
      </c>
      <c r="F892" s="22" t="n">
        <f aca="false">a26_rev*F891*F885</f>
        <v>65.477328</v>
      </c>
      <c r="G892" s="22" t="n">
        <f aca="false">a26_rev*G891*G885</f>
        <v>79.31532</v>
      </c>
    </row>
    <row r="893" customFormat="false" ht="17.15" hidden="false" customHeight="false" outlineLevel="0" collapsed="false">
      <c r="A893" s="3" t="s">
        <v>540</v>
      </c>
      <c r="B893" s="0" t="s">
        <v>194</v>
      </c>
      <c r="C893" s="22" t="n">
        <f aca="false">a25_nai</f>
        <v>10.6106</v>
      </c>
      <c r="D893" s="22" t="n">
        <f aca="false">a26_nai</f>
        <v>10.6106</v>
      </c>
      <c r="E893" s="22" t="n">
        <f aca="false">D893*(1+g_nai27)</f>
        <v>10.6106</v>
      </c>
      <c r="F893" s="22" t="n">
        <f aca="false">E893*(1+g_nai28)</f>
        <v>10.6106</v>
      </c>
      <c r="G893" s="22" t="n">
        <f aca="false">F893*(1+g_nai29)</f>
        <v>10.6106</v>
      </c>
    </row>
    <row r="894" customFormat="false" ht="17.15" hidden="false" customHeight="false" outlineLevel="0" collapsed="false">
      <c r="A894" s="0" t="s">
        <v>541</v>
      </c>
      <c r="B894" s="0" t="s">
        <v>194</v>
      </c>
      <c r="C894" s="22" t="n">
        <f aca="false">a25_ai</f>
        <v>8.6814</v>
      </c>
      <c r="D894" s="22" t="n">
        <f aca="false">D889</f>
        <v>17.5154</v>
      </c>
      <c r="E894" s="22" t="n">
        <f aca="false">MIN(E889,E892-E893)</f>
        <v>37.2036</v>
      </c>
      <c r="F894" s="22" t="n">
        <f aca="false">MIN(F889,F892-F893)</f>
        <v>53.9704970084142</v>
      </c>
      <c r="G894" s="22" t="n">
        <f aca="false">MIN(G889,G892-G893)</f>
        <v>61.850359290107</v>
      </c>
      <c r="K894" s="3" t="s">
        <v>542</v>
      </c>
    </row>
    <row r="895" customFormat="false" ht="15" hidden="false" customHeight="false" outlineLevel="0" collapsed="false">
      <c r="A895" s="3" t="s">
        <v>543</v>
      </c>
      <c r="E895" s="0" t="str">
        <f aca="false">IF(E889&gt;E892-E893+0.0001,"受限","未受限")</f>
        <v>受限</v>
      </c>
      <c r="F895" s="0" t="str">
        <f aca="false">IF(F889&gt;F892-F893+0.0001,"受限","未受限")</f>
        <v>未受限</v>
      </c>
      <c r="G895" s="0" t="str">
        <f aca="false">IF(G889&gt;G892-G893+0.0001,"受限","未受限")</f>
        <v>未受限</v>
      </c>
    </row>
    <row r="896" customFormat="false" ht="17.15" hidden="false" customHeight="false" outlineLevel="0" collapsed="false">
      <c r="A896" s="3" t="s">
        <v>414</v>
      </c>
      <c r="B896" s="0" t="s">
        <v>194</v>
      </c>
      <c r="C896" s="22" t="n">
        <f aca="false">C894+C893</f>
        <v>19.292</v>
      </c>
      <c r="D896" s="22" t="n">
        <f aca="false">D894+D893</f>
        <v>28.126</v>
      </c>
      <c r="E896" s="22" t="n">
        <f aca="false">E894+E893</f>
        <v>47.8142</v>
      </c>
      <c r="F896" s="22" t="n">
        <f aca="false">F894+F893</f>
        <v>64.5810970084142</v>
      </c>
      <c r="G896" s="22" t="n">
        <f aca="false">G894+G893</f>
        <v>72.460959290107</v>
      </c>
      <c r="H896" s="24" t="n">
        <f aca="false">G896*(1+H897)</f>
        <v>79.8043942392926</v>
      </c>
      <c r="I896" s="24" t="n">
        <f aca="false">H896*(1+I897)</f>
        <v>86.2423476187719</v>
      </c>
      <c r="J896" s="24" t="n">
        <f aca="false">I896*(1+J897)</f>
        <v>91.4168884758983</v>
      </c>
      <c r="K896" s="7" t="s">
        <v>544</v>
      </c>
    </row>
    <row r="897" customFormat="false" ht="15" hidden="false" customHeight="false" outlineLevel="0" collapsed="false">
      <c r="A897" s="3" t="s">
        <v>545</v>
      </c>
      <c r="B897" s="0" t="s">
        <v>54</v>
      </c>
      <c r="D897" s="13" t="n">
        <f aca="false">D896/C896-1</f>
        <v>0.457910014513788</v>
      </c>
      <c r="E897" s="13" t="n">
        <f aca="false">E896/D896-1</f>
        <v>0.7</v>
      </c>
      <c r="F897" s="13" t="n">
        <f aca="false">F896/E896-1</f>
        <v>0.350667730682815</v>
      </c>
      <c r="G897" s="13" t="n">
        <f aca="false">G896/F896-1</f>
        <v>0.122014995822479</v>
      </c>
      <c r="H897" s="25" t="n">
        <f aca="false">$G897+(fade_gA-$G897)*1/3</f>
        <v>0.101343330548319</v>
      </c>
      <c r="I897" s="25" t="n">
        <f aca="false">$G897+(fade_gA-$G897)*2/3</f>
        <v>0.0806716652741597</v>
      </c>
      <c r="J897" s="25" t="n">
        <f aca="false">$G897+(fade_gA-$G897)*3/3</f>
        <v>0.06</v>
      </c>
    </row>
    <row r="898" customFormat="false" ht="17.15" hidden="false" customHeight="false" outlineLevel="0" collapsed="false">
      <c r="A898" s="0" t="s">
        <v>546</v>
      </c>
      <c r="B898" s="0" t="s">
        <v>54</v>
      </c>
      <c r="C898" s="13" t="n">
        <f aca="false">C894/C896</f>
        <v>0.45</v>
      </c>
      <c r="D898" s="13" t="n">
        <f aca="false">D894/D896</f>
        <v>0.622747635639622</v>
      </c>
      <c r="E898" s="13" t="n">
        <f aca="false">E894/E896</f>
        <v>0.778086844493895</v>
      </c>
      <c r="F898" s="13" t="n">
        <f aca="false">F894/F896</f>
        <v>0.835701149538888</v>
      </c>
      <c r="G898" s="13" t="n">
        <f aca="false">G894/G896</f>
        <v>0.853568044034318</v>
      </c>
    </row>
    <row r="899" customFormat="false" ht="17.15" hidden="false" customHeight="false" outlineLevel="0" collapsed="false">
      <c r="A899" s="3" t="s">
        <v>547</v>
      </c>
      <c r="B899" s="0" t="s">
        <v>54</v>
      </c>
      <c r="D899" s="13" t="n">
        <f aca="false">(D889+D893)/D892</f>
        <v>1</v>
      </c>
      <c r="E899" s="13" t="n">
        <f aca="false">(E889+E893)/E892</f>
        <v>1.11121979275943</v>
      </c>
      <c r="F899" s="13" t="n">
        <f aca="false">(F889+F893)/F892</f>
        <v>0.986312346288997</v>
      </c>
      <c r="G899" s="13" t="n">
        <f aca="false">(G889+G893)/G892</f>
        <v>0.913580873028149</v>
      </c>
      <c r="K899" s="3" t="s">
        <v>548</v>
      </c>
    </row>
    <row r="900" customFormat="false" ht="17.15" hidden="false" customHeight="false" outlineLevel="0" collapsed="false">
      <c r="A900" s="3" t="s">
        <v>489</v>
      </c>
      <c r="B900" s="0" t="s">
        <v>95</v>
      </c>
      <c r="D900" s="21" t="n">
        <f aca="false">D894/fx/D878*1000</f>
        <v>111.38930728666</v>
      </c>
      <c r="E900" s="21" t="n">
        <f aca="false">E894/fx/E878*1000</f>
        <v>132.933491717507</v>
      </c>
      <c r="F900" s="21" t="n">
        <f aca="false">F894/fx/F878*1000</f>
        <v>152.131060319828</v>
      </c>
      <c r="G900" s="21" t="n">
        <f aca="false">G894/fx/G878*1000</f>
        <v>153.045195234961</v>
      </c>
    </row>
    <row r="901" customFormat="false" ht="17.15" hidden="false" customHeight="false" outlineLevel="0" collapsed="false">
      <c r="A901" s="5" t="s">
        <v>549</v>
      </c>
    </row>
    <row r="902" customFormat="false" ht="17.15" hidden="false" customHeight="false" outlineLevel="0" collapsed="false">
      <c r="A902" s="3" t="s">
        <v>550</v>
      </c>
      <c r="B902" s="0" t="s">
        <v>54</v>
      </c>
      <c r="D902" s="13" t="n">
        <f aca="false">a26_gp/D896-d_ai*D898</f>
        <v>0.237492000284434</v>
      </c>
      <c r="K902" s="7" t="s">
        <v>551</v>
      </c>
    </row>
    <row r="903" customFormat="false" ht="17.15" hidden="false" customHeight="false" outlineLevel="0" collapsed="false">
      <c r="A903" s="0" t="s">
        <v>552</v>
      </c>
      <c r="B903" s="0" t="s">
        <v>54</v>
      </c>
      <c r="D903" s="13" t="n">
        <f aca="false">D902+d_ai</f>
        <v>0.387492000284434</v>
      </c>
      <c r="E903" s="13" t="n">
        <f aca="false">1-(1-$D$903)/E885+gmu_27</f>
        <v>0.397492000284434</v>
      </c>
      <c r="F903" s="13" t="n">
        <f aca="false">1-(1-$D$903)/F885+gmu_28</f>
        <v>0.388548453901479</v>
      </c>
      <c r="G903" s="13" t="n">
        <f aca="false">1-(1-$D$903)/G885+gmu_29</f>
        <v>0.378395744983441</v>
      </c>
      <c r="K903" s="7" t="s">
        <v>553</v>
      </c>
    </row>
    <row r="904" customFormat="false" ht="15" hidden="false" customHeight="false" outlineLevel="0" collapsed="false">
      <c r="A904" s="3" t="s">
        <v>418</v>
      </c>
      <c r="B904" s="0" t="s">
        <v>194</v>
      </c>
      <c r="C904" s="22" t="n">
        <f aca="false">a25_gp</f>
        <v>6.7946424</v>
      </c>
      <c r="D904" s="22" t="n">
        <f aca="false">a26_gp</f>
        <v>9.30701</v>
      </c>
      <c r="E904" s="22" t="n">
        <f aca="false">E894*E903+E893*$D$902</f>
        <v>17.308066</v>
      </c>
      <c r="F904" s="22" t="n">
        <f aca="false">F894*F903+F893*$D$902</f>
        <v>23.4900857871317</v>
      </c>
      <c r="G904" s="22" t="n">
        <f aca="false">G894*G903+G893*$D$902</f>
        <v>25.9238453992915</v>
      </c>
    </row>
    <row r="905" customFormat="false" ht="15" hidden="false" customHeight="false" outlineLevel="0" collapsed="false">
      <c r="A905" s="3" t="s">
        <v>421</v>
      </c>
      <c r="B905" s="0" t="s">
        <v>54</v>
      </c>
      <c r="C905" s="13" t="n">
        <f aca="false">C904/C896</f>
        <v>0.3522</v>
      </c>
      <c r="D905" s="13" t="n">
        <f aca="false">D904/D896</f>
        <v>0.330904145630378</v>
      </c>
      <c r="E905" s="13" t="n">
        <f aca="false">E904/E896</f>
        <v>0.361985895403458</v>
      </c>
      <c r="F905" s="13" t="n">
        <f aca="false">F904/F896</f>
        <v>0.363730052217466</v>
      </c>
      <c r="G905" s="13" t="n">
        <f aca="false">G904/G896</f>
        <v>0.357762934044276</v>
      </c>
    </row>
    <row r="906" customFormat="false" ht="17.15" hidden="false" customHeight="false" outlineLevel="0" collapsed="false">
      <c r="A906" s="3" t="s">
        <v>554</v>
      </c>
      <c r="B906" s="0" t="s">
        <v>194</v>
      </c>
      <c r="C906" s="22" t="n">
        <f aca="false">a25_opx</f>
        <v>1.6466424</v>
      </c>
      <c r="D906" s="22" t="n">
        <f aca="false">a26_opx</f>
        <v>1.827905</v>
      </c>
      <c r="E906" s="22" t="n">
        <f aca="false">D906*(1+MAX(0,phi_hi*E897))</f>
        <v>3.1074385</v>
      </c>
      <c r="F906" s="22" t="n">
        <f aca="false">E906*(1+MAX(0,phi_hi*F897))</f>
        <v>4.19711690703141</v>
      </c>
      <c r="G906" s="22" t="n">
        <f aca="false">F906*(1+MAX(0,phi_hi*G897))</f>
        <v>4.7092281089093</v>
      </c>
      <c r="K906" s="7" t="s">
        <v>555</v>
      </c>
    </row>
    <row r="907" customFormat="false" ht="15" hidden="false" customHeight="false" outlineLevel="0" collapsed="false">
      <c r="A907" s="3" t="s">
        <v>423</v>
      </c>
      <c r="B907" s="0" t="s">
        <v>194</v>
      </c>
      <c r="C907" s="22" t="n">
        <f aca="false">C906</f>
        <v>1.6466424</v>
      </c>
      <c r="D907" s="22" t="n">
        <f aca="false">D906</f>
        <v>1.827905</v>
      </c>
      <c r="E907" s="22" t="n">
        <f aca="false">E906+0*E896</f>
        <v>3.1074385</v>
      </c>
      <c r="F907" s="22" t="n">
        <f aca="false">F906+0*F896</f>
        <v>4.19711690703141</v>
      </c>
      <c r="G907" s="22" t="n">
        <f aca="false">G906+0*G896</f>
        <v>4.7092281089093</v>
      </c>
    </row>
    <row r="908" customFormat="false" ht="15" hidden="false" customHeight="false" outlineLevel="0" collapsed="false">
      <c r="A908" s="3" t="s">
        <v>556</v>
      </c>
      <c r="B908" s="0" t="s">
        <v>194</v>
      </c>
      <c r="C908" s="22" t="n">
        <f aca="false">C904-C907</f>
        <v>5.148</v>
      </c>
      <c r="D908" s="22" t="n">
        <f aca="false">D904-D907</f>
        <v>7.479105</v>
      </c>
      <c r="E908" s="22" t="n">
        <f aca="false">E904-E907</f>
        <v>14.2006275</v>
      </c>
      <c r="F908" s="22" t="n">
        <f aca="false">F904-F907</f>
        <v>19.2929688801003</v>
      </c>
      <c r="G908" s="22" t="n">
        <f aca="false">G904-G907</f>
        <v>21.2146172903822</v>
      </c>
    </row>
    <row r="909" customFormat="false" ht="15" hidden="false" customHeight="false" outlineLevel="0" collapsed="false">
      <c r="A909" s="3" t="s">
        <v>429</v>
      </c>
      <c r="B909" s="0" t="s">
        <v>54</v>
      </c>
      <c r="C909" s="13" t="n">
        <f aca="false">C908/C896</f>
        <v>0.266846361185984</v>
      </c>
      <c r="D909" s="13" t="n">
        <f aca="false">D908/D896</f>
        <v>0.265914278603427</v>
      </c>
      <c r="E909" s="13" t="n">
        <f aca="false">E908/E896</f>
        <v>0.296996028376507</v>
      </c>
      <c r="F909" s="13" t="n">
        <f aca="false">F908/F896</f>
        <v>0.298740185190516</v>
      </c>
      <c r="G909" s="13" t="n">
        <f aca="false">G908/G896</f>
        <v>0.292773067017326</v>
      </c>
    </row>
    <row r="910" customFormat="false" ht="17.15" hidden="false" customHeight="false" outlineLevel="0" collapsed="false">
      <c r="A910" s="3" t="s">
        <v>430</v>
      </c>
      <c r="B910" s="0" t="s">
        <v>194</v>
      </c>
      <c r="E910" s="22" t="n">
        <f aca="false">nop_f</f>
        <v>-0.2</v>
      </c>
      <c r="F910" s="22" t="n">
        <f aca="false">nop_f</f>
        <v>-0.2</v>
      </c>
      <c r="G910" s="22" t="n">
        <f aca="false">nop_f</f>
        <v>-0.2</v>
      </c>
      <c r="K910" s="7" t="s">
        <v>557</v>
      </c>
    </row>
    <row r="911" customFormat="false" ht="15" hidden="false" customHeight="false" outlineLevel="0" collapsed="false">
      <c r="A911" s="3" t="s">
        <v>436</v>
      </c>
      <c r="B911" s="0" t="s">
        <v>194</v>
      </c>
      <c r="C911" s="22" t="n">
        <f aca="false">a25_ni</f>
        <v>4.312</v>
      </c>
      <c r="D911" s="22" t="n">
        <f aca="false">a26_ni</f>
        <v>6.5441924845173</v>
      </c>
      <c r="E911" s="22" t="n">
        <f aca="false">(E908+E910)*nir_f</f>
        <v>12.1385440425</v>
      </c>
      <c r="F911" s="22" t="n">
        <f aca="false">(F908+F910)*nir_f</f>
        <v>16.553604019047</v>
      </c>
      <c r="G911" s="22" t="n">
        <f aca="false">(G908+G910)*nir_f</f>
        <v>18.2196731907614</v>
      </c>
      <c r="H911" s="24" t="n">
        <f aca="false">H896*H916</f>
        <v>20.4918189644862</v>
      </c>
      <c r="I911" s="24" t="n">
        <f aca="false">I896*I916</f>
        <v>22.604973739003</v>
      </c>
      <c r="J911" s="24" t="n">
        <f aca="false">J896*J916</f>
        <v>24.4489205143476</v>
      </c>
    </row>
    <row r="912" customFormat="false" ht="17.15" hidden="false" customHeight="false" outlineLevel="0" collapsed="false">
      <c r="A912" s="3" t="s">
        <v>439</v>
      </c>
      <c r="B912" s="0" t="s">
        <v>54</v>
      </c>
      <c r="C912" s="13" t="n">
        <f aca="false">C911/C908</f>
        <v>0.837606837606838</v>
      </c>
      <c r="D912" s="13" t="n">
        <f aca="false">D911/D908</f>
        <v>0.874996738850077</v>
      </c>
      <c r="E912" s="13" t="n">
        <f aca="false">E911/E908</f>
        <v>0.854789271988157</v>
      </c>
      <c r="F912" s="13" t="n">
        <f aca="false">F911/F908</f>
        <v>0.858012269750829</v>
      </c>
      <c r="G912" s="13" t="n">
        <f aca="false">G911/G908</f>
        <v>0.858826390378552</v>
      </c>
    </row>
    <row r="913" customFormat="false" ht="17.15" hidden="false" customHeight="false" outlineLevel="0" collapsed="false">
      <c r="A913" s="3" t="s">
        <v>558</v>
      </c>
      <c r="B913" s="3" t="s">
        <v>222</v>
      </c>
      <c r="C913" s="27" t="n">
        <f aca="false">a25_sh</f>
        <v>0.860678642714571</v>
      </c>
      <c r="D913" s="27" t="n">
        <f aca="false">a26_sh</f>
        <v>0.946074458598726</v>
      </c>
      <c r="E913" s="27" t="n">
        <f aca="false">sh_h2*(1+sh_g)</f>
        <v>0.98234</v>
      </c>
      <c r="F913" s="27" t="n">
        <f aca="false">E913*(1+sh_g)</f>
        <v>0.98234</v>
      </c>
      <c r="G913" s="27" t="n">
        <f aca="false">F913*(1+sh_g)</f>
        <v>0.98234</v>
      </c>
      <c r="H913" s="28" t="n">
        <f aca="false">G913*(1+sh_g)</f>
        <v>0.98234</v>
      </c>
      <c r="I913" s="28" t="n">
        <f aca="false">H913*(1+sh_g)</f>
        <v>0.98234</v>
      </c>
      <c r="J913" s="28" t="n">
        <f aca="false">I913*(1+sh_g)</f>
        <v>0.98234</v>
      </c>
      <c r="K913" s="7" t="s">
        <v>559</v>
      </c>
    </row>
    <row r="914" customFormat="false" ht="15" hidden="false" customHeight="false" outlineLevel="0" collapsed="false">
      <c r="A914" s="0" t="s">
        <v>442</v>
      </c>
      <c r="B914" s="0" t="s">
        <v>258</v>
      </c>
      <c r="C914" s="23" t="n">
        <f aca="false">C911/C913</f>
        <v>5.01</v>
      </c>
      <c r="D914" s="23" t="n">
        <f aca="false">D911/D913</f>
        <v>6.91720659514496</v>
      </c>
      <c r="E914" s="23" t="n">
        <f aca="false">E911/E913</f>
        <v>12.3567645036342</v>
      </c>
      <c r="F914" s="23" t="n">
        <f aca="false">F911/F913</f>
        <v>16.8511961429312</v>
      </c>
      <c r="G914" s="23" t="n">
        <f aca="false">G911/G913</f>
        <v>18.5472170437541</v>
      </c>
      <c r="H914" s="29" t="n">
        <f aca="false">H911/H913</f>
        <v>20.8602102779956</v>
      </c>
      <c r="I914" s="29" t="n">
        <f aca="false">I911/I913</f>
        <v>23.0113542551489</v>
      </c>
      <c r="J914" s="29" t="n">
        <f aca="false">J911/J913</f>
        <v>24.8884505510796</v>
      </c>
    </row>
    <row r="915" customFormat="false" ht="17.15" hidden="false" customHeight="false" outlineLevel="0" collapsed="false">
      <c r="A915" s="0" t="s">
        <v>560</v>
      </c>
      <c r="B915" s="0" t="s">
        <v>54</v>
      </c>
      <c r="D915" s="13" t="n">
        <f aca="false">D914/C914-1</f>
        <v>0.38067995911077</v>
      </c>
      <c r="E915" s="13" t="n">
        <f aca="false">E914/D914-1</f>
        <v>0.786380720839989</v>
      </c>
      <c r="F915" s="13" t="n">
        <f aca="false">F914/E914-1</f>
        <v>0.363722367451054</v>
      </c>
      <c r="G915" s="13" t="n">
        <f aca="false">G914/F914-1</f>
        <v>0.100646914701921</v>
      </c>
      <c r="H915" s="25" t="n">
        <f aca="false">H914/G914-1</f>
        <v>0.124708371546253</v>
      </c>
      <c r="I915" s="25" t="n">
        <f aca="false">I914/H914-1</f>
        <v>0.103121874060036</v>
      </c>
      <c r="J915" s="25" t="n">
        <f aca="false">J914/I914-1</f>
        <v>0.0815726130290964</v>
      </c>
    </row>
    <row r="916" customFormat="false" ht="17.15" hidden="false" customHeight="false" outlineLevel="0" collapsed="false">
      <c r="A916" s="3" t="s">
        <v>561</v>
      </c>
      <c r="B916" s="0" t="s">
        <v>54</v>
      </c>
      <c r="C916" s="13" t="n">
        <f aca="false">C911/C896</f>
        <v>0.223512336719884</v>
      </c>
      <c r="D916" s="13" t="n">
        <f aca="false">D911/D896</f>
        <v>0.23267412659167</v>
      </c>
      <c r="E916" s="13" t="n">
        <f aca="false">E911/E896</f>
        <v>0.253869018879329</v>
      </c>
      <c r="F916" s="13" t="n">
        <f aca="false">F911/F896</f>
        <v>0.256322744361097</v>
      </c>
      <c r="G916" s="13" t="n">
        <f aca="false">G911/G896</f>
        <v>0.251441236346548</v>
      </c>
      <c r="H916" s="25" t="n">
        <f aca="false">$G916+(fade_mA-$G916)*1/3</f>
        <v>0.256775571819287</v>
      </c>
      <c r="I916" s="25" t="n">
        <f aca="false">$G916+(fade_mA-$G916)*2/3</f>
        <v>0.262109907292026</v>
      </c>
      <c r="J916" s="25" t="n">
        <f aca="false">$G916+(fade_mA-$G916)*3/3</f>
        <v>0.267444242764765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906</v>
      </c>
    </row>
    <row r="2" customFormat="false" ht="17.15" hidden="false" customHeight="false" outlineLevel="0" collapsed="false">
      <c r="A2" s="3" t="s">
        <v>907</v>
      </c>
      <c r="B2" s="0" t="s">
        <v>908</v>
      </c>
    </row>
    <row r="3" customFormat="false" ht="17.15" hidden="false" customHeight="false" outlineLevel="0" collapsed="false">
      <c r="A3" s="3" t="s">
        <v>909</v>
      </c>
      <c r="B3" s="0" t="s">
        <v>910</v>
      </c>
    </row>
    <row r="4" customFormat="false" ht="17.15" hidden="false" customHeight="false" outlineLevel="0" collapsed="false">
      <c r="A4" s="3" t="s">
        <v>911</v>
      </c>
      <c r="B4" s="0" t="s">
        <v>912</v>
      </c>
    </row>
    <row r="5" customFormat="false" ht="17.15" hidden="false" customHeight="false" outlineLevel="0" collapsed="false">
      <c r="A5" s="3" t="s">
        <v>913</v>
      </c>
      <c r="B5" s="0" t="s">
        <v>914</v>
      </c>
    </row>
    <row r="6" customFormat="false" ht="17.15" hidden="false" customHeight="false" outlineLevel="0" collapsed="false">
      <c r="A6" s="3" t="s">
        <v>915</v>
      </c>
      <c r="B6" s="0" t="s">
        <v>916</v>
      </c>
    </row>
    <row r="7" customFormat="false" ht="17.15" hidden="false" customHeight="false" outlineLevel="0" collapsed="false">
      <c r="A7" s="3" t="s">
        <v>917</v>
      </c>
      <c r="B7" s="0" t="s">
        <v>918</v>
      </c>
    </row>
    <row r="8" customFormat="false" ht="17.15" hidden="false" customHeight="false" outlineLevel="0" collapsed="false">
      <c r="A8" s="3" t="s">
        <v>919</v>
      </c>
      <c r="B8" s="0" t="s">
        <v>920</v>
      </c>
    </row>
    <row r="9" customFormat="false" ht="17.15" hidden="false" customHeight="false" outlineLevel="0" collapsed="false">
      <c r="A9" s="3" t="s">
        <v>921</v>
      </c>
      <c r="B9" s="0" t="s">
        <v>922</v>
      </c>
    </row>
    <row r="10" customFormat="false" ht="17.15" hidden="false" customHeight="false" outlineLevel="0" collapsed="false">
      <c r="A10" s="3" t="s">
        <v>923</v>
      </c>
      <c r="B10" s="0" t="s">
        <v>924</v>
      </c>
    </row>
    <row r="11" customFormat="false" ht="17.15" hidden="false" customHeight="false" outlineLevel="0" collapsed="false">
      <c r="A11" s="3" t="s">
        <v>925</v>
      </c>
      <c r="B11" s="0" t="s">
        <v>273</v>
      </c>
    </row>
    <row r="12" customFormat="false" ht="17.15" hidden="false" customHeight="false" outlineLevel="0" collapsed="false">
      <c r="A12" s="3" t="s">
        <v>926</v>
      </c>
      <c r="B12" s="0" t="s">
        <v>927</v>
      </c>
    </row>
    <row r="13" customFormat="false" ht="17.15" hidden="false" customHeight="false" outlineLevel="0" collapsed="false">
      <c r="A13" s="3" t="s">
        <v>928</v>
      </c>
      <c r="B13" s="0" t="s">
        <v>302</v>
      </c>
    </row>
    <row r="14" customFormat="false" ht="17.15" hidden="false" customHeight="false" outlineLevel="0" collapsed="false">
      <c r="A14" s="3" t="s">
        <v>929</v>
      </c>
      <c r="B14" s="0" t="s">
        <v>259</v>
      </c>
    </row>
    <row r="15" customFormat="false" ht="17.15" hidden="false" customHeight="false" outlineLevel="0" collapsed="false">
      <c r="A15" s="3" t="s">
        <v>930</v>
      </c>
      <c r="B15" s="0" t="s">
        <v>931</v>
      </c>
    </row>
    <row r="16" customFormat="false" ht="17.15" hidden="false" customHeight="false" outlineLevel="0" collapsed="false">
      <c r="A16" s="3" t="s">
        <v>932</v>
      </c>
      <c r="B16" s="0" t="s">
        <v>933</v>
      </c>
    </row>
    <row r="17" customFormat="false" ht="17.15" hidden="false" customHeight="false" outlineLevel="0" collapsed="false">
      <c r="A17" s="3" t="s">
        <v>934</v>
      </c>
      <c r="B17" s="0" t="s">
        <v>935</v>
      </c>
    </row>
    <row r="18" customFormat="false" ht="17.15" hidden="false" customHeight="false" outlineLevel="0" collapsed="false">
      <c r="A18" s="3" t="s">
        <v>936</v>
      </c>
      <c r="B18" s="0" t="s">
        <v>329</v>
      </c>
    </row>
    <row r="19" customFormat="false" ht="17.15" hidden="false" customHeight="false" outlineLevel="0" collapsed="false">
      <c r="A19" s="3" t="s">
        <v>937</v>
      </c>
      <c r="B19" s="0" t="s">
        <v>938</v>
      </c>
    </row>
    <row r="20" customFormat="false" ht="17.15" hidden="false" customHeight="false" outlineLevel="0" collapsed="false">
      <c r="A20" s="3" t="s">
        <v>939</v>
      </c>
      <c r="B20" s="0" t="s">
        <v>940</v>
      </c>
    </row>
    <row r="21" customFormat="false" ht="17.15" hidden="false" customHeight="false" outlineLevel="0" collapsed="false">
      <c r="A21" s="3" t="s">
        <v>941</v>
      </c>
      <c r="B21" s="0" t="s">
        <v>942</v>
      </c>
    </row>
    <row r="22" customFormat="false" ht="17.15" hidden="false" customHeight="false" outlineLevel="0" collapsed="false">
      <c r="A22" s="3" t="s">
        <v>943</v>
      </c>
    </row>
    <row r="23" customFormat="false" ht="17.15" hidden="false" customHeight="false" outlineLevel="0" collapsed="false">
      <c r="A23" s="3" t="s">
        <v>944</v>
      </c>
      <c r="B23" s="3" t="s">
        <v>945</v>
      </c>
    </row>
    <row r="24" customFormat="false" ht="17.15" hidden="false" customHeight="false" outlineLevel="0" collapsed="false">
      <c r="A24" s="3" t="s">
        <v>946</v>
      </c>
      <c r="B24" s="3" t="s">
        <v>945</v>
      </c>
    </row>
    <row r="25" customFormat="false" ht="15" hidden="false" customHeight="false" outlineLevel="0" collapsed="false">
      <c r="A25" s="0" t="s">
        <v>947</v>
      </c>
      <c r="B25" s="3" t="s">
        <v>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2026-10-30T00:25:36Z</dcterms:created>
  <dc:creator>openpyxl</dc:creator>
  <dc:description/>
  <dc:language>en-US</dc:language>
  <cp:lastModifiedBy/>
  <dcterms:modified xsi:type="dcterms:W3CDTF">2026-10-30T00:25:37Z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