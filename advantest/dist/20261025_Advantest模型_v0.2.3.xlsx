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Q!$F$17</definedName>
    <definedName function="false" hidden="false" name="a25_gp" vbProcedure="false">Q!$F$12</definedName>
    <definedName function="false" hidden="false" name="a25_mem" vbProcedure="false">Q!$F$5</definedName>
    <definedName function="false" hidden="false" name="a25_ni" vbProcedure="false">Q!$F$16</definedName>
    <definedName function="false" hidden="false" name="a25_oi" vbProcedure="false">Q!$F$13</definedName>
    <definedName function="false" hidden="false" name="a25_oth" vbProcedure="false">Q!$F$6</definedName>
    <definedName function="false" hidden="false" name="a25_rev" vbProcedure="false">Q!$F$9</definedName>
    <definedName function="false" hidden="false" name="a25_soc" vbProcedure="false">Q!$F$4</definedName>
    <definedName function="false" hidden="false" name="a25_svc" vbProcedure="false">Q!$F$7</definedName>
    <definedName function="false" hidden="false" name="asp_m" vbProcedure="false">In!$E$52</definedName>
    <definedName function="false" hidden="false" name="asp_m_hi" vbProcedure="false">In!$F$52</definedName>
    <definedName function="false" hidden="false" name="asp_m_lo" vbProcedure="false">In!$D$52</definedName>
    <definedName function="false" hidden="false" name="cons_oi26" vbProcedure="false">In!$E$133</definedName>
    <definedName function="false" hidden="false" name="cons_rev26" vbProcedure="false">In!$E$132</definedName>
    <definedName function="false" hidden="false" name="cw_unit" vbProcedure="false">Units!$C$47</definedName>
    <definedName function="false" hidden="false" name="cy30g" vbProcedure="false">In!$E$43</definedName>
    <definedName function="false" hidden="false" name="cy30g_hi" vbProcedure="false">In!$F$43</definedName>
    <definedName function="false" hidden="false" name="cy30g_lo" vbProcedure="false">In!$D$43</definedName>
    <definedName function="false" hidden="false" name="drA_25" vbProcedure="false">In!$E$83</definedName>
    <definedName function="false" hidden="false" name="drA_26" vbProcedure="false">In!$E$84</definedName>
    <definedName function="false" hidden="false" name="drA_27" vbProcedure="false">In!$E$85</definedName>
    <definedName function="false" hidden="false" name="drA_28" vbProcedure="false">In!$E$86</definedName>
    <definedName function="false" hidden="false" name="drA_29" vbProcedure="false">In!$E$87</definedName>
    <definedName function="false" hidden="false" name="drB_25" vbProcedure="false">In!$E$88</definedName>
    <definedName function="false" hidden="false" name="drB_26" vbProcedure="false">In!$E$89</definedName>
    <definedName function="false" hidden="false" name="drB_27" vbProcedure="false">In!$E$90</definedName>
    <definedName function="false" hidden="false" name="drB_28" vbProcedure="false">In!$E$91</definedName>
    <definedName function="false" hidden="false" name="drB_29" vbProcedure="false">In!$E$92</definedName>
    <definedName function="false" hidden="false" name="drC_25" vbProcedure="false">In!$E$93</definedName>
    <definedName function="false" hidden="false" name="drC_26" vbProcedure="false">In!$E$94</definedName>
    <definedName function="false" hidden="false" name="drC_27" vbProcedure="false">In!$E$95</definedName>
    <definedName function="false" hidden="false" name="drC_28" vbProcedure="false">In!$E$96</definedName>
    <definedName function="false" hidden="false" name="drC_29" vbProcedure="false">In!$E$97</definedName>
    <definedName function="false" hidden="false" name="eff_par" vbProcedure="false">In!$E$51</definedName>
    <definedName function="false" hidden="false" name="eff_par_hi" vbProcedure="false">In!$F$51</definedName>
    <definedName function="false" hidden="false" name="eff_par_lo" vbProcedure="false">In!$D$51</definedName>
    <definedName function="false" hidden="false" name="fmk_mem25" vbProcedure="false">Units!$B$52</definedName>
    <definedName function="false" hidden="false" name="fmk_soc25" vbProcedure="false">Units!$B$51</definedName>
    <definedName function="false" hidden="false" name="fx" vbProcedure="false">In!$E$124</definedName>
    <definedName function="false" hidden="false" name="fx_hi" vbProcedure="false">In!$F$124</definedName>
    <definedName function="false" hidden="false" name="fx_lo" vbProcedure="false">In!$D$124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_a" vbProcedure="false">In!$E$112</definedName>
    <definedName function="false" hidden="false" name="gm_adj_C28" vbProcedure="false">In!$E$114</definedName>
    <definedName function="false" hidden="false" name="gm_adj_C28_hi" vbProcedure="false">In!$F$114</definedName>
    <definedName function="false" hidden="false" name="gm_adj_C28_lo" vbProcedure="false">In!$D$114</definedName>
    <definedName function="false" hidden="false" name="gm_adj_C29" vbProcedure="false">In!$E$115</definedName>
    <definedName function="false" hidden="false" name="gm_adj_C29_hi" vbProcedure="false">In!$F$115</definedName>
    <definedName function="false" hidden="false" name="gm_adj_C29_lo" vbProcedure="false">In!$D$115</definedName>
    <definedName function="false" hidden="false" name="gm_b" vbProcedure="false">In!$E$113</definedName>
    <definedName function="false" hidden="false" name="gm_g" vbProcedure="false">In!$E$111</definedName>
    <definedName function="false" hidden="false" name="gm_g_hi" vbProcedure="false">In!$F$111</definedName>
    <definedName function="false" hidden="false" name="gm_g_lo" vbProcedure="false">In!$D$111</definedName>
    <definedName function="false" hidden="false" name="g_eps" vbProcedure="false">In!$E$131</definedName>
    <definedName function="false" hidden="false" name="g_mem" vbProcedure="false">In!$E$130</definedName>
    <definedName function="false" hidden="false" name="g_ni" vbProcedure="false">In!$E$128</definedName>
    <definedName function="false" hidden="false" name="g_nonai" vbProcedure="false">In!$E$50</definedName>
    <definedName function="false" hidden="false" name="g_nonai_hi" vbProcedure="false">In!$F$50</definedName>
    <definedName function="false" hidden="false" name="g_nonai_lo" vbProcedure="false">In!$D$50</definedName>
    <definedName function="false" hidden="false" name="g_oi" vbProcedure="false">In!$E$127</definedName>
    <definedName function="false" hidden="false" name="g_oth_26" vbProcedure="false">In!$E$102</definedName>
    <definedName function="false" hidden="false" name="g_oth_26_hi" vbProcedure="false">In!$F$102</definedName>
    <definedName function="false" hidden="false" name="g_oth_26_lo" vbProcedure="false">In!$D$102</definedName>
    <definedName function="false" hidden="false" name="g_oth_A" vbProcedure="false">In!$E$104</definedName>
    <definedName function="false" hidden="false" name="g_oth_A_hi" vbProcedure="false">In!$F$104</definedName>
    <definedName function="false" hidden="false" name="g_oth_A_lo" vbProcedure="false">In!$D$104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In!$E$108</definedName>
    <definedName function="false" hidden="false" name="g_oth_C_hi" vbProcedure="false">In!$F$108</definedName>
    <definedName function="false" hidden="false" name="g_oth_C_lo" vbProcedure="false">In!$D$108</definedName>
    <definedName function="false" hidden="false" name="g_rev" vbProcedure="false">In!$E$126</definedName>
    <definedName function="false" hidden="false" name="g_soc" vbProcedure="false">In!$E$129</definedName>
    <definedName function="false" hidden="false" name="g_svc_26" vbProcedure="false">In!$E$103</definedName>
    <definedName function="false" hidden="false" name="g_svc_26_hi" vbProcedure="false">In!$F$103</definedName>
    <definedName function="false" hidden="false" name="g_svc_26_lo" vbProcedure="false">In!$D$103</definedName>
    <definedName function="false" hidden="false" name="g_svc_A" vbProcedure="false">In!$E$105</definedName>
    <definedName function="false" hidden="false" name="g_svc_A_hi" vbProcedure="false">In!$F$105</definedName>
    <definedName function="false" hidden="false" name="g_svc_A_lo" vbProcedure="false">In!$D$105</definedName>
    <definedName function="false" hidden="false" name="g_svc_B" vbProcedure="false">In!$E$107</definedName>
    <definedName function="false" hidden="false" name="g_svc_B_hi" vbProcedure="false">In!$F$107</definedName>
    <definedName function="false" hidden="false" name="g_svc_B_lo" vbProcedure="false">In!$D$107</definedName>
    <definedName function="false" hidden="false" name="g_svc_C" vbProcedure="false">In!$E$109</definedName>
    <definedName function="false" hidden="false" name="g_svc_C_hi" vbProcedure="false">In!$F$109</definedName>
    <definedName function="false" hidden="false" name="g_svc_C_lo" vbProcedure="false">In!$D$109</definedName>
    <definedName function="false" hidden="false" name="hsA_25" vbProcedure="false">In!$E$68</definedName>
    <definedName function="false" hidden="false" name="hsA_26" vbProcedure="false">In!$E$69</definedName>
    <definedName function="false" hidden="false" name="hsA_27" vbProcedure="false">In!$E$70</definedName>
    <definedName function="false" hidden="false" name="hsA_28" vbProcedure="false">In!$E$71</definedName>
    <definedName function="false" hidden="false" name="hsA_29" vbProcedure="false">In!$E$72</definedName>
    <definedName function="false" hidden="false" name="hsB_25" vbProcedure="false">In!$E$73</definedName>
    <definedName function="false" hidden="false" name="hsB_26" vbProcedure="false">In!$E$74</definedName>
    <definedName function="false" hidden="false" name="hsB_27" vbProcedure="false">In!$E$75</definedName>
    <definedName function="false" hidden="false" name="hsB_28" vbProcedure="false">In!$E$76</definedName>
    <definedName function="false" hidden="false" name="hsB_29" vbProcedure="false">In!$E$77</definedName>
    <definedName function="false" hidden="false" name="hsC_25" vbProcedure="false">In!$E$78</definedName>
    <definedName function="false" hidden="false" name="hsC_26" vbProcedure="false">In!$E$79</definedName>
    <definedName function="false" hidden="false" name="hsC_27" vbProcedure="false">In!$E$80</definedName>
    <definedName function="false" hidden="false" name="hsC_28" vbProcedure="false">In!$E$81</definedName>
    <definedName function="false" hidden="false" name="hsC_29" vbProcedure="false">In!$E$82</definedName>
    <definedName function="false" hidden="false" name="k_mach" vbProcedure="false">Units!$C$48</definedName>
    <definedName function="false" hidden="false" name="mk_mem25" vbProcedure="false">In!$E$46</definedName>
    <definedName function="false" hidden="false" name="mk_mem26" vbProcedure="false">In!$E$48</definedName>
    <definedName function="false" hidden="false" name="mk_mem26_hi" vbProcedure="false">In!$F$48</definedName>
    <definedName function="false" hidden="false" name="mk_mem26_lo" vbProcedure="false">In!$D$48</definedName>
    <definedName function="false" hidden="false" name="mk_soc25" vbProcedure="false">In!$E$45</definedName>
    <definedName function="false" hidden="false" name="mk_soc26" vbProcedure="false">In!$E$47</definedName>
    <definedName function="false" hidden="false" name="mk_soc26_hi" vbProcedure="false">In!$F$47</definedName>
    <definedName function="false" hidden="false" name="mk_soc26_lo" vbProcedure="false">In!$D$47</definedName>
    <definedName function="false" hidden="false" name="nioi" vbProcedure="false">In!$E$122</definedName>
    <definedName function="false" hidden="false" name="nioi_hi" vbProcedure="false">In!$F$122</definedName>
    <definedName function="false" hidden="false" name="nioi_lo" vbProcedure="false">In!$D$122</definedName>
    <definedName function="false" hidden="false" name="nonai26" vbProcedure="false">In!$E$49</definedName>
    <definedName function="false" hidden="false" name="nonai26_hi" vbProcedure="false">In!$F$49</definedName>
    <definedName function="false" hidden="false" name="nonai26_lo" vbProcedure="false">In!$D$49</definedName>
    <definedName function="false" hidden="false" name="opex25" vbProcedure="false">In!$E$116</definedName>
    <definedName function="false" hidden="false" name="opex_fix" vbProcedure="false">In!$E$119</definedName>
    <definedName function="false" hidden="false" name="opex_g" vbProcedure="false">In!$E$117</definedName>
    <definedName function="false" hidden="false" name="opex_var" vbProcedure="false">In!$E$118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In!$E$120</definedName>
    <definedName function="false" hidden="false" name="phi_hi" vbProcedure="false">In!$F$120</definedName>
    <definedName function="false" hidden="false" name="phi_lo" vbProcedure="false">In!$D$120</definedName>
    <definedName function="false" hidden="false" name="pk_A" vbProcedure="false">In!$E$134</definedName>
    <definedName function="false" hidden="false" name="pk_B" vbProcedure="false">In!$E$135</definedName>
    <definedName function="false" hidden="false" name="pk_C" vbProcedure="false">In!$E$136</definedName>
    <definedName function="false" hidden="false" name="px" vbProcedure="false">In!$E$137</definedName>
    <definedName function="false" hidden="false" name="q1_eps" vbProcedure="false">Q!$G$17</definedName>
    <definedName function="false" hidden="false" name="q1_mem" vbProcedure="false">Q!$G$5</definedName>
    <definedName function="false" hidden="false" name="q1_ni" vbProcedure="false">Q!$G$16</definedName>
    <definedName function="false" hidden="false" name="q1_oi" vbProcedure="false">Q!$G$13</definedName>
    <definedName function="false" hidden="false" name="q1_oth" vbProcedure="false">Q!$G$6</definedName>
    <definedName function="false" hidden="false" name="q1_rev" vbProcedure="false">Q!$G$9</definedName>
    <definedName function="false" hidden="false" name="q1_soc" vbProcedure="false">Q!$G$4</definedName>
    <definedName function="false" hidden="false" name="q1_svc" vbProcedure="false">Q!$G$7</definedName>
    <definedName function="false" hidden="false" name="sa_fpe" vbProcedure="false">In!$E$138</definedName>
    <definedName function="false" hidden="false" name="semi_test26" vbProcedure="false">In!$E$98</definedName>
    <definedName function="false" hidden="false" name="semi_test27" vbProcedure="false">In!$E$99</definedName>
    <definedName function="false" hidden="false" name="semi_test28" vbProcedure="false">In!$E$100</definedName>
    <definedName function="false" hidden="false" name="shares" vbProcedure="false">In!$E$123</definedName>
    <definedName function="false" hidden="false" name="shC_28" vbProcedure="false">In!$E$63</definedName>
    <definedName function="false" hidden="false" name="shC_28_hi" vbProcedure="false">In!$F$63</definedName>
    <definedName function="false" hidden="false" name="shC_28_lo" vbProcedure="false">In!$D$63</definedName>
    <definedName function="false" hidden="false" name="shC_29" vbProcedure="false">In!$E$64</definedName>
    <definedName function="false" hidden="false" name="shC_29_hi" vbProcedure="false">In!$F$64</definedName>
    <definedName function="false" hidden="false" name="shC_29_lo" vbProcedure="false">In!$D$64</definedName>
    <definedName function="false" hidden="false" name="sh_mem" vbProcedure="false">In!$E$65</definedName>
    <definedName function="false" hidden="false" name="sh_mem_hi" vbProcedure="false">In!$F$65</definedName>
    <definedName function="false" hidden="false" name="sh_mem_lo" vbProcedure="false">In!$D$65</definedName>
    <definedName function="false" hidden="false" name="sh_soc" vbProcedure="false">In!$E$62</definedName>
    <definedName function="false" hidden="false" name="sh_soc_hi" vbProcedure="false">In!$F$62</definedName>
    <definedName function="false" hidden="false" name="sh_soc_lo" vbProcedure="false">In!$D$62</definedName>
    <definedName function="false" hidden="false" name="tp_wA" vbProcedure="false">In!$E$140</definedName>
    <definedName function="false" hidden="false" name="tp_wB" vbProcedure="false">In!$E$141</definedName>
    <definedName function="false" hidden="false" name="tp_wC" vbProcedure="false">In!$E$142</definedName>
    <definedName function="false" hidden="false" name="tt_amd" vbProcedure="false">In!$E$57</definedName>
    <definedName function="false" hidden="false" name="tt_amd_hi" vbProcedure="false">In!$F$57</definedName>
    <definedName function="false" hidden="false" name="tt_amd_lo" vbProcedure="false">In!$D$57</definedName>
    <definedName function="false" hidden="false" name="tt_bw" vbProcedure="false">In!$E$53</definedName>
    <definedName function="false" hidden="false" name="tt_bw_hi" vbProcedure="false">In!$F$53</definedName>
    <definedName function="false" hidden="false" name="tt_bw_lo" vbProcedure="false">In!$D$53</definedName>
    <definedName function="false" hidden="false" name="tt_hp" vbProcedure="false">In!$E$56</definedName>
    <definedName function="false" hidden="false" name="tt_hp_hi" vbProcedure="false">In!$F$56</definedName>
    <definedName function="false" hidden="false" name="tt_hp_lo" vbProcedure="false">In!$D$56</definedName>
    <definedName function="false" hidden="false" name="tt_oth" vbProcedure="false">In!$E$60</definedName>
    <definedName function="false" hidden="false" name="tt_oth_hi" vbProcedure="false">In!$F$60</definedName>
    <definedName function="false" hidden="false" name="tt_oth_lo" vbProcedure="false">In!$D$60</definedName>
    <definedName function="false" hidden="false" name="tt_rb" vbProcedure="false">In!$E$54</definedName>
    <definedName function="false" hidden="false" name="tt_rb_hi" vbProcedure="false">In!$F$54</definedName>
    <definedName function="false" hidden="false" name="tt_rb_lo" vbProcedure="false">In!$D$54</definedName>
    <definedName function="false" hidden="false" name="tt_ru" vbProcedure="false">In!$E$55</definedName>
    <definedName function="false" hidden="false" name="tt_ru_hi" vbProcedure="false">In!$F$55</definedName>
    <definedName function="false" hidden="false" name="tt_ru_lo" vbProcedure="false">In!$D$55</definedName>
    <definedName function="false" hidden="false" name="tt_tpu" vbProcedure="false">In!$E$58</definedName>
    <definedName function="false" hidden="false" name="tt_tpu_hi" vbProcedure="false">In!$F$58</definedName>
    <definedName function="false" hidden="false" name="tt_tpu_lo" vbProcedure="false">In!$D$58</definedName>
    <definedName function="false" hidden="false" name="tt_trn" vbProcedure="false">In!$E$59</definedName>
    <definedName function="false" hidden="false" name="tt_trn_hi" vbProcedure="false">In!$F$59</definedName>
    <definedName function="false" hidden="false" name="tt_trn_lo" vbProcedure="false">In!$D$59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hbm" vbProcedure="false">In!$E$66</definedName>
    <definedName function="false" hidden="false" name="w_hbm_hi" vbProcedure="false">In!$F$66</definedName>
    <definedName function="false" hidden="false" name="w_hbm_lo" vbProcedure="false">In!$D$66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<sst xmlns="http://schemas.openxmlformats.org/spreadsheetml/2006/main" count="3010" uniqueCount="886">
  <si>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6857.T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</si>
  <si>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升版）；所有數值不變。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</si>
  <si>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的盈餘由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測試需求決定。每顆晶片的測試時間隨複雜度上升，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握有約三分之二的市占。股價取決於加速器顆數的成長在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之後放緩時，測試機的投資會不會跟著回落。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</si>
  <si>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2027-03</t>
    </r>
    <r>
      <rPr>
        <sz val="11"/>
        <rFont val="Noto Sans CJK SC"/>
        <family val="2"/>
      </rPr>
      <t xml:space="preserve">）。金額以日圓（</t>
    </r>
    <r>
      <rPr>
        <sz val="11"/>
        <rFont val="Cambria"/>
        <family val="0"/>
        <charset val="1"/>
      </rPr>
      <t xml:space="preserve">¥B</t>
    </r>
    <r>
      <rPr>
        <sz val="11"/>
        <rFont val="Noto Sans CJK SC"/>
        <family val="2"/>
      </rPr>
      <t xml:space="preserve">）為主，另列美元；匯率基準 </t>
    </r>
    <r>
      <rPr>
        <sz val="11"/>
        <rFont val="Cambria"/>
        <family val="0"/>
        <charset val="1"/>
      </rPr>
      <t xml:space="preserve">¥150</t>
    </r>
    <r>
      <rPr>
        <sz val="11"/>
        <rFont val="Noto Sans CJK SC"/>
        <family val="2"/>
      </rPr>
      <t xml:space="preserve">（公司第二季起的假設）放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第二季預定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）尚未公布，故不納入。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</si>
  <si>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</si>
  <si>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測試機市場（日曆年）＝加速器顆數（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每加權顆測試支出（以公司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市場規模校準）＋非 </t>
    </r>
    <r>
      <rPr>
        <sz val="11"/>
        <rFont val="Cambria"/>
        <family val="0"/>
        <charset val="1"/>
      </rPr>
      <t xml:space="preserve">AI SoC</t>
    </r>
    <r>
      <rPr>
        <sz val="11"/>
        <rFont val="Noto Sans CJK SC"/>
        <family val="2"/>
      </rPr>
      <t xml:space="preserve">；日曆年轉會計年度：</t>
    </r>
    <r>
      <rPr>
        <sz val="11"/>
        <rFont val="Cambria"/>
        <family val="0"/>
        <charset val="1"/>
      </rPr>
      <t xml:space="preserve">3/4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1/4 </t>
    </r>
    <r>
      <rPr>
        <sz val="11"/>
        <rFont val="Noto Sans CJK SC"/>
        <family val="2"/>
      </rPr>
      <t xml:space="preserve">加權 → </t>
    </r>
    <r>
      <rPr>
        <sz val="11"/>
        <rFont val="Cambria"/>
        <family val="0"/>
        <charset val="1"/>
      </rPr>
      <t xml:space="preserve">× Advantest </t>
    </r>
    <r>
      <rPr>
        <sz val="11"/>
        <rFont val="Noto Sans CJK SC"/>
        <family val="2"/>
      </rPr>
      <t xml:space="preserve">市占（基準 </t>
    </r>
    <r>
      <rPr>
        <sz val="11"/>
        <rFont val="Cambria"/>
        <family val="0"/>
        <charset val="1"/>
      </rPr>
      <t xml:space="preserve">66%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→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營收</t>
    </r>
  </si>
  <si>
    <r>
      <rPr>
        <sz val="11"/>
        <rFont val="Noto Sans CJK SC"/>
        <family val="2"/>
      </rPr>
      <t xml:space="preserve">記憶體測試機：公司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市場規模為錨 </t>
    </r>
    <r>
      <rPr>
        <sz val="11"/>
        <rFont val="Cambria"/>
        <family val="0"/>
        <charset val="1"/>
      </rPr>
      <t xml:space="preserve">× [w × HBM </t>
    </r>
    <r>
      <rPr>
        <sz val="11"/>
        <rFont val="Noto Sans CJK SC"/>
        <family val="2"/>
      </rPr>
      <t xml:space="preserve">出貨位元指數（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(1−w) × DRAM </t>
    </r>
    <r>
      <rPr>
        <sz val="11"/>
        <rFont val="Noto Sans CJK SC"/>
        <family val="2"/>
      </rPr>
      <t xml:space="preserve">設備支出指數（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] × </t>
    </r>
    <r>
      <rPr>
        <sz val="11"/>
        <rFont val="Noto Sans CJK SC"/>
        <family val="2"/>
      </rPr>
      <t xml:space="preserve">市占（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實績推得）</t>
    </r>
  </si>
  <si>
    <r>
      <rPr>
        <sz val="11"/>
        <rFont val="Noto Sans CJK SC"/>
        <family val="2"/>
      </rPr>
      <t xml:space="preserve">其他系統、服務與其他：前一年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）。毛利率＝截距＋斜率 </t>
    </r>
    <r>
      <rPr>
        <sz val="11"/>
        <rFont val="Cambria"/>
        <family val="0"/>
        <charset val="1"/>
      </rPr>
      <t xml:space="preserve">× SoC </t>
    </r>
    <r>
      <rPr>
        <sz val="11"/>
        <rFont val="Noto Sans CJK SC"/>
        <family val="2"/>
      </rPr>
      <t xml:space="preserve">占比（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營收（兩點推導）；不寫死利益率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</si>
  <si>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：顆數係數讀台積電模型成品（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 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搶回市占（</t>
    </r>
    <r>
      <rPr>
        <sz val="11"/>
        <rFont val="Cambria"/>
        <family val="0"/>
        <charset val="1"/>
      </rPr>
      <t xml:space="preserve">FY2028 61%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56%</t>
    </r>
    <r>
      <rPr>
        <sz val="11"/>
        <rFont val="Noto Sans CJK SC"/>
        <family val="2"/>
      </rPr>
      <t xml:space="preserve">）與價格壓力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</si>
  <si>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：對公司指引、共識、公司市場規模、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：市占、測試時間係數、顆數情境、營業費用變動比例等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</si>
  <si>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未使用。公司原文（</t>
    </r>
    <r>
      <rPr>
        <sz val="11"/>
        <rFont val="Cambria"/>
        <family val="0"/>
        <charset val="1"/>
      </rPr>
      <t xml:space="preserve">advantest.com</t>
    </r>
    <r>
      <rPr>
        <sz val="11"/>
        <rFont val="Noto Sans CJK SC"/>
        <family val="2"/>
      </rPr>
      <t xml:space="preserve">）在建置環境無法開啟，數字取自搜尋引擎摘錄，原文待人工複核。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</si>
  <si>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每加權顆測試支出由「公司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 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市場」校準，市場規模為測試機廠自估（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前（</t>
    </r>
    <r>
      <rPr>
        <sz val="11"/>
        <rFont val="Cambria"/>
        <family val="0"/>
        <charset val="1"/>
      </rPr>
      <t xml:space="preserve">CY2021–23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公布的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測試機市場為參照（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3.7–4.9</t>
    </r>
    <r>
      <rPr>
        <sz val="11"/>
        <rFont val="Noto Sans CJK SC"/>
        <family val="2"/>
      </rPr>
      <t xml:space="preserve">）；平行測試效率提升不在基準，只在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列示；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每顆測試時間係數無實證，只決定世代間相對權重；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出貨位元自 </t>
    </r>
    <r>
      <rPr>
        <sz val="11"/>
        <rFont val="Cambria"/>
        <family val="0"/>
        <charset val="1"/>
      </rPr>
      <t xml:space="preserve">markets/memory v0.4 </t>
    </r>
    <r>
      <rPr>
        <sz val="11"/>
        <rFont val="Noto Sans CJK SC"/>
        <family val="2"/>
      </rPr>
      <t xml:space="preserve">起隨情境顆數係數變動（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）；供給三情境相同、單價假設未重估，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位元與單價同時下修；記憶體測試機的情境差異來自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出貨位元與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設備支出兩條線；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無測試機效率（平行測試）提升的建模，可能高估 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之後市場；</t>
    </r>
    <r>
      <rPr>
        <sz val="11"/>
        <rFont val="Cambria"/>
        <family val="0"/>
        <charset val="1"/>
      </rPr>
      <t xml:space="preserve">(5) CY2030 </t>
    </r>
    <r>
      <rPr>
        <sz val="11"/>
        <rFont val="Noto Sans CJK SC"/>
        <family val="2"/>
      </rPr>
      <t xml:space="preserve">無市場層資料，持平假設；</t>
    </r>
    <r>
      <rPr>
        <sz val="11"/>
        <rFont val="Cambria"/>
        <family val="0"/>
        <charset val="1"/>
      </rPr>
      <t xml:space="preserve">(6) 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缺 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年底收盤價。</t>
    </r>
  </si>
  <si>
    <r>
      <rPr>
        <sz val="11"/>
        <rFont val="Cambria"/>
        <family val="0"/>
        <charset val="1"/>
      </rPr>
      <t xml:space="preserve">v0.2.3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三情境規則值隱含價；引用的上游成品檔名更新（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）；其餘數值不變。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</si>
  <si>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）、十億美元（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）；顆數：百萬顆。每個輸入附兩個來源（來源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</si>
  <si>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advantest.com</t>
    </r>
    <r>
      <rPr>
        <sz val="11"/>
        <color theme="1"/>
        <rFont val="Noto Sans CJK SC"/>
        <family val="2"/>
      </rPr>
      <t xml:space="preserve">）在建置環境無法開啟，數字取自搜尋引擎對公司文件的摘錄，並與第二來源交叉；原文待人工複核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</si>
  <si>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</si>
  <si>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</si>
  <si>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</si>
  <si>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</si>
  <si>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</si>
  <si>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</si>
  <si>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</si>
  <si>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</si>
  <si>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</si>
  <si>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</si>
  <si>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</si>
  <si>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</si>
  <si>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</si>
  <si>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</si>
  <si>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</si>
  <si>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</si>
  <si>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</si>
  <si>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</si>
  <si>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</si>
  <si>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</si>
  <si>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</si>
  <si>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</si>
  <si>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</si>
  <si>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</si>
  <si>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</si>
  <si>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</si>
  <si>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</si>
  <si>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</si>
  <si>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</si>
  <si>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</si>
  <si>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</si>
  <si>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</si>
  <si>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</si>
  <si>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</si>
  <si>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</si>
  <si>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</si>
  <si>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</si>
  <si>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</si>
  <si>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</si>
  <si>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</si>
  <si>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</si>
  <si>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</si>
  <si>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</si>
  <si>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</si>
  <si>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</si>
  <si>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</si>
  <si>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</si>
  <si>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</si>
  <si>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</si>
  <si>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</si>
  <si>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</si>
  <si>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</si>
  <si>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</si>
  <si>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</si>
  <si>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</si>
  <si>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</si>
  <si>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</si>
  <si>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</si>
  <si>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</si>
  <si>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</si>
  <si>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</si>
  <si>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</si>
  <si>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</si>
  <si>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</si>
  <si>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</si>
  <si>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</si>
  <si>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</si>
  <si>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</si>
  <si>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</si>
  <si>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</si>
  <si>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</si>
  <si>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</si>
  <si>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</si>
  <si>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</si>
  <si>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</si>
  <si>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</si>
  <si>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</si>
  <si>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</si>
  <si>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</si>
  <si>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</si>
  <si>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</si>
  <si>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</si>
  <si>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</si>
  <si>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</si>
  <si>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</si>
  <si>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</si>
  <si>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</si>
  <si>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</si>
  <si>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</si>
  <si>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</si>
  <si>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</si>
  <si>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</si>
  <si>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</si>
  <si>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</si>
  <si>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</si>
  <si>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</si>
  <si>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</si>
  <si>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</si>
  <si>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</si>
  <si>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</si>
  <si>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</si>
  <si>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</si>
  <si>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</si>
  <si>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</si>
  <si>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</si>
  <si>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</si>
  <si>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</si>
  <si>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</si>
  <si>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</si>
  <si>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</si>
  <si>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</si>
  <si>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</si>
  <si>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</si>
  <si>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</si>
  <si>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</si>
  <si>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</si>
  <si>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</si>
  <si>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</si>
  <si>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</si>
  <si>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</si>
  <si>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</si>
  <si>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</si>
  <si>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</si>
  <si>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</si>
  <si>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</si>
  <si>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</si>
  <si>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cy30g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</si>
  <si>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年（日曆年）顆數與記憶體測試機相對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的變化（只用於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</si>
  <si>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</si>
  <si>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1/4×CY2030</t>
    </r>
    <r>
      <rPr>
        <sz val="11"/>
        <color theme="1"/>
        <rFont val="Noto Sans CJK SC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；基準持平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</si>
  <si>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測試機市場（日曆年）與校準：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市場＝加權顆數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每加權顆測試支出；另加非 </t>
    </r>
    <r>
      <rPr>
        <b val="true"/>
        <sz val="11"/>
        <rFont val="Cambria"/>
        <family val="0"/>
        <charset val="1"/>
      </rPr>
      <t xml:space="preserve">AI SoC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</si>
  <si>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</si>
  <si>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</si>
  <si>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</si>
  <si>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</si>
  <si>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第二來源：未找到</t>
  </si>
  <si>
    <t xml:space="preserve">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</si>
  <si>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</si>
  <si>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</si>
  <si>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</si>
  <si>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</si>
  <si>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（二手轉述，搜尋摘錄；公司原文未開啟）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</si>
  <si>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</si>
  <si>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</si>
  <si>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</si>
  <si>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（公司原文未開啟，二手摘錄）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</si>
  <si>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</si>
  <si>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</si>
  <si>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</si>
  <si>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</si>
  <si>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</si>
  <si>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</si>
  <si>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</si>
  <si>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</si>
  <si>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</si>
  <si>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—</t>
  </si>
  <si>
    <t xml:space="preserve">eff_par</t>
  </si>
  <si>
    <t xml:space="preserve">平行測試效率提升（每年降低每加權顆所需測試支出）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</si>
  <si>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</si>
  <si>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</si>
  <si>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</si>
  <si>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asp_m</t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</si>
  <si>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測試機平均單價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</si>
  <si>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／台</t>
    </r>
  </si>
  <si>
    <t xml:space="preserve">無：公司不揭露台數與單價</t>
  </si>
  <si>
    <r>
      <rPr>
        <sz val="11"/>
        <color theme="1"/>
        <rFont val="Noto Sans CJK SC"/>
        <family val="2"/>
      </rPr>
      <t xml:space="preserve">只影響「每百萬顆機台數」的顯示（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＝每顆支出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單價），不影響營收與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</si>
  <si>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</si>
  <si>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</si>
  <si>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</si>
  <si>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</si>
  <si>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</si>
  <si>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</si>
  <si>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</si>
  <si>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</si>
  <si>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</si>
  <si>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</si>
  <si>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</si>
  <si>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</si>
  <si>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</si>
  <si>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</si>
  <si>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</si>
  <si>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</si>
  <si>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</si>
  <si>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</si>
  <si>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</si>
  <si>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</si>
  <si>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</si>
  <si>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</si>
  <si>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</si>
  <si>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</si>
  <si>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</si>
  <si>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市占</t>
    </r>
  </si>
  <si>
    <t xml:space="preserve">sh_soc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</si>
  <si>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公司自估；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口徑沿用）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</si>
  <si>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CY2024 56%→CY2025 66%</t>
    </r>
    <r>
      <rPr>
        <sz val="11"/>
        <color theme="1"/>
        <rFont val="Noto Sans CJK SC"/>
        <family val="2"/>
      </rPr>
      <t xml:space="preserve">（二手轉述，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</si>
  <si>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區間）</t>
    </r>
  </si>
  <si>
    <t xml:space="preserve">shC_28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</si>
  <si>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搶回）</t>
    </r>
  </si>
  <si>
    <r>
      <rPr>
        <sz val="11"/>
        <color theme="1"/>
        <rFont val="Noto Sans CJK SC"/>
        <family val="2"/>
      </rPr>
      <t xml:space="preserve">無：假設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年內回到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</si>
  <si>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簡報）</t>
    </r>
  </si>
  <si>
    <t xml:space="preserve">shC_29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</si>
  <si>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</si>
  <si>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</si>
  <si>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</si>
  <si>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sh_mem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</si>
  <si>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記憶體測試機市占（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市場，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</si>
  <si>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</si>
  <si>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3/4×CY2025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1/4×CY2026 </t>
    </r>
    <r>
      <rPr>
        <sz val="11"/>
        <color theme="1"/>
        <rFont val="Noto Sans CJK SC"/>
        <family val="2"/>
      </rPr>
      <t xml:space="preserve">市場）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</si>
  <si>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記憶體市占略低於前一年（二手轉述）；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個百分點為 </t>
    </r>
    <r>
      <rPr>
        <sz val="11"/>
        <color theme="1"/>
        <rFont val="Calibri"/>
        <family val="2"/>
        <charset val="1"/>
      </rPr>
      <t xml:space="preserve">Assumed</t>
    </r>
  </si>
  <si>
    <t xml:space="preserve">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</si>
  <si>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</si>
  <si>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</si>
  <si>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記憶體（讀 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</si>
  <si>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</si>
  <si>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</si>
  <si>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</si>
  <si>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</si>
  <si>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</si>
  <si>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</si>
  <si>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</si>
  <si>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</si>
  <si>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</si>
  <si>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</si>
  <si>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</si>
  <si>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</si>
  <si>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</si>
  <si>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</si>
  <si>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</si>
  <si>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</si>
  <si>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</si>
  <si>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</si>
  <si>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</si>
  <si>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</si>
  <si>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</si>
  <si>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</si>
  <si>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</si>
  <si>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</si>
  <si>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</si>
  <si>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</si>
  <si>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</si>
  <si>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</si>
  <si>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</si>
  <si>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</si>
  <si>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</si>
  <si>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</si>
  <si>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</si>
  <si>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</si>
  <si>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</si>
  <si>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</si>
  <si>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</si>
  <si>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</si>
  <si>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r>
      <rPr>
        <sz val="11"/>
        <color theme="1"/>
        <rFont val="Calibri"/>
        <family val="2"/>
        <charset val="1"/>
      </rPr>
      <t xml:space="preserve">markets/equipment Mkt</t>
    </r>
    <r>
      <rPr>
        <sz val="11"/>
        <color theme="1"/>
        <rFont val="Noto Sans CJK SC"/>
        <family val="2"/>
      </rPr>
      <t xml:space="preserve">（以公司資本支出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設備占比推得）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</si>
  <si>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</si>
  <si>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</si>
  <si>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</si>
  <si>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</si>
  <si>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</si>
  <si>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</si>
  <si>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</si>
  <si>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</si>
  <si>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</si>
  <si>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</si>
  <si>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</si>
  <si>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</si>
  <si>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</si>
  <si>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</si>
  <si>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</si>
  <si>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</si>
  <si>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</si>
  <si>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</si>
  <si>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</si>
  <si>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</si>
  <si>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</si>
  <si>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</si>
  <si>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</si>
  <si>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</si>
  <si>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</si>
  <si>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</si>
  <si>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</si>
  <si>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</si>
  <si>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</si>
  <si>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</si>
  <si>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semi_test26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</si>
  <si>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</si>
  <si>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Mkt!C116:G116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</si>
  <si>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為設備商協會（傾向樂觀）</t>
    </r>
  </si>
  <si>
    <t xml:space="preserve">semi_test27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</si>
  <si>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內插）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</si>
  <si>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為新聞稿值，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</t>
    </r>
  </si>
  <si>
    <t xml:space="preserve">semi_test28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</si>
  <si>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</si>
  <si>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其他系統與服務（前一年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</si>
  <si>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g_oth_26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</si>
  <si>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</si>
  <si>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26.0×4÷80.5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</si>
  <si>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年化僅一季</t>
    </r>
  </si>
  <si>
    <t xml:space="preserve">g_svc_26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</si>
  <si>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</si>
  <si>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33.9×4÷109.2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</si>
  <si>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</si>
  <si>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g_oth_A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</si>
  <si>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</si>
  <si>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其他系統無前年可比（公司僅揭露合計）</t>
    </r>
  </si>
  <si>
    <t xml:space="preserve">g_svc_A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</si>
  <si>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</si>
  <si>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+12.7%</t>
    </r>
    <r>
      <rPr>
        <sz val="11"/>
        <color theme="1"/>
        <rFont val="Noto Sans CJK SC"/>
        <family val="2"/>
      </rPr>
      <t xml:space="preserve">（公司：裝機量成長）</t>
    </r>
  </si>
  <si>
    <t xml:space="preserve">g_oth_B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</si>
  <si>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</si>
  <si>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g_svc_B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</si>
  <si>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</si>
  <si>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</si>
  <si>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</si>
  <si>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g_svc_C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</si>
  <si>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</si>
  <si>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指引；不寫死利益率）</t>
    </r>
  </si>
  <si>
    <t xml:space="preserve">gm_g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</si>
  <si>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指引毛利率（</t>
    </r>
    <r>
      <rPr>
        <sz val="11"/>
        <color theme="1"/>
        <rFont val="Calibri"/>
        <family val="2"/>
        <charset val="1"/>
      </rPr>
      <t xml:space="preserve">66–67%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</si>
  <si>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Advantest Q1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）：全年毛利率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逐字稿摘要）</t>
    </r>
  </si>
  <si>
    <t xml:space="preserve">gm_a</t>
  </si>
  <si>
    <r>
      <rPr>
        <sz val="11"/>
        <color theme="1"/>
        <rFont val="Noto Sans CJK SC"/>
        <family val="2"/>
      </rPr>
      <t xml:space="preserve">毛利率截距（＝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− 斜率 </t>
    </r>
    <r>
      <rPr>
        <sz val="11"/>
        <color theme="1"/>
        <rFont val="Calibri"/>
        <family val="2"/>
        <charset val="1"/>
      </rPr>
      <t xml:space="preserve">× FY2025 SoC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</si>
  <si>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68.0%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</si>
  <si>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毛利率隨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占比上升（公司：產品組合改善）；只有兩點，等同線性外推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</si>
  <si>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</si>
  <si>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占比的毛利率變化）</t>
    </r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</si>
  <si>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</si>
  <si>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</si>
  <si>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</si>
  <si>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搶回份額的價格壓力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</si>
  <si>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</si>
  <si>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</si>
  <si>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</si>
  <si>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</si>
  <si>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</si>
  <si>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</si>
  <si>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opex_g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</si>
  <si>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指引（指引毛利率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指引營收 − 指引營業利益）</t>
    </r>
  </si>
  <si>
    <t xml:space="preserve">指引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</si>
  <si>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R&amp;D </t>
    </r>
    <r>
      <rPr>
        <sz val="11"/>
        <color theme="1"/>
        <rFont val="Noto Sans CJK SC"/>
        <family val="2"/>
      </rPr>
      <t xml:space="preserve">全年預測 </t>
    </r>
    <r>
      <rPr>
        <sz val="11"/>
        <color theme="1"/>
        <rFont val="Calibri"/>
        <family val="2"/>
        <charset val="1"/>
      </rPr>
      <t xml:space="preserve">110.0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+10.0</t>
    </r>
    <r>
      <rPr>
        <sz val="11"/>
        <color theme="1"/>
        <rFont val="Noto Sans CJK SC"/>
        <family val="2"/>
      </rPr>
      <t xml:space="preserve">）</t>
    </r>
  </si>
  <si>
    <t xml:space="preserve">opex_var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</si>
  <si>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</si>
  <si>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指引營業費用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</si>
  <si>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</si>
  <si>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</si>
  <si>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− 變動部分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營收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</si>
  <si>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</si>
  <si>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</si>
  <si>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</si>
  <si>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淨利、股數、匯率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</si>
  <si>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</si>
  <si>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</si>
  <si>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0.752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（含戰略投資評價益，屬一次性，不當基準，只在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列示；處理方式同台積電模型的一次性利益）；低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（稅率正常化）</t>
    </r>
  </si>
  <si>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含選擇權評價益約 </t>
    </r>
    <r>
      <rPr>
        <sz val="11"/>
        <color theme="1"/>
        <rFont val="Calibri"/>
        <family val="2"/>
        <charset val="1"/>
      </rPr>
      <t xml:space="preserve">¥17.3B</t>
    </r>
  </si>
  <si>
    <t xml:space="preserve">shares</t>
  </si>
  <si>
    <r>
      <rPr>
        <sz val="11"/>
        <color theme="1"/>
        <rFont val="Noto Sans CJK SC"/>
        <family val="2"/>
      </rPr>
      <t xml:space="preserve">股數（指引淨利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</si>
  <si>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</si>
  <si>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660.0B÷911.64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724.0M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</si>
  <si>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加權平均約 </t>
    </r>
    <r>
      <rPr>
        <sz val="11"/>
        <color theme="1"/>
        <rFont val="Calibri"/>
        <family val="2"/>
        <charset val="1"/>
      </rPr>
      <t xml:space="preserve">728.6M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375.4B÷515.15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</si>
  <si>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</si>
  <si>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</t>
  </si>
  <si>
    <t xml:space="preserve">¥/US$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</si>
  <si>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假設：第二季起 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法說；公司原文未開啟）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</si>
  <si>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實績不換匯；只用於把美元市場換成日圓營收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</si>
  <si>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上修）與對帳來源</t>
    </r>
  </si>
  <si>
    <t xml:space="preserve">g_rev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</si>
  <si>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</si>
  <si>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Advantest 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J_FR_FY2026_1Q.pdf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</si>
  <si>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 Q1 FY26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1,420.0</t>
    </r>
    <r>
      <rPr>
        <sz val="11"/>
        <color theme="1"/>
        <rFont val="Noto Sans CJK SC"/>
        <family val="2"/>
      </rPr>
      <t xml:space="preserve">）</t>
    </r>
  </si>
  <si>
    <t xml:space="preserve">g_oi</t>
  </si>
  <si>
    <r>
      <rPr>
        <sz val="11"/>
        <color theme="1"/>
        <rFont val="Noto Sans CJK SC"/>
        <family val="2"/>
      </rPr>
      <t xml:space="preserve">指引營業利益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</si>
  <si>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627.5</t>
    </r>
    <r>
      <rPr>
        <sz val="11"/>
        <color theme="1"/>
        <rFont val="Noto Sans CJK SC"/>
        <family val="2"/>
      </rPr>
      <t xml:space="preserve">）</t>
    </r>
  </si>
  <si>
    <t xml:space="preserve">g_ni</t>
  </si>
  <si>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（歸屬母公司）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</si>
  <si>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465.5</t>
    </r>
    <r>
      <rPr>
        <sz val="11"/>
        <color theme="1"/>
        <rFont val="Noto Sans CJK SC"/>
        <family val="2"/>
      </rPr>
      <t xml:space="preserve">）</t>
    </r>
  </si>
  <si>
    <t xml:space="preserve">g_soc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</si>
  <si>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</si>
  <si>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簡報；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999.5 </t>
    </r>
    <r>
      <rPr>
        <sz val="11"/>
        <color theme="1"/>
        <rFont val="Noto Sans CJK SC"/>
        <family val="2"/>
      </rPr>
      <t xml:space="preserve">上修</t>
    </r>
  </si>
  <si>
    <t xml:space="preserve">g_mem</t>
  </si>
  <si>
    <r>
      <rPr>
        <sz val="11"/>
        <color theme="1"/>
        <rFont val="Noto Sans CJK SC"/>
        <family val="2"/>
      </rPr>
      <t xml:space="preserve">指引記憶體測試機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</si>
  <si>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指引（原文未開啟）；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201.0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，日經摘錄）</t>
    </r>
  </si>
  <si>
    <t xml:space="preserve">g_eps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</si>
  <si>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（基本）</t>
    </r>
  </si>
  <si>
    <t xml:space="preserve">¥</t>
  </si>
  <si>
    <r>
      <rPr>
        <sz val="11"/>
        <color theme="1"/>
        <rFont val="Noto Sans CJK SC"/>
        <family val="2"/>
      </rPr>
      <t xml:space="preserve">公司決算短信（</t>
    </r>
    <r>
      <rPr>
        <sz val="11"/>
        <color theme="1"/>
        <rFont val="Calibri"/>
        <family val="2"/>
        <charset val="1"/>
      </rPr>
      <t xml:space="preserve">Yahoo Japan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</si>
  <si>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913.83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Noto Sans CJK SC"/>
        <family val="2"/>
      </rPr>
      <t xml:space="preserve">，未解）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</si>
  <si>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</si>
  <si>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</si>
  <si>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 2026-10-07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¥1.76T</t>
    </r>
  </si>
  <si>
    <t xml:space="preserve">cons_oi26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</si>
  <si>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</si>
  <si>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stockanalysis.com 2026-10-07</t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</si>
  <si>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</si>
  <si>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</si>
  <si>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</si>
  <si>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</si>
  <si>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 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</si>
  <si>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</si>
  <si>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</si>
  <si>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</si>
  <si>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</si>
  <si>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</si>
  <si>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</si>
  <si>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</si>
  <si>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2026-10-21 </t>
    </r>
    <r>
      <rPr>
        <sz val="11"/>
        <color theme="1"/>
        <rFont val="Noto Sans CJK SC"/>
        <family val="2"/>
      </rPr>
      <t xml:space="preserve">收盤）</t>
    </r>
  </si>
  <si>
    <t xml:space="preserve">stockanalysis.com</t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</si>
  <si>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</si>
  <si>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</si>
  <si>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自算：股價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</si>
  <si>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</si>
  <si>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</si>
  <si>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</si>
  <si>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</si>
  <si>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</si>
  <si>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</si>
  <si>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</si>
  <si>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</si>
  <si>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</si>
  <si>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）。公司原文（決算短信、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別簡報）在建置環境無法開啟，數字取自搜尋引擎對公司文件的摘錄，並與第二來源交叉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</si>
  <si>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2026-10-28 15:30 JST </t>
    </r>
    <r>
      <rPr>
        <sz val="11"/>
        <color theme="1"/>
        <rFont val="Noto Sans CJK SC"/>
        <family val="2"/>
      </rPr>
      <t xml:space="preserve">公布（公司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行事曆）；建置日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尚未公布，故不納入，指引維持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上修版。公布後更新本頁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頁指引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</si>
  <si>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</si>
  <si>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</si>
  <si>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</si>
  <si>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</si>
  <si>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</si>
  <si>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</si>
  <si>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</si>
  <si>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</si>
  <si>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</t>
    </r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</si>
  <si>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Noto Sans CJK SC"/>
        <family val="2"/>
      </rPr>
      <t xml:space="preserve">，尚未公布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</si>
  <si>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</si>
  <si>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Q1 191.3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Q2 −17.6 → 173.7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+72.1 → 237.2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165.1–165.2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</si>
  <si>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各季簡報報導（</t>
    </r>
    <r>
      <rPr>
        <sz val="11"/>
        <color theme="1"/>
        <rFont val="Calibri"/>
        <family val="2"/>
        <charset val="1"/>
      </rPr>
      <t xml:space="preserve">Q3 165.2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767.4</t>
    </r>
    <r>
      <rPr>
        <sz val="11"/>
        <color theme="1"/>
        <rFont val="Noto Sans CJK SC"/>
        <family val="2"/>
      </rPr>
      <t xml:space="preserve">）；四季合計＝</t>
    </r>
    <r>
      <rPr>
        <sz val="11"/>
        <color theme="1"/>
        <rFont val="Calibri"/>
        <family val="2"/>
        <charset val="1"/>
      </rPr>
      <t xml:space="preserve">767.4</t>
    </r>
    <r>
      <rPr>
        <sz val="11"/>
        <color theme="1"/>
        <rFont val="Noto Sans CJK SC"/>
        <family val="2"/>
      </rPr>
      <t xml:space="preserve">（見檢查列）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</si>
  <si>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</si>
  <si>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33.5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43.9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36.8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Q3 −20.6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</si>
  <si>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57.3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171.5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48.0</t>
    </r>
    <r>
      <rPr>
        <sz val="11"/>
        <color theme="1"/>
        <rFont val="Noto Sans CJK SC"/>
        <family val="2"/>
      </rPr>
      <t xml:space="preserve">；四季合計＝</t>
    </r>
    <r>
      <rPr>
        <sz val="11"/>
        <color theme="1"/>
        <rFont val="Calibri"/>
        <family val="2"/>
        <charset val="1"/>
      </rPr>
      <t xml:space="preserve">171.5</t>
    </r>
  </si>
  <si>
    <t xml:space="preserve">其他系統</t>
  </si>
  <si>
    <r>
      <rPr>
        <sz val="11"/>
        <color theme="1"/>
        <rFont val="Calibri"/>
        <family val="2"/>
        <charset val="1"/>
      </rPr>
      <t xml:space="preserve">Q1 Derived</t>
    </r>
    <r>
      <rPr>
        <sz val="11"/>
        <color theme="1"/>
        <rFont val="Noto Sans CJK SC"/>
        <family val="2"/>
      </rPr>
      <t xml:space="preserve">／其餘 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</si>
  <si>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：測試系統事業 </t>
    </r>
    <r>
      <rPr>
        <sz val="11"/>
        <color theme="1"/>
        <rFont val="Calibri"/>
        <family val="2"/>
        <charset val="1"/>
      </rPr>
      <t xml:space="preserve">240.6 − SoC − </t>
    </r>
    <r>
      <rPr>
        <sz val="11"/>
        <color theme="1"/>
        <rFont val="Noto Sans CJK SC"/>
        <family val="2"/>
      </rPr>
      <t xml:space="preserve">記憶體（公司 </t>
    </r>
    <r>
      <rPr>
        <sz val="11"/>
        <color theme="1"/>
        <rFont val="Calibri"/>
        <family val="2"/>
        <charset val="1"/>
      </rPr>
      <t xml:space="preserve">FY2025 Q1 </t>
    </r>
    <r>
      <rPr>
        <sz val="11"/>
        <color theme="1"/>
        <rFont val="Noto Sans CJK SC"/>
        <family val="2"/>
      </rPr>
      <t xml:space="preserve">短信：測試系統 </t>
    </r>
    <r>
      <rPr>
        <sz val="11"/>
        <color theme="1"/>
        <rFont val="Calibri"/>
        <family val="2"/>
        <charset val="1"/>
      </rPr>
      <t xml:space="preserve">240.6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：測試系統 </t>
    </r>
    <r>
      <rPr>
        <sz val="11"/>
        <color theme="1"/>
        <rFont val="Calibri"/>
        <family val="2"/>
        <charset val="1"/>
      </rPr>
      <t xml:space="preserve">333.6 − SoC − </t>
    </r>
    <r>
      <rPr>
        <sz val="11"/>
        <color theme="1"/>
        <rFont val="Noto Sans CJK SC"/>
        <family val="2"/>
      </rPr>
      <t xml:space="preserve">記憶體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</si>
  <si>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80.5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單季未找到（見下一列合計）</t>
    </r>
  </si>
  <si>
    <t xml:space="preserve">服務、支援與其他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</si>
  <si>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</si>
  <si>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：公司事業別表「</t>
    </r>
    <r>
      <rPr>
        <sz val="11"/>
        <color theme="1"/>
        <rFont val="Calibri"/>
        <family val="2"/>
        <charset val="1"/>
      </rPr>
      <t xml:space="preserve">Services and Others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+12.7%</t>
    </r>
    <r>
      <rPr>
        <sz val="11"/>
        <color theme="1"/>
        <rFont val="Noto Sans CJK SC"/>
        <family val="2"/>
      </rPr>
      <t xml:space="preserve">）；單季＝營收 − 測試系統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</si>
  <si>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決算）：</t>
    </r>
    <r>
      <rPr>
        <sz val="11"/>
        <color theme="1"/>
        <rFont val="Calibri"/>
        <family val="2"/>
        <charset val="1"/>
      </rPr>
      <t xml:space="preserve">109.2 vs 96.9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</t>
    </r>
  </si>
  <si>
    <r>
      <rPr>
        <sz val="11"/>
        <color theme="1"/>
        <rFont val="Noto Sans CJK SC"/>
        <family val="2"/>
      </rPr>
      <t xml:space="preserve">其他系統＋服務與其他（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單季未找到分項，列合計）</t>
    </r>
  </si>
  <si>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</t>
    </r>
  </si>
  <si>
    <t xml:space="preserve">營收</t>
  </si>
  <si>
    <r>
      <rPr>
        <sz val="11"/>
        <color theme="1"/>
        <rFont val="Noto Sans CJK SC"/>
        <family val="2"/>
      </rPr>
      <t xml:space="preserve">公司決算：</t>
    </r>
    <r>
      <rPr>
        <sz val="11"/>
        <color theme="1"/>
        <rFont val="Calibri"/>
        <family val="2"/>
        <charset val="1"/>
      </rPr>
      <t xml:space="preserve">FY2025 1,128.6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+44.7%</t>
    </r>
    <r>
      <rPr>
        <sz val="11"/>
        <color theme="1"/>
        <rFont val="Noto Sans CJK SC"/>
        <family val="2"/>
      </rPr>
      <t xml:space="preserve">）；上半 </t>
    </r>
    <r>
      <rPr>
        <sz val="11"/>
        <color theme="1"/>
        <rFont val="Calibri"/>
        <family val="2"/>
        <charset val="1"/>
      </rPr>
      <t xml:space="preserve">526.7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800.5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Q1 367.5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</si>
  <si>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 3,675 </t>
    </r>
    <r>
      <rPr>
        <sz val="11"/>
        <color theme="1"/>
        <rFont val="Noto Sans CJK SC"/>
        <family val="2"/>
      </rPr>
      <t xml:space="preserve">億日圓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</si>
  <si>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＋記憶體＋其他＋服務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</si>
  <si>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</si>
  <si>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</si>
  <si>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公司簡報：</t>
    </r>
    <r>
      <rPr>
        <sz val="11"/>
        <color theme="1"/>
        <rFont val="Calibri"/>
        <family val="2"/>
        <charset val="1"/>
      </rPr>
      <t xml:space="preserve">FY26 Q1 69.5%</t>
    </r>
    <r>
      <rPr>
        <sz val="11"/>
        <color theme="1"/>
        <rFont val="Noto Sans CJK SC"/>
        <family val="2"/>
      </rPr>
      <t xml:space="preserve">（前年同期 </t>
    </r>
    <r>
      <rPr>
        <sz val="11"/>
        <color theme="1"/>
        <rFont val="Calibri"/>
        <family val="2"/>
        <charset val="1"/>
      </rPr>
      <t xml:space="preserve">65.1%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67.4%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僅稱「高於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</si>
  <si>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62.0%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57.1%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</si>
  <si>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</si>
  <si>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＝全年 − 其他三季（殘差，與公司「高於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」一致）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</si>
  <si>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169.7</t>
    </r>
  </si>
  <si>
    <t xml:space="preserve">營業利益</t>
  </si>
  <si>
    <r>
      <rPr>
        <sz val="11"/>
        <color theme="1"/>
        <rFont val="Noto Sans CJK SC"/>
        <family val="2"/>
      </rPr>
      <t xml:space="preserve">公司：上半營業利益 </t>
    </r>
    <r>
      <rPr>
        <sz val="11"/>
        <color theme="1"/>
        <rFont val="Calibri"/>
        <family val="2"/>
        <charset val="1"/>
      </rPr>
      <t xml:space="preserve">232.4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346.0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499.1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+118.8%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46.7%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Q1 190.0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+53.3%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</si>
  <si>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Q2 108.4 </t>
    </r>
    <r>
      <rPr>
        <sz val="11"/>
        <color theme="1"/>
        <rFont val="Noto Sans CJK SC"/>
        <family val="2"/>
      </rPr>
      <t xml:space="preserve">為單一二手（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</si>
  <si>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</si>
  <si>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51.7%</t>
    </r>
  </si>
  <si>
    <t xml:space="preserve">營業費用（毛利 − 營業利益）</t>
  </si>
  <si>
    <t xml:space="preserve">淨利（歸屬母公司）</t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</si>
  <si>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169.8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375.4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+132.9%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Q1 174.8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+93.8%</t>
    </r>
    <r>
      <rPr>
        <sz val="11"/>
        <color theme="1"/>
        <rFont val="Noto Sans CJK SC"/>
        <family val="2"/>
      </rPr>
      <t xml:space="preserve">，含戰略投資評價益）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</si>
  <si>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79.6 </t>
    </r>
    <r>
      <rPr>
        <sz val="11"/>
        <color theme="1"/>
        <rFont val="Noto Sans CJK SC"/>
        <family val="2"/>
      </rPr>
      <t xml:space="preserve">單一二手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</si>
  <si>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（基本，日圓）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</si>
  <si>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</si>
  <si>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Q1 123.14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232.19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Q1 241.27</t>
    </r>
  </si>
  <si>
    <r>
      <rPr>
        <sz val="11"/>
        <color theme="1"/>
        <rFont val="Noto Sans CJK SC"/>
        <family val="2"/>
      </rPr>
      <t xml:space="preserve">松井證券決算一覽（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</si>
  <si>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檢查：四季合計 − 全年（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、記憶體、營收、營業利益、淨利、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</si>
  <si>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上修；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月版供對照）</t>
    </r>
  </si>
  <si>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月版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</si>
  <si>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月版（上修）</t>
    </r>
  </si>
  <si>
    <t xml:space="preserve">上修幅度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</si>
  <si>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</si>
  <si>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月版年增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</si>
  <si>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</si>
  <si>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913.83</t>
    </r>
  </si>
  <si>
    <r>
      <rPr>
        <sz val="11"/>
        <color theme="1"/>
        <rFont val="Noto Sans CJK SC"/>
        <family val="2"/>
      </rPr>
      <t xml:space="preserve">其他系統＋服務與其他（營收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</si>
  <si>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淨利</t>
  </si>
  <si>
    <t xml:space="preserve">營業利益率（指引）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</si>
  <si>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</si>
  <si>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四項合計與營收差約 </t>
    </r>
    <r>
      <rPr>
        <b val="true"/>
        <sz val="11"/>
        <rFont val="Cambria"/>
        <family val="0"/>
        <charset val="1"/>
      </rPr>
      <t xml:space="preserve">¥44B </t>
    </r>
    <r>
      <rPr>
        <b val="true"/>
        <sz val="11"/>
        <rFont val="Noto Sans CJK SC"/>
        <family val="2"/>
      </rPr>
      <t xml:space="preserve">的查明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</si>
  <si>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＋記憶體＋其他系統＋服務（</t>
    </r>
    <r>
      <rPr>
        <sz val="11"/>
        <color theme="1"/>
        <rFont val="Calibri"/>
        <family val="2"/>
        <charset val="1"/>
      </rPr>
      <t xml:space="preserve">65.0</t>
    </r>
    <r>
      <rPr>
        <sz val="11"/>
        <color theme="1"/>
        <rFont val="Noto Sans CJK SC"/>
        <family val="2"/>
      </rPr>
      <t xml:space="preserve">，二手說法）</t>
    </r>
  </si>
  <si>
    <t xml:space="preserve">營收 − 上列</t>
  </si>
  <si>
    <r>
      <rPr>
        <sz val="11"/>
        <color theme="1"/>
        <rFont val="Noto Sans CJK SC"/>
        <family val="2"/>
      </rPr>
      <t xml:space="preserve">「服務、支援與其他」全年（公司事業別表）− </t>
    </r>
    <r>
      <rPr>
        <sz val="11"/>
        <color theme="1"/>
        <rFont val="Calibri"/>
        <family val="2"/>
        <charset val="1"/>
      </rPr>
      <t xml:space="preserve">65.0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</si>
  <si>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＋記憶體＋其他系統＋「服務、支援與其他」</t>
    </r>
    <r>
      <rPr>
        <sz val="11"/>
        <color theme="1"/>
        <rFont val="Calibri"/>
        <family val="2"/>
        <charset val="1"/>
      </rPr>
      <t xml:space="preserve">109.2 − </t>
    </r>
    <r>
      <rPr>
        <sz val="11"/>
        <color theme="1"/>
        <rFont val="Noto Sans CJK SC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</si>
  <si>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結論：差額 </t>
    </r>
    <r>
      <rPr>
        <sz val="11"/>
        <color theme="1"/>
        <rFont val="Calibri"/>
        <family val="2"/>
        <charset val="1"/>
      </rPr>
      <t xml:space="preserve">44.2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109.2 − 65.0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是「服務／支援」的子項（二手說法），公司事業別表的第四項是「服務、支援與其他」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（含耗材等其他收入）；四項改用 </t>
    </r>
    <r>
      <rPr>
        <sz val="11"/>
        <color theme="1"/>
        <rFont val="Calibri"/>
        <family val="2"/>
        <charset val="1"/>
      </rPr>
      <t xml:space="preserve">109.2 </t>
    </r>
    <r>
      <rPr>
        <sz val="11"/>
        <color theme="1"/>
        <rFont val="Noto Sans CJK SC"/>
        <family val="2"/>
      </rPr>
      <t xml:space="preserve">後與營收完全相符（差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未在公司原文核到。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</si>
  <si>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、台積電模型同一份）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→ 加權顆數；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年用公司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市場規模校準每加權顆的測試支出</t>
    </r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</si>
  <si>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</si>
  <si>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</si>
  <si>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</si>
  <si>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</si>
  <si>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</si>
  <si>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</si>
  <si>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</si>
  <si>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</si>
  <si>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</si>
  <si>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</si>
  <si>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</si>
  <si>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</si>
  <si>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</si>
  <si>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</si>
  <si>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</si>
  <si>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</si>
  <si>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相同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</si>
  <si>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</si>
  <si>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乘以情境係數 </t>
    </r>
    <r>
      <rPr>
        <sz val="11"/>
        <color theme="1"/>
        <rFont val="Calibri"/>
        <family val="2"/>
        <charset val="1"/>
      </rPr>
      <t xml:space="preserve">um28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（台積電模型）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</si>
  <si>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：加速器顆數</t>
    </r>
  </si>
  <si>
    <r>
      <rPr>
        <b val="true"/>
        <sz val="11"/>
        <rFont val="Noto Sans CJK SC"/>
        <family val="2"/>
      </rPr>
      <t xml:space="preserve">測試時間加權顆數（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tt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</si>
  <si>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</si>
  <si>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</si>
  <si>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</si>
  <si>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</si>
  <si>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校準（只用公司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市場規模，不用共識）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</si>
  <si>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測試機市場（公司）</t>
    </r>
  </si>
  <si>
    <r>
      <rPr>
        <sz val="11"/>
        <color theme="1"/>
        <rFont val="Noto Sans CJK SC"/>
        <family val="2"/>
      </rPr>
      <t xml:space="preserve">− 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</si>
  <si>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3.7–4.9</t>
    </r>
    <r>
      <rPr>
        <sz val="11"/>
        <color theme="1"/>
        <rFont val="Noto Sans CJK SC"/>
        <family val="2"/>
      </rPr>
      <t xml:space="preserve">；見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</si>
  <si>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</si>
  <si>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加權顆數（情境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年無情境係數）</t>
    </r>
  </si>
  <si>
    <t xml:space="preserve">＝ 每加權顆測試支出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</si>
  <si>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</si>
  <si>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等值的測試機支出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</si>
  <si>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測試機單價（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）＝ 每百萬顆所需機台數 </t>
    </r>
    <r>
      <rPr>
        <sz val="11"/>
        <color theme="1"/>
        <rFont val="Calibri"/>
        <family val="2"/>
        <charset val="1"/>
      </rPr>
      <t xml:space="preserve">k</t>
    </r>
  </si>
  <si>
    <t xml:space="preserve">台／百萬顆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</si>
  <si>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（單價為 </t>
    </r>
    <r>
      <rPr>
        <sz val="11"/>
        <color theme="1"/>
        <rFont val="Calibri"/>
        <family val="2"/>
        <charset val="1"/>
      </rPr>
      <t xml:space="preserve">Assumed 1.0–2.5 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與單價只有乘積可識別）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</si>
  <si>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市場（</t>
    </r>
    <r>
      <rPr>
        <b val="true"/>
        <sz val="11"/>
        <rFont val="Cambria"/>
        <family val="0"/>
        <charset val="1"/>
      </rPr>
      <t xml:space="preserve">3/4×CY2025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1/4×CY2026</t>
    </r>
    <r>
      <rPr>
        <b val="true"/>
        <sz val="11"/>
        <rFont val="Noto Sans CJK SC"/>
        <family val="2"/>
      </rPr>
      <t xml:space="preserve">；用於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隱含市占與記憶體市占）</t>
    </r>
  </si>
  <si>
    <r>
      <rPr>
        <b val="true"/>
        <sz val="11"/>
        <rFont val="Noto Sans CJK SC"/>
        <family val="2"/>
      </rPr>
      <t xml:space="preserve">測試時間係數（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</si>
  <si>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t xml:space="preserve">平台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</si>
  <si>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</si>
  <si>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</si>
  <si>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</si>
  <si>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</si>
  <si>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AMD Instinct</t>
  </si>
  <si>
    <t xml:space="preserve">Google TPU</t>
  </si>
  <si>
    <t xml:space="preserve">AWS Trainium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</si>
  <si>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</si>
  <si>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核對（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引擎的加權顆數 − 本頁，應為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頁底部。</t>
    </r>
  </si>
  <si>
    <r>
      <rPr>
        <sz val="11"/>
        <color theme="1"/>
        <rFont val="Calibri"/>
        <family val="2"/>
        <charset val="1"/>
      </rPr>
      <t xml:space="preserve">PL — Advantest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</si>
  <si>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</si>
  <si>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</si>
  <si>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</si>
  <si>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</si>
  <si>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</si>
  <si>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</si>
  <si>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</si>
  <si>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</t>
    </r>
  </si>
  <si>
    <t xml:space="preserve">  記憶體測試機</t>
  </si>
  <si>
    <t xml:space="preserve">EPS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</si>
  <si>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</si>
  <si>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</si>
  <si>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引擎加權顆數 −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Noto Sans CJK SC"/>
        <family val="2"/>
      </rPr>
      <t xml:space="preserve">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</si>
  <si>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  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</si>
  <si>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</si>
  <si>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</si>
  <si>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</si>
  <si>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</si>
  <si>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</si>
  <si>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）</t>
    </r>
  </si>
  <si>
    <t xml:space="preserve">測試時間加權顆數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</si>
  <si>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tt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CY2029×(1+cy30g)</t>
    </r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</si>
  <si>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</si>
  <si>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</si>
  <si>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</si>
  <si>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</si>
  <si>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</si>
  <si>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</si>
  <si>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＝ 公司規模（校準）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</si>
  <si>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</si>
  <si>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錨定公司規模；之後＝</t>
    </r>
    <r>
      <rPr>
        <sz val="11"/>
        <color theme="1"/>
        <rFont val="Calibri"/>
        <family val="2"/>
        <charset val="1"/>
      </rPr>
      <t xml:space="preserve">w×HBM </t>
    </r>
    <r>
      <rPr>
        <sz val="11"/>
        <color theme="1"/>
        <rFont val="Noto Sans CJK SC"/>
        <family val="2"/>
      </rPr>
      <t xml:space="preserve">出貨位元指數＋</t>
    </r>
    <r>
      <rPr>
        <sz val="11"/>
        <color theme="1"/>
        <rFont val="Calibri"/>
        <family val="2"/>
        <charset val="1"/>
      </rPr>
      <t xml:space="preserve">(1−w)×DRAM </t>
    </r>
    <r>
      <rPr>
        <sz val="11"/>
        <color theme="1"/>
        <rFont val="Noto Sans CJK SC"/>
        <family val="2"/>
      </rPr>
      <t xml:space="preserve">設備支出指數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</si>
  <si>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</si>
  <si>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</si>
  <si>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</si>
  <si>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</si>
  <si>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＝實績隱含（對照公司自估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</si>
  <si>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測試機營收</t>
    </r>
  </si>
  <si>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</t>
    </r>
  </si>
  <si>
    <t xml:space="preserve">記憶體測試機營收</t>
  </si>
  <si>
    <t xml:space="preserve">其他系統營收</t>
  </si>
  <si>
    <t xml:space="preserve">服務、支援與其他營收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</si>
  <si>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</t>
    </r>
  </si>
  <si>
    <r>
      <rPr>
        <sz val="11"/>
        <color theme="1"/>
        <rFont val="Noto Sans CJK SC"/>
        <family val="2"/>
      </rPr>
      <t xml:space="preserve">截距＋斜率</t>
    </r>
    <r>
      <rPr>
        <sz val="11"/>
        <color theme="1"/>
        <rFont val="Calibri"/>
        <family val="2"/>
        <charset val="1"/>
      </rPr>
      <t xml:space="preserve">×SoC </t>
    </r>
    <r>
      <rPr>
        <sz val="11"/>
        <color theme="1"/>
        <rFont val="Noto Sans CJK SC"/>
        <family val="2"/>
      </rPr>
      <t xml:space="preserve">占比（兩點推導）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</si>
  <si>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</si>
  <si>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</t>
    </r>
  </si>
  <si>
    <t xml:space="preserve">營收（美元）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</si>
  <si>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以基準匯率換算（顯示用）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</si>
  <si>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</si>
  <si>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Teradyne </t>
    </r>
    <r>
      <rPr>
        <b val="true"/>
        <sz val="11"/>
        <rFont val="Noto Sans CJK SC"/>
        <family val="2"/>
      </rPr>
      <t xml:space="preserve">搶回市占、價格壓力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</si>
  <si>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以前三情境皆把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歸為見頂年）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</si>
  <si>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期）；另列「前期」（上一個已結束會計年度）。所有價格與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</si>
  <si>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（會計年度，日圓，分割調整後）—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</si>
  <si>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</si>
  <si>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irbank</t>
    </r>
    <r>
      <rPr>
        <b val="true"/>
        <sz val="11"/>
        <rFont val="Noto Sans CJK SC"/>
        <family val="2"/>
      </rPr>
      <t xml:space="preserve">（分割調整後；</t>
    </r>
    <r>
      <rPr>
        <b val="true"/>
        <sz val="11"/>
        <rFont val="Cambria"/>
        <family val="0"/>
        <charset val="1"/>
      </rPr>
      <t xml:space="preserve">2025-03 </t>
    </r>
    <r>
      <rPr>
        <b val="true"/>
        <sz val="11"/>
        <rFont val="Noto Sans CJK SC"/>
        <family val="2"/>
      </rPr>
      <t xml:space="preserve">改用公司決算書）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</si>
  <si>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：公司原始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（分割前）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</si>
  <si>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÷ 4</t>
    </r>
  </si>
  <si>
    <t xml:space="preserve">兩者差距</t>
  </si>
  <si>
    <t xml:space="preserve">2016-03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</si>
  <si>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74th </t>
    </r>
    <r>
      <rPr>
        <sz val="11"/>
        <color theme="1"/>
        <rFont val="Noto Sans CJK SC"/>
        <family val="2"/>
      </rPr>
      <t xml:space="preserve">年報：基本 </t>
    </r>
    <r>
      <rPr>
        <sz val="11"/>
        <color theme="1"/>
        <rFont val="Calibri"/>
        <family val="2"/>
        <charset val="1"/>
      </rPr>
      <t xml:space="preserve">38.35</t>
    </r>
  </si>
  <si>
    <t xml:space="preserve">2017-03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</si>
  <si>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決算附註：基本 </t>
    </r>
    <r>
      <rPr>
        <sz val="11"/>
        <color theme="1"/>
        <rFont val="Calibri"/>
        <family val="2"/>
        <charset val="1"/>
      </rPr>
      <t xml:space="preserve">81.07</t>
    </r>
    <r>
      <rPr>
        <sz val="11"/>
        <color theme="1"/>
        <rFont val="Noto Sans CJK SC"/>
        <family val="2"/>
      </rPr>
      <t xml:space="preserve">（摘要表另列 </t>
    </r>
    <r>
      <rPr>
        <sz val="11"/>
        <color theme="1"/>
        <rFont val="Calibri"/>
        <family val="2"/>
        <charset val="1"/>
      </rPr>
      <t xml:space="preserve">148.11</t>
    </r>
    <r>
      <rPr>
        <sz val="11"/>
        <color theme="1"/>
        <rFont val="Noto Sans CJK SC"/>
        <family val="2"/>
      </rPr>
      <t xml:space="preserve">，口徑不同，未採）</t>
    </r>
  </si>
  <si>
    <t xml:space="preserve">2018-03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</si>
  <si>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101.94</t>
    </r>
    <r>
      <rPr>
        <sz val="11"/>
        <color theme="1"/>
        <rFont val="Noto Sans CJK SC"/>
        <family val="2"/>
      </rPr>
      <t xml:space="preserve">（摘要表 </t>
    </r>
    <r>
      <rPr>
        <sz val="11"/>
        <color theme="1"/>
        <rFont val="Calibri"/>
        <family val="2"/>
        <charset val="1"/>
      </rPr>
      <t xml:space="preserve">256.28</t>
    </r>
    <r>
      <rPr>
        <sz val="11"/>
        <color theme="1"/>
        <rFont val="Noto Sans CJK SC"/>
        <family val="2"/>
      </rPr>
      <t xml:space="preserve">，未採）</t>
    </r>
  </si>
  <si>
    <t xml:space="preserve">2019-03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</si>
  <si>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302.35</t>
    </r>
  </si>
  <si>
    <t xml:space="preserve">2020-03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</si>
  <si>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270.12</t>
    </r>
  </si>
  <si>
    <t xml:space="preserve">2021-03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</si>
  <si>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（單一來源＋還原）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</si>
  <si>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353.87</t>
    </r>
    <r>
      <rPr>
        <sz val="11"/>
        <color theme="1"/>
        <rFont val="Noto Sans CJK SC"/>
        <family val="2"/>
      </rPr>
      <t xml:space="preserve">；株探 </t>
    </r>
    <r>
      <rPr>
        <sz val="11"/>
        <color theme="1"/>
        <rFont val="Calibri"/>
        <family val="2"/>
        <charset val="1"/>
      </rPr>
      <t xml:space="preserve">353.9</t>
    </r>
  </si>
  <si>
    <t xml:space="preserve">2022-03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</si>
  <si>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449.6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</si>
  <si>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2023-03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</si>
  <si>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697.4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</si>
  <si>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2024-03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</si>
  <si>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84.45</t>
    </r>
    <r>
      <rPr>
        <sz val="11"/>
        <color theme="1"/>
        <rFont val="Noto Sans CJK SC"/>
        <family val="2"/>
      </rPr>
      <t xml:space="preserve">（分割後）；右欄為 </t>
    </r>
    <r>
      <rPr>
        <sz val="11"/>
        <color theme="1"/>
        <rFont val="Calibri"/>
        <family val="2"/>
        <charset val="1"/>
      </rPr>
      <t xml:space="preserve">84.45×4 </t>
    </r>
    <r>
      <rPr>
        <sz val="11"/>
        <color theme="1"/>
        <rFont val="Noto Sans CJK SC"/>
        <family val="2"/>
      </rPr>
      <t xml:space="preserve">的還原（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，非獨立來源）</t>
    </r>
  </si>
  <si>
    <t xml:space="preserve">2025-03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</si>
  <si>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決算書（</t>
    </r>
    <r>
      <rPr>
        <sz val="11"/>
        <color theme="1"/>
        <rFont val="Calibri"/>
        <family val="2"/>
        <charset val="1"/>
      </rPr>
      <t xml:space="preserve">FY2024 Consolidated Financial Results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E_FR_FY2024_FN.pdf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226.24</t>
    </r>
    <r>
      <rPr>
        <sz val="11"/>
        <color theme="1"/>
        <rFont val="Noto Sans CJK SC"/>
        <family val="2"/>
      </rPr>
      <t xml:space="preserve">、希薄化後 </t>
    </r>
    <r>
      <rPr>
        <sz val="11"/>
        <color theme="1"/>
        <rFont val="Calibri"/>
        <family val="2"/>
        <charset val="1"/>
      </rPr>
      <t xml:space="preserve">225.77</t>
    </r>
    <r>
      <rPr>
        <sz val="11"/>
        <color theme="1"/>
        <rFont val="Noto Sans CJK SC"/>
        <family val="2"/>
      </rPr>
      <t xml:space="preserve">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還原。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／松井證券列 </t>
    </r>
    <r>
      <rPr>
        <sz val="11"/>
        <color theme="1"/>
        <rFont val="Calibri"/>
        <family val="2"/>
        <charset val="1"/>
      </rPr>
      <t xml:space="preserve">218.67</t>
    </r>
    <r>
      <rPr>
        <sz val="11"/>
        <color theme="1"/>
        <rFont val="Noto Sans CJK SC"/>
        <family val="2"/>
      </rPr>
      <t xml:space="preserve">，口徑未解，不採</t>
    </r>
  </si>
  <si>
    <t xml:space="preserve">2026-03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</si>
  <si>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515.15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</t>
    </r>
  </si>
  <si>
    <r>
      <rPr>
        <b val="true"/>
        <sz val="11"/>
        <rFont val="Noto Sans CJK SC"/>
        <family val="2"/>
      </rPr>
      <t xml:space="preserve">全部年度統一用基本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Basic</t>
    </r>
    <r>
      <rPr>
        <b val="true"/>
        <sz val="11"/>
        <rFont val="Noto Sans CJK SC"/>
        <family val="2"/>
      </rPr>
      <t xml:space="preserve">）。公司決算書均區分基本與稀釋；</t>
    </r>
    <r>
      <rPr>
        <b val="true"/>
        <sz val="11"/>
        <rFont val="Cambria"/>
        <family val="0"/>
        <charset val="1"/>
      </rPr>
      <t xml:space="preserve">2016–2020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月期取自公司決算附註的基本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2021-03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2024-03 </t>
    </r>
    <r>
      <rPr>
        <b val="true"/>
        <sz val="11"/>
        <rFont val="Noto Sans CJK SC"/>
        <family val="2"/>
      </rPr>
      <t xml:space="preserve">以後取自公司決算的基本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2022-03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2023-03 </t>
    </r>
    <r>
      <rPr>
        <b val="true"/>
        <sz val="11"/>
        <rFont val="Noto Sans CJK SC"/>
        <family val="2"/>
      </rPr>
      <t xml:space="preserve">為株探值（未直接取得公司值）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</si>
  <si>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</si>
  <si>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</si>
  <si>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¥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</si>
  <si>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</si>
  <si>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</si>
  <si>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</si>
  <si>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</si>
  <si>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</si>
  <si>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</si>
  <si>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Noto Sans CJK SC"/>
        <family val="2"/>
      </rPr>
      <t xml:space="preserve">自算前期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</si>
  <si>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</si>
  <si>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</si>
  <si>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t xml:space="preserve">收盤價未找到（檢索缺口，不是不存在）：不納入分位；補入的敏感度見下</t>
  </si>
  <si>
    <t xml:space="preserve">2017-12</t>
  </si>
  <si>
    <r>
      <rPr>
        <sz val="11"/>
        <color theme="1"/>
        <rFont val="Noto Sans CJK SC"/>
        <family val="2"/>
      </rPr>
      <t xml:space="preserve">收盤價：日經新聞 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年股價推移（年底收盤）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</si>
  <si>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</si>
  <si>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</si>
  <si>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</si>
  <si>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</si>
  <si>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</si>
  <si>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</si>
  <si>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 84.45 </t>
    </r>
    <r>
      <rPr>
        <sz val="11"/>
        <color theme="1"/>
        <rFont val="Noto Sans CJK SC"/>
        <family val="2"/>
      </rPr>
      <t xml:space="preserve">偏低（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62.3B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頁外）→ </t>
    </r>
    <r>
      <rPr>
        <sz val="11"/>
        <color theme="1"/>
        <rFont val="Calibri"/>
        <family val="2"/>
        <charset val="1"/>
      </rPr>
      <t xml:space="preserve">P/E 56.8 </t>
    </r>
    <r>
      <rPr>
        <sz val="11"/>
        <color theme="1"/>
        <rFont val="Noto Sans CJK SC"/>
        <family val="2"/>
      </rPr>
      <t xml:space="preserve">為極端值</t>
    </r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</si>
  <si>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</si>
  <si>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</si>
  <si>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companiesmarketcap 2025 </t>
    </r>
    <r>
      <rPr>
        <sz val="11"/>
        <color theme="1"/>
        <rFont val="Noto Sans CJK SC"/>
        <family val="2"/>
      </rPr>
      <t xml:space="preserve">年底值未取得（搜尋摘錄缺列）；</t>
    </r>
    <r>
      <rPr>
        <sz val="11"/>
        <color theme="1"/>
        <rFont val="Calibri"/>
        <family val="2"/>
        <charset val="1"/>
      </rPr>
      <t xml:space="preserve">Yahoo Finance 2025-12-31 TTM P/E 55.18 </t>
    </r>
    <r>
      <rPr>
        <sz val="11"/>
        <color theme="1"/>
        <rFont val="Noto Sans CJK SC"/>
        <family val="2"/>
      </rPr>
      <t xml:space="preserve">可作參考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</si>
  <si>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：日經新聞 過去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年株價（</t>
    </r>
    <r>
      <rPr>
        <sz val="11"/>
        <color theme="1"/>
        <rFont val="Calibri"/>
        <family val="2"/>
        <charset val="1"/>
      </rPr>
      <t xml:space="preserve">nikkei.com/nkd/company/history/yprice/?scode=6857</t>
    </r>
    <r>
      <rPr>
        <sz val="11"/>
        <color theme="1"/>
        <rFont val="Noto Sans CJK SC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Yahoo Japan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歷史頁未開啟）。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：公司決算（見上表）。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口徑，與日圓自算不可直接比較）僅作對照，差距見 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</si>
  <si>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分位（只含有價格的年度）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</si>
  <si>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</si>
  <si>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</si>
  <si>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</si>
  <si>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</si>
  <si>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</si>
  <si>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</si>
  <si>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</si>
  <si>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</si>
  <si>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</si>
  <si>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</si>
  <si>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Noto Sans CJK SC"/>
        <family val="2"/>
      </rPr>
      <t xml:space="preserve">敏感度：補入 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年（價格未找到）。以假設的 </t>
    </r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重算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分位（當期口徑）</t>
    </r>
  </si>
  <si>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假設</t>
    </r>
  </si>
  <si>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</si>
  <si>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</si>
  <si>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輔助：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個值（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以假設取代）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</si>
  <si>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</si>
  <si>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</si>
  <si>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</si>
  <si>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</si>
  <si>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</si>
  <si>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</si>
  <si>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</si>
  <si>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判定（對照）</t>
    </r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</si>
  <si>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</si>
  <si>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</si>
  <si>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t xml:space="preserve">A</t>
  </si>
  <si>
    <t xml:space="preserve">見頂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</si>
  <si>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</si>
  <si>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</si>
  <si>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</si>
  <si>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隱含股價（日圓）：規則值＝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</si>
  <si>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</si>
  <si>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</si>
  <si>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</si>
  <si>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</si>
  <si>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</si>
  <si>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規則值）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</si>
  <si>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</si>
  <si>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</si>
  <si>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</si>
  <si>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</si>
  <si>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</si>
  <si>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2026-10-21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</si>
  <si>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</si>
  <si>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37.7x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</si>
  <si>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</si>
  <si>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 </t>
    </r>
    <r>
      <rPr>
        <sz val="11"/>
        <color theme="1"/>
        <rFont val="Calibri"/>
        <family val="2"/>
        <charset val="1"/>
      </rPr>
      <t xml:space="preserve">37.8x</t>
    </r>
  </si>
  <si>
    <t xml:space="preserve">  兩者差距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</si>
  <si>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的遠期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為共識，非公司指引，故小差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</si>
  <si>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</si>
  <si>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</si>
  <si>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</si>
  <si>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</si>
  <si>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</si>
  <si>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</si>
  <si>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</si>
  <si>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</si>
  <si>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2026-10-21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</si>
  <si>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</si>
  <si>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</si>
  <si>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</si>
  <si>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</si>
  <si>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</si>
  <si>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年底價格未找到，實為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年）。十年倍數多數來自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7–24x</t>
    </r>
    <r>
      <rPr>
        <sz val="11"/>
        <color theme="1"/>
        <rFont val="Noto Sans CJK SC"/>
        <family val="2"/>
      </rPr>
      <t xml:space="preserve">），偏誤方向為低估；但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低谷使該年 </t>
    </r>
    <r>
      <rPr>
        <sz val="11"/>
        <color theme="1"/>
        <rFont val="Calibri"/>
        <family val="2"/>
        <charset val="1"/>
      </rPr>
      <t xml:space="preserve">56.8x </t>
    </r>
    <r>
      <rPr>
        <sz val="11"/>
        <color theme="1"/>
        <rFont val="Noto Sans CJK SC"/>
        <family val="2"/>
      </rPr>
      <t xml:space="preserve">偏高、拉高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分位（不影響中位數與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</si>
  <si>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公司指引、共識、公司公布的市場規模、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</si>
  <si>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</si>
  <si>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</si>
  <si>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</si>
  <si>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</si>
  <si>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</si>
  <si>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</si>
  <si>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</si>
  <si>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</si>
  <si>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上修；校準時未使用指引）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</si>
  <si>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</t>
    </r>
  </si>
  <si>
    <t xml:space="preserve">同上（公司原文未開啟）</t>
  </si>
  <si>
    <t xml:space="preserve">營業利益率（差距以百分點計）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</si>
  <si>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</si>
  <si>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</si>
  <si>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</si>
  <si>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</si>
  <si>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¥1.76T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</si>
  <si>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¥886.4B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</si>
  <si>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</si>
  <si>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</si>
  <si>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（中點）</t>
    </r>
  </si>
  <si>
    <r>
      <rPr>
        <sz val="11"/>
        <color theme="1"/>
        <rFont val="Noto Sans CJK SC"/>
        <family val="2"/>
      </rPr>
      <t xml:space="preserve">校準恆等式：模型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以公司中點為錨，差距必為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，不是獨立檢驗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</si>
  <si>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</si>
  <si>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（中點）</t>
    </r>
  </si>
  <si>
    <t xml:space="preserve">同上，錨定</t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</si>
  <si>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</si>
  <si>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Noto Sans CJK SC"/>
        <family val="2"/>
      </rPr>
      <t xml:space="preserve">公司自估 </t>
    </r>
    <r>
      <rPr>
        <sz val="11"/>
        <color theme="1"/>
        <rFont val="Calibri"/>
        <family val="2"/>
        <charset val="1"/>
      </rPr>
      <t xml:space="preserve">CY2025 66%</t>
    </r>
  </si>
  <si>
    <r>
      <rPr>
        <sz val="11"/>
        <color theme="1"/>
        <rFont val="Noto Sans CJK SC"/>
        <family val="2"/>
      </rPr>
      <t xml:space="preserve">獨立檢驗：實績與公司市場規模推得的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口徑市占，對照公司自估的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Noto Sans CJK SC"/>
        <family val="2"/>
      </rPr>
      <t xml:space="preserve">口徑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</si>
  <si>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測試設備合計（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Noto Sans CJK SC"/>
        <family val="2"/>
      </rPr>
      <t xml:space="preserve">＋記憶體測試機）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</t>
    </r>
    <r>
      <rPr>
        <b val="true"/>
        <sz val="11"/>
        <rFont val="Cambria"/>
        <family val="0"/>
        <charset val="1"/>
      </rPr>
      <t xml:space="preserve">SEMI 2026-07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</si>
  <si>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</si>
  <si>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</si>
  <si>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測試設備含探針台、分選機與其他 </t>
    </r>
    <r>
      <rPr>
        <sz val="11"/>
        <color theme="1"/>
        <rFont val="Calibri"/>
        <family val="2"/>
        <charset val="1"/>
      </rPr>
      <t xml:space="preserve">ATE</t>
    </r>
    <r>
      <rPr>
        <sz val="11"/>
        <color theme="1"/>
        <rFont val="Noto Sans CJK SC"/>
        <family val="2"/>
      </rPr>
      <t xml:space="preserve">，口徑較寬；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內插值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</si>
  <si>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</si>
  <si>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</si>
  <si>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</si>
  <si>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實績營收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</si>
  <si>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屬正常</t>
    </r>
  </si>
  <si>
    <r>
      <rPr>
        <sz val="11"/>
        <color theme="1"/>
        <rFont val="Calibri"/>
        <family val="2"/>
        <charset val="1"/>
      </rPr>
      <t xml:space="preserve">FY26 Q1 SoC×4 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</si>
  <si>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</si>
  <si>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</si>
  <si>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</si>
  <si>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</si>
  <si>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</si>
  <si>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</si>
  <si>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</si>
  <si>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</si>
  <si>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</si>
  <si>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</si>
  <si>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</si>
  <si>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61%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</si>
  <si>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</si>
  <si>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71%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</si>
  <si>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</si>
  <si>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每加權顆測試支出每年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</si>
  <si>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</si>
  <si>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10%</t>
    </r>
  </si>
  <si>
    <t xml:space="preserve">每顆測試時間係數 低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</si>
  <si>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取低值</t>
    </r>
  </si>
  <si>
    <t xml:space="preserve">每顆測試時間係數 高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</si>
  <si>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取高值</t>
    </r>
  </si>
  <si>
    <r>
      <rPr>
        <sz val="11"/>
        <color theme="1"/>
        <rFont val="Noto Sans CJK SC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</si>
  <si>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</si>
  <si>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</si>
  <si>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</si>
  <si>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低（</t>
    </r>
    <r>
      <rPr>
        <sz val="11"/>
        <color theme="1"/>
        <rFont val="Calibri"/>
        <family val="2"/>
        <charset val="1"/>
      </rPr>
      <t xml:space="preserve">10.5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</si>
  <si>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10.5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</si>
  <si>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高（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</si>
  <si>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11.5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</si>
  <si>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</si>
  <si>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占比較高 → 每顆支出較高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</si>
  <si>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</si>
  <si>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占比較低 → 每顆支出較低</t>
    </r>
  </si>
  <si>
    <r>
      <rPr>
        <sz val="11"/>
        <color theme="1"/>
        <rFont val="Noto Sans CJK SC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</si>
  <si>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</si>
  <si>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低（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</si>
  <si>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高（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</si>
  <si>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¥140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</si>
  <si>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¥160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</si>
  <si>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</si>
  <si>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（指引隱含）</t>
    </r>
  </si>
  <si>
    <t xml:space="preserve">含戰略投資評價益（一次性），不當基準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</si>
  <si>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</si>
  <si>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路徑；服務／其他系統成長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</si>
  <si>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</si>
  <si>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；市占回落、毛利率下調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</si>
  <si>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以上各案例的差異主要來自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1/4×CY2028</t>
    </r>
    <r>
      <rPr>
        <sz val="11"/>
        <color theme="1"/>
        <rFont val="Noto Sans CJK SC"/>
        <family val="2"/>
      </rPr>
      <t xml:space="preserve">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係數只影響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才明顯。</t>
    </r>
  </si>
  <si>
    <r>
      <rPr>
        <b val="true"/>
        <sz val="11"/>
        <rFont val="Noto Sans CJK SC"/>
        <family val="2"/>
      </rPr>
      <t xml:space="preserve">案例區塊：市占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</si>
  <si>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</si>
  <si>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</si>
  <si>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</si>
  <si>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</si>
  <si>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</si>
  <si>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</si>
  <si>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</si>
  <si>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低（</t>
    </r>
    <r>
      <rPr>
        <b val="true"/>
        <sz val="11"/>
        <rFont val="Cambria"/>
        <family val="0"/>
        <charset val="1"/>
      </rPr>
      <t xml:space="preserve">10.5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</si>
  <si>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高（</t>
    </r>
    <r>
      <rPr>
        <b val="true"/>
        <sz val="11"/>
        <rFont val="Cambria"/>
        <family val="0"/>
        <charset val="1"/>
      </rPr>
      <t xml:space="preserve">11.5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</si>
  <si>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低（</t>
    </r>
    <r>
      <rPr>
        <b val="true"/>
        <sz val="11"/>
        <rFont val="Cambria"/>
        <family val="0"/>
        <charset val="1"/>
      </rPr>
      <t xml:space="preserve">3.7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</si>
  <si>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高（</t>
    </r>
    <r>
      <rPr>
        <b val="true"/>
        <sz val="11"/>
        <rFont val="Cambria"/>
        <family val="0"/>
        <charset val="1"/>
      </rPr>
      <t xml:space="preserve">4.9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</si>
  <si>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</si>
  <si>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</si>
  <si>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低（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</si>
  <si>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高（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</si>
  <si>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¥140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</si>
  <si>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¥160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</si>
  <si>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</si>
  <si>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0.780</t>
    </r>
    <r>
      <rPr>
        <b val="true"/>
        <sz val="11"/>
        <rFont val="Noto Sans CJK SC"/>
        <family val="2"/>
      </rPr>
      <t xml:space="preserve">（指引隱含）（情境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</si>
  <si>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來源（公司原文頁面在建置環境無法開啟；數字取自搜尋引擎對這些文件的摘錄，並與第二來源交叉；原文待人工複核）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</si>
  <si>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決算（英文，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</si>
  <si>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https://www.advantest.com/en/news/2026/a81o6o0000000hgw-att/E_FR_FY2025_FN.pdf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</si>
  <si>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</si>
  <si>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https://www.advantest.com/ja/news/2026/a81o6o0000000heh-att/J_FR_FY2025_FN.pdf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</si>
  <si>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Q4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</si>
  <si>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https://www.advantest.com/document/en/investors/ir-library/result/JE_BIZ_260427_note.pdf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</si>
  <si>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Q3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</si>
  <si>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https://www.advantest.com/document/en/investors/ir-library/result/JE_BIZ_260128_note.pdf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</si>
  <si>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</si>
  <si>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https://www.advantest.com/document/en/investors/ir-library/result/E_BIZ_251028_note.pdf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</si>
  <si>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</si>
  <si>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</si>
  <si>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</si>
  <si>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</si>
  <si>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決算短信（日文，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</si>
  <si>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https://www.advantest.com/ja/news/2026/qnpuno0000000cnr-att/J_FR_FY2026_1Q.pdf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</si>
  <si>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</si>
  <si>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https://www.advantest.com/ja/news/2025/g2l53r0000000oc1-att/J_FR_FY2025_2Q.pdf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</si>
  <si>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行事曆（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</si>
  <si>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https://www.advantest.com/en/investors/ir-calendar/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</si>
  <si>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簡報摘要（營收分項、毛利率 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</si>
  <si>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https://www.investing.com/news/company-news/advantest-fy25-slides-record-margins-as-ai-testing-demand-surges-93CH-4639589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</si>
  <si>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FY25 </t>
    </r>
    <r>
      <rPr>
        <sz val="11"/>
        <color theme="1"/>
        <rFont val="Noto Sans CJK SC"/>
        <family val="2"/>
      </rPr>
      <t xml:space="preserve">簡報摘要</t>
    </r>
  </si>
  <si>
    <t xml:space="preserve">https://www.investing.com/news/company-news/advantest-q3-fy25-slides-record-sales-drive-guidance-upgrade-on-ai-demand-93CH-4470612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</si>
  <si>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簡報摘要（</t>
    </r>
    <r>
      <rPr>
        <sz val="11"/>
        <color theme="1"/>
        <rFont val="Calibri"/>
        <family val="2"/>
        <charset val="1"/>
      </rPr>
      <t xml:space="preserve">SoC 259.6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48.0</t>
    </r>
    <r>
      <rPr>
        <sz val="11"/>
        <color theme="1"/>
        <rFont val="Noto Sans CJK SC"/>
        <family val="2"/>
      </rPr>
      <t xml:space="preserve">、指引）</t>
    </r>
  </si>
  <si>
    <t xml:space="preserve">https://www.investing.com/news/company-news/advantest-q1-fy26-slides-record-profit-raised-forecast-on-ai-demand-93CH-4821153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</si>
  <si>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法說逐字稿（毛利率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R&amp;D 110.0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</si>
  <si>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https://www.investing.com/news/transcripts/earnings-call-transcript-advantest-lifts-fy2026-outlook-after-record-q1-93CH-4820868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</si>
  <si>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Services and Others 109.2</t>
    </r>
    <r>
      <rPr>
        <sz val="11"/>
        <color theme="1"/>
        <rFont val="Noto Sans CJK SC"/>
        <family val="2"/>
      </rPr>
      <t xml:space="preserve">）</t>
    </r>
  </si>
  <si>
    <t xml:space="preserve">https://www.marketscreener.com/news/advantest-financial-results-e-fr-fy2025-fn-ce7f59dcdc8df223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</si>
  <si>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指引上修</t>
    </r>
  </si>
  <si>
    <t xml:space="preserve">https://kabutan.jp/news/?b=k202607290036</t>
  </si>
  <si>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分析</t>
    </r>
  </si>
  <si>
    <t xml:space="preserve">https://www.gyokaidigest.com/companies/advantest/report/2027-Q1</t>
  </si>
  <si>
    <r>
      <rPr>
        <sz val="11"/>
        <color theme="1"/>
        <rFont val="Noto Sans CJK SC"/>
        <family val="2"/>
      </rPr>
      <t xml:space="preserve">松井證券：決算情報（</t>
    </r>
    <r>
      <rPr>
        <sz val="11"/>
        <color theme="1"/>
        <rFont val="Calibri"/>
        <family val="2"/>
        <charset val="1"/>
      </rPr>
      <t xml:space="preserve">EPS 515.15</t>
    </r>
    <r>
      <rPr>
        <sz val="11"/>
        <color theme="1"/>
        <rFont val="Noto Sans CJK SC"/>
        <family val="2"/>
      </rPr>
      <t xml:space="preserve">）</t>
    </r>
  </si>
  <si>
    <t xml:space="preserve">https://finance.matsui.co.jp/stock/6857/settlement/index</t>
  </si>
  <si>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推移（來源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</si>
  <si>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https://irbank.net/E01950/valuation</t>
  </si>
  <si>
    <r>
      <rPr>
        <sz val="11"/>
        <color theme="1"/>
        <rFont val="Noto Sans CJK SC"/>
        <family val="2"/>
      </rPr>
      <t xml:space="preserve">日經新聞：過去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年株價推移（年底收盤）</t>
    </r>
  </si>
  <si>
    <t xml:space="preserve">https://www.nikkei.com/nkd/company/history/yprice/?scode=6857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</si>
  <si>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（年底，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</si>
  <si>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https://companiesmarketcap.com/advantest/pe-ratio/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</si>
  <si>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key statistics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 TTM P/E 55.18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</si>
  <si>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https://finance.yahoo.com/quote/6857.T/key-statistics/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</si>
  <si>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</si>
  <si>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https://stockanalysis.com/quote/tyo/6857/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</si>
  <si>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FY2017–FY2020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第二來源）</t>
    </r>
  </si>
  <si>
    <t xml:space="preserve">https://www.advantest.com/document/en/investors/ir-library/result/E_FR_FY2020_FN.pdf</t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</si>
  <si>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56%→66%</t>
    </r>
    <r>
      <rPr>
        <sz val="11"/>
        <color theme="1"/>
        <rFont val="Noto Sans CJK SC"/>
        <family val="2"/>
      </rPr>
      <t xml:space="preserve">（二手轉述）</t>
    </r>
  </si>
  <si>
    <t xml:space="preserve">https://x.com/jukan05/status/2048660802736140321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</si>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</sst>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"/>
    <numFmt numFmtId="166" formatCode="0.0"/>
    <numFmt numFmtId="167" formatCode="0.0%"/>
    <numFmt numFmtId="168" formatCode="0.00"/>
    <numFmt numFmtId="169" formatCode="0"/>
    <numFmt numFmtId="170" formatCode="#,##0"/>
    <numFmt numFmtId="171" formatCode="0.0000"/>
    <numFmt numFmtId="172" formatCode="#,##0.00"/>
    <numFmt numFmtId="173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5" t="s">
        <v>27</v>
      </c>
      <c r="E5" s="7" t="n">
        <v>5.4</v>
      </c>
      <c r="G5" s="8" t="s">
        <v>28</v>
      </c>
      <c r="H5" s="8" t="s">
        <v>29</v>
      </c>
      <c r="I5" s="5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5" t="s">
        <v>27</v>
      </c>
      <c r="E6" s="7" t="n">
        <v>2.4</v>
      </c>
      <c r="G6" s="8" t="s">
        <v>28</v>
      </c>
      <c r="H6" s="5" t="s">
        <v>33</v>
      </c>
      <c r="I6" s="5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5" t="s">
        <v>27</v>
      </c>
      <c r="E7" s="7" t="n">
        <v>0.5</v>
      </c>
      <c r="G7" s="8" t="s">
        <v>28</v>
      </c>
      <c r="H7" s="5" t="s">
        <v>33</v>
      </c>
      <c r="I7" s="5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38</v>
      </c>
      <c r="E8" s="7" t="n">
        <v>-0.5</v>
      </c>
      <c r="G8" s="8" t="s">
        <v>39</v>
      </c>
      <c r="H8" s="8" t="s">
        <v>40</v>
      </c>
      <c r="I8" s="8" t="s">
        <v>41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5" t="s">
        <v>27</v>
      </c>
      <c r="E9" s="7" t="n">
        <v>1.7</v>
      </c>
      <c r="G9" s="8" t="s">
        <v>28</v>
      </c>
      <c r="H9" s="8" t="s">
        <v>44</v>
      </c>
      <c r="I9" s="5" t="s">
        <v>45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5" t="s">
        <v>27</v>
      </c>
      <c r="E10" s="7" t="n">
        <v>7</v>
      </c>
      <c r="G10" s="8" t="s">
        <v>28</v>
      </c>
      <c r="H10" s="5" t="s">
        <v>33</v>
      </c>
      <c r="I10" s="5" t="s">
        <v>33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5" t="s">
        <v>27</v>
      </c>
      <c r="E11" s="7" t="n">
        <v>7</v>
      </c>
      <c r="G11" s="8" t="s">
        <v>28</v>
      </c>
      <c r="H11" s="5" t="s">
        <v>33</v>
      </c>
      <c r="I11" s="5" t="s">
        <v>33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0" t="s">
        <v>38</v>
      </c>
      <c r="E12" s="7" t="n">
        <v>0.15</v>
      </c>
      <c r="G12" s="8" t="s">
        <v>39</v>
      </c>
      <c r="H12" s="8" t="s">
        <v>52</v>
      </c>
      <c r="I12" s="8" t="s">
        <v>41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5" t="s">
        <v>27</v>
      </c>
      <c r="E13" s="7" t="n">
        <v>0</v>
      </c>
      <c r="G13" s="8" t="s">
        <v>39</v>
      </c>
      <c r="H13" s="8" t="s">
        <v>55</v>
      </c>
      <c r="I13" s="5" t="s">
        <v>56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5" t="s">
        <v>27</v>
      </c>
      <c r="E14" s="7" t="n">
        <v>0.3</v>
      </c>
      <c r="G14" s="8" t="s">
        <v>39</v>
      </c>
      <c r="H14" s="5" t="s">
        <v>33</v>
      </c>
      <c r="I14" s="5" t="s">
        <v>33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5" t="s">
        <v>27</v>
      </c>
      <c r="E15" s="7" t="n">
        <v>2</v>
      </c>
      <c r="G15" s="8" t="s">
        <v>39</v>
      </c>
      <c r="H15" s="5" t="s">
        <v>33</v>
      </c>
      <c r="I15" s="5" t="s">
        <v>33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0" t="s">
        <v>38</v>
      </c>
      <c r="E16" s="7" t="n">
        <v>0.15</v>
      </c>
      <c r="G16" s="8" t="s">
        <v>39</v>
      </c>
      <c r="H16" s="8" t="s">
        <v>63</v>
      </c>
      <c r="I16" s="8" t="s">
        <v>41</v>
      </c>
    </row>
    <row r="17" customFormat="false" ht="17.15" hidden="false" customHeight="false" outlineLevel="0" collapsed="false">
      <c r="A17" s="0" t="s">
        <v>64</v>
      </c>
      <c r="B17" s="0" t="s">
        <v>65</v>
      </c>
      <c r="C17" s="5" t="s">
        <v>27</v>
      </c>
      <c r="E17" s="7" t="n">
        <v>0.5</v>
      </c>
      <c r="G17" s="8" t="s">
        <v>28</v>
      </c>
      <c r="H17" s="8" t="s">
        <v>66</v>
      </c>
      <c r="I17" s="5" t="s">
        <v>67</v>
      </c>
    </row>
    <row r="18" customFormat="false" ht="17.15" hidden="false" customHeight="false" outlineLevel="0" collapsed="false">
      <c r="A18" s="0" t="s">
        <v>68</v>
      </c>
      <c r="B18" s="0" t="s">
        <v>69</v>
      </c>
      <c r="C18" s="5" t="s">
        <v>27</v>
      </c>
      <c r="E18" s="7" t="n">
        <v>0</v>
      </c>
      <c r="G18" s="8" t="s">
        <v>28</v>
      </c>
      <c r="H18" s="5" t="s">
        <v>33</v>
      </c>
      <c r="I18" s="5" t="s">
        <v>33</v>
      </c>
    </row>
    <row r="19" customFormat="false" ht="17.15" hidden="false" customHeight="false" outlineLevel="0" collapsed="false">
      <c r="A19" s="0" t="s">
        <v>70</v>
      </c>
      <c r="B19" s="0" t="s">
        <v>71</v>
      </c>
      <c r="C19" s="5" t="s">
        <v>27</v>
      </c>
      <c r="E19" s="7" t="n">
        <v>0</v>
      </c>
      <c r="G19" s="8" t="s">
        <v>28</v>
      </c>
      <c r="H19" s="5" t="s">
        <v>33</v>
      </c>
      <c r="I19" s="5" t="s">
        <v>33</v>
      </c>
    </row>
    <row r="20" customFormat="false" ht="17.15" hidden="false" customHeight="false" outlineLevel="0" collapsed="false">
      <c r="A20" s="0" t="s">
        <v>72</v>
      </c>
      <c r="B20" s="0" t="s">
        <v>73</v>
      </c>
      <c r="C20" s="0" t="s">
        <v>38</v>
      </c>
      <c r="E20" s="7" t="n">
        <v>0</v>
      </c>
      <c r="G20" s="8" t="s">
        <v>39</v>
      </c>
      <c r="H20" s="8" t="s">
        <v>74</v>
      </c>
      <c r="I20" s="8" t="s">
        <v>41</v>
      </c>
    </row>
    <row r="21" customFormat="false" ht="17.15" hidden="false" customHeight="false" outlineLevel="0" collapsed="false">
      <c r="A21" s="0" t="s">
        <v>75</v>
      </c>
      <c r="B21" s="0" t="s">
        <v>76</v>
      </c>
      <c r="C21" s="5" t="s">
        <v>27</v>
      </c>
      <c r="E21" s="7" t="n">
        <v>0.75</v>
      </c>
      <c r="G21" s="8" t="s">
        <v>77</v>
      </c>
      <c r="H21" s="8" t="s">
        <v>78</v>
      </c>
      <c r="I21" s="5" t="s">
        <v>79</v>
      </c>
    </row>
    <row r="22" customFormat="false" ht="17.15" hidden="false" customHeight="false" outlineLevel="0" collapsed="false">
      <c r="A22" s="0" t="s">
        <v>80</v>
      </c>
      <c r="B22" s="0" t="s">
        <v>81</v>
      </c>
      <c r="C22" s="5" t="s">
        <v>27</v>
      </c>
      <c r="E22" s="7" t="n">
        <v>1.5</v>
      </c>
      <c r="G22" s="8" t="s">
        <v>77</v>
      </c>
      <c r="H22" s="5" t="s">
        <v>33</v>
      </c>
      <c r="I22" s="5" t="s">
        <v>33</v>
      </c>
    </row>
    <row r="23" customFormat="false" ht="17.15" hidden="false" customHeight="false" outlineLevel="0" collapsed="false">
      <c r="A23" s="0" t="s">
        <v>82</v>
      </c>
      <c r="B23" s="0" t="s">
        <v>83</v>
      </c>
      <c r="C23" s="5" t="s">
        <v>27</v>
      </c>
      <c r="E23" s="7" t="n">
        <v>2</v>
      </c>
      <c r="G23" s="8" t="s">
        <v>77</v>
      </c>
      <c r="H23" s="5" t="s">
        <v>33</v>
      </c>
      <c r="I23" s="5" t="s">
        <v>33</v>
      </c>
    </row>
    <row r="24" customFormat="false" ht="17.15" hidden="false" customHeight="false" outlineLevel="0" collapsed="false">
      <c r="A24" s="0" t="s">
        <v>84</v>
      </c>
      <c r="B24" s="0" t="s">
        <v>85</v>
      </c>
      <c r="C24" s="0" t="s">
        <v>38</v>
      </c>
      <c r="E24" s="7" t="n">
        <v>0.15</v>
      </c>
      <c r="G24" s="8" t="s">
        <v>39</v>
      </c>
      <c r="H24" s="8" t="s">
        <v>86</v>
      </c>
      <c r="I24" s="8" t="s">
        <v>41</v>
      </c>
    </row>
    <row r="25" customFormat="false" ht="17.15" hidden="false" customHeight="false" outlineLevel="0" collapsed="false">
      <c r="A25" s="0" t="s">
        <v>87</v>
      </c>
      <c r="B25" s="0" t="s">
        <v>88</v>
      </c>
      <c r="C25" s="5" t="s">
        <v>27</v>
      </c>
      <c r="E25" s="7" t="n">
        <v>3.85</v>
      </c>
      <c r="G25" s="8" t="s">
        <v>28</v>
      </c>
      <c r="H25" s="8" t="s">
        <v>89</v>
      </c>
      <c r="I25" s="5" t="s">
        <v>90</v>
      </c>
    </row>
    <row r="26" customFormat="false" ht="17.15" hidden="false" customHeight="false" outlineLevel="0" collapsed="false">
      <c r="A26" s="0" t="s">
        <v>91</v>
      </c>
      <c r="B26" s="0" t="s">
        <v>92</v>
      </c>
      <c r="C26" s="5" t="s">
        <v>27</v>
      </c>
      <c r="E26" s="7" t="n">
        <v>5.5</v>
      </c>
      <c r="G26" s="8" t="s">
        <v>28</v>
      </c>
      <c r="H26" s="5" t="s">
        <v>33</v>
      </c>
      <c r="I26" s="5" t="s">
        <v>33</v>
      </c>
    </row>
    <row r="27" customFormat="false" ht="17.15" hidden="false" customHeight="false" outlineLevel="0" collapsed="false">
      <c r="A27" s="0" t="s">
        <v>93</v>
      </c>
      <c r="B27" s="0" t="s">
        <v>94</v>
      </c>
      <c r="C27" s="5" t="s">
        <v>27</v>
      </c>
      <c r="E27" s="7" t="n">
        <v>7</v>
      </c>
      <c r="G27" s="8" t="s">
        <v>28</v>
      </c>
      <c r="H27" s="5" t="s">
        <v>33</v>
      </c>
      <c r="I27" s="5" t="s">
        <v>33</v>
      </c>
    </row>
    <row r="28" customFormat="false" ht="17.15" hidden="false" customHeight="false" outlineLevel="0" collapsed="false">
      <c r="A28" s="0" t="s">
        <v>95</v>
      </c>
      <c r="B28" s="0" t="s">
        <v>96</v>
      </c>
      <c r="C28" s="0" t="s">
        <v>38</v>
      </c>
      <c r="E28" s="7" t="n">
        <v>0.15</v>
      </c>
      <c r="G28" s="8" t="s">
        <v>39</v>
      </c>
      <c r="H28" s="8" t="s">
        <v>97</v>
      </c>
      <c r="I28" s="8" t="s">
        <v>41</v>
      </c>
    </row>
    <row r="29" customFormat="false" ht="17.15" hidden="false" customHeight="false" outlineLevel="0" collapsed="false">
      <c r="A29" s="0" t="s">
        <v>98</v>
      </c>
      <c r="B29" s="0" t="s">
        <v>99</v>
      </c>
      <c r="C29" s="5" t="s">
        <v>27</v>
      </c>
      <c r="E29" s="7" t="n">
        <v>2</v>
      </c>
      <c r="G29" s="8" t="s">
        <v>39</v>
      </c>
      <c r="H29" s="8" t="s">
        <v>100</v>
      </c>
      <c r="I29" s="5" t="s">
        <v>101</v>
      </c>
    </row>
    <row r="30" customFormat="false" ht="17.15" hidden="false" customHeight="false" outlineLevel="0" collapsed="false">
      <c r="A30" s="0" t="s">
        <v>102</v>
      </c>
      <c r="B30" s="0" t="s">
        <v>103</v>
      </c>
      <c r="C30" s="5" t="s">
        <v>27</v>
      </c>
      <c r="E30" s="7" t="n">
        <v>2.5</v>
      </c>
      <c r="G30" s="8" t="s">
        <v>39</v>
      </c>
      <c r="H30" s="5" t="s">
        <v>33</v>
      </c>
      <c r="I30" s="5" t="s">
        <v>33</v>
      </c>
    </row>
    <row r="31" customFormat="false" ht="17.15" hidden="false" customHeight="false" outlineLevel="0" collapsed="false">
      <c r="A31" s="0" t="s">
        <v>104</v>
      </c>
      <c r="B31" s="0" t="s">
        <v>105</v>
      </c>
      <c r="C31" s="5" t="s">
        <v>27</v>
      </c>
      <c r="E31" s="7" t="n">
        <v>3</v>
      </c>
      <c r="G31" s="8" t="s">
        <v>39</v>
      </c>
      <c r="H31" s="5" t="s">
        <v>33</v>
      </c>
      <c r="I31" s="5" t="s">
        <v>33</v>
      </c>
    </row>
    <row r="32" customFormat="false" ht="17.15" hidden="false" customHeight="false" outlineLevel="0" collapsed="false">
      <c r="A32" s="0" t="s">
        <v>106</v>
      </c>
      <c r="B32" s="0" t="s">
        <v>107</v>
      </c>
      <c r="C32" s="0" t="s">
        <v>38</v>
      </c>
      <c r="E32" s="7" t="n">
        <v>0.15</v>
      </c>
      <c r="G32" s="8" t="s">
        <v>39</v>
      </c>
      <c r="H32" s="8" t="s">
        <v>108</v>
      </c>
      <c r="I32" s="8" t="s">
        <v>41</v>
      </c>
    </row>
    <row r="33" customFormat="false" ht="17.15" hidden="false" customHeight="false" outlineLevel="0" collapsed="false">
      <c r="A33" s="0" t="s">
        <v>109</v>
      </c>
      <c r="B33" s="5" t="s">
        <v>110</v>
      </c>
      <c r="C33" s="5" t="s">
        <v>27</v>
      </c>
      <c r="E33" s="7" t="n">
        <v>1</v>
      </c>
      <c r="G33" s="8" t="s">
        <v>111</v>
      </c>
      <c r="H33" s="8" t="s">
        <v>112</v>
      </c>
      <c r="I33" s="5" t="s">
        <v>113</v>
      </c>
    </row>
    <row r="34" customFormat="false" ht="17.15" hidden="false" customHeight="false" outlineLevel="0" collapsed="false">
      <c r="A34" s="0" t="s">
        <v>114</v>
      </c>
      <c r="B34" s="5" t="s">
        <v>115</v>
      </c>
      <c r="C34" s="5" t="s">
        <v>27</v>
      </c>
      <c r="E34" s="7" t="n">
        <v>4.5</v>
      </c>
      <c r="G34" s="8" t="s">
        <v>111</v>
      </c>
      <c r="H34" s="5" t="s">
        <v>33</v>
      </c>
      <c r="I34" s="5" t="s">
        <v>33</v>
      </c>
    </row>
    <row r="35" customFormat="false" ht="17.15" hidden="false" customHeight="false" outlineLevel="0" collapsed="false">
      <c r="A35" s="0" t="s">
        <v>116</v>
      </c>
      <c r="B35" s="5" t="s">
        <v>117</v>
      </c>
      <c r="C35" s="5" t="s">
        <v>27</v>
      </c>
      <c r="E35" s="7" t="n">
        <v>5</v>
      </c>
      <c r="G35" s="8" t="s">
        <v>111</v>
      </c>
      <c r="H35" s="5" t="s">
        <v>33</v>
      </c>
      <c r="I35" s="5" t="s">
        <v>33</v>
      </c>
    </row>
    <row r="36" customFormat="false" ht="17.15" hidden="false" customHeight="false" outlineLevel="0" collapsed="false">
      <c r="A36" s="0" t="s">
        <v>118</v>
      </c>
      <c r="B36" s="5" t="s">
        <v>119</v>
      </c>
      <c r="C36" s="0" t="s">
        <v>38</v>
      </c>
      <c r="E36" s="7" t="n">
        <v>0.15</v>
      </c>
      <c r="G36" s="8" t="s">
        <v>39</v>
      </c>
      <c r="H36" s="8" t="s">
        <v>120</v>
      </c>
      <c r="I36" s="8" t="s">
        <v>41</v>
      </c>
    </row>
    <row r="37" customFormat="false" ht="17.15" hidden="false" customHeight="false" outlineLevel="0" collapsed="false">
      <c r="A37" s="0" t="s">
        <v>121</v>
      </c>
      <c r="B37" s="5" t="s">
        <v>122</v>
      </c>
      <c r="C37" s="0" t="s">
        <v>123</v>
      </c>
      <c r="E37" s="7" t="n">
        <v>1</v>
      </c>
      <c r="G37" s="8" t="s">
        <v>39</v>
      </c>
      <c r="H37" s="8" t="s">
        <v>124</v>
      </c>
      <c r="I37" s="8" t="s">
        <v>125</v>
      </c>
    </row>
    <row r="38" customFormat="false" ht="17.15" hidden="false" customHeight="false" outlineLevel="0" collapsed="false">
      <c r="A38" s="0" t="s">
        <v>126</v>
      </c>
      <c r="B38" s="5" t="s">
        <v>127</v>
      </c>
      <c r="C38" s="0" t="s">
        <v>123</v>
      </c>
      <c r="E38" s="7" t="n">
        <v>1</v>
      </c>
      <c r="G38" s="8" t="s">
        <v>39</v>
      </c>
      <c r="H38" s="8" t="s">
        <v>128</v>
      </c>
      <c r="I38" s="5" t="s">
        <v>33</v>
      </c>
    </row>
    <row r="39" customFormat="false" ht="17.15" hidden="false" customHeight="false" outlineLevel="0" collapsed="false">
      <c r="A39" s="0" t="s">
        <v>129</v>
      </c>
      <c r="B39" s="5" t="s">
        <v>130</v>
      </c>
      <c r="C39" s="0" t="s">
        <v>123</v>
      </c>
      <c r="E39" s="7" t="n">
        <v>0.8</v>
      </c>
      <c r="G39" s="8" t="s">
        <v>39</v>
      </c>
      <c r="H39" s="8" t="s">
        <v>131</v>
      </c>
      <c r="I39" s="8" t="s">
        <v>125</v>
      </c>
    </row>
    <row r="40" customFormat="false" ht="17.15" hidden="false" customHeight="false" outlineLevel="0" collapsed="false">
      <c r="A40" s="0" t="s">
        <v>132</v>
      </c>
      <c r="B40" s="5" t="s">
        <v>133</v>
      </c>
      <c r="C40" s="0" t="s">
        <v>123</v>
      </c>
      <c r="E40" s="7" t="n">
        <v>0.85</v>
      </c>
      <c r="G40" s="8" t="s">
        <v>39</v>
      </c>
      <c r="H40" s="8" t="s">
        <v>134</v>
      </c>
      <c r="I40" s="5" t="s">
        <v>33</v>
      </c>
    </row>
    <row r="41" customFormat="false" ht="17.15" hidden="false" customHeight="false" outlineLevel="0" collapsed="false">
      <c r="A41" s="0" t="s">
        <v>135</v>
      </c>
      <c r="B41" s="5" t="s">
        <v>136</v>
      </c>
      <c r="C41" s="0" t="s">
        <v>123</v>
      </c>
      <c r="E41" s="7" t="n">
        <v>0.6</v>
      </c>
      <c r="G41" s="8" t="s">
        <v>39</v>
      </c>
      <c r="H41" s="8" t="s">
        <v>137</v>
      </c>
      <c r="I41" s="8" t="s">
        <v>125</v>
      </c>
    </row>
    <row r="42" customFormat="false" ht="17.15" hidden="false" customHeight="false" outlineLevel="0" collapsed="false">
      <c r="A42" s="0" t="s">
        <v>138</v>
      </c>
      <c r="B42" s="5" t="s">
        <v>139</v>
      </c>
      <c r="C42" s="0" t="s">
        <v>123</v>
      </c>
      <c r="E42" s="7" t="n">
        <v>0.6</v>
      </c>
      <c r="G42" s="8" t="s">
        <v>39</v>
      </c>
      <c r="H42" s="8" t="s">
        <v>140</v>
      </c>
      <c r="I42" s="5" t="s">
        <v>33</v>
      </c>
    </row>
    <row r="43" customFormat="false" ht="17.15" hidden="false" customHeight="false" outlineLevel="0" collapsed="false">
      <c r="A43" s="0" t="s">
        <v>141</v>
      </c>
      <c r="B43" s="0" t="s">
        <v>142</v>
      </c>
      <c r="C43" s="0" t="s">
        <v>38</v>
      </c>
      <c r="D43" s="7" t="n">
        <v>-0.1</v>
      </c>
      <c r="E43" s="7" t="n">
        <v>0</v>
      </c>
      <c r="F43" s="7" t="n">
        <v>0.1</v>
      </c>
      <c r="G43" s="8" t="s">
        <v>39</v>
      </c>
      <c r="H43" s="5" t="s">
        <v>143</v>
      </c>
      <c r="I43" s="8" t="s">
        <v>144</v>
      </c>
    </row>
    <row r="44" customFormat="false" ht="17.15" hidden="false" customHeight="false" outlineLevel="0" collapsed="false">
      <c r="A44" s="1" t="s">
        <v>145</v>
      </c>
    </row>
    <row r="45" customFormat="false" ht="17.15" hidden="false" customHeight="false" outlineLevel="0" collapsed="false">
      <c r="A45" s="0" t="s">
        <v>146</v>
      </c>
      <c r="B45" s="0" t="s">
        <v>147</v>
      </c>
      <c r="C45" s="0" t="s">
        <v>148</v>
      </c>
      <c r="E45" s="7" t="n">
        <v>6.9</v>
      </c>
      <c r="G45" s="8" t="s">
        <v>28</v>
      </c>
      <c r="H45" s="8" t="s">
        <v>149</v>
      </c>
      <c r="I45" s="5" t="s">
        <v>150</v>
      </c>
    </row>
    <row r="46" customFormat="false" ht="17.15" hidden="false" customHeight="false" outlineLevel="0" collapsed="false">
      <c r="A46" s="0" t="s">
        <v>151</v>
      </c>
      <c r="B46" s="5" t="s">
        <v>152</v>
      </c>
      <c r="C46" s="0" t="s">
        <v>148</v>
      </c>
      <c r="E46" s="7" t="n">
        <v>2.1</v>
      </c>
      <c r="G46" s="8" t="s">
        <v>28</v>
      </c>
      <c r="H46" s="5" t="s">
        <v>153</v>
      </c>
      <c r="I46" s="5" t="s">
        <v>150</v>
      </c>
    </row>
    <row r="47" customFormat="false" ht="17.15" hidden="false" customHeight="false" outlineLevel="0" collapsed="false">
      <c r="A47" s="0" t="s">
        <v>154</v>
      </c>
      <c r="B47" s="0" t="s">
        <v>155</v>
      </c>
      <c r="C47" s="0" t="s">
        <v>148</v>
      </c>
      <c r="D47" s="7" t="n">
        <v>10.5</v>
      </c>
      <c r="E47" s="7" t="n">
        <v>11</v>
      </c>
      <c r="F47" s="7" t="n">
        <v>11.5</v>
      </c>
      <c r="G47" s="8" t="s">
        <v>28</v>
      </c>
      <c r="H47" s="8" t="s">
        <v>156</v>
      </c>
      <c r="I47" s="5" t="s">
        <v>157</v>
      </c>
    </row>
    <row r="48" customFormat="false" ht="17.15" hidden="false" customHeight="false" outlineLevel="0" collapsed="false">
      <c r="A48" s="0" t="s">
        <v>158</v>
      </c>
      <c r="B48" s="5" t="s">
        <v>159</v>
      </c>
      <c r="C48" s="0" t="s">
        <v>148</v>
      </c>
      <c r="D48" s="7" t="n">
        <v>2.5</v>
      </c>
      <c r="E48" s="7" t="n">
        <v>2.75</v>
      </c>
      <c r="F48" s="7" t="n">
        <v>3</v>
      </c>
      <c r="G48" s="8" t="s">
        <v>28</v>
      </c>
      <c r="H48" s="8" t="s">
        <v>160</v>
      </c>
      <c r="I48" s="5" t="s">
        <v>161</v>
      </c>
    </row>
    <row r="49" customFormat="false" ht="17.15" hidden="false" customHeight="false" outlineLevel="0" collapsed="false">
      <c r="A49" s="0" t="s">
        <v>162</v>
      </c>
      <c r="B49" s="5" t="s">
        <v>163</v>
      </c>
      <c r="C49" s="0" t="s">
        <v>148</v>
      </c>
      <c r="D49" s="7" t="n">
        <v>3.7</v>
      </c>
      <c r="E49" s="7" t="n">
        <v>4.3</v>
      </c>
      <c r="F49" s="7" t="n">
        <v>4.9</v>
      </c>
      <c r="G49" s="8" t="s">
        <v>164</v>
      </c>
      <c r="H49" s="8" t="s">
        <v>165</v>
      </c>
      <c r="I49" s="5" t="s">
        <v>166</v>
      </c>
    </row>
    <row r="50" customFormat="false" ht="17.15" hidden="false" customHeight="false" outlineLevel="0" collapsed="false">
      <c r="A50" s="0" t="s">
        <v>167</v>
      </c>
      <c r="B50" s="5" t="s">
        <v>168</v>
      </c>
      <c r="C50" s="0" t="s">
        <v>38</v>
      </c>
      <c r="D50" s="7" t="n">
        <v>0</v>
      </c>
      <c r="E50" s="7" t="n">
        <v>0.04</v>
      </c>
      <c r="F50" s="7" t="n">
        <v>0.08</v>
      </c>
      <c r="G50" s="8" t="s">
        <v>39</v>
      </c>
      <c r="H50" s="5" t="s">
        <v>169</v>
      </c>
      <c r="I50" s="8" t="s">
        <v>170</v>
      </c>
    </row>
    <row r="51" customFormat="false" ht="17.15" hidden="false" customHeight="false" outlineLevel="0" collapsed="false">
      <c r="A51" s="0" t="s">
        <v>171</v>
      </c>
      <c r="B51" s="5" t="s">
        <v>172</v>
      </c>
      <c r="C51" s="0" t="s">
        <v>173</v>
      </c>
      <c r="D51" s="7" t="n">
        <v>0.05</v>
      </c>
      <c r="E51" s="7" t="n">
        <v>0</v>
      </c>
      <c r="F51" s="7" t="n">
        <v>0.1</v>
      </c>
      <c r="G51" s="8" t="s">
        <v>39</v>
      </c>
      <c r="H51" s="5" t="s">
        <v>174</v>
      </c>
      <c r="I51" s="5" t="s">
        <v>175</v>
      </c>
    </row>
    <row r="52" customFormat="false" ht="17.15" hidden="false" customHeight="false" outlineLevel="0" collapsed="false">
      <c r="A52" s="0" t="s">
        <v>176</v>
      </c>
      <c r="B52" s="5" t="s">
        <v>177</v>
      </c>
      <c r="C52" s="0" t="s">
        <v>178</v>
      </c>
      <c r="D52" s="7" t="n">
        <v>1</v>
      </c>
      <c r="E52" s="7" t="n">
        <v>1.5</v>
      </c>
      <c r="F52" s="7" t="n">
        <v>2.5</v>
      </c>
      <c r="G52" s="8" t="s">
        <v>39</v>
      </c>
      <c r="H52" s="5" t="s">
        <v>179</v>
      </c>
      <c r="I52" s="5" t="s">
        <v>180</v>
      </c>
    </row>
    <row r="53" customFormat="false" ht="17.15" hidden="false" customHeight="false" outlineLevel="0" collapsed="false">
      <c r="A53" s="0" t="s">
        <v>181</v>
      </c>
      <c r="B53" s="5" t="s">
        <v>182</v>
      </c>
      <c r="C53" s="0" t="s">
        <v>123</v>
      </c>
      <c r="D53" s="7" t="n">
        <v>0.9</v>
      </c>
      <c r="E53" s="7" t="n">
        <v>1</v>
      </c>
      <c r="F53" s="7" t="n">
        <v>1.1</v>
      </c>
      <c r="G53" s="8" t="s">
        <v>39</v>
      </c>
      <c r="H53" s="5" t="s">
        <v>183</v>
      </c>
      <c r="I53" s="5" t="s">
        <v>184</v>
      </c>
    </row>
    <row r="54" customFormat="false" ht="17.15" hidden="false" customHeight="false" outlineLevel="0" collapsed="false">
      <c r="A54" s="0" t="s">
        <v>185</v>
      </c>
      <c r="B54" s="5" t="s">
        <v>186</v>
      </c>
      <c r="C54" s="0" t="s">
        <v>123</v>
      </c>
      <c r="D54" s="7" t="n">
        <v>1.1</v>
      </c>
      <c r="E54" s="7" t="n">
        <v>1.3</v>
      </c>
      <c r="F54" s="7" t="n">
        <v>1.6</v>
      </c>
      <c r="G54" s="8" t="s">
        <v>39</v>
      </c>
      <c r="H54" s="5" t="s">
        <v>187</v>
      </c>
      <c r="I54" s="5" t="s">
        <v>184</v>
      </c>
    </row>
    <row r="55" customFormat="false" ht="17.15" hidden="false" customHeight="false" outlineLevel="0" collapsed="false">
      <c r="A55" s="0" t="s">
        <v>188</v>
      </c>
      <c r="B55" s="5" t="s">
        <v>189</v>
      </c>
      <c r="C55" s="0" t="s">
        <v>123</v>
      </c>
      <c r="D55" s="7" t="n">
        <v>1.3</v>
      </c>
      <c r="E55" s="7" t="n">
        <v>1.7</v>
      </c>
      <c r="F55" s="7" t="n">
        <v>2.2</v>
      </c>
      <c r="G55" s="8" t="s">
        <v>39</v>
      </c>
      <c r="H55" s="5" t="s">
        <v>190</v>
      </c>
      <c r="I55" s="5" t="s">
        <v>184</v>
      </c>
    </row>
    <row r="56" customFormat="false" ht="17.15" hidden="false" customHeight="false" outlineLevel="0" collapsed="false">
      <c r="A56" s="0" t="s">
        <v>191</v>
      </c>
      <c r="B56" s="5" t="s">
        <v>192</v>
      </c>
      <c r="C56" s="0" t="s">
        <v>123</v>
      </c>
      <c r="D56" s="7" t="n">
        <v>0.5</v>
      </c>
      <c r="E56" s="7" t="n">
        <v>0.6</v>
      </c>
      <c r="F56" s="7" t="n">
        <v>0.8</v>
      </c>
      <c r="G56" s="8" t="s">
        <v>39</v>
      </c>
      <c r="H56" s="5" t="s">
        <v>193</v>
      </c>
      <c r="I56" s="5" t="s">
        <v>184</v>
      </c>
    </row>
    <row r="57" customFormat="false" ht="17.15" hidden="false" customHeight="false" outlineLevel="0" collapsed="false">
      <c r="A57" s="0" t="s">
        <v>194</v>
      </c>
      <c r="B57" s="5" t="s">
        <v>195</v>
      </c>
      <c r="C57" s="0" t="s">
        <v>123</v>
      </c>
      <c r="D57" s="7" t="n">
        <v>0.9</v>
      </c>
      <c r="E57" s="7" t="n">
        <v>1.1</v>
      </c>
      <c r="F57" s="7" t="n">
        <v>1.4</v>
      </c>
      <c r="G57" s="8" t="s">
        <v>39</v>
      </c>
      <c r="H57" s="5" t="s">
        <v>196</v>
      </c>
      <c r="I57" s="5" t="s">
        <v>184</v>
      </c>
    </row>
    <row r="58" customFormat="false" ht="17.15" hidden="false" customHeight="false" outlineLevel="0" collapsed="false">
      <c r="A58" s="0" t="s">
        <v>197</v>
      </c>
      <c r="B58" s="5" t="s">
        <v>198</v>
      </c>
      <c r="C58" s="0" t="s">
        <v>123</v>
      </c>
      <c r="D58" s="7" t="n">
        <v>0.8</v>
      </c>
      <c r="E58" s="7" t="n">
        <v>1</v>
      </c>
      <c r="F58" s="7" t="n">
        <v>1.3</v>
      </c>
      <c r="G58" s="8" t="s">
        <v>39</v>
      </c>
      <c r="H58" s="5" t="s">
        <v>199</v>
      </c>
      <c r="I58" s="5" t="s">
        <v>184</v>
      </c>
    </row>
    <row r="59" customFormat="false" ht="17.15" hidden="false" customHeight="false" outlineLevel="0" collapsed="false">
      <c r="A59" s="0" t="s">
        <v>200</v>
      </c>
      <c r="B59" s="5" t="s">
        <v>201</v>
      </c>
      <c r="C59" s="0" t="s">
        <v>123</v>
      </c>
      <c r="D59" s="7" t="n">
        <v>0.6</v>
      </c>
      <c r="E59" s="7" t="n">
        <v>0.8</v>
      </c>
      <c r="F59" s="7" t="n">
        <v>1.1</v>
      </c>
      <c r="G59" s="8" t="s">
        <v>39</v>
      </c>
      <c r="H59" s="5" t="s">
        <v>202</v>
      </c>
      <c r="I59" s="5" t="s">
        <v>184</v>
      </c>
    </row>
    <row r="60" customFormat="false" ht="17.15" hidden="false" customHeight="false" outlineLevel="0" collapsed="false">
      <c r="A60" s="0" t="s">
        <v>203</v>
      </c>
      <c r="B60" s="5" t="s">
        <v>204</v>
      </c>
      <c r="C60" s="0" t="s">
        <v>123</v>
      </c>
      <c r="D60" s="7" t="n">
        <v>0.5</v>
      </c>
      <c r="E60" s="7" t="n">
        <v>0.7</v>
      </c>
      <c r="F60" s="7" t="n">
        <v>1</v>
      </c>
      <c r="G60" s="8" t="s">
        <v>39</v>
      </c>
      <c r="H60" s="5" t="s">
        <v>205</v>
      </c>
      <c r="I60" s="5" t="s">
        <v>184</v>
      </c>
    </row>
    <row r="61" customFormat="false" ht="17.15" hidden="false" customHeight="false" outlineLevel="0" collapsed="false">
      <c r="A61" s="1" t="s">
        <v>206</v>
      </c>
    </row>
    <row r="62" customFormat="false" ht="17.15" hidden="false" customHeight="false" outlineLevel="0" collapsed="false">
      <c r="A62" s="0" t="s">
        <v>207</v>
      </c>
      <c r="B62" s="0" t="s">
        <v>208</v>
      </c>
      <c r="C62" s="0" t="s">
        <v>38</v>
      </c>
      <c r="D62" s="7" t="n">
        <v>0.61</v>
      </c>
      <c r="E62" s="7" t="n">
        <v>0.66</v>
      </c>
      <c r="F62" s="7" t="n">
        <v>0.71</v>
      </c>
      <c r="G62" s="8" t="s">
        <v>28</v>
      </c>
      <c r="H62" s="8" t="s">
        <v>209</v>
      </c>
      <c r="I62" s="5" t="s">
        <v>210</v>
      </c>
    </row>
    <row r="63" customFormat="false" ht="17.15" hidden="false" customHeight="false" outlineLevel="0" collapsed="false">
      <c r="A63" s="0" t="s">
        <v>211</v>
      </c>
      <c r="B63" s="5" t="s">
        <v>212</v>
      </c>
      <c r="C63" s="0" t="s">
        <v>38</v>
      </c>
      <c r="D63" s="7" t="n">
        <v>0.56</v>
      </c>
      <c r="E63" s="7" t="n">
        <v>0.61</v>
      </c>
      <c r="F63" s="7" t="n">
        <v>0.66</v>
      </c>
      <c r="G63" s="8" t="s">
        <v>39</v>
      </c>
      <c r="H63" s="5" t="s">
        <v>213</v>
      </c>
      <c r="I63" s="8" t="s">
        <v>214</v>
      </c>
    </row>
    <row r="64" customFormat="false" ht="17.15" hidden="false" customHeight="false" outlineLevel="0" collapsed="false">
      <c r="A64" s="0" t="s">
        <v>215</v>
      </c>
      <c r="B64" s="5" t="s">
        <v>216</v>
      </c>
      <c r="C64" s="0" t="s">
        <v>38</v>
      </c>
      <c r="D64" s="7" t="n">
        <v>0.51</v>
      </c>
      <c r="E64" s="7" t="n">
        <v>0.56</v>
      </c>
      <c r="F64" s="7" t="n">
        <v>0.61</v>
      </c>
      <c r="G64" s="8" t="s">
        <v>164</v>
      </c>
      <c r="H64" s="8" t="s">
        <v>217</v>
      </c>
      <c r="I64" s="5" t="s">
        <v>218</v>
      </c>
    </row>
    <row r="65" customFormat="false" ht="17.15" hidden="false" customHeight="false" outlineLevel="0" collapsed="false">
      <c r="A65" s="0" t="s">
        <v>219</v>
      </c>
      <c r="B65" s="0" t="s">
        <v>220</v>
      </c>
      <c r="C65" s="0" t="s">
        <v>38</v>
      </c>
      <c r="D65" s="0" t="n">
        <f aca="false">sh_mem-0.05</f>
        <v>0.455340699815838</v>
      </c>
      <c r="E65" s="0" t="n">
        <f aca="false">a25_mem/(fmk_mem25*fx)</f>
        <v>0.505340699815838</v>
      </c>
      <c r="F65" s="0" t="n">
        <f aca="false">sh_mem+0.05</f>
        <v>0.555340699815838</v>
      </c>
      <c r="G65" s="0" t="s">
        <v>221</v>
      </c>
      <c r="H65" s="0" t="s">
        <v>222</v>
      </c>
      <c r="I65" s="5" t="s">
        <v>223</v>
      </c>
    </row>
    <row r="66" customFormat="false" ht="17.15" hidden="false" customHeight="false" outlineLevel="0" collapsed="false">
      <c r="A66" s="0" t="s">
        <v>224</v>
      </c>
      <c r="B66" s="5" t="s">
        <v>225</v>
      </c>
      <c r="C66" s="0" t="s">
        <v>38</v>
      </c>
      <c r="D66" s="7" t="n">
        <v>0.3</v>
      </c>
      <c r="E66" s="7" t="n">
        <v>0.5</v>
      </c>
      <c r="F66" s="7" t="n">
        <v>0.7</v>
      </c>
      <c r="G66" s="8" t="s">
        <v>39</v>
      </c>
      <c r="H66" s="5" t="s">
        <v>226</v>
      </c>
      <c r="I66" s="5" t="s">
        <v>150</v>
      </c>
    </row>
    <row r="67" customFormat="false" ht="17.15" hidden="false" customHeight="false" outlineLevel="0" collapsed="false">
      <c r="A67" s="1" t="s">
        <v>227</v>
      </c>
    </row>
    <row r="68" customFormat="false" ht="17.15" hidden="false" customHeight="false" outlineLevel="0" collapsed="false">
      <c r="A68" s="0" t="s">
        <v>228</v>
      </c>
      <c r="B68" s="0" t="s">
        <v>229</v>
      </c>
      <c r="C68" s="0" t="s">
        <v>230</v>
      </c>
      <c r="E68" s="7" t="n">
        <v>2.22511470588235</v>
      </c>
      <c r="G68" s="8" t="s">
        <v>221</v>
      </c>
      <c r="H68" s="8" t="s">
        <v>231</v>
      </c>
      <c r="I68" s="8" t="s">
        <v>232</v>
      </c>
    </row>
    <row r="69" customFormat="false" ht="17.15" hidden="false" customHeight="false" outlineLevel="0" collapsed="false">
      <c r="A69" s="0" t="s">
        <v>233</v>
      </c>
      <c r="B69" s="0" t="s">
        <v>234</v>
      </c>
      <c r="C69" s="0" t="s">
        <v>230</v>
      </c>
      <c r="E69" s="7" t="n">
        <v>3.782695</v>
      </c>
      <c r="G69" s="8" t="s">
        <v>221</v>
      </c>
      <c r="H69" s="8" t="s">
        <v>231</v>
      </c>
      <c r="I69" s="8" t="s">
        <v>232</v>
      </c>
    </row>
    <row r="70" customFormat="false" ht="17.15" hidden="false" customHeight="false" outlineLevel="0" collapsed="false">
      <c r="A70" s="0" t="s">
        <v>235</v>
      </c>
      <c r="B70" s="0" t="s">
        <v>236</v>
      </c>
      <c r="C70" s="0" t="s">
        <v>230</v>
      </c>
      <c r="E70" s="7" t="n">
        <v>5.86317725</v>
      </c>
      <c r="G70" s="8" t="s">
        <v>221</v>
      </c>
      <c r="H70" s="8" t="s">
        <v>231</v>
      </c>
      <c r="I70" s="8" t="s">
        <v>232</v>
      </c>
    </row>
    <row r="71" customFormat="false" ht="17.15" hidden="false" customHeight="false" outlineLevel="0" collapsed="false">
      <c r="A71" s="0" t="s">
        <v>237</v>
      </c>
      <c r="B71" s="0" t="s">
        <v>238</v>
      </c>
      <c r="C71" s="0" t="s">
        <v>230</v>
      </c>
      <c r="E71" s="7" t="n">
        <v>8.5016070125</v>
      </c>
      <c r="G71" s="8" t="s">
        <v>221</v>
      </c>
      <c r="H71" s="8" t="s">
        <v>231</v>
      </c>
      <c r="I71" s="8" t="s">
        <v>232</v>
      </c>
    </row>
    <row r="72" customFormat="false" ht="17.15" hidden="false" customHeight="false" outlineLevel="0" collapsed="false">
      <c r="A72" s="0" t="s">
        <v>239</v>
      </c>
      <c r="B72" s="0" t="s">
        <v>240</v>
      </c>
      <c r="C72" s="0" t="s">
        <v>230</v>
      </c>
      <c r="E72" s="7" t="n">
        <v>11.477169466875</v>
      </c>
      <c r="G72" s="8" t="s">
        <v>221</v>
      </c>
      <c r="H72" s="8" t="s">
        <v>231</v>
      </c>
      <c r="I72" s="8" t="s">
        <v>232</v>
      </c>
    </row>
    <row r="73" customFormat="false" ht="17.15" hidden="false" customHeight="false" outlineLevel="0" collapsed="false">
      <c r="A73" s="0" t="s">
        <v>241</v>
      </c>
      <c r="B73" s="0" t="s">
        <v>242</v>
      </c>
      <c r="C73" s="0" t="s">
        <v>230</v>
      </c>
      <c r="E73" s="7" t="n">
        <v>2.22511470588235</v>
      </c>
      <c r="G73" s="8" t="s">
        <v>221</v>
      </c>
      <c r="H73" s="8" t="s">
        <v>243</v>
      </c>
      <c r="I73" s="8" t="s">
        <v>232</v>
      </c>
    </row>
    <row r="74" customFormat="false" ht="17.15" hidden="false" customHeight="false" outlineLevel="0" collapsed="false">
      <c r="A74" s="0" t="s">
        <v>244</v>
      </c>
      <c r="B74" s="0" t="s">
        <v>245</v>
      </c>
      <c r="C74" s="0" t="s">
        <v>230</v>
      </c>
      <c r="E74" s="7" t="n">
        <v>3.782695</v>
      </c>
      <c r="G74" s="8" t="s">
        <v>221</v>
      </c>
      <c r="H74" s="8" t="s">
        <v>243</v>
      </c>
      <c r="I74" s="8" t="s">
        <v>232</v>
      </c>
    </row>
    <row r="75" customFormat="false" ht="17.15" hidden="false" customHeight="false" outlineLevel="0" collapsed="false">
      <c r="A75" s="0" t="s">
        <v>246</v>
      </c>
      <c r="B75" s="0" t="s">
        <v>247</v>
      </c>
      <c r="C75" s="0" t="s">
        <v>230</v>
      </c>
      <c r="E75" s="7" t="n">
        <v>5.86317725</v>
      </c>
      <c r="G75" s="8" t="s">
        <v>221</v>
      </c>
      <c r="H75" s="8" t="s">
        <v>243</v>
      </c>
      <c r="I75" s="8" t="s">
        <v>232</v>
      </c>
    </row>
    <row r="76" customFormat="false" ht="17.15" hidden="false" customHeight="false" outlineLevel="0" collapsed="false">
      <c r="A76" s="0" t="s">
        <v>248</v>
      </c>
      <c r="B76" s="0" t="s">
        <v>249</v>
      </c>
      <c r="C76" s="0" t="s">
        <v>230</v>
      </c>
      <c r="E76" s="7" t="n">
        <v>8.22296</v>
      </c>
      <c r="G76" s="8" t="s">
        <v>221</v>
      </c>
      <c r="H76" s="8" t="s">
        <v>243</v>
      </c>
      <c r="I76" s="8" t="s">
        <v>232</v>
      </c>
    </row>
    <row r="77" customFormat="false" ht="17.15" hidden="false" customHeight="false" outlineLevel="0" collapsed="false">
      <c r="A77" s="0" t="s">
        <v>250</v>
      </c>
      <c r="B77" s="0" t="s">
        <v>251</v>
      </c>
      <c r="C77" s="0" t="s">
        <v>230</v>
      </c>
      <c r="E77" s="7" t="n">
        <v>11.3579635</v>
      </c>
      <c r="G77" s="8" t="s">
        <v>221</v>
      </c>
      <c r="H77" s="8" t="s">
        <v>243</v>
      </c>
      <c r="I77" s="8" t="s">
        <v>232</v>
      </c>
    </row>
    <row r="78" customFormat="false" ht="17.15" hidden="false" customHeight="false" outlineLevel="0" collapsed="false">
      <c r="A78" s="0" t="s">
        <v>252</v>
      </c>
      <c r="B78" s="0" t="s">
        <v>253</v>
      </c>
      <c r="C78" s="0" t="s">
        <v>230</v>
      </c>
      <c r="E78" s="7" t="n">
        <v>2.22511470588235</v>
      </c>
      <c r="G78" s="8" t="s">
        <v>221</v>
      </c>
      <c r="H78" s="8" t="s">
        <v>254</v>
      </c>
      <c r="I78" s="8" t="s">
        <v>232</v>
      </c>
    </row>
    <row r="79" customFormat="false" ht="17.15" hidden="false" customHeight="false" outlineLevel="0" collapsed="false">
      <c r="A79" s="0" t="s">
        <v>255</v>
      </c>
      <c r="B79" s="0" t="s">
        <v>256</v>
      </c>
      <c r="C79" s="0" t="s">
        <v>230</v>
      </c>
      <c r="E79" s="7" t="n">
        <v>3.782695</v>
      </c>
      <c r="G79" s="8" t="s">
        <v>221</v>
      </c>
      <c r="H79" s="8" t="s">
        <v>254</v>
      </c>
      <c r="I79" s="8" t="s">
        <v>232</v>
      </c>
    </row>
    <row r="80" customFormat="false" ht="17.15" hidden="false" customHeight="false" outlineLevel="0" collapsed="false">
      <c r="A80" s="0" t="s">
        <v>257</v>
      </c>
      <c r="B80" s="0" t="s">
        <v>258</v>
      </c>
      <c r="C80" s="0" t="s">
        <v>230</v>
      </c>
      <c r="E80" s="7" t="n">
        <v>5.86317725</v>
      </c>
      <c r="G80" s="8" t="s">
        <v>221</v>
      </c>
      <c r="H80" s="8" t="s">
        <v>254</v>
      </c>
      <c r="I80" s="8" t="s">
        <v>232</v>
      </c>
    </row>
    <row r="81" customFormat="false" ht="17.15" hidden="false" customHeight="false" outlineLevel="0" collapsed="false">
      <c r="A81" s="0" t="s">
        <v>259</v>
      </c>
      <c r="B81" s="0" t="s">
        <v>260</v>
      </c>
      <c r="C81" s="0" t="s">
        <v>230</v>
      </c>
      <c r="E81" s="7" t="n">
        <v>6.16722</v>
      </c>
      <c r="G81" s="8" t="s">
        <v>221</v>
      </c>
      <c r="H81" s="8" t="s">
        <v>254</v>
      </c>
      <c r="I81" s="8" t="s">
        <v>232</v>
      </c>
    </row>
    <row r="82" customFormat="false" ht="17.15" hidden="false" customHeight="false" outlineLevel="0" collapsed="false">
      <c r="A82" s="0" t="s">
        <v>261</v>
      </c>
      <c r="B82" s="0" t="s">
        <v>262</v>
      </c>
      <c r="C82" s="0" t="s">
        <v>230</v>
      </c>
      <c r="E82" s="7" t="n">
        <v>8.017386</v>
      </c>
      <c r="G82" s="8" t="s">
        <v>221</v>
      </c>
      <c r="H82" s="8" t="s">
        <v>254</v>
      </c>
      <c r="I82" s="8" t="s">
        <v>232</v>
      </c>
    </row>
    <row r="83" customFormat="false" ht="17.15" hidden="false" customHeight="false" outlineLevel="0" collapsed="false">
      <c r="A83" s="0" t="s">
        <v>263</v>
      </c>
      <c r="B83" s="0" t="s">
        <v>264</v>
      </c>
      <c r="C83" s="0" t="s">
        <v>148</v>
      </c>
      <c r="E83" s="7" t="n">
        <v>26.3761091658243</v>
      </c>
      <c r="G83" s="8" t="s">
        <v>221</v>
      </c>
      <c r="H83" s="8" t="s">
        <v>265</v>
      </c>
      <c r="I83" s="8" t="s">
        <v>266</v>
      </c>
    </row>
    <row r="84" customFormat="false" ht="17.15" hidden="false" customHeight="false" outlineLevel="0" collapsed="false">
      <c r="A84" s="0" t="s">
        <v>267</v>
      </c>
      <c r="B84" s="0" t="s">
        <v>268</v>
      </c>
      <c r="C84" s="0" t="s">
        <v>148</v>
      </c>
      <c r="E84" s="7" t="n">
        <v>39.3659468014757</v>
      </c>
      <c r="G84" s="8" t="s">
        <v>221</v>
      </c>
      <c r="H84" s="8" t="s">
        <v>265</v>
      </c>
      <c r="I84" s="8" t="s">
        <v>266</v>
      </c>
    </row>
    <row r="85" customFormat="false" ht="17.15" hidden="false" customHeight="false" outlineLevel="0" collapsed="false">
      <c r="A85" s="0" t="s">
        <v>269</v>
      </c>
      <c r="B85" s="0" t="s">
        <v>270</v>
      </c>
      <c r="C85" s="0" t="s">
        <v>148</v>
      </c>
      <c r="E85" s="7" t="n">
        <v>53.2587328153375</v>
      </c>
      <c r="G85" s="8" t="s">
        <v>221</v>
      </c>
      <c r="H85" s="8" t="s">
        <v>265</v>
      </c>
      <c r="I85" s="8" t="s">
        <v>266</v>
      </c>
    </row>
    <row r="86" customFormat="false" ht="17.15" hidden="false" customHeight="false" outlineLevel="0" collapsed="false">
      <c r="A86" s="0" t="s">
        <v>271</v>
      </c>
      <c r="B86" s="0" t="s">
        <v>272</v>
      </c>
      <c r="C86" s="0" t="s">
        <v>148</v>
      </c>
      <c r="E86" s="7" t="n">
        <v>59.5608998372386</v>
      </c>
      <c r="G86" s="8" t="s">
        <v>221</v>
      </c>
      <c r="H86" s="8" t="s">
        <v>265</v>
      </c>
      <c r="I86" s="8" t="s">
        <v>266</v>
      </c>
    </row>
    <row r="87" customFormat="false" ht="17.15" hidden="false" customHeight="false" outlineLevel="0" collapsed="false">
      <c r="A87" s="0" t="s">
        <v>273</v>
      </c>
      <c r="B87" s="0" t="s">
        <v>274</v>
      </c>
      <c r="C87" s="0" t="s">
        <v>148</v>
      </c>
      <c r="E87" s="7" t="n">
        <v>61.8312930912183</v>
      </c>
      <c r="G87" s="8" t="s">
        <v>221</v>
      </c>
      <c r="H87" s="8" t="s">
        <v>265</v>
      </c>
      <c r="I87" s="8" t="s">
        <v>266</v>
      </c>
    </row>
    <row r="88" customFormat="false" ht="17.15" hidden="false" customHeight="false" outlineLevel="0" collapsed="false">
      <c r="A88" s="0" t="s">
        <v>275</v>
      </c>
      <c r="B88" s="0" t="s">
        <v>276</v>
      </c>
      <c r="C88" s="0" t="s">
        <v>148</v>
      </c>
      <c r="E88" s="7" t="n">
        <v>26.3761091658243</v>
      </c>
      <c r="G88" s="8" t="s">
        <v>221</v>
      </c>
      <c r="H88" s="8" t="s">
        <v>277</v>
      </c>
      <c r="I88" s="8" t="s">
        <v>266</v>
      </c>
    </row>
    <row r="89" customFormat="false" ht="17.15" hidden="false" customHeight="false" outlineLevel="0" collapsed="false">
      <c r="A89" s="0" t="s">
        <v>278</v>
      </c>
      <c r="B89" s="0" t="s">
        <v>279</v>
      </c>
      <c r="C89" s="0" t="s">
        <v>148</v>
      </c>
      <c r="E89" s="7" t="n">
        <v>39.3659468014757</v>
      </c>
      <c r="G89" s="8" t="s">
        <v>221</v>
      </c>
      <c r="H89" s="8" t="s">
        <v>277</v>
      </c>
      <c r="I89" s="8" t="s">
        <v>266</v>
      </c>
    </row>
    <row r="90" customFormat="false" ht="17.15" hidden="false" customHeight="false" outlineLevel="0" collapsed="false">
      <c r="A90" s="0" t="s">
        <v>280</v>
      </c>
      <c r="B90" s="0" t="s">
        <v>281</v>
      </c>
      <c r="C90" s="0" t="s">
        <v>148</v>
      </c>
      <c r="E90" s="7" t="n">
        <v>53.2587328153375</v>
      </c>
      <c r="G90" s="8" t="s">
        <v>221</v>
      </c>
      <c r="H90" s="8" t="s">
        <v>277</v>
      </c>
      <c r="I90" s="8" t="s">
        <v>266</v>
      </c>
    </row>
    <row r="91" customFormat="false" ht="17.15" hidden="false" customHeight="false" outlineLevel="0" collapsed="false">
      <c r="A91" s="0" t="s">
        <v>282</v>
      </c>
      <c r="B91" s="0" t="s">
        <v>283</v>
      </c>
      <c r="C91" s="0" t="s">
        <v>148</v>
      </c>
      <c r="E91" s="7" t="n">
        <v>53.2587328153375</v>
      </c>
      <c r="G91" s="8" t="s">
        <v>221</v>
      </c>
      <c r="H91" s="8" t="s">
        <v>277</v>
      </c>
      <c r="I91" s="8" t="s">
        <v>266</v>
      </c>
    </row>
    <row r="92" customFormat="false" ht="17.15" hidden="false" customHeight="false" outlineLevel="0" collapsed="false">
      <c r="A92" s="0" t="s">
        <v>284</v>
      </c>
      <c r="B92" s="0" t="s">
        <v>285</v>
      </c>
      <c r="C92" s="0" t="s">
        <v>148</v>
      </c>
      <c r="E92" s="7" t="n">
        <v>50.5957961745707</v>
      </c>
      <c r="G92" s="8" t="s">
        <v>221</v>
      </c>
      <c r="H92" s="8" t="s">
        <v>277</v>
      </c>
      <c r="I92" s="8" t="s">
        <v>266</v>
      </c>
    </row>
    <row r="93" customFormat="false" ht="17.15" hidden="false" customHeight="false" outlineLevel="0" collapsed="false">
      <c r="A93" s="0" t="s">
        <v>286</v>
      </c>
      <c r="B93" s="0" t="s">
        <v>287</v>
      </c>
      <c r="C93" s="0" t="s">
        <v>148</v>
      </c>
      <c r="E93" s="7" t="n">
        <v>26.3761091658243</v>
      </c>
      <c r="G93" s="8" t="s">
        <v>221</v>
      </c>
      <c r="H93" s="8" t="s">
        <v>288</v>
      </c>
      <c r="I93" s="8" t="s">
        <v>266</v>
      </c>
    </row>
    <row r="94" customFormat="false" ht="17.15" hidden="false" customHeight="false" outlineLevel="0" collapsed="false">
      <c r="A94" s="0" t="s">
        <v>289</v>
      </c>
      <c r="B94" s="0" t="s">
        <v>290</v>
      </c>
      <c r="C94" s="0" t="s">
        <v>148</v>
      </c>
      <c r="E94" s="7" t="n">
        <v>39.3659468014757</v>
      </c>
      <c r="G94" s="8" t="s">
        <v>221</v>
      </c>
      <c r="H94" s="8" t="s">
        <v>288</v>
      </c>
      <c r="I94" s="8" t="s">
        <v>266</v>
      </c>
    </row>
    <row r="95" customFormat="false" ht="17.15" hidden="false" customHeight="false" outlineLevel="0" collapsed="false">
      <c r="A95" s="0" t="s">
        <v>291</v>
      </c>
      <c r="B95" s="0" t="s">
        <v>292</v>
      </c>
      <c r="C95" s="0" t="s">
        <v>148</v>
      </c>
      <c r="E95" s="7" t="n">
        <v>53.2587328153375</v>
      </c>
      <c r="G95" s="8" t="s">
        <v>221</v>
      </c>
      <c r="H95" s="8" t="s">
        <v>288</v>
      </c>
      <c r="I95" s="8" t="s">
        <v>266</v>
      </c>
    </row>
    <row r="96" customFormat="false" ht="17.15" hidden="false" customHeight="false" outlineLevel="0" collapsed="false">
      <c r="A96" s="0" t="s">
        <v>293</v>
      </c>
      <c r="B96" s="0" t="s">
        <v>294</v>
      </c>
      <c r="C96" s="0" t="s">
        <v>148</v>
      </c>
      <c r="E96" s="7" t="n">
        <v>42.60698625227</v>
      </c>
      <c r="G96" s="8" t="s">
        <v>221</v>
      </c>
      <c r="H96" s="8" t="s">
        <v>288</v>
      </c>
      <c r="I96" s="8" t="s">
        <v>266</v>
      </c>
    </row>
    <row r="97" customFormat="false" ht="17.15" hidden="false" customHeight="false" outlineLevel="0" collapsed="false">
      <c r="A97" s="0" t="s">
        <v>295</v>
      </c>
      <c r="B97" s="0" t="s">
        <v>296</v>
      </c>
      <c r="C97" s="0" t="s">
        <v>148</v>
      </c>
      <c r="E97" s="7" t="n">
        <v>42.60698625227</v>
      </c>
      <c r="G97" s="8" t="s">
        <v>221</v>
      </c>
      <c r="H97" s="8" t="s">
        <v>288</v>
      </c>
      <c r="I97" s="8" t="s">
        <v>266</v>
      </c>
    </row>
    <row r="98" customFormat="false" ht="17.15" hidden="false" customHeight="false" outlineLevel="0" collapsed="false">
      <c r="A98" s="0" t="s">
        <v>297</v>
      </c>
      <c r="B98" s="0" t="s">
        <v>298</v>
      </c>
      <c r="C98" s="0" t="s">
        <v>148</v>
      </c>
      <c r="E98" s="7" t="n">
        <v>15.3</v>
      </c>
      <c r="G98" s="8" t="s">
        <v>28</v>
      </c>
      <c r="H98" s="8" t="s">
        <v>299</v>
      </c>
      <c r="I98" s="8" t="s">
        <v>300</v>
      </c>
    </row>
    <row r="99" customFormat="false" ht="17.15" hidden="false" customHeight="false" outlineLevel="0" collapsed="false">
      <c r="A99" s="0" t="s">
        <v>301</v>
      </c>
      <c r="B99" s="0" t="s">
        <v>302</v>
      </c>
      <c r="C99" s="0" t="s">
        <v>148</v>
      </c>
      <c r="E99" s="7" t="n">
        <v>17.8392824967822</v>
      </c>
      <c r="G99" s="8" t="s">
        <v>221</v>
      </c>
      <c r="H99" s="8" t="s">
        <v>299</v>
      </c>
      <c r="I99" s="8" t="s">
        <v>303</v>
      </c>
    </row>
    <row r="100" customFormat="false" ht="17.15" hidden="false" customHeight="false" outlineLevel="0" collapsed="false">
      <c r="A100" s="0" t="s">
        <v>304</v>
      </c>
      <c r="B100" s="0" t="s">
        <v>305</v>
      </c>
      <c r="C100" s="0" t="s">
        <v>148</v>
      </c>
      <c r="E100" s="7" t="n">
        <v>20.8</v>
      </c>
      <c r="G100" s="8" t="s">
        <v>28</v>
      </c>
      <c r="H100" s="8" t="s">
        <v>299</v>
      </c>
      <c r="I100" s="5" t="s">
        <v>33</v>
      </c>
    </row>
    <row r="101" customFormat="false" ht="17.15" hidden="false" customHeight="false" outlineLevel="0" collapsed="false">
      <c r="A101" s="1" t="s">
        <v>306</v>
      </c>
    </row>
    <row r="102" customFormat="false" ht="17.15" hidden="false" customHeight="false" outlineLevel="0" collapsed="false">
      <c r="A102" s="0" t="s">
        <v>307</v>
      </c>
      <c r="B102" s="5" t="s">
        <v>308</v>
      </c>
      <c r="C102" s="0" t="s">
        <v>38</v>
      </c>
      <c r="D102" s="7" t="n">
        <v>0.1</v>
      </c>
      <c r="E102" s="8" t="n">
        <f aca="false">q1_oth*4/a25_oth-1</f>
        <v>0.291925465838509</v>
      </c>
      <c r="F102" s="7" t="n">
        <v>0.35</v>
      </c>
      <c r="G102" s="8" t="s">
        <v>221</v>
      </c>
      <c r="H102" s="8" t="s">
        <v>309</v>
      </c>
      <c r="I102" s="5" t="s">
        <v>310</v>
      </c>
    </row>
    <row r="103" customFormat="false" ht="17.15" hidden="false" customHeight="false" outlineLevel="0" collapsed="false">
      <c r="A103" s="0" t="s">
        <v>311</v>
      </c>
      <c r="B103" s="5" t="s">
        <v>312</v>
      </c>
      <c r="C103" s="0" t="s">
        <v>38</v>
      </c>
      <c r="D103" s="7" t="n">
        <v>0.1</v>
      </c>
      <c r="E103" s="8" t="n">
        <f aca="false">q1_svc*4/a25_svc-1</f>
        <v>0.241758241758242</v>
      </c>
      <c r="F103" s="7" t="n">
        <v>0.3</v>
      </c>
      <c r="G103" s="8" t="s">
        <v>221</v>
      </c>
      <c r="H103" s="8" t="s">
        <v>313</v>
      </c>
      <c r="I103" s="5" t="s">
        <v>314</v>
      </c>
    </row>
    <row r="104" customFormat="false" ht="17.15" hidden="false" customHeight="false" outlineLevel="0" collapsed="false">
      <c r="A104" s="0" t="s">
        <v>315</v>
      </c>
      <c r="B104" s="5" t="s">
        <v>316</v>
      </c>
      <c r="C104" s="0" t="s">
        <v>38</v>
      </c>
      <c r="D104" s="7" t="n">
        <v>0.1</v>
      </c>
      <c r="E104" s="7" t="n">
        <v>0.15</v>
      </c>
      <c r="F104" s="7" t="n">
        <v>0.2</v>
      </c>
      <c r="G104" s="8" t="s">
        <v>39</v>
      </c>
      <c r="H104" s="5" t="s">
        <v>317</v>
      </c>
      <c r="I104" s="8" t="s">
        <v>170</v>
      </c>
    </row>
    <row r="105" customFormat="false" ht="17.15" hidden="false" customHeight="false" outlineLevel="0" collapsed="false">
      <c r="A105" s="0" t="s">
        <v>318</v>
      </c>
      <c r="B105" s="5" t="s">
        <v>319</v>
      </c>
      <c r="C105" s="0" t="s">
        <v>38</v>
      </c>
      <c r="D105" s="7" t="n">
        <v>0.08</v>
      </c>
      <c r="E105" s="7" t="n">
        <v>0.12</v>
      </c>
      <c r="F105" s="7" t="n">
        <v>0.16</v>
      </c>
      <c r="G105" s="8" t="s">
        <v>39</v>
      </c>
      <c r="H105" s="8" t="s">
        <v>320</v>
      </c>
      <c r="I105" s="8" t="s">
        <v>170</v>
      </c>
    </row>
    <row r="106" customFormat="false" ht="17.15" hidden="false" customHeight="false" outlineLevel="0" collapsed="false">
      <c r="A106" s="0" t="s">
        <v>321</v>
      </c>
      <c r="B106" s="5" t="s">
        <v>322</v>
      </c>
      <c r="C106" s="0" t="s">
        <v>38</v>
      </c>
      <c r="D106" s="7" t="n">
        <v>0.05</v>
      </c>
      <c r="E106" s="7" t="n">
        <v>0.1</v>
      </c>
      <c r="F106" s="7" t="n">
        <v>0.15</v>
      </c>
      <c r="G106" s="8" t="s">
        <v>39</v>
      </c>
      <c r="H106" s="5" t="s">
        <v>317</v>
      </c>
      <c r="I106" s="8" t="s">
        <v>170</v>
      </c>
    </row>
    <row r="107" customFormat="false" ht="17.15" hidden="false" customHeight="false" outlineLevel="0" collapsed="false">
      <c r="A107" s="0" t="s">
        <v>323</v>
      </c>
      <c r="B107" s="5" t="s">
        <v>324</v>
      </c>
      <c r="C107" s="0" t="s">
        <v>38</v>
      </c>
      <c r="D107" s="7" t="n">
        <v>0.06</v>
      </c>
      <c r="E107" s="7" t="n">
        <v>0.1</v>
      </c>
      <c r="F107" s="7" t="n">
        <v>0.14</v>
      </c>
      <c r="G107" s="8" t="s">
        <v>39</v>
      </c>
      <c r="H107" s="8" t="s">
        <v>320</v>
      </c>
      <c r="I107" s="8" t="s">
        <v>170</v>
      </c>
    </row>
    <row r="108" customFormat="false" ht="17.15" hidden="false" customHeight="false" outlineLevel="0" collapsed="false">
      <c r="A108" s="0" t="s">
        <v>325</v>
      </c>
      <c r="B108" s="5" t="s">
        <v>326</v>
      </c>
      <c r="C108" s="0" t="s">
        <v>38</v>
      </c>
      <c r="D108" s="7" t="n">
        <v>-0.05</v>
      </c>
      <c r="E108" s="7" t="n">
        <v>0</v>
      </c>
      <c r="F108" s="7" t="n">
        <v>0.05</v>
      </c>
      <c r="G108" s="8" t="s">
        <v>39</v>
      </c>
      <c r="H108" s="5" t="s">
        <v>317</v>
      </c>
      <c r="I108" s="8" t="s">
        <v>170</v>
      </c>
    </row>
    <row r="109" customFormat="false" ht="17.15" hidden="false" customHeight="false" outlineLevel="0" collapsed="false">
      <c r="A109" s="0" t="s">
        <v>327</v>
      </c>
      <c r="B109" s="5" t="s">
        <v>328</v>
      </c>
      <c r="C109" s="0" t="s">
        <v>38</v>
      </c>
      <c r="D109" s="7" t="n">
        <v>0.02</v>
      </c>
      <c r="E109" s="7" t="n">
        <v>0.06</v>
      </c>
      <c r="F109" s="7" t="n">
        <v>0.1</v>
      </c>
      <c r="G109" s="8" t="s">
        <v>39</v>
      </c>
      <c r="H109" s="8" t="s">
        <v>320</v>
      </c>
      <c r="I109" s="8" t="s">
        <v>170</v>
      </c>
    </row>
    <row r="110" customFormat="false" ht="17.15" hidden="false" customHeight="false" outlineLevel="0" collapsed="false">
      <c r="A110" s="1" t="s">
        <v>329</v>
      </c>
    </row>
    <row r="111" customFormat="false" ht="17.15" hidden="false" customHeight="false" outlineLevel="0" collapsed="false">
      <c r="A111" s="0" t="s">
        <v>330</v>
      </c>
      <c r="B111" s="0" t="s">
        <v>331</v>
      </c>
      <c r="C111" s="0" t="s">
        <v>38</v>
      </c>
      <c r="D111" s="7" t="n">
        <v>0.66</v>
      </c>
      <c r="E111" s="7" t="n">
        <v>0.665</v>
      </c>
      <c r="F111" s="7" t="n">
        <v>0.67</v>
      </c>
      <c r="G111" s="8" t="s">
        <v>28</v>
      </c>
      <c r="H111" s="8" t="s">
        <v>332</v>
      </c>
      <c r="I111" s="5" t="s">
        <v>150</v>
      </c>
    </row>
    <row r="112" customFormat="false" ht="17.15" hidden="false" customHeight="false" outlineLevel="0" collapsed="false">
      <c r="A112" s="0" t="s">
        <v>333</v>
      </c>
      <c r="B112" s="5" t="s">
        <v>334</v>
      </c>
      <c r="C112" s="0" t="s">
        <v>38</v>
      </c>
      <c r="E112" s="0" t="n">
        <f aca="false">a25_gp/a25_rev-gm_b*a25_soc/a25_rev</f>
        <v>0.314506925264359</v>
      </c>
      <c r="G112" s="0" t="s">
        <v>221</v>
      </c>
      <c r="H112" s="5" t="s">
        <v>335</v>
      </c>
      <c r="I112" s="5" t="s">
        <v>336</v>
      </c>
    </row>
    <row r="113" customFormat="false" ht="17.15" hidden="false" customHeight="false" outlineLevel="0" collapsed="false">
      <c r="A113" s="0" t="s">
        <v>337</v>
      </c>
      <c r="B113" s="5" t="s">
        <v>338</v>
      </c>
      <c r="C113" s="0" t="s">
        <v>123</v>
      </c>
      <c r="E113" s="0" t="n">
        <f aca="false">(gm_g-a25_gp/a25_rev)/(g_soc/g_rev-a25_soc/a25_rev)</f>
        <v>0.483108267066256</v>
      </c>
      <c r="G113" s="0" t="s">
        <v>221</v>
      </c>
      <c r="H113" s="5" t="s">
        <v>33</v>
      </c>
      <c r="I113" s="0" t="s">
        <v>170</v>
      </c>
    </row>
    <row r="114" customFormat="false" ht="17.15" hidden="false" customHeight="false" outlineLevel="0" collapsed="false">
      <c r="A114" s="0" t="s">
        <v>339</v>
      </c>
      <c r="B114" s="5" t="s">
        <v>340</v>
      </c>
      <c r="C114" s="0" t="s">
        <v>341</v>
      </c>
      <c r="D114" s="7" t="n">
        <v>-0.04</v>
      </c>
      <c r="E114" s="7" t="n">
        <v>-0.01</v>
      </c>
      <c r="F114" s="7" t="n">
        <v>0</v>
      </c>
      <c r="G114" s="8" t="s">
        <v>39</v>
      </c>
      <c r="H114" s="5" t="s">
        <v>169</v>
      </c>
      <c r="I114" s="8" t="s">
        <v>342</v>
      </c>
    </row>
    <row r="115" customFormat="false" ht="17.15" hidden="false" customHeight="false" outlineLevel="0" collapsed="false">
      <c r="A115" s="0" t="s">
        <v>343</v>
      </c>
      <c r="B115" s="5" t="s">
        <v>344</v>
      </c>
      <c r="C115" s="0" t="s">
        <v>341</v>
      </c>
      <c r="D115" s="7" t="n">
        <v>-0.06</v>
      </c>
      <c r="E115" s="7" t="n">
        <v>-0.02</v>
      </c>
      <c r="F115" s="7" t="n">
        <v>0</v>
      </c>
      <c r="G115" s="8" t="s">
        <v>39</v>
      </c>
      <c r="H115" s="5" t="s">
        <v>169</v>
      </c>
      <c r="I115" s="8" t="s">
        <v>170</v>
      </c>
    </row>
    <row r="116" customFormat="false" ht="17.15" hidden="false" customHeight="false" outlineLevel="0" collapsed="false">
      <c r="A116" s="0" t="s">
        <v>345</v>
      </c>
      <c r="B116" s="5" t="s">
        <v>346</v>
      </c>
      <c r="C116" s="0" t="s">
        <v>347</v>
      </c>
      <c r="E116" s="0" t="n">
        <f aca="false">a25_gp-a25_oi</f>
        <v>226.5898</v>
      </c>
      <c r="G116" s="0" t="s">
        <v>221</v>
      </c>
      <c r="H116" s="0" t="s">
        <v>348</v>
      </c>
      <c r="I116" s="0" t="s">
        <v>170</v>
      </c>
    </row>
    <row r="117" customFormat="false" ht="17.15" hidden="false" customHeight="false" outlineLevel="0" collapsed="false">
      <c r="A117" s="0" t="s">
        <v>349</v>
      </c>
      <c r="B117" s="5" t="s">
        <v>350</v>
      </c>
      <c r="C117" s="0" t="s">
        <v>347</v>
      </c>
      <c r="E117" s="0" t="n">
        <f aca="false">gm_g*g_rev-g_oi</f>
        <v>293.81</v>
      </c>
      <c r="G117" s="0" t="s">
        <v>221</v>
      </c>
      <c r="H117" s="5" t="s">
        <v>351</v>
      </c>
      <c r="I117" s="5" t="s">
        <v>352</v>
      </c>
    </row>
    <row r="118" customFormat="false" ht="17.15" hidden="false" customHeight="false" outlineLevel="0" collapsed="false">
      <c r="A118" s="0" t="s">
        <v>353</v>
      </c>
      <c r="B118" s="5" t="s">
        <v>354</v>
      </c>
      <c r="C118" s="0" t="s">
        <v>38</v>
      </c>
      <c r="E118" s="0" t="n">
        <f aca="false">(opex_g-opex25)/(g_rev-a25_rev)</f>
        <v>0.114827810044414</v>
      </c>
      <c r="G118" s="0" t="s">
        <v>221</v>
      </c>
      <c r="H118" s="5" t="s">
        <v>355</v>
      </c>
      <c r="I118" s="0" t="s">
        <v>170</v>
      </c>
    </row>
    <row r="119" customFormat="false" ht="17.15" hidden="false" customHeight="false" outlineLevel="0" collapsed="false">
      <c r="A119" s="0" t="s">
        <v>356</v>
      </c>
      <c r="B119" s="5" t="s">
        <v>357</v>
      </c>
      <c r="C119" s="0" t="s">
        <v>347</v>
      </c>
      <c r="E119" s="0" t="n">
        <f aca="false">opex25-opex_var*a25_rev</f>
        <v>96.9951335838739</v>
      </c>
      <c r="G119" s="0" t="s">
        <v>221</v>
      </c>
      <c r="H119" s="0" t="s">
        <v>358</v>
      </c>
      <c r="I119" s="0" t="s">
        <v>170</v>
      </c>
    </row>
    <row r="120" customFormat="false" ht="17.15" hidden="false" customHeight="false" outlineLevel="0" collapsed="false">
      <c r="A120" s="0" t="s">
        <v>359</v>
      </c>
      <c r="B120" s="5" t="s">
        <v>360</v>
      </c>
      <c r="C120" s="0" t="s">
        <v>38</v>
      </c>
      <c r="D120" s="7" t="n">
        <v>0.35</v>
      </c>
      <c r="E120" s="8" t="n">
        <f aca="false">opex_var*a25_rev/opex25</f>
        <v>0.571935128660364</v>
      </c>
      <c r="F120" s="7" t="n">
        <v>0.75</v>
      </c>
      <c r="G120" s="8" t="s">
        <v>221</v>
      </c>
      <c r="H120" s="5" t="s">
        <v>361</v>
      </c>
      <c r="I120" s="8" t="s">
        <v>170</v>
      </c>
    </row>
    <row r="121" customFormat="false" ht="17.15" hidden="false" customHeight="false" outlineLevel="0" collapsed="false">
      <c r="A121" s="1" t="s">
        <v>362</v>
      </c>
    </row>
    <row r="122" customFormat="false" ht="17.15" hidden="false" customHeight="false" outlineLevel="0" collapsed="false">
      <c r="A122" s="0" t="s">
        <v>363</v>
      </c>
      <c r="B122" s="5" t="s">
        <v>364</v>
      </c>
      <c r="C122" s="0" t="s">
        <v>123</v>
      </c>
      <c r="D122" s="7" t="n">
        <v>0.72</v>
      </c>
      <c r="E122" s="8" t="n">
        <f aca="false">a25_ni/a25_oi</f>
        <v>0.752153876978561</v>
      </c>
      <c r="F122" s="8" t="n">
        <f aca="false">g_ni/g_oi</f>
        <v>0.780141843971631</v>
      </c>
      <c r="G122" s="8" t="s">
        <v>221</v>
      </c>
      <c r="H122" s="5" t="s">
        <v>365</v>
      </c>
      <c r="I122" s="8" t="s">
        <v>366</v>
      </c>
    </row>
    <row r="123" customFormat="false" ht="17.15" hidden="false" customHeight="false" outlineLevel="0" collapsed="false">
      <c r="A123" s="0" t="s">
        <v>367</v>
      </c>
      <c r="B123" s="5" t="s">
        <v>368</v>
      </c>
      <c r="C123" s="5" t="s">
        <v>369</v>
      </c>
      <c r="E123" s="0" t="n">
        <f aca="false">g_ni/g_eps*1000</f>
        <v>723.969988153218</v>
      </c>
      <c r="G123" s="0" t="s">
        <v>221</v>
      </c>
      <c r="H123" s="0" t="s">
        <v>370</v>
      </c>
      <c r="I123" s="0" t="s">
        <v>371</v>
      </c>
    </row>
    <row r="124" customFormat="false" ht="17.15" hidden="false" customHeight="false" outlineLevel="0" collapsed="false">
      <c r="A124" s="0" t="s">
        <v>372</v>
      </c>
      <c r="B124" s="5" t="s">
        <v>373</v>
      </c>
      <c r="C124" s="0" t="s">
        <v>374</v>
      </c>
      <c r="D124" s="7" t="n">
        <v>140</v>
      </c>
      <c r="E124" s="7" t="n">
        <v>150</v>
      </c>
      <c r="F124" s="7" t="n">
        <v>160</v>
      </c>
      <c r="G124" s="8" t="s">
        <v>28</v>
      </c>
      <c r="H124" s="5" t="s">
        <v>375</v>
      </c>
      <c r="I124" s="5" t="s">
        <v>376</v>
      </c>
    </row>
    <row r="125" customFormat="false" ht="17.15" hidden="false" customHeight="false" outlineLevel="0" collapsed="false">
      <c r="A125" s="1" t="s">
        <v>377</v>
      </c>
    </row>
    <row r="126" customFormat="false" ht="17.15" hidden="false" customHeight="false" outlineLevel="0" collapsed="false">
      <c r="A126" s="0" t="s">
        <v>378</v>
      </c>
      <c r="B126" s="5" t="s">
        <v>379</v>
      </c>
      <c r="C126" s="0" t="s">
        <v>347</v>
      </c>
      <c r="E126" s="7" t="n">
        <v>1714</v>
      </c>
      <c r="G126" s="8" t="s">
        <v>28</v>
      </c>
      <c r="H126" s="8" t="s">
        <v>380</v>
      </c>
      <c r="I126" s="8" t="s">
        <v>381</v>
      </c>
    </row>
    <row r="127" customFormat="false" ht="17.15" hidden="false" customHeight="false" outlineLevel="0" collapsed="false">
      <c r="A127" s="0" t="s">
        <v>382</v>
      </c>
      <c r="B127" s="5" t="s">
        <v>383</v>
      </c>
      <c r="C127" s="0" t="s">
        <v>347</v>
      </c>
      <c r="E127" s="7" t="n">
        <v>846</v>
      </c>
      <c r="G127" s="8" t="s">
        <v>28</v>
      </c>
      <c r="H127" s="5" t="s">
        <v>33</v>
      </c>
      <c r="I127" s="8" t="s">
        <v>384</v>
      </c>
    </row>
    <row r="128" customFormat="false" ht="17.15" hidden="false" customHeight="false" outlineLevel="0" collapsed="false">
      <c r="A128" s="0" t="s">
        <v>385</v>
      </c>
      <c r="B128" s="5" t="s">
        <v>386</v>
      </c>
      <c r="C128" s="0" t="s">
        <v>347</v>
      </c>
      <c r="E128" s="7" t="n">
        <v>660</v>
      </c>
      <c r="G128" s="8" t="s">
        <v>28</v>
      </c>
      <c r="H128" s="5" t="s">
        <v>33</v>
      </c>
      <c r="I128" s="8" t="s">
        <v>387</v>
      </c>
    </row>
    <row r="129" customFormat="false" ht="17.15" hidden="false" customHeight="false" outlineLevel="0" collapsed="false">
      <c r="A129" s="0" t="s">
        <v>388</v>
      </c>
      <c r="B129" s="5" t="s">
        <v>389</v>
      </c>
      <c r="C129" s="0" t="s">
        <v>347</v>
      </c>
      <c r="E129" s="7" t="n">
        <v>1243.5</v>
      </c>
      <c r="G129" s="8" t="s">
        <v>28</v>
      </c>
      <c r="H129" s="5" t="s">
        <v>390</v>
      </c>
      <c r="I129" s="8" t="s">
        <v>170</v>
      </c>
    </row>
    <row r="130" customFormat="false" ht="17.15" hidden="false" customHeight="false" outlineLevel="0" collapsed="false">
      <c r="A130" s="0" t="s">
        <v>391</v>
      </c>
      <c r="B130" s="5" t="s">
        <v>392</v>
      </c>
      <c r="C130" s="0" t="s">
        <v>347</v>
      </c>
      <c r="E130" s="7" t="n">
        <v>227</v>
      </c>
      <c r="G130" s="8" t="s">
        <v>28</v>
      </c>
      <c r="H130" s="5" t="s">
        <v>393</v>
      </c>
      <c r="I130" s="5" t="s">
        <v>150</v>
      </c>
    </row>
    <row r="131" customFormat="false" ht="17.15" hidden="false" customHeight="false" outlineLevel="0" collapsed="false">
      <c r="A131" s="0" t="s">
        <v>394</v>
      </c>
      <c r="B131" s="5" t="s">
        <v>395</v>
      </c>
      <c r="C131" s="0" t="s">
        <v>396</v>
      </c>
      <c r="E131" s="7" t="n">
        <v>911.64</v>
      </c>
      <c r="G131" s="8" t="s">
        <v>28</v>
      </c>
      <c r="H131" s="5" t="s">
        <v>397</v>
      </c>
      <c r="I131" s="8" t="s">
        <v>398</v>
      </c>
    </row>
    <row r="132" customFormat="false" ht="17.15" hidden="false" customHeight="false" outlineLevel="0" collapsed="false">
      <c r="A132" s="0" t="s">
        <v>399</v>
      </c>
      <c r="B132" s="5" t="s">
        <v>400</v>
      </c>
      <c r="C132" s="0" t="s">
        <v>347</v>
      </c>
      <c r="E132" s="7" t="n">
        <v>1760</v>
      </c>
      <c r="G132" s="8" t="s">
        <v>28</v>
      </c>
      <c r="H132" s="8" t="s">
        <v>401</v>
      </c>
      <c r="I132" s="5" t="s">
        <v>150</v>
      </c>
    </row>
    <row r="133" customFormat="false" ht="17.15" hidden="false" customHeight="false" outlineLevel="0" collapsed="false">
      <c r="A133" s="0" t="s">
        <v>402</v>
      </c>
      <c r="B133" s="5" t="s">
        <v>403</v>
      </c>
      <c r="C133" s="0" t="s">
        <v>347</v>
      </c>
      <c r="E133" s="7" t="n">
        <v>886.4</v>
      </c>
      <c r="G133" s="8" t="s">
        <v>28</v>
      </c>
      <c r="H133" s="8" t="s">
        <v>404</v>
      </c>
      <c r="I133" s="5" t="s">
        <v>150</v>
      </c>
    </row>
    <row r="134" customFormat="false" ht="17.15" hidden="false" customHeight="false" outlineLevel="0" collapsed="false">
      <c r="A134" s="0" t="s">
        <v>405</v>
      </c>
      <c r="B134" s="5" t="s">
        <v>406</v>
      </c>
      <c r="C134" s="5" t="s">
        <v>407</v>
      </c>
      <c r="E134" s="7" t="n">
        <v>2029</v>
      </c>
      <c r="G134" s="8" t="s">
        <v>221</v>
      </c>
      <c r="H134" s="8" t="s">
        <v>408</v>
      </c>
      <c r="I134" s="5" t="s">
        <v>409</v>
      </c>
    </row>
    <row r="135" customFormat="false" ht="17.15" hidden="false" customHeight="false" outlineLevel="0" collapsed="false">
      <c r="A135" s="0" t="s">
        <v>410</v>
      </c>
      <c r="B135" s="5" t="s">
        <v>411</v>
      </c>
      <c r="C135" s="5" t="s">
        <v>407</v>
      </c>
      <c r="E135" s="7" t="n">
        <v>2028</v>
      </c>
      <c r="G135" s="8" t="s">
        <v>221</v>
      </c>
      <c r="H135" s="8" t="s">
        <v>412</v>
      </c>
      <c r="I135" s="5" t="s">
        <v>33</v>
      </c>
    </row>
    <row r="136" customFormat="false" ht="17.15" hidden="false" customHeight="false" outlineLevel="0" collapsed="false">
      <c r="A136" s="0" t="s">
        <v>413</v>
      </c>
      <c r="B136" s="5" t="s">
        <v>414</v>
      </c>
      <c r="C136" s="5" t="s">
        <v>407</v>
      </c>
      <c r="E136" s="7" t="n">
        <v>2027</v>
      </c>
      <c r="G136" s="8" t="s">
        <v>221</v>
      </c>
      <c r="H136" s="8" t="s">
        <v>415</v>
      </c>
      <c r="I136" s="5" t="s">
        <v>33</v>
      </c>
    </row>
    <row r="137" customFormat="false" ht="17.15" hidden="false" customHeight="false" outlineLevel="0" collapsed="false">
      <c r="A137" s="0" t="s">
        <v>416</v>
      </c>
      <c r="B137" s="5" t="s">
        <v>417</v>
      </c>
      <c r="C137" s="0" t="s">
        <v>396</v>
      </c>
      <c r="E137" s="7" t="n">
        <v>34440</v>
      </c>
      <c r="G137" s="8" t="s">
        <v>28</v>
      </c>
      <c r="H137" s="8" t="s">
        <v>418</v>
      </c>
      <c r="I137" s="5" t="s">
        <v>150</v>
      </c>
    </row>
    <row r="138" customFormat="false" ht="17.15" hidden="false" customHeight="false" outlineLevel="0" collapsed="false">
      <c r="A138" s="0" t="s">
        <v>419</v>
      </c>
      <c r="B138" s="5" t="s">
        <v>420</v>
      </c>
      <c r="C138" s="0" t="s">
        <v>123</v>
      </c>
      <c r="E138" s="7" t="n">
        <v>37.7</v>
      </c>
      <c r="G138" s="8" t="s">
        <v>28</v>
      </c>
      <c r="H138" s="8" t="s">
        <v>418</v>
      </c>
      <c r="I138" s="5" t="s">
        <v>421</v>
      </c>
    </row>
    <row r="139" customFormat="false" ht="17.15" hidden="false" customHeight="false" outlineLevel="0" collapsed="false">
      <c r="A139" s="1" t="s">
        <v>422</v>
      </c>
    </row>
    <row r="140" customFormat="false" ht="17.15" hidden="false" customHeight="false" outlineLevel="0" collapsed="false">
      <c r="A140" s="0" t="s">
        <v>423</v>
      </c>
      <c r="B140" s="5" t="s">
        <v>424</v>
      </c>
      <c r="C140" s="0" t="s">
        <v>38</v>
      </c>
      <c r="E140" s="7" t="n">
        <v>0.3</v>
      </c>
      <c r="G140" s="8" t="s">
        <v>39</v>
      </c>
      <c r="H140" s="8" t="s">
        <v>425</v>
      </c>
      <c r="I140" s="5" t="s">
        <v>426</v>
      </c>
    </row>
    <row r="141" customFormat="false" ht="17.15" hidden="false" customHeight="false" outlineLevel="0" collapsed="false">
      <c r="A141" s="0" t="s">
        <v>427</v>
      </c>
      <c r="B141" s="5" t="s">
        <v>428</v>
      </c>
      <c r="C141" s="0" t="s">
        <v>38</v>
      </c>
      <c r="E141" s="7" t="n">
        <v>0.5</v>
      </c>
      <c r="G141" s="8" t="s">
        <v>39</v>
      </c>
      <c r="H141" s="8" t="s">
        <v>425</v>
      </c>
      <c r="I141" s="5" t="s">
        <v>426</v>
      </c>
    </row>
    <row r="142" customFormat="false" ht="17.15" hidden="false" customHeight="false" outlineLevel="0" collapsed="false">
      <c r="A142" s="0" t="s">
        <v>429</v>
      </c>
      <c r="B142" s="5" t="s">
        <v>430</v>
      </c>
      <c r="C142" s="0" t="s">
        <v>38</v>
      </c>
      <c r="E142" s="7" t="n">
        <v>0.2</v>
      </c>
      <c r="G142" s="8" t="s">
        <v>39</v>
      </c>
      <c r="H142" s="8" t="s">
        <v>425</v>
      </c>
      <c r="I142" s="5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4"/>
    <col collapsed="false" customWidth="true" hidden="false" outlineLevel="0" max="9" min="9" style="0" width="22"/>
    <col collapsed="false" customWidth="true" hidden="false" outlineLevel="0" max="10" min="10" style="0" width="90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431</v>
      </c>
    </row>
    <row r="2" customFormat="false" ht="17.15" hidden="false" customHeight="false" outlineLevel="0" collapsed="false">
      <c r="A2" s="0" t="s">
        <v>432</v>
      </c>
    </row>
    <row r="3" customFormat="false" ht="17.15" hidden="false" customHeight="false" outlineLevel="0" collapsed="false">
      <c r="A3" s="6" t="s">
        <v>16</v>
      </c>
      <c r="B3" s="9" t="s">
        <v>433</v>
      </c>
      <c r="C3" s="9" t="s">
        <v>434</v>
      </c>
      <c r="D3" s="9" t="s">
        <v>435</v>
      </c>
      <c r="E3" s="9" t="s">
        <v>436</v>
      </c>
      <c r="F3" s="9" t="s">
        <v>437</v>
      </c>
      <c r="G3" s="9" t="s">
        <v>438</v>
      </c>
      <c r="H3" s="9" t="s">
        <v>439</v>
      </c>
      <c r="I3" s="6" t="s">
        <v>21</v>
      </c>
      <c r="J3" s="6" t="s">
        <v>440</v>
      </c>
      <c r="K3" s="6" t="s">
        <v>23</v>
      </c>
    </row>
    <row r="4" customFormat="false" ht="17.15" hidden="false" customHeight="false" outlineLevel="0" collapsed="false">
      <c r="A4" s="0" t="s">
        <v>441</v>
      </c>
      <c r="B4" s="10" t="n">
        <v>191.3</v>
      </c>
      <c r="C4" s="10" t="n">
        <v>173.7</v>
      </c>
      <c r="D4" s="10" t="n">
        <v>165.2</v>
      </c>
      <c r="E4" s="10" t="n">
        <v>237.2</v>
      </c>
      <c r="F4" s="10" t="n">
        <v>767.4</v>
      </c>
      <c r="G4" s="10" t="n">
        <v>259.6</v>
      </c>
      <c r="H4" s="5" t="s">
        <v>442</v>
      </c>
      <c r="I4" s="8" t="s">
        <v>443</v>
      </c>
      <c r="J4" s="8" t="s">
        <v>444</v>
      </c>
      <c r="K4" s="8" t="s">
        <v>445</v>
      </c>
    </row>
    <row r="5" customFormat="false" ht="17.15" hidden="false" customHeight="false" outlineLevel="0" collapsed="false">
      <c r="A5" s="5" t="s">
        <v>446</v>
      </c>
      <c r="B5" s="10" t="n">
        <v>33.5</v>
      </c>
      <c r="C5" s="10" t="n">
        <v>43.9</v>
      </c>
      <c r="D5" s="10" t="n">
        <v>57.3</v>
      </c>
      <c r="E5" s="10" t="n">
        <v>36.8</v>
      </c>
      <c r="F5" s="10" t="n">
        <v>171.5</v>
      </c>
      <c r="G5" s="10" t="n">
        <v>48</v>
      </c>
      <c r="I5" s="8" t="s">
        <v>443</v>
      </c>
      <c r="J5" s="8" t="s">
        <v>447</v>
      </c>
      <c r="K5" s="8" t="s">
        <v>448</v>
      </c>
    </row>
    <row r="6" customFormat="false" ht="17.15" hidden="false" customHeight="false" outlineLevel="0" collapsed="false">
      <c r="A6" s="5" t="s">
        <v>449</v>
      </c>
      <c r="B6" s="10" t="n">
        <v>15.8</v>
      </c>
      <c r="D6" s="10" t="n">
        <v>22.6</v>
      </c>
      <c r="F6" s="10" t="n">
        <v>80.5</v>
      </c>
      <c r="G6" s="10" t="n">
        <v>26</v>
      </c>
      <c r="I6" s="8" t="s">
        <v>450</v>
      </c>
      <c r="J6" s="8" t="s">
        <v>451</v>
      </c>
      <c r="K6" s="8" t="s">
        <v>452</v>
      </c>
    </row>
    <row r="7" customFormat="false" ht="17.15" hidden="false" customHeight="false" outlineLevel="0" collapsed="false">
      <c r="A7" s="5" t="s">
        <v>453</v>
      </c>
      <c r="B7" s="10" t="n">
        <v>23.2</v>
      </c>
      <c r="D7" s="10" t="n">
        <v>28.7</v>
      </c>
      <c r="F7" s="10" t="n">
        <v>109.2</v>
      </c>
      <c r="G7" s="10" t="n">
        <v>33.9</v>
      </c>
      <c r="I7" s="8" t="s">
        <v>454</v>
      </c>
      <c r="J7" s="8" t="s">
        <v>455</v>
      </c>
      <c r="K7" s="8" t="s">
        <v>456</v>
      </c>
    </row>
    <row r="8" customFormat="false" ht="17.15" hidden="false" customHeight="false" outlineLevel="0" collapsed="false">
      <c r="A8" s="5" t="s">
        <v>457</v>
      </c>
      <c r="B8" s="11" t="n">
        <f aca="false">B6+B7</f>
        <v>39</v>
      </c>
      <c r="C8" s="11" t="n">
        <f aca="false">C9-C4-C5</f>
        <v>45.3</v>
      </c>
      <c r="D8" s="11" t="n">
        <f aca="false">D6+D7</f>
        <v>51.3</v>
      </c>
      <c r="E8" s="11" t="n">
        <f aca="false">E9-E4-E5</f>
        <v>54.1</v>
      </c>
      <c r="F8" s="11" t="n">
        <f aca="false">F6+F7</f>
        <v>189.7</v>
      </c>
      <c r="G8" s="11" t="n">
        <f aca="false">G6+G7</f>
        <v>59.9</v>
      </c>
      <c r="I8" s="8" t="s">
        <v>221</v>
      </c>
      <c r="J8" s="5" t="s">
        <v>458</v>
      </c>
      <c r="K8" s="8" t="s">
        <v>170</v>
      </c>
    </row>
    <row r="9" customFormat="false" ht="17.15" hidden="false" customHeight="false" outlineLevel="0" collapsed="false">
      <c r="A9" s="5" t="s">
        <v>459</v>
      </c>
      <c r="B9" s="10" t="n">
        <v>263.8</v>
      </c>
      <c r="C9" s="10" t="n">
        <v>262.9</v>
      </c>
      <c r="D9" s="10" t="n">
        <v>273.8</v>
      </c>
      <c r="E9" s="10" t="n">
        <v>328.1</v>
      </c>
      <c r="F9" s="10" t="n">
        <v>1128.6</v>
      </c>
      <c r="G9" s="10" t="n">
        <v>367.5</v>
      </c>
      <c r="I9" s="8" t="s">
        <v>443</v>
      </c>
      <c r="J9" s="5" t="s">
        <v>460</v>
      </c>
      <c r="K9" s="8" t="s">
        <v>461</v>
      </c>
    </row>
    <row r="10" customFormat="false" ht="17.15" hidden="false" customHeight="false" outlineLevel="0" collapsed="false">
      <c r="A10" s="5" t="s">
        <v>462</v>
      </c>
      <c r="B10" s="12" t="n">
        <f aca="false">B4+B5+B8-B9</f>
        <v>0</v>
      </c>
      <c r="C10" s="12" t="n">
        <f aca="false">C4+C5+C8-C9</f>
        <v>0</v>
      </c>
      <c r="D10" s="12" t="n">
        <f aca="false">D4+D5+D8-D9</f>
        <v>0</v>
      </c>
      <c r="E10" s="12" t="n">
        <f aca="false">E4+E5+E8-E9</f>
        <v>0</v>
      </c>
      <c r="F10" s="12" t="n">
        <f aca="false">F4+F5+F8-F9</f>
        <v>0</v>
      </c>
      <c r="G10" s="12" t="n">
        <f aca="false">G4+G5+G8-G9</f>
        <v>0</v>
      </c>
      <c r="I10" s="8" t="s">
        <v>170</v>
      </c>
      <c r="J10" s="8" t="s">
        <v>170</v>
      </c>
      <c r="K10" s="8" t="s">
        <v>170</v>
      </c>
    </row>
    <row r="11" customFormat="false" ht="17.15" hidden="false" customHeight="false" outlineLevel="0" collapsed="false">
      <c r="A11" s="5" t="s">
        <v>463</v>
      </c>
      <c r="B11" s="13" t="n">
        <v>0.651</v>
      </c>
      <c r="D11" s="13" t="n">
        <v>0.62</v>
      </c>
      <c r="E11" s="13" t="n">
        <v>0.674</v>
      </c>
      <c r="F11" s="13" t="n">
        <v>0.643</v>
      </c>
      <c r="G11" s="13" t="n">
        <v>0.695</v>
      </c>
      <c r="I11" s="8" t="s">
        <v>464</v>
      </c>
      <c r="J11" s="5" t="s">
        <v>465</v>
      </c>
      <c r="K11" s="8" t="s">
        <v>466</v>
      </c>
    </row>
    <row r="12" customFormat="false" ht="17.15" hidden="false" customHeight="false" outlineLevel="0" collapsed="false">
      <c r="A12" s="5" t="s">
        <v>467</v>
      </c>
      <c r="B12" s="11" t="n">
        <f aca="false">B9*B11</f>
        <v>171.7338</v>
      </c>
      <c r="C12" s="11" t="n">
        <f aca="false">F12-B12-D12-E12</f>
        <v>163.0606</v>
      </c>
      <c r="D12" s="11" t="n">
        <f aca="false">D9*D11</f>
        <v>169.756</v>
      </c>
      <c r="E12" s="11" t="n">
        <f aca="false">E9*E11</f>
        <v>221.1394</v>
      </c>
      <c r="F12" s="11" t="n">
        <f aca="false">F9*F11</f>
        <v>725.6898</v>
      </c>
      <c r="G12" s="11" t="n">
        <f aca="false">G9*G11</f>
        <v>255.4125</v>
      </c>
      <c r="I12" s="8" t="s">
        <v>221</v>
      </c>
      <c r="J12" s="5" t="s">
        <v>468</v>
      </c>
      <c r="K12" s="8" t="s">
        <v>469</v>
      </c>
    </row>
    <row r="13" customFormat="false" ht="17.15" hidden="false" customHeight="false" outlineLevel="0" collapsed="false">
      <c r="A13" s="5" t="s">
        <v>470</v>
      </c>
      <c r="B13" s="11" t="n">
        <f aca="false">232.4-C13</f>
        <v>124</v>
      </c>
      <c r="C13" s="10" t="n">
        <v>108.4</v>
      </c>
      <c r="D13" s="10" t="n">
        <v>113.6</v>
      </c>
      <c r="E13" s="10" t="n">
        <v>153.1</v>
      </c>
      <c r="F13" s="10" t="n">
        <v>499.1</v>
      </c>
      <c r="G13" s="10" t="n">
        <v>190</v>
      </c>
      <c r="I13" s="8" t="s">
        <v>450</v>
      </c>
      <c r="J13" s="5" t="s">
        <v>471</v>
      </c>
      <c r="K13" s="8" t="s">
        <v>472</v>
      </c>
    </row>
    <row r="14" customFormat="false" ht="17.15" hidden="false" customHeight="false" outlineLevel="0" collapsed="false">
      <c r="A14" s="5" t="s">
        <v>473</v>
      </c>
      <c r="B14" s="14" t="n">
        <f aca="false">B13/B9</f>
        <v>0.470053070507961</v>
      </c>
      <c r="C14" s="14" t="n">
        <f aca="false">C13/C9</f>
        <v>0.412324077596044</v>
      </c>
      <c r="D14" s="14" t="n">
        <f aca="false">D13/D9</f>
        <v>0.414901387874361</v>
      </c>
      <c r="E14" s="14" t="n">
        <f aca="false">E13/E9</f>
        <v>0.466626028649802</v>
      </c>
      <c r="F14" s="14" t="n">
        <f aca="false">F13/F9</f>
        <v>0.442229310650363</v>
      </c>
      <c r="G14" s="14" t="n">
        <f aca="false">G13/G9</f>
        <v>0.517006802721089</v>
      </c>
      <c r="I14" s="8" t="s">
        <v>221</v>
      </c>
      <c r="J14" s="8" t="s">
        <v>170</v>
      </c>
      <c r="K14" s="5" t="s">
        <v>474</v>
      </c>
    </row>
    <row r="15" customFormat="false" ht="15" hidden="false" customHeight="false" outlineLevel="0" collapsed="false">
      <c r="A15" s="5" t="s">
        <v>475</v>
      </c>
      <c r="B15" s="11" t="n">
        <f aca="false">B12-B13</f>
        <v>47.7338</v>
      </c>
      <c r="C15" s="11" t="n">
        <f aca="false">C12-C13</f>
        <v>54.6606</v>
      </c>
      <c r="D15" s="11" t="n">
        <f aca="false">D12-D13</f>
        <v>56.156</v>
      </c>
      <c r="E15" s="11" t="n">
        <f aca="false">E12-E13</f>
        <v>68.0394</v>
      </c>
      <c r="F15" s="11" t="n">
        <f aca="false">F12-F13</f>
        <v>226.5898</v>
      </c>
      <c r="G15" s="11" t="n">
        <f aca="false">G12-G13</f>
        <v>65.4125</v>
      </c>
      <c r="I15" s="8" t="s">
        <v>221</v>
      </c>
      <c r="J15" s="8" t="s">
        <v>170</v>
      </c>
      <c r="K15" s="8" t="s">
        <v>170</v>
      </c>
    </row>
    <row r="16" customFormat="false" ht="17.15" hidden="false" customHeight="false" outlineLevel="0" collapsed="false">
      <c r="A16" s="5" t="s">
        <v>476</v>
      </c>
      <c r="B16" s="11" t="n">
        <f aca="false">169.8-C16</f>
        <v>90.2</v>
      </c>
      <c r="C16" s="10" t="n">
        <v>79.6</v>
      </c>
      <c r="D16" s="10" t="n">
        <v>78.7</v>
      </c>
      <c r="E16" s="10" t="n">
        <v>126.9</v>
      </c>
      <c r="F16" s="10" t="n">
        <v>375.4</v>
      </c>
      <c r="G16" s="10" t="n">
        <v>174.8</v>
      </c>
      <c r="I16" s="8" t="s">
        <v>450</v>
      </c>
      <c r="J16" s="5" t="s">
        <v>477</v>
      </c>
      <c r="K16" s="8" t="s">
        <v>478</v>
      </c>
    </row>
    <row r="17" customFormat="false" ht="17.15" hidden="false" customHeight="false" outlineLevel="0" collapsed="false">
      <c r="A17" s="0" t="s">
        <v>479</v>
      </c>
      <c r="B17" s="10" t="n">
        <v>123.14</v>
      </c>
      <c r="C17" s="11" t="n">
        <f aca="false">232.19-B17</f>
        <v>109.05</v>
      </c>
      <c r="D17" s="11" t="n">
        <f aca="false">F17-232.19-E17</f>
        <v>108.9</v>
      </c>
      <c r="E17" s="10" t="n">
        <v>174.06</v>
      </c>
      <c r="F17" s="10" t="n">
        <v>515.15</v>
      </c>
      <c r="G17" s="10" t="n">
        <v>241.27</v>
      </c>
      <c r="I17" s="8" t="s">
        <v>480</v>
      </c>
      <c r="J17" s="5" t="s">
        <v>481</v>
      </c>
      <c r="K17" s="5" t="s">
        <v>482</v>
      </c>
    </row>
    <row r="18" customFormat="false" ht="17.15" hidden="false" customHeight="false" outlineLevel="0" collapsed="false">
      <c r="A18" s="5" t="s">
        <v>483</v>
      </c>
      <c r="B18" s="15" t="n">
        <f aca="false">SUM(B4:E4)-F4</f>
        <v>0</v>
      </c>
      <c r="C18" s="15" t="n">
        <f aca="false">SUM(B5:E5)-F5</f>
        <v>0</v>
      </c>
      <c r="D18" s="15" t="n">
        <f aca="false">SUM(B9:E9)-F9</f>
        <v>0</v>
      </c>
      <c r="E18" s="15" t="n">
        <f aca="false">SUM(B13:E13)-F13</f>
        <v>0</v>
      </c>
      <c r="F18" s="15" t="n">
        <f aca="false">SUM(B16:E16)-F16</f>
        <v>0</v>
      </c>
      <c r="G18" s="15" t="n">
        <f aca="false">SUM(B17:E17)-F17</f>
        <v>0</v>
      </c>
      <c r="I18" s="8" t="s">
        <v>170</v>
      </c>
      <c r="J18" s="8" t="s">
        <v>170</v>
      </c>
      <c r="K18" s="8" t="s">
        <v>170</v>
      </c>
    </row>
    <row r="21" customFormat="false" ht="17.15" hidden="false" customHeight="false" outlineLevel="0" collapsed="false">
      <c r="A21" s="1" t="s">
        <v>484</v>
      </c>
    </row>
    <row r="22" customFormat="false" ht="17.15" hidden="false" customHeight="false" outlineLevel="0" collapsed="false">
      <c r="A22" s="6" t="s">
        <v>16</v>
      </c>
      <c r="B22" s="9" t="s">
        <v>485</v>
      </c>
      <c r="C22" s="9" t="s">
        <v>486</v>
      </c>
      <c r="D22" s="6" t="s">
        <v>487</v>
      </c>
      <c r="E22" s="9" t="s">
        <v>488</v>
      </c>
      <c r="F22" s="9" t="s">
        <v>489</v>
      </c>
      <c r="G22" s="9"/>
      <c r="H22" s="9"/>
      <c r="I22" s="6" t="s">
        <v>21</v>
      </c>
      <c r="J22" s="6" t="s">
        <v>440</v>
      </c>
      <c r="K22" s="6" t="s">
        <v>23</v>
      </c>
    </row>
    <row r="23" customFormat="false" ht="17.15" hidden="false" customHeight="false" outlineLevel="0" collapsed="false">
      <c r="A23" s="5" t="s">
        <v>459</v>
      </c>
      <c r="B23" s="10" t="n">
        <v>1420</v>
      </c>
      <c r="C23" s="11" t="n">
        <f aca="false">g_rev</f>
        <v>1714</v>
      </c>
      <c r="D23" s="14" t="n">
        <f aca="false">C23/B23-1</f>
        <v>0.207042253521127</v>
      </c>
      <c r="E23" s="11" t="n">
        <f aca="false">a25_rev</f>
        <v>1128.6</v>
      </c>
      <c r="F23" s="14" t="n">
        <f aca="false">C23/E23-1</f>
        <v>0.518695729222045</v>
      </c>
      <c r="I23" s="8" t="s">
        <v>28</v>
      </c>
      <c r="J23" s="8" t="s">
        <v>490</v>
      </c>
      <c r="K23" s="8" t="s">
        <v>491</v>
      </c>
    </row>
    <row r="24" customFormat="false" ht="17.15" hidden="false" customHeight="false" outlineLevel="0" collapsed="false">
      <c r="A24" s="0" t="s">
        <v>441</v>
      </c>
      <c r="B24" s="10" t="n">
        <v>999.5</v>
      </c>
      <c r="C24" s="11" t="n">
        <f aca="false">g_soc</f>
        <v>1243.5</v>
      </c>
      <c r="D24" s="14" t="n">
        <f aca="false">C24/B24-1</f>
        <v>0.244122061030515</v>
      </c>
      <c r="E24" s="11" t="n">
        <f aca="false">a25_soc</f>
        <v>767.4</v>
      </c>
      <c r="F24" s="14" t="n">
        <f aca="false">C24/E24-1</f>
        <v>0.620406567630962</v>
      </c>
      <c r="I24" s="8" t="s">
        <v>28</v>
      </c>
      <c r="J24" s="8" t="s">
        <v>490</v>
      </c>
      <c r="K24" s="8" t="s">
        <v>491</v>
      </c>
    </row>
    <row r="25" customFormat="false" ht="17.15" hidden="false" customHeight="false" outlineLevel="0" collapsed="false">
      <c r="A25" s="5" t="s">
        <v>446</v>
      </c>
      <c r="B25" s="10" t="n">
        <v>201</v>
      </c>
      <c r="C25" s="11" t="n">
        <f aca="false">g_mem</f>
        <v>227</v>
      </c>
      <c r="D25" s="14" t="n">
        <f aca="false">C25/B25-1</f>
        <v>0.129353233830846</v>
      </c>
      <c r="E25" s="11" t="n">
        <f aca="false">a25_mem</f>
        <v>171.5</v>
      </c>
      <c r="F25" s="14" t="n">
        <f aca="false">C25/E25-1</f>
        <v>0.323615160349854</v>
      </c>
      <c r="I25" s="8" t="s">
        <v>28</v>
      </c>
      <c r="J25" s="8" t="s">
        <v>490</v>
      </c>
      <c r="K25" s="8" t="s">
        <v>491</v>
      </c>
    </row>
    <row r="26" customFormat="false" ht="17.15" hidden="false" customHeight="false" outlineLevel="0" collapsed="false">
      <c r="A26" s="5" t="s">
        <v>492</v>
      </c>
      <c r="B26" s="11" t="n">
        <f aca="false">B23-B24-B25</f>
        <v>219.5</v>
      </c>
      <c r="C26" s="11" t="n">
        <f aca="false">C23-C24-C25</f>
        <v>243.5</v>
      </c>
      <c r="D26" s="14" t="n">
        <f aca="false">C26/B26-1</f>
        <v>0.109339407744875</v>
      </c>
      <c r="E26" s="11" t="n">
        <f aca="false">a25_oth+a25_svc</f>
        <v>189.7</v>
      </c>
      <c r="F26" s="14" t="n">
        <f aca="false">C26/E26-1</f>
        <v>0.283605693199789</v>
      </c>
      <c r="I26" s="8" t="s">
        <v>28</v>
      </c>
      <c r="J26" s="8" t="s">
        <v>490</v>
      </c>
      <c r="K26" s="8" t="s">
        <v>491</v>
      </c>
    </row>
    <row r="27" customFormat="false" ht="17.15" hidden="false" customHeight="false" outlineLevel="0" collapsed="false">
      <c r="A27" s="5" t="s">
        <v>470</v>
      </c>
      <c r="B27" s="10" t="n">
        <v>627.5</v>
      </c>
      <c r="C27" s="11" t="n">
        <f aca="false">g_oi</f>
        <v>846</v>
      </c>
      <c r="D27" s="14" t="n">
        <f aca="false">C27/B27-1</f>
        <v>0.348207171314741</v>
      </c>
      <c r="E27" s="11" t="n">
        <f aca="false">a25_oi</f>
        <v>499.1</v>
      </c>
      <c r="F27" s="14" t="n">
        <f aca="false">C27/E27-1</f>
        <v>0.695051091965538</v>
      </c>
      <c r="I27" s="8" t="s">
        <v>28</v>
      </c>
      <c r="J27" s="8" t="s">
        <v>490</v>
      </c>
      <c r="K27" s="8" t="s">
        <v>491</v>
      </c>
    </row>
    <row r="28" customFormat="false" ht="17.15" hidden="false" customHeight="false" outlineLevel="0" collapsed="false">
      <c r="A28" s="5" t="s">
        <v>493</v>
      </c>
      <c r="B28" s="10" t="n">
        <v>465.5</v>
      </c>
      <c r="C28" s="11" t="n">
        <f aca="false">g_ni</f>
        <v>660</v>
      </c>
      <c r="D28" s="14" t="n">
        <f aca="false">C28/B28-1</f>
        <v>0.417830290010741</v>
      </c>
      <c r="E28" s="11" t="n">
        <f aca="false">a25_ni</f>
        <v>375.4</v>
      </c>
      <c r="F28" s="14" t="n">
        <f aca="false">C28/E28-1</f>
        <v>0.758124667021844</v>
      </c>
      <c r="I28" s="8" t="s">
        <v>28</v>
      </c>
      <c r="J28" s="8" t="s">
        <v>490</v>
      </c>
      <c r="K28" s="8" t="s">
        <v>491</v>
      </c>
    </row>
    <row r="29" customFormat="false" ht="17.15" hidden="false" customHeight="false" outlineLevel="0" collapsed="false">
      <c r="A29" s="0" t="s">
        <v>479</v>
      </c>
      <c r="C29" s="11" t="n">
        <f aca="false">g_eps</f>
        <v>911.64</v>
      </c>
      <c r="E29" s="11" t="n">
        <f aca="false">a25_eps</f>
        <v>515.15</v>
      </c>
      <c r="F29" s="14" t="n">
        <f aca="false">C29/E29-1</f>
        <v>0.769659322527419</v>
      </c>
      <c r="I29" s="8" t="s">
        <v>28</v>
      </c>
      <c r="J29" s="8" t="s">
        <v>490</v>
      </c>
      <c r="K29" s="8" t="s">
        <v>491</v>
      </c>
    </row>
    <row r="30" customFormat="false" ht="17.15" hidden="false" customHeight="false" outlineLevel="0" collapsed="false">
      <c r="A30" s="5" t="s">
        <v>494</v>
      </c>
      <c r="B30" s="14" t="n">
        <f aca="false">B27/B23</f>
        <v>0.441901408450704</v>
      </c>
      <c r="C30" s="14" t="n">
        <f aca="false">C27/C23</f>
        <v>0.493582263710618</v>
      </c>
      <c r="E30" s="14" t="n">
        <f aca="false">a25_oi/a25_rev</f>
        <v>0.442229310650363</v>
      </c>
      <c r="K30" s="5" t="s">
        <v>495</v>
      </c>
    </row>
    <row r="32" customFormat="false" ht="17.15" hidden="false" customHeight="false" outlineLevel="0" collapsed="false">
      <c r="A32" s="1" t="s">
        <v>496</v>
      </c>
    </row>
    <row r="33" customFormat="false" ht="17.15" hidden="false" customHeight="false" outlineLevel="0" collapsed="false">
      <c r="A33" s="0" t="s">
        <v>497</v>
      </c>
      <c r="B33" s="11" t="n">
        <f aca="false">a25_soc+a25_mem+a25_oth+65</f>
        <v>1084.4</v>
      </c>
    </row>
    <row r="34" customFormat="false" ht="15" hidden="false" customHeight="false" outlineLevel="0" collapsed="false">
      <c r="A34" s="5" t="s">
        <v>498</v>
      </c>
      <c r="B34" s="11" t="n">
        <f aca="false">a25_rev-B33</f>
        <v>44.1999999999998</v>
      </c>
    </row>
    <row r="35" customFormat="false" ht="17.15" hidden="false" customHeight="false" outlineLevel="0" collapsed="false">
      <c r="A35" s="5" t="s">
        <v>499</v>
      </c>
      <c r="B35" s="11" t="n">
        <f aca="false">a25_svc-65</f>
        <v>44.2</v>
      </c>
    </row>
    <row r="36" customFormat="false" ht="17.15" hidden="false" customHeight="false" outlineLevel="0" collapsed="false">
      <c r="A36" s="0" t="s">
        <v>500</v>
      </c>
      <c r="B36" s="12" t="n">
        <f aca="false">a25_soc+a25_mem+a25_oth+a25_svc-a25_rev</f>
        <v>0</v>
      </c>
    </row>
    <row r="37" customFormat="false" ht="17.15" hidden="false" customHeight="false" outlineLevel="0" collapsed="false">
      <c r="A37" s="5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502</v>
      </c>
    </row>
    <row r="3" customFormat="false" ht="15" hidden="false" customHeight="false" outlineLevel="0" collapsed="false">
      <c r="A3" s="6" t="s">
        <v>16</v>
      </c>
      <c r="B3" s="6" t="s">
        <v>17</v>
      </c>
      <c r="C3" s="9" t="s">
        <v>503</v>
      </c>
      <c r="D3" s="9" t="s">
        <v>504</v>
      </c>
      <c r="E3" s="9" t="s">
        <v>505</v>
      </c>
      <c r="F3" s="9" t="s">
        <v>506</v>
      </c>
      <c r="G3" s="9" t="s">
        <v>507</v>
      </c>
      <c r="H3" s="6" t="s">
        <v>508</v>
      </c>
    </row>
    <row r="4" customFormat="false" ht="17.15" hidden="false" customHeight="false" outlineLevel="0" collapsed="false">
      <c r="A4" s="4" t="s">
        <v>509</v>
      </c>
    </row>
    <row r="5" customFormat="false" ht="17.15" hidden="false" customHeight="false" outlineLevel="0" collapsed="false">
      <c r="A5" s="0" t="s">
        <v>510</v>
      </c>
      <c r="B5" s="5" t="s">
        <v>27</v>
      </c>
      <c r="C5" s="15" t="n">
        <f aca="false">u_bw_26</f>
        <v>5.4</v>
      </c>
      <c r="D5" s="15" t="n">
        <f aca="false">u_bw_27</f>
        <v>2.4</v>
      </c>
      <c r="E5" s="15" t="n">
        <f aca="false">u_bw_28*um28_A</f>
        <v>0.5</v>
      </c>
      <c r="F5" s="15" t="n">
        <f aca="false">u_bw_28*(1+g29_bw)*um29_A</f>
        <v>0.25</v>
      </c>
      <c r="G5" s="15" t="n">
        <f aca="false">F5*(1+cy30g)</f>
        <v>0.25</v>
      </c>
    </row>
    <row r="6" customFormat="false" ht="15" hidden="false" customHeight="false" outlineLevel="0" collapsed="false">
      <c r="A6" s="0" t="s">
        <v>511</v>
      </c>
      <c r="B6" s="5" t="s">
        <v>27</v>
      </c>
      <c r="C6" s="15" t="n">
        <f aca="false">u_rb_26</f>
        <v>1.7</v>
      </c>
      <c r="D6" s="15" t="n">
        <f aca="false">u_rb_27</f>
        <v>7</v>
      </c>
      <c r="E6" s="15" t="n">
        <f aca="false">u_rb_28*um28_A</f>
        <v>7</v>
      </c>
      <c r="F6" s="15" t="n">
        <f aca="false">u_rb_28*(1+g29_rb)*um29_A</f>
        <v>8.05</v>
      </c>
      <c r="G6" s="15" t="n">
        <f aca="false">F6*(1+cy30g)</f>
        <v>8.05</v>
      </c>
    </row>
    <row r="7" customFormat="false" ht="15" hidden="false" customHeight="false" outlineLevel="0" collapsed="false">
      <c r="A7" s="0" t="s">
        <v>512</v>
      </c>
      <c r="B7" s="5" t="s">
        <v>27</v>
      </c>
      <c r="C7" s="15" t="n">
        <f aca="false">u_ru_26</f>
        <v>0</v>
      </c>
      <c r="D7" s="15" t="n">
        <f aca="false">u_ru_27</f>
        <v>0.3</v>
      </c>
      <c r="E7" s="15" t="n">
        <f aca="false">u_ru_28*um28_A</f>
        <v>2</v>
      </c>
      <c r="F7" s="15" t="n">
        <f aca="false">u_ru_28*(1+g29_ru)*um29_A</f>
        <v>2.3</v>
      </c>
      <c r="G7" s="15" t="n">
        <f aca="false">F7*(1+cy30g)</f>
        <v>2.3</v>
      </c>
    </row>
    <row r="8" customFormat="false" ht="17.15" hidden="false" customHeight="false" outlineLevel="0" collapsed="false">
      <c r="A8" s="0" t="s">
        <v>513</v>
      </c>
      <c r="B8" s="5" t="s">
        <v>27</v>
      </c>
      <c r="C8" s="15" t="n">
        <f aca="false">u_hp_26</f>
        <v>0.5</v>
      </c>
      <c r="D8" s="15" t="n">
        <f aca="false">u_hp_27</f>
        <v>0</v>
      </c>
      <c r="E8" s="15" t="n">
        <f aca="false">u_hp_28*um28_A</f>
        <v>0</v>
      </c>
      <c r="F8" s="15" t="n">
        <f aca="false">u_hp_28*(1+g29_hp)*um29_A</f>
        <v>0</v>
      </c>
      <c r="G8" s="15" t="n">
        <f aca="false">F8*(1+cy30g)</f>
        <v>0</v>
      </c>
    </row>
    <row r="9" customFormat="false" ht="15" hidden="false" customHeight="false" outlineLevel="0" collapsed="false">
      <c r="A9" s="0" t="s">
        <v>514</v>
      </c>
      <c r="B9" s="5" t="s">
        <v>27</v>
      </c>
      <c r="C9" s="15" t="n">
        <f aca="false">u_amd_26</f>
        <v>0.75</v>
      </c>
      <c r="D9" s="15" t="n">
        <f aca="false">u_amd_27</f>
        <v>1.5</v>
      </c>
      <c r="E9" s="15" t="n">
        <f aca="false">u_amd_28*um28_A</f>
        <v>2</v>
      </c>
      <c r="F9" s="15" t="n">
        <f aca="false">u_amd_28*(1+g29_amd)*um29_A</f>
        <v>2.3</v>
      </c>
      <c r="G9" s="15" t="n">
        <f aca="false">F9*(1+cy30g)</f>
        <v>2.3</v>
      </c>
    </row>
    <row r="10" customFormat="false" ht="15" hidden="false" customHeight="false" outlineLevel="0" collapsed="false">
      <c r="A10" s="0" t="s">
        <v>515</v>
      </c>
      <c r="B10" s="5" t="s">
        <v>27</v>
      </c>
      <c r="C10" s="15" t="n">
        <f aca="false">u_tpu_26</f>
        <v>3.85</v>
      </c>
      <c r="D10" s="15" t="n">
        <f aca="false">u_tpu_27</f>
        <v>5.5</v>
      </c>
      <c r="E10" s="15" t="n">
        <f aca="false">u_tpu_28*um28_A</f>
        <v>7</v>
      </c>
      <c r="F10" s="15" t="n">
        <f aca="false">u_tpu_28*(1+g29_tpu)*um29_A</f>
        <v>8.05</v>
      </c>
      <c r="G10" s="15" t="n">
        <f aca="false">F10*(1+cy30g)</f>
        <v>8.05</v>
      </c>
    </row>
    <row r="11" customFormat="false" ht="15" hidden="false" customHeight="false" outlineLevel="0" collapsed="false">
      <c r="A11" s="0" t="s">
        <v>516</v>
      </c>
      <c r="B11" s="5" t="s">
        <v>27</v>
      </c>
      <c r="C11" s="15" t="n">
        <f aca="false">u_trn_26</f>
        <v>2</v>
      </c>
      <c r="D11" s="15" t="n">
        <f aca="false">u_trn_27</f>
        <v>2.5</v>
      </c>
      <c r="E11" s="15" t="n">
        <f aca="false">u_trn_28*um28_A</f>
        <v>3</v>
      </c>
      <c r="F11" s="15" t="n">
        <f aca="false">u_trn_28*(1+g29_trn)*um29_A</f>
        <v>3.45</v>
      </c>
      <c r="G11" s="15" t="n">
        <f aca="false">F11*(1+cy30g)</f>
        <v>3.45</v>
      </c>
    </row>
    <row r="12" customFormat="false" ht="17.15" hidden="false" customHeight="false" outlineLevel="0" collapsed="false">
      <c r="A12" s="5" t="s">
        <v>517</v>
      </c>
      <c r="B12" s="5" t="s">
        <v>27</v>
      </c>
      <c r="C12" s="15" t="n">
        <f aca="false">u_oth_26</f>
        <v>1</v>
      </c>
      <c r="D12" s="15" t="n">
        <f aca="false">u_oth_27</f>
        <v>4.5</v>
      </c>
      <c r="E12" s="15" t="n">
        <f aca="false">u_oth_28*um28_A</f>
        <v>5</v>
      </c>
      <c r="F12" s="15" t="n">
        <f aca="false">u_oth_28*(1+g29_oth)*um29_A</f>
        <v>5.75</v>
      </c>
      <c r="G12" s="15" t="n">
        <f aca="false">F12*(1+cy30g)</f>
        <v>5.75</v>
      </c>
    </row>
    <row r="13" customFormat="false" ht="17.15" hidden="false" customHeight="false" outlineLevel="0" collapsed="false">
      <c r="A13" s="4" t="s">
        <v>518</v>
      </c>
      <c r="B13" s="5" t="s">
        <v>27</v>
      </c>
      <c r="C13" s="15" t="n">
        <f aca="false">SUM(C5:C12)</f>
        <v>15.2</v>
      </c>
      <c r="D13" s="15" t="n">
        <f aca="false">SUM(D5:D12)</f>
        <v>23.7</v>
      </c>
      <c r="E13" s="15" t="n">
        <f aca="false">SUM(E5:E12)</f>
        <v>26.5</v>
      </c>
      <c r="F13" s="15" t="n">
        <f aca="false">SUM(F5:F12)</f>
        <v>30.15</v>
      </c>
      <c r="G13" s="15" t="n">
        <f aca="false">SUM(G5:G12)</f>
        <v>30.15</v>
      </c>
      <c r="H13" s="8" t="s">
        <v>519</v>
      </c>
    </row>
    <row r="15" customFormat="false" ht="17.15" hidden="false" customHeight="false" outlineLevel="0" collapsed="false">
      <c r="A15" s="4" t="s">
        <v>520</v>
      </c>
    </row>
    <row r="16" customFormat="false" ht="17.15" hidden="false" customHeight="false" outlineLevel="0" collapsed="false">
      <c r="A16" s="0" t="s">
        <v>510</v>
      </c>
      <c r="B16" s="5" t="s">
        <v>27</v>
      </c>
      <c r="C16" s="15" t="n">
        <f aca="false">u_bw_26</f>
        <v>5.4</v>
      </c>
      <c r="D16" s="15" t="n">
        <f aca="false">u_bw_27</f>
        <v>2.4</v>
      </c>
      <c r="E16" s="15" t="n">
        <f aca="false">u_bw_28*um28_B</f>
        <v>0.4</v>
      </c>
      <c r="F16" s="15" t="n">
        <f aca="false">u_bw_28*(1+g29_bw)*um29_B</f>
        <v>0.2125</v>
      </c>
      <c r="G16" s="15" t="n">
        <f aca="false">F16*(1+cy30g)</f>
        <v>0.2125</v>
      </c>
    </row>
    <row r="17" customFormat="false" ht="15" hidden="false" customHeight="false" outlineLevel="0" collapsed="false">
      <c r="A17" s="0" t="s">
        <v>511</v>
      </c>
      <c r="B17" s="5" t="s">
        <v>27</v>
      </c>
      <c r="C17" s="15" t="n">
        <f aca="false">u_rb_26</f>
        <v>1.7</v>
      </c>
      <c r="D17" s="15" t="n">
        <f aca="false">u_rb_27</f>
        <v>7</v>
      </c>
      <c r="E17" s="15" t="n">
        <f aca="false">u_rb_28*um28_B</f>
        <v>5.6</v>
      </c>
      <c r="F17" s="15" t="n">
        <f aca="false">u_rb_28*(1+g29_rb)*um29_B</f>
        <v>6.8425</v>
      </c>
      <c r="G17" s="15" t="n">
        <f aca="false">F17*(1+cy30g)</f>
        <v>6.8425</v>
      </c>
    </row>
    <row r="18" customFormat="false" ht="15" hidden="false" customHeight="false" outlineLevel="0" collapsed="false">
      <c r="A18" s="0" t="s">
        <v>512</v>
      </c>
      <c r="B18" s="5" t="s">
        <v>27</v>
      </c>
      <c r="C18" s="15" t="n">
        <f aca="false">u_ru_26</f>
        <v>0</v>
      </c>
      <c r="D18" s="15" t="n">
        <f aca="false">u_ru_27</f>
        <v>0.3</v>
      </c>
      <c r="E18" s="15" t="n">
        <f aca="false">u_ru_28*um28_B</f>
        <v>1.6</v>
      </c>
      <c r="F18" s="15" t="n">
        <f aca="false">u_ru_28*(1+g29_ru)*um29_B</f>
        <v>1.955</v>
      </c>
      <c r="G18" s="15" t="n">
        <f aca="false">F18*(1+cy30g)</f>
        <v>1.955</v>
      </c>
    </row>
    <row r="19" customFormat="false" ht="17.15" hidden="false" customHeight="false" outlineLevel="0" collapsed="false">
      <c r="A19" s="0" t="s">
        <v>513</v>
      </c>
      <c r="B19" s="5" t="s">
        <v>27</v>
      </c>
      <c r="C19" s="15" t="n">
        <f aca="false">u_hp_26</f>
        <v>0.5</v>
      </c>
      <c r="D19" s="15" t="n">
        <f aca="false">u_hp_27</f>
        <v>0</v>
      </c>
      <c r="E19" s="15" t="n">
        <f aca="false">u_hp_28*um28_B</f>
        <v>0</v>
      </c>
      <c r="F19" s="15" t="n">
        <f aca="false">u_hp_28*(1+g29_hp)*um29_B</f>
        <v>0</v>
      </c>
      <c r="G19" s="15" t="n">
        <f aca="false">F19*(1+cy30g)</f>
        <v>0</v>
      </c>
    </row>
    <row r="20" customFormat="false" ht="15" hidden="false" customHeight="false" outlineLevel="0" collapsed="false">
      <c r="A20" s="0" t="s">
        <v>514</v>
      </c>
      <c r="B20" s="5" t="s">
        <v>27</v>
      </c>
      <c r="C20" s="15" t="n">
        <f aca="false">u_amd_26</f>
        <v>0.75</v>
      </c>
      <c r="D20" s="15" t="n">
        <f aca="false">u_amd_27</f>
        <v>1.5</v>
      </c>
      <c r="E20" s="15" t="n">
        <f aca="false">u_amd_28*um28_B</f>
        <v>1.6</v>
      </c>
      <c r="F20" s="15" t="n">
        <f aca="false">u_amd_28*(1+g29_amd)*um29_B</f>
        <v>1.955</v>
      </c>
      <c r="G20" s="15" t="n">
        <f aca="false">F20*(1+cy30g)</f>
        <v>1.955</v>
      </c>
    </row>
    <row r="21" customFormat="false" ht="15" hidden="false" customHeight="false" outlineLevel="0" collapsed="false">
      <c r="A21" s="0" t="s">
        <v>515</v>
      </c>
      <c r="B21" s="5" t="s">
        <v>27</v>
      </c>
      <c r="C21" s="15" t="n">
        <f aca="false">u_tpu_26</f>
        <v>3.85</v>
      </c>
      <c r="D21" s="15" t="n">
        <f aca="false">u_tpu_27</f>
        <v>5.5</v>
      </c>
      <c r="E21" s="15" t="n">
        <f aca="false">u_tpu_28*um28_B</f>
        <v>5.6</v>
      </c>
      <c r="F21" s="15" t="n">
        <f aca="false">u_tpu_28*(1+g29_tpu)*um29_B</f>
        <v>6.8425</v>
      </c>
      <c r="G21" s="15" t="n">
        <f aca="false">F21*(1+cy30g)</f>
        <v>6.8425</v>
      </c>
    </row>
    <row r="22" customFormat="false" ht="15" hidden="false" customHeight="false" outlineLevel="0" collapsed="false">
      <c r="A22" s="0" t="s">
        <v>516</v>
      </c>
      <c r="B22" s="5" t="s">
        <v>27</v>
      </c>
      <c r="C22" s="15" t="n">
        <f aca="false">u_trn_26</f>
        <v>2</v>
      </c>
      <c r="D22" s="15" t="n">
        <f aca="false">u_trn_27</f>
        <v>2.5</v>
      </c>
      <c r="E22" s="15" t="n">
        <f aca="false">u_trn_28*um28_B</f>
        <v>2.4</v>
      </c>
      <c r="F22" s="15" t="n">
        <f aca="false">u_trn_28*(1+g29_trn)*um29_B</f>
        <v>2.9325</v>
      </c>
      <c r="G22" s="15" t="n">
        <f aca="false">F22*(1+cy30g)</f>
        <v>2.9325</v>
      </c>
    </row>
    <row r="23" customFormat="false" ht="17.15" hidden="false" customHeight="false" outlineLevel="0" collapsed="false">
      <c r="A23" s="5" t="s">
        <v>517</v>
      </c>
      <c r="B23" s="5" t="s">
        <v>27</v>
      </c>
      <c r="C23" s="15" t="n">
        <f aca="false">u_oth_26</f>
        <v>1</v>
      </c>
      <c r="D23" s="15" t="n">
        <f aca="false">u_oth_27</f>
        <v>4.5</v>
      </c>
      <c r="E23" s="15" t="n">
        <f aca="false">u_oth_28*um28_B</f>
        <v>4</v>
      </c>
      <c r="F23" s="15" t="n">
        <f aca="false">u_oth_28*(1+g29_oth)*um29_B</f>
        <v>4.8875</v>
      </c>
      <c r="G23" s="15" t="n">
        <f aca="false">F23*(1+cy30g)</f>
        <v>4.8875</v>
      </c>
    </row>
    <row r="24" customFormat="false" ht="17.15" hidden="false" customHeight="false" outlineLevel="0" collapsed="false">
      <c r="A24" s="4" t="s">
        <v>518</v>
      </c>
      <c r="B24" s="5" t="s">
        <v>27</v>
      </c>
      <c r="C24" s="15" t="n">
        <f aca="false">SUM(C16:C23)</f>
        <v>15.2</v>
      </c>
      <c r="D24" s="15" t="n">
        <f aca="false">SUM(D16:D23)</f>
        <v>23.7</v>
      </c>
      <c r="E24" s="15" t="n">
        <f aca="false">SUM(E16:E23)</f>
        <v>21.2</v>
      </c>
      <c r="F24" s="15" t="n">
        <f aca="false">SUM(F16:F23)</f>
        <v>25.6275</v>
      </c>
      <c r="G24" s="15" t="n">
        <f aca="false">SUM(G16:G23)</f>
        <v>25.6275</v>
      </c>
      <c r="H24" s="8" t="s">
        <v>521</v>
      </c>
    </row>
    <row r="26" customFormat="false" ht="17.15" hidden="false" customHeight="false" outlineLevel="0" collapsed="false">
      <c r="A26" s="4" t="s">
        <v>522</v>
      </c>
    </row>
    <row r="27" customFormat="false" ht="17.15" hidden="false" customHeight="false" outlineLevel="0" collapsed="false">
      <c r="A27" s="0" t="s">
        <v>510</v>
      </c>
      <c r="B27" s="5" t="s">
        <v>27</v>
      </c>
      <c r="C27" s="15" t="n">
        <f aca="false">u_bw_26</f>
        <v>5.4</v>
      </c>
      <c r="D27" s="15" t="n">
        <f aca="false">u_bw_27</f>
        <v>2.4</v>
      </c>
      <c r="E27" s="15" t="n">
        <f aca="false">u_bw_28*um28_C</f>
        <v>0.3</v>
      </c>
      <c r="F27" s="15" t="n">
        <f aca="false">u_bw_28*(1+g29_bw)*um29_C</f>
        <v>0.15</v>
      </c>
      <c r="G27" s="15" t="n">
        <f aca="false">F27*(1+cy30g)</f>
        <v>0.15</v>
      </c>
    </row>
    <row r="28" customFormat="false" ht="15" hidden="false" customHeight="false" outlineLevel="0" collapsed="false">
      <c r="A28" s="0" t="s">
        <v>511</v>
      </c>
      <c r="B28" s="5" t="s">
        <v>27</v>
      </c>
      <c r="C28" s="15" t="n">
        <f aca="false">u_rb_26</f>
        <v>1.7</v>
      </c>
      <c r="D28" s="15" t="n">
        <f aca="false">u_rb_27</f>
        <v>7</v>
      </c>
      <c r="E28" s="15" t="n">
        <f aca="false">u_rb_28*um28_C</f>
        <v>4.2</v>
      </c>
      <c r="F28" s="15" t="n">
        <f aca="false">u_rb_28*(1+g29_rb)*um29_C</f>
        <v>4.83</v>
      </c>
      <c r="G28" s="15" t="n">
        <f aca="false">F28*(1+cy30g)</f>
        <v>4.83</v>
      </c>
    </row>
    <row r="29" customFormat="false" ht="15" hidden="false" customHeight="false" outlineLevel="0" collapsed="false">
      <c r="A29" s="0" t="s">
        <v>512</v>
      </c>
      <c r="B29" s="5" t="s">
        <v>27</v>
      </c>
      <c r="C29" s="15" t="n">
        <f aca="false">u_ru_26</f>
        <v>0</v>
      </c>
      <c r="D29" s="15" t="n">
        <f aca="false">u_ru_27</f>
        <v>0.3</v>
      </c>
      <c r="E29" s="15" t="n">
        <f aca="false">u_ru_28*um28_C</f>
        <v>1.2</v>
      </c>
      <c r="F29" s="15" t="n">
        <f aca="false">u_ru_28*(1+g29_ru)*um29_C</f>
        <v>1.38</v>
      </c>
      <c r="G29" s="15" t="n">
        <f aca="false">F29*(1+cy30g)</f>
        <v>1.38</v>
      </c>
    </row>
    <row r="30" customFormat="false" ht="17.15" hidden="false" customHeight="false" outlineLevel="0" collapsed="false">
      <c r="A30" s="0" t="s">
        <v>513</v>
      </c>
      <c r="B30" s="5" t="s">
        <v>27</v>
      </c>
      <c r="C30" s="15" t="n">
        <f aca="false">u_hp_26</f>
        <v>0.5</v>
      </c>
      <c r="D30" s="15" t="n">
        <f aca="false">u_hp_27</f>
        <v>0</v>
      </c>
      <c r="E30" s="15" t="n">
        <f aca="false">u_hp_28*um28_C</f>
        <v>0</v>
      </c>
      <c r="F30" s="15" t="n">
        <f aca="false">u_hp_28*(1+g29_hp)*um29_C</f>
        <v>0</v>
      </c>
      <c r="G30" s="15" t="n">
        <f aca="false">F30*(1+cy30g)</f>
        <v>0</v>
      </c>
    </row>
    <row r="31" customFormat="false" ht="15" hidden="false" customHeight="false" outlineLevel="0" collapsed="false">
      <c r="A31" s="0" t="s">
        <v>514</v>
      </c>
      <c r="B31" s="5" t="s">
        <v>27</v>
      </c>
      <c r="C31" s="15" t="n">
        <f aca="false">u_amd_26</f>
        <v>0.75</v>
      </c>
      <c r="D31" s="15" t="n">
        <f aca="false">u_amd_27</f>
        <v>1.5</v>
      </c>
      <c r="E31" s="15" t="n">
        <f aca="false">u_amd_28*um28_C</f>
        <v>1.2</v>
      </c>
      <c r="F31" s="15" t="n">
        <f aca="false">u_amd_28*(1+g29_amd)*um29_C</f>
        <v>1.38</v>
      </c>
      <c r="G31" s="15" t="n">
        <f aca="false">F31*(1+cy30g)</f>
        <v>1.38</v>
      </c>
    </row>
    <row r="32" customFormat="false" ht="15" hidden="false" customHeight="false" outlineLevel="0" collapsed="false">
      <c r="A32" s="0" t="s">
        <v>515</v>
      </c>
      <c r="B32" s="5" t="s">
        <v>27</v>
      </c>
      <c r="C32" s="15" t="n">
        <f aca="false">u_tpu_26</f>
        <v>3.85</v>
      </c>
      <c r="D32" s="15" t="n">
        <f aca="false">u_tpu_27</f>
        <v>5.5</v>
      </c>
      <c r="E32" s="15" t="n">
        <f aca="false">u_tpu_28*um28_C</f>
        <v>4.2</v>
      </c>
      <c r="F32" s="15" t="n">
        <f aca="false">u_tpu_28*(1+g29_tpu)*um29_C</f>
        <v>4.83</v>
      </c>
      <c r="G32" s="15" t="n">
        <f aca="false">F32*(1+cy30g)</f>
        <v>4.83</v>
      </c>
    </row>
    <row r="33" customFormat="false" ht="15" hidden="false" customHeight="false" outlineLevel="0" collapsed="false">
      <c r="A33" s="0" t="s">
        <v>516</v>
      </c>
      <c r="B33" s="5" t="s">
        <v>27</v>
      </c>
      <c r="C33" s="15" t="n">
        <f aca="false">u_trn_26</f>
        <v>2</v>
      </c>
      <c r="D33" s="15" t="n">
        <f aca="false">u_trn_27</f>
        <v>2.5</v>
      </c>
      <c r="E33" s="15" t="n">
        <f aca="false">u_trn_28*um28_C</f>
        <v>1.8</v>
      </c>
      <c r="F33" s="15" t="n">
        <f aca="false">u_trn_28*(1+g29_trn)*um29_C</f>
        <v>2.07</v>
      </c>
      <c r="G33" s="15" t="n">
        <f aca="false">F33*(1+cy30g)</f>
        <v>2.07</v>
      </c>
    </row>
    <row r="34" customFormat="false" ht="17.15" hidden="false" customHeight="false" outlineLevel="0" collapsed="false">
      <c r="A34" s="5" t="s">
        <v>517</v>
      </c>
      <c r="B34" s="5" t="s">
        <v>27</v>
      </c>
      <c r="C34" s="15" t="n">
        <f aca="false">u_oth_26</f>
        <v>1</v>
      </c>
      <c r="D34" s="15" t="n">
        <f aca="false">u_oth_27</f>
        <v>4.5</v>
      </c>
      <c r="E34" s="15" t="n">
        <f aca="false">u_oth_28*um28_C</f>
        <v>3</v>
      </c>
      <c r="F34" s="15" t="n">
        <f aca="false">u_oth_28*(1+g29_oth)*um29_C</f>
        <v>3.45</v>
      </c>
      <c r="G34" s="15" t="n">
        <f aca="false">F34*(1+cy30g)</f>
        <v>3.45</v>
      </c>
    </row>
    <row r="35" customFormat="false" ht="17.15" hidden="false" customHeight="false" outlineLevel="0" collapsed="false">
      <c r="A35" s="4" t="s">
        <v>518</v>
      </c>
      <c r="B35" s="5" t="s">
        <v>27</v>
      </c>
      <c r="C35" s="15" t="n">
        <f aca="false">SUM(C27:C34)</f>
        <v>15.2</v>
      </c>
      <c r="D35" s="15" t="n">
        <f aca="false">SUM(D27:D34)</f>
        <v>23.7</v>
      </c>
      <c r="E35" s="15" t="n">
        <f aca="false">SUM(E27:E34)</f>
        <v>15.9</v>
      </c>
      <c r="F35" s="15" t="n">
        <f aca="false">SUM(F27:F34)</f>
        <v>18.09</v>
      </c>
      <c r="G35" s="15" t="n">
        <f aca="false">SUM(G27:G34)</f>
        <v>18.09</v>
      </c>
      <c r="H35" s="8" t="s">
        <v>521</v>
      </c>
    </row>
    <row r="37" customFormat="false" ht="17.15" hidden="false" customHeight="false" outlineLevel="0" collapsed="false">
      <c r="A37" s="4" t="s">
        <v>523</v>
      </c>
    </row>
    <row r="38" customFormat="false" ht="17.15" hidden="false" customHeight="false" outlineLevel="0" collapsed="false">
      <c r="A38" s="5" t="s">
        <v>524</v>
      </c>
      <c r="B38" s="5" t="s">
        <v>525</v>
      </c>
      <c r="C38" s="15" t="n">
        <f aca="false">C5*tt_bw+C6*tt_rb+C7*tt_ru+C8*tt_hp+C9*tt_amd+C10*tt_tpu+C11*tt_trn+C12*tt_oth</f>
        <v>14.885</v>
      </c>
      <c r="D38" s="15" t="n">
        <f aca="false">D5*tt_bw+D6*tt_rb+D7*tt_ru+D8*tt_hp+D9*tt_amd+D10*tt_tpu+D11*tt_trn+D12*tt_oth</f>
        <v>24.31</v>
      </c>
      <c r="E38" s="15" t="n">
        <f aca="false">E5*tt_bw+E6*tt_rb+E7*tt_ru+E8*tt_hp+E9*tt_amd+E10*tt_tpu+E11*tt_trn+E12*tt_oth</f>
        <v>28.1</v>
      </c>
      <c r="F38" s="15" t="n">
        <f aca="false">F5*tt_bw+F6*tt_rb+F7*tt_ru+F8*tt_hp+F9*tt_amd+F10*tt_tpu+F11*tt_trn+F12*tt_oth</f>
        <v>31.99</v>
      </c>
      <c r="G38" s="15" t="n">
        <f aca="false">G5*tt_bw+G6*tt_rb+G7*tt_ru+G8*tt_hp+G9*tt_amd+G10*tt_tpu+G11*tt_trn+G12*tt_oth</f>
        <v>31.99</v>
      </c>
    </row>
    <row r="39" customFormat="false" ht="17.15" hidden="false" customHeight="false" outlineLevel="0" collapsed="false">
      <c r="A39" s="5" t="s">
        <v>526</v>
      </c>
      <c r="B39" s="5" t="s">
        <v>525</v>
      </c>
      <c r="C39" s="15" t="n">
        <f aca="false">C16*tt_bw+C17*tt_rb+C18*tt_ru+C19*tt_hp+C20*tt_amd+C21*tt_tpu+C22*tt_trn+C23*tt_oth</f>
        <v>14.885</v>
      </c>
      <c r="D39" s="15" t="n">
        <f aca="false">D16*tt_bw+D17*tt_rb+D18*tt_ru+D19*tt_hp+D20*tt_amd+D21*tt_tpu+D22*tt_trn+D23*tt_oth</f>
        <v>24.31</v>
      </c>
      <c r="E39" s="15" t="n">
        <f aca="false">E16*tt_bw+E17*tt_rb+E18*tt_ru+E19*tt_hp+E20*tt_amd+E21*tt_tpu+E22*tt_trn+E23*tt_oth</f>
        <v>22.48</v>
      </c>
      <c r="F39" s="15" t="n">
        <f aca="false">F16*tt_bw+F17*tt_rb+F18*tt_ru+F19*tt_hp+F20*tt_amd+F21*tt_tpu+F22*tt_trn+F23*tt_oth</f>
        <v>27.1915</v>
      </c>
      <c r="G39" s="15" t="n">
        <f aca="false">G16*tt_bw+G17*tt_rb+G18*tt_ru+G19*tt_hp+G20*tt_amd+G21*tt_tpu+G22*tt_trn+G23*tt_oth</f>
        <v>27.1915</v>
      </c>
    </row>
    <row r="40" customFormat="false" ht="17.15" hidden="false" customHeight="false" outlineLevel="0" collapsed="false">
      <c r="A40" s="5" t="s">
        <v>527</v>
      </c>
      <c r="B40" s="5" t="s">
        <v>525</v>
      </c>
      <c r="C40" s="15" t="n">
        <f aca="false">C27*tt_bw+C28*tt_rb+C29*tt_ru+C30*tt_hp+C31*tt_amd+C32*tt_tpu+C33*tt_trn+C34*tt_oth</f>
        <v>14.885</v>
      </c>
      <c r="D40" s="15" t="n">
        <f aca="false">D27*tt_bw+D28*tt_rb+D29*tt_ru+D30*tt_hp+D31*tt_amd+D32*tt_tpu+D33*tt_trn+D34*tt_oth</f>
        <v>24.31</v>
      </c>
      <c r="E40" s="15" t="n">
        <f aca="false">E27*tt_bw+E28*tt_rb+E29*tt_ru+E30*tt_hp+E31*tt_amd+E32*tt_tpu+E33*tt_trn+E34*tt_oth</f>
        <v>16.86</v>
      </c>
      <c r="F40" s="15" t="n">
        <f aca="false">F27*tt_bw+F28*tt_rb+F29*tt_ru+F30*tt_hp+F31*tt_amd+F32*tt_tpu+F33*tt_trn+F34*tt_oth</f>
        <v>19.194</v>
      </c>
      <c r="G40" s="15" t="n">
        <f aca="false">G27*tt_bw+G28*tt_rb+G29*tt_ru+G30*tt_hp+G31*tt_amd+G32*tt_tpu+G33*tt_trn+G34*tt_oth</f>
        <v>19.194</v>
      </c>
    </row>
    <row r="42" customFormat="false" ht="17.15" hidden="false" customHeight="false" outlineLevel="0" collapsed="false">
      <c r="A42" s="4" t="s">
        <v>528</v>
      </c>
    </row>
    <row r="43" customFormat="false" ht="17.15" hidden="false" customHeight="false" outlineLevel="0" collapsed="false">
      <c r="A43" s="0" t="s">
        <v>529</v>
      </c>
      <c r="B43" s="0" t="s">
        <v>148</v>
      </c>
      <c r="C43" s="15" t="n">
        <f aca="false">mk_soc26</f>
        <v>11</v>
      </c>
      <c r="H43" s="8" t="s">
        <v>28</v>
      </c>
    </row>
    <row r="44" customFormat="false" ht="17.15" hidden="false" customHeight="false" outlineLevel="0" collapsed="false">
      <c r="A44" s="5" t="s">
        <v>530</v>
      </c>
      <c r="B44" s="0" t="s">
        <v>148</v>
      </c>
      <c r="C44" s="15" t="n">
        <f aca="false">nonai26</f>
        <v>4.3</v>
      </c>
      <c r="H44" s="8" t="s">
        <v>531</v>
      </c>
    </row>
    <row r="45" customFormat="false" ht="17.15" hidden="false" customHeight="false" outlineLevel="0" collapsed="false">
      <c r="A45" s="5" t="s">
        <v>532</v>
      </c>
      <c r="B45" s="0" t="s">
        <v>148</v>
      </c>
      <c r="C45" s="15" t="n">
        <f aca="false">C43-C44</f>
        <v>6.7</v>
      </c>
      <c r="H45" s="8" t="s">
        <v>221</v>
      </c>
    </row>
    <row r="46" customFormat="false" ht="17.15" hidden="false" customHeight="false" outlineLevel="0" collapsed="false">
      <c r="A46" s="0" t="s">
        <v>533</v>
      </c>
      <c r="B46" s="5" t="s">
        <v>27</v>
      </c>
      <c r="C46" s="15" t="n">
        <f aca="false">C38</f>
        <v>14.885</v>
      </c>
    </row>
    <row r="47" customFormat="false" ht="17.15" hidden="false" customHeight="false" outlineLevel="0" collapsed="false">
      <c r="A47" s="5" t="s">
        <v>534</v>
      </c>
      <c r="B47" s="0" t="s">
        <v>535</v>
      </c>
      <c r="C47" s="16" t="n">
        <f aca="false">C45/C46*1000</f>
        <v>450.117568021498</v>
      </c>
      <c r="H47" s="8" t="s">
        <v>536</v>
      </c>
    </row>
    <row r="48" customFormat="false" ht="17.15" hidden="false" customHeight="false" outlineLevel="0" collapsed="false">
      <c r="A48" s="0" t="s">
        <v>537</v>
      </c>
      <c r="B48" s="5" t="s">
        <v>538</v>
      </c>
      <c r="C48" s="16" t="n">
        <f aca="false">C47/asp_m</f>
        <v>300.078378680999</v>
      </c>
      <c r="H48" s="8" t="s">
        <v>539</v>
      </c>
    </row>
    <row r="50" customFormat="false" ht="17.15" hidden="false" customHeight="false" outlineLevel="0" collapsed="false">
      <c r="A50" s="1" t="s">
        <v>540</v>
      </c>
    </row>
    <row r="51" customFormat="false" ht="17.15" hidden="false" customHeight="false" outlineLevel="0" collapsed="false">
      <c r="A51" s="0" t="s">
        <v>441</v>
      </c>
      <c r="B51" s="15" t="n">
        <f aca="false">0.75*mk_soc25+0.25*mk_soc26</f>
        <v>7.925</v>
      </c>
    </row>
    <row r="52" customFormat="false" ht="15" hidden="false" customHeight="false" outlineLevel="0" collapsed="false">
      <c r="A52" s="5" t="s">
        <v>446</v>
      </c>
      <c r="B52" s="15" t="n">
        <f aca="false">0.75*mk_mem25+0.25*mk_mem26</f>
        <v>2.2625</v>
      </c>
    </row>
    <row r="54" customFormat="false" ht="17.15" hidden="false" customHeight="false" outlineLevel="0" collapsed="false">
      <c r="A54" s="4" t="s">
        <v>541</v>
      </c>
    </row>
    <row r="55" customFormat="false" ht="15" hidden="false" customHeight="false" outlineLevel="0" collapsed="false">
      <c r="A55" s="6" t="s">
        <v>542</v>
      </c>
      <c r="B55" s="9"/>
      <c r="C55" s="6" t="s">
        <v>18</v>
      </c>
      <c r="D55" s="6" t="s">
        <v>19</v>
      </c>
      <c r="E55" s="6" t="s">
        <v>20</v>
      </c>
    </row>
    <row r="56" customFormat="false" ht="17.15" hidden="false" customHeight="false" outlineLevel="0" collapsed="false">
      <c r="A56" s="0" t="s">
        <v>543</v>
      </c>
      <c r="C56" s="0" t="n">
        <f aca="false">tt_bw_lo</f>
        <v>0.9</v>
      </c>
      <c r="D56" s="0" t="n">
        <f aca="false">tt_bw</f>
        <v>1</v>
      </c>
      <c r="E56" s="0" t="n">
        <f aca="false">tt_bw_hi</f>
        <v>1.1</v>
      </c>
    </row>
    <row r="57" customFormat="false" ht="15" hidden="false" customHeight="false" outlineLevel="0" collapsed="false">
      <c r="A57" s="0" t="s">
        <v>544</v>
      </c>
      <c r="C57" s="0" t="n">
        <f aca="false">tt_rb_lo</f>
        <v>1.1</v>
      </c>
      <c r="D57" s="0" t="n">
        <f aca="false">tt_rb</f>
        <v>1.3</v>
      </c>
      <c r="E57" s="0" t="n">
        <f aca="false">tt_rb_hi</f>
        <v>1.6</v>
      </c>
    </row>
    <row r="58" customFormat="false" ht="15" hidden="false" customHeight="false" outlineLevel="0" collapsed="false">
      <c r="A58" s="0" t="s">
        <v>545</v>
      </c>
      <c r="C58" s="0" t="n">
        <f aca="false">tt_ru_lo</f>
        <v>1.3</v>
      </c>
      <c r="D58" s="0" t="n">
        <f aca="false">tt_ru</f>
        <v>1.7</v>
      </c>
      <c r="E58" s="0" t="n">
        <f aca="false">tt_ru_hi</f>
        <v>2.2</v>
      </c>
    </row>
    <row r="59" customFormat="false" ht="17.15" hidden="false" customHeight="false" outlineLevel="0" collapsed="false">
      <c r="A59" s="0" t="s">
        <v>546</v>
      </c>
      <c r="C59" s="0" t="n">
        <f aca="false">tt_hp_lo</f>
        <v>0.5</v>
      </c>
      <c r="D59" s="0" t="n">
        <f aca="false">tt_hp</f>
        <v>0.6</v>
      </c>
      <c r="E59" s="0" t="n">
        <f aca="false">tt_hp_hi</f>
        <v>0.8</v>
      </c>
    </row>
    <row r="60" customFormat="false" ht="15" hidden="false" customHeight="false" outlineLevel="0" collapsed="false">
      <c r="A60" s="0" t="s">
        <v>547</v>
      </c>
      <c r="C60" s="0" t="n">
        <f aca="false">tt_amd_lo</f>
        <v>0.9</v>
      </c>
      <c r="D60" s="0" t="n">
        <f aca="false">tt_amd</f>
        <v>1.1</v>
      </c>
      <c r="E60" s="0" t="n">
        <f aca="false">tt_amd_hi</f>
        <v>1.4</v>
      </c>
    </row>
    <row r="61" customFormat="false" ht="15" hidden="false" customHeight="false" outlineLevel="0" collapsed="false">
      <c r="A61" s="0" t="s">
        <v>548</v>
      </c>
      <c r="C61" s="0" t="n">
        <f aca="false">tt_tpu_lo</f>
        <v>0.8</v>
      </c>
      <c r="D61" s="0" t="n">
        <f aca="false">tt_tpu</f>
        <v>1</v>
      </c>
      <c r="E61" s="0" t="n">
        <f aca="false">tt_tpu_hi</f>
        <v>1.3</v>
      </c>
    </row>
    <row r="62" customFormat="false" ht="15" hidden="false" customHeight="false" outlineLevel="0" collapsed="false">
      <c r="A62" s="0" t="s">
        <v>549</v>
      </c>
      <c r="C62" s="0" t="n">
        <f aca="false">tt_trn_lo</f>
        <v>0.6</v>
      </c>
      <c r="D62" s="0" t="n">
        <f aca="false">tt_trn</f>
        <v>0.8</v>
      </c>
      <c r="E62" s="0" t="n">
        <f aca="false">tt_trn_hi</f>
        <v>1.1</v>
      </c>
    </row>
    <row r="63" customFormat="false" ht="17.15" hidden="false" customHeight="false" outlineLevel="0" collapsed="false">
      <c r="A63" s="5" t="s">
        <v>550</v>
      </c>
      <c r="C63" s="0" t="n">
        <f aca="false">tt_oth_lo</f>
        <v>0.5</v>
      </c>
      <c r="D63" s="0" t="n">
        <f aca="false">tt_oth</f>
        <v>0.7</v>
      </c>
      <c r="E63" s="0" t="n">
        <f aca="false">tt_oth_hi</f>
        <v>1</v>
      </c>
    </row>
    <row r="65" customFormat="false" ht="17.15" hidden="false" customHeight="false" outlineLevel="0" collapsed="false">
      <c r="A65" s="5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7" min="3" style="0" width="13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552</v>
      </c>
    </row>
    <row r="3" customFormat="false" ht="15" hidden="false" customHeight="false" outlineLevel="0" collapsed="false">
      <c r="A3" s="6" t="s">
        <v>553</v>
      </c>
      <c r="B3" s="6" t="s">
        <v>17</v>
      </c>
      <c r="C3" s="9" t="s">
        <v>554</v>
      </c>
      <c r="D3" s="9" t="s">
        <v>555</v>
      </c>
      <c r="E3" s="9" t="s">
        <v>556</v>
      </c>
      <c r="F3" s="9" t="s">
        <v>557</v>
      </c>
      <c r="G3" s="9" t="s">
        <v>558</v>
      </c>
      <c r="H3" s="6" t="s">
        <v>508</v>
      </c>
    </row>
    <row r="4" customFormat="false" ht="17.15" hidden="false" customHeight="false" outlineLevel="0" collapsed="false">
      <c r="A4" s="4" t="s">
        <v>559</v>
      </c>
    </row>
    <row r="5" customFormat="false" ht="15" hidden="false" customHeight="false" outlineLevel="0" collapsed="false">
      <c r="A5" s="5" t="s">
        <v>459</v>
      </c>
      <c r="B5" s="0" t="s">
        <v>347</v>
      </c>
      <c r="C5" s="17" t="n">
        <f aca="false">C57</f>
        <v>1128.6</v>
      </c>
      <c r="D5" s="17" t="n">
        <f aca="false">D57</f>
        <v>1669.83529186934</v>
      </c>
      <c r="E5" s="17" t="n">
        <f aca="false">E57</f>
        <v>2169.04943786263</v>
      </c>
      <c r="F5" s="17" t="n">
        <f aca="false">F57</f>
        <v>2482.1403900367</v>
      </c>
      <c r="G5" s="17" t="n">
        <f aca="false">G57</f>
        <v>2737.79199174048</v>
      </c>
    </row>
    <row r="6" customFormat="false" ht="15" hidden="false" customHeight="false" outlineLevel="0" collapsed="false">
      <c r="A6" s="5" t="s">
        <v>459</v>
      </c>
      <c r="B6" s="0" t="s">
        <v>148</v>
      </c>
      <c r="C6" s="12" t="n">
        <f aca="false">C66</f>
        <v>7.524</v>
      </c>
      <c r="D6" s="12" t="n">
        <f aca="false">D66</f>
        <v>11.1322352791289</v>
      </c>
      <c r="E6" s="12" t="n">
        <f aca="false">E66</f>
        <v>14.4603295857509</v>
      </c>
      <c r="F6" s="12" t="n">
        <f aca="false">F66</f>
        <v>16.5476026002447</v>
      </c>
      <c r="G6" s="12" t="n">
        <f aca="false">G66</f>
        <v>18.2519466116032</v>
      </c>
    </row>
    <row r="7" customFormat="false" ht="17.15" hidden="false" customHeight="false" outlineLevel="0" collapsed="false">
      <c r="A7" s="0" t="s">
        <v>560</v>
      </c>
      <c r="B7" s="0" t="s">
        <v>347</v>
      </c>
      <c r="C7" s="17" t="n">
        <f aca="false">C53</f>
        <v>767.4</v>
      </c>
      <c r="D7" s="17" t="n">
        <f aca="false">D53</f>
        <v>1198.25536244542</v>
      </c>
      <c r="E7" s="17" t="n">
        <f aca="false">E53</f>
        <v>1572.670882956</v>
      </c>
      <c r="F7" s="17" t="n">
        <f aca="false">F53</f>
        <v>1760.5597478342</v>
      </c>
      <c r="G7" s="17" t="n">
        <f aca="false">G53</f>
        <v>1909.16998994777</v>
      </c>
    </row>
    <row r="8" customFormat="false" ht="15" hidden="false" customHeight="false" outlineLevel="0" collapsed="false">
      <c r="A8" s="5" t="s">
        <v>561</v>
      </c>
      <c r="B8" s="0" t="s">
        <v>347</v>
      </c>
      <c r="C8" s="17" t="n">
        <f aca="false">C54</f>
        <v>171.5</v>
      </c>
      <c r="D8" s="17" t="n">
        <f aca="false">D54</f>
        <v>231.979929423922</v>
      </c>
      <c r="E8" s="17" t="n">
        <f aca="false">E54</f>
        <v>324.906554906633</v>
      </c>
      <c r="F8" s="17" t="n">
        <f aca="false">F54</f>
        <v>413.944002202504</v>
      </c>
      <c r="G8" s="17" t="n">
        <f aca="false">G54</f>
        <v>479.942764992713</v>
      </c>
    </row>
    <row r="9" customFormat="false" ht="15" hidden="false" customHeight="false" outlineLevel="0" collapsed="false">
      <c r="A9" s="5" t="s">
        <v>463</v>
      </c>
      <c r="B9" s="0" t="s">
        <v>38</v>
      </c>
      <c r="C9" s="14" t="n">
        <f aca="false">C59</f>
        <v>0.643</v>
      </c>
      <c r="D9" s="14" t="n">
        <f aca="false">D59</f>
        <v>0.661180081875993</v>
      </c>
      <c r="E9" s="14" t="n">
        <f aca="false">E59</f>
        <v>0.664784928000481</v>
      </c>
      <c r="F9" s="14" t="n">
        <f aca="false">F59</f>
        <v>0.657171253300295</v>
      </c>
      <c r="G9" s="14" t="n">
        <f aca="false">G59</f>
        <v>0.651397312905611</v>
      </c>
    </row>
    <row r="10" customFormat="false" ht="15" hidden="false" customHeight="false" outlineLevel="0" collapsed="false">
      <c r="A10" s="5" t="s">
        <v>470</v>
      </c>
      <c r="B10" s="0" t="s">
        <v>347</v>
      </c>
      <c r="C10" s="17" t="n">
        <f aca="false">C62</f>
        <v>499.1</v>
      </c>
      <c r="D10" s="17" t="n">
        <f aca="false">D62</f>
        <v>815.323171713486</v>
      </c>
      <c r="E10" s="17" t="n">
        <f aca="false">E62</f>
        <v>1095.88904396728</v>
      </c>
      <c r="F10" s="17" t="n">
        <f aca="false">F62</f>
        <v>1249.17743219312</v>
      </c>
      <c r="G10" s="17" t="n">
        <f aca="false">G62</f>
        <v>1372.02055436168</v>
      </c>
    </row>
    <row r="11" customFormat="false" ht="15" hidden="false" customHeight="false" outlineLevel="0" collapsed="false">
      <c r="A11" s="5" t="s">
        <v>473</v>
      </c>
      <c r="B11" s="0" t="s">
        <v>38</v>
      </c>
      <c r="C11" s="14" t="n">
        <f aca="false">C63</f>
        <v>0.442229310650363</v>
      </c>
      <c r="D11" s="14" t="n">
        <f aca="false">D63</f>
        <v>0.488265624569926</v>
      </c>
      <c r="E11" s="14" t="n">
        <f aca="false">E63</f>
        <v>0.505239311210522</v>
      </c>
      <c r="F11" s="14" t="n">
        <f aca="false">F63</f>
        <v>0.503266228295272</v>
      </c>
      <c r="G11" s="14" t="n">
        <f aca="false">G63</f>
        <v>0.50114126949778</v>
      </c>
    </row>
    <row r="12" customFormat="false" ht="15" hidden="false" customHeight="false" outlineLevel="0" collapsed="false">
      <c r="A12" s="5" t="s">
        <v>493</v>
      </c>
      <c r="B12" s="0" t="s">
        <v>347</v>
      </c>
      <c r="C12" s="17" t="n">
        <f aca="false">C64</f>
        <v>375.4</v>
      </c>
      <c r="D12" s="17" t="n">
        <f aca="false">D64</f>
        <v>613.248484594756</v>
      </c>
      <c r="E12" s="17" t="n">
        <f aca="false">E64</f>
        <v>824.277193158321</v>
      </c>
      <c r="F12" s="17" t="n">
        <f aca="false">F64</f>
        <v>939.573648658182</v>
      </c>
      <c r="G12" s="17" t="n">
        <f aca="false">G64</f>
        <v>1031.97057925741</v>
      </c>
    </row>
    <row r="13" customFormat="false" ht="15" hidden="false" customHeight="false" outlineLevel="0" collapsed="false">
      <c r="A13" s="0" t="s">
        <v>562</v>
      </c>
      <c r="B13" s="0" t="s">
        <v>396</v>
      </c>
      <c r="C13" s="11" t="n">
        <f aca="false">C65</f>
        <v>515.15</v>
      </c>
      <c r="D13" s="11" t="n">
        <f aca="false">D65</f>
        <v>847.063406812065</v>
      </c>
      <c r="E13" s="11" t="n">
        <f aca="false">E65</f>
        <v>1138.5516066225</v>
      </c>
      <c r="F13" s="11" t="n">
        <f aca="false">F65</f>
        <v>1297.80745615567</v>
      </c>
      <c r="G13" s="11" t="n">
        <f aca="false">G65</f>
        <v>1425.4328164761</v>
      </c>
    </row>
    <row r="15" customFormat="false" ht="17.15" hidden="false" customHeight="false" outlineLevel="0" collapsed="false">
      <c r="A15" s="4" t="s">
        <v>563</v>
      </c>
    </row>
    <row r="16" customFormat="false" ht="15" hidden="false" customHeight="false" outlineLevel="0" collapsed="false">
      <c r="A16" s="5" t="s">
        <v>459</v>
      </c>
      <c r="B16" s="0" t="s">
        <v>347</v>
      </c>
      <c r="C16" s="17" t="n">
        <f aca="false">C86</f>
        <v>1128.6</v>
      </c>
      <c r="D16" s="17" t="n">
        <f aca="false">D86</f>
        <v>1669.83529186934</v>
      </c>
      <c r="E16" s="17" t="n">
        <f aca="false">E86</f>
        <v>2092.43745509893</v>
      </c>
      <c r="F16" s="17" t="n">
        <f aca="false">F86</f>
        <v>2196.60454583425</v>
      </c>
      <c r="G16" s="17" t="n">
        <f aca="false">G86</f>
        <v>2461.15933129503</v>
      </c>
    </row>
    <row r="17" customFormat="false" ht="15" hidden="false" customHeight="false" outlineLevel="0" collapsed="false">
      <c r="A17" s="5" t="s">
        <v>459</v>
      </c>
      <c r="B17" s="0" t="s">
        <v>148</v>
      </c>
      <c r="C17" s="12" t="n">
        <f aca="false">C95</f>
        <v>7.524</v>
      </c>
      <c r="D17" s="12" t="n">
        <f aca="false">D95</f>
        <v>11.1322352791289</v>
      </c>
      <c r="E17" s="12" t="n">
        <f aca="false">E95</f>
        <v>13.9495830339929</v>
      </c>
      <c r="F17" s="12" t="n">
        <f aca="false">F95</f>
        <v>14.6440303055617</v>
      </c>
      <c r="G17" s="12" t="n">
        <f aca="false">G95</f>
        <v>16.4077288753002</v>
      </c>
    </row>
    <row r="18" customFormat="false" ht="17.15" hidden="false" customHeight="false" outlineLevel="0" collapsed="false">
      <c r="A18" s="0" t="s">
        <v>560</v>
      </c>
      <c r="B18" s="0" t="s">
        <v>347</v>
      </c>
      <c r="C18" s="17" t="n">
        <f aca="false">C82</f>
        <v>767.4</v>
      </c>
      <c r="D18" s="17" t="n">
        <f aca="false">D82</f>
        <v>1198.25536244542</v>
      </c>
      <c r="E18" s="17" t="n">
        <f aca="false">E82</f>
        <v>1510.06177983205</v>
      </c>
      <c r="F18" s="17" t="n">
        <f aca="false">F82</f>
        <v>1519.2751819961</v>
      </c>
      <c r="G18" s="17" t="n">
        <f aca="false">G82</f>
        <v>1695.3409640828</v>
      </c>
    </row>
    <row r="19" customFormat="false" ht="15" hidden="false" customHeight="false" outlineLevel="0" collapsed="false">
      <c r="A19" s="5" t="s">
        <v>561</v>
      </c>
      <c r="B19" s="0" t="s">
        <v>347</v>
      </c>
      <c r="C19" s="17" t="n">
        <f aca="false">C83</f>
        <v>171.5</v>
      </c>
      <c r="D19" s="17" t="n">
        <f aca="false">D83</f>
        <v>231.979929423922</v>
      </c>
      <c r="E19" s="17" t="n">
        <f aca="false">E83</f>
        <v>318.815675266888</v>
      </c>
      <c r="F19" s="17" t="n">
        <f aca="false">F83</f>
        <v>387.413363838148</v>
      </c>
      <c r="G19" s="17" t="n">
        <f aca="false">G83</f>
        <v>446.910767212229</v>
      </c>
    </row>
    <row r="20" customFormat="false" ht="15" hidden="false" customHeight="false" outlineLevel="0" collapsed="false">
      <c r="A20" s="5" t="s">
        <v>463</v>
      </c>
      <c r="B20" s="0" t="s">
        <v>38</v>
      </c>
      <c r="C20" s="14" t="n">
        <f aca="false">C88</f>
        <v>0.643</v>
      </c>
      <c r="D20" s="14" t="n">
        <f aca="false">D88</f>
        <v>0.661180081875993</v>
      </c>
      <c r="E20" s="14" t="n">
        <f aca="false">E88</f>
        <v>0.663154540914669</v>
      </c>
      <c r="F20" s="14" t="n">
        <f aca="false">F88</f>
        <v>0.648647361130638</v>
      </c>
      <c r="G20" s="14" t="n">
        <f aca="false">G88</f>
        <v>0.647290432951166</v>
      </c>
    </row>
    <row r="21" customFormat="false" ht="15" hidden="false" customHeight="false" outlineLevel="0" collapsed="false">
      <c r="A21" s="5" t="s">
        <v>470</v>
      </c>
      <c r="B21" s="0" t="s">
        <v>347</v>
      </c>
      <c r="C21" s="17" t="n">
        <f aca="false">C91</f>
        <v>499.1</v>
      </c>
      <c r="D21" s="17" t="n">
        <f aca="false">D91</f>
        <v>815.323171713486</v>
      </c>
      <c r="E21" s="17" t="n">
        <f aca="false">E91</f>
        <v>1050.344255721</v>
      </c>
      <c r="F21" s="17" t="n">
        <f aca="false">F91</f>
        <v>1075.59531898732</v>
      </c>
      <c r="G21" s="17" t="n">
        <f aca="false">G91</f>
        <v>1213.4802193489</v>
      </c>
    </row>
    <row r="22" customFormat="false" ht="15" hidden="false" customHeight="false" outlineLevel="0" collapsed="false">
      <c r="A22" s="5" t="s">
        <v>473</v>
      </c>
      <c r="B22" s="0" t="s">
        <v>38</v>
      </c>
      <c r="C22" s="14" t="n">
        <f aca="false">C92</f>
        <v>0.442229310650363</v>
      </c>
      <c r="D22" s="14" t="n">
        <f aca="false">D92</f>
        <v>0.488265624569926</v>
      </c>
      <c r="E22" s="14" t="n">
        <f aca="false">E92</f>
        <v>0.501971637508915</v>
      </c>
      <c r="F22" s="14" t="n">
        <f aca="false">F92</f>
        <v>0.489662702841591</v>
      </c>
      <c r="G22" s="14" t="n">
        <f aca="false">G92</f>
        <v>0.493052279841788</v>
      </c>
    </row>
    <row r="23" customFormat="false" ht="15" hidden="false" customHeight="false" outlineLevel="0" collapsed="false">
      <c r="A23" s="5" t="s">
        <v>493</v>
      </c>
      <c r="B23" s="0" t="s">
        <v>347</v>
      </c>
      <c r="C23" s="17" t="n">
        <f aca="false">C93</f>
        <v>375.4</v>
      </c>
      <c r="D23" s="17" t="n">
        <f aca="false">D93</f>
        <v>613.248484594756</v>
      </c>
      <c r="E23" s="17" t="n">
        <f aca="false">E93</f>
        <v>790.020504102711</v>
      </c>
      <c r="F23" s="17" t="n">
        <f aca="false">F93</f>
        <v>809.013189236309</v>
      </c>
      <c r="G23" s="17" t="n">
        <f aca="false">G93</f>
        <v>912.723851620073</v>
      </c>
    </row>
    <row r="24" customFormat="false" ht="15" hidden="false" customHeight="false" outlineLevel="0" collapsed="false">
      <c r="A24" s="0" t="s">
        <v>562</v>
      </c>
      <c r="B24" s="0" t="s">
        <v>396</v>
      </c>
      <c r="C24" s="11" t="n">
        <f aca="false">C94</f>
        <v>515.15</v>
      </c>
      <c r="D24" s="11" t="n">
        <f aca="false">D94</f>
        <v>847.063406812065</v>
      </c>
      <c r="E24" s="11" t="n">
        <f aca="false">E94</f>
        <v>1091.23377630333</v>
      </c>
      <c r="F24" s="11" t="n">
        <f aca="false">F94</f>
        <v>1117.46785429604</v>
      </c>
      <c r="G24" s="11" t="n">
        <f aca="false">G94</f>
        <v>1260.72056377413</v>
      </c>
    </row>
    <row r="26" customFormat="false" ht="17.15" hidden="false" customHeight="false" outlineLevel="0" collapsed="false">
      <c r="A26" s="4" t="s">
        <v>564</v>
      </c>
    </row>
    <row r="27" customFormat="false" ht="15" hidden="false" customHeight="false" outlineLevel="0" collapsed="false">
      <c r="A27" s="5" t="s">
        <v>459</v>
      </c>
      <c r="B27" s="0" t="s">
        <v>347</v>
      </c>
      <c r="C27" s="17" t="n">
        <f aca="false">C115</f>
        <v>1128.6</v>
      </c>
      <c r="D27" s="17" t="n">
        <f aca="false">D115</f>
        <v>1669.83529186934</v>
      </c>
      <c r="E27" s="17" t="n">
        <f aca="false">E115</f>
        <v>1992.79316468082</v>
      </c>
      <c r="F27" s="17" t="n">
        <f aca="false">F115</f>
        <v>1700.07578378049</v>
      </c>
      <c r="G27" s="17" t="n">
        <f aca="false">G115</f>
        <v>1735.3031213417</v>
      </c>
    </row>
    <row r="28" customFormat="false" ht="15" hidden="false" customHeight="false" outlineLevel="0" collapsed="false">
      <c r="A28" s="5" t="s">
        <v>459</v>
      </c>
      <c r="B28" s="0" t="s">
        <v>148</v>
      </c>
      <c r="C28" s="12" t="n">
        <f aca="false">C124</f>
        <v>7.524</v>
      </c>
      <c r="D28" s="12" t="n">
        <f aca="false">D124</f>
        <v>11.1322352791289</v>
      </c>
      <c r="E28" s="12" t="n">
        <f aca="false">E124</f>
        <v>13.2852877645388</v>
      </c>
      <c r="F28" s="12" t="n">
        <f aca="false">F124</f>
        <v>11.3338385585366</v>
      </c>
      <c r="G28" s="12" t="n">
        <f aca="false">G124</f>
        <v>11.5686874756113</v>
      </c>
    </row>
    <row r="29" customFormat="false" ht="17.15" hidden="false" customHeight="false" outlineLevel="0" collapsed="false">
      <c r="A29" s="0" t="s">
        <v>560</v>
      </c>
      <c r="B29" s="0" t="s">
        <v>347</v>
      </c>
      <c r="C29" s="17" t="n">
        <f aca="false">C111</f>
        <v>767.4</v>
      </c>
      <c r="D29" s="17" t="n">
        <f aca="false">D111</f>
        <v>1198.25536244542</v>
      </c>
      <c r="E29" s="17" t="n">
        <f aca="false">E111</f>
        <v>1447.4526767081</v>
      </c>
      <c r="F29" s="17" t="n">
        <f aca="false">F111</f>
        <v>1148.23483569714</v>
      </c>
      <c r="G29" s="17" t="n">
        <f aca="false">G111</f>
        <v>1136.08664001879</v>
      </c>
    </row>
    <row r="30" customFormat="false" ht="15" hidden="false" customHeight="false" outlineLevel="0" collapsed="false">
      <c r="A30" s="5" t="s">
        <v>561</v>
      </c>
      <c r="B30" s="0" t="s">
        <v>347</v>
      </c>
      <c r="C30" s="17" t="n">
        <f aca="false">C112</f>
        <v>171.5</v>
      </c>
      <c r="D30" s="17" t="n">
        <f aca="false">D112</f>
        <v>231.979929423922</v>
      </c>
      <c r="E30" s="17" t="n">
        <f aca="false">E112</f>
        <v>297.604487972729</v>
      </c>
      <c r="F30" s="17" t="n">
        <f aca="false">F112</f>
        <v>295.48078808334</v>
      </c>
      <c r="G30" s="17" t="n">
        <f aca="false">G112</f>
        <v>333.714711722906</v>
      </c>
    </row>
    <row r="31" customFormat="false" ht="15" hidden="false" customHeight="false" outlineLevel="0" collapsed="false">
      <c r="A31" s="5" t="s">
        <v>463</v>
      </c>
      <c r="B31" s="0" t="s">
        <v>38</v>
      </c>
      <c r="C31" s="14" t="n">
        <f aca="false">C117</f>
        <v>0.643</v>
      </c>
      <c r="D31" s="14" t="n">
        <f aca="false">D117</f>
        <v>0.661180081875993</v>
      </c>
      <c r="E31" s="14" t="n">
        <f aca="false">E117</f>
        <v>0.66540955113565</v>
      </c>
      <c r="F31" s="14" t="n">
        <f aca="false">F117</f>
        <v>0.630799286434995</v>
      </c>
      <c r="G31" s="14" t="n">
        <f aca="false">G117</f>
        <v>0.610793366028807</v>
      </c>
    </row>
    <row r="32" customFormat="false" ht="15" hidden="false" customHeight="false" outlineLevel="0" collapsed="false">
      <c r="A32" s="5" t="s">
        <v>470</v>
      </c>
      <c r="B32" s="0" t="s">
        <v>347</v>
      </c>
      <c r="C32" s="17" t="n">
        <f aca="false">C120</f>
        <v>499.1</v>
      </c>
      <c r="D32" s="17" t="n">
        <f aca="false">D120</f>
        <v>815.323171713486</v>
      </c>
      <c r="E32" s="17" t="n">
        <f aca="false">E120</f>
        <v>1000.20039666081</v>
      </c>
      <c r="F32" s="17" t="n">
        <f aca="false">F120</f>
        <v>780.195478549216</v>
      </c>
      <c r="G32" s="17" t="n">
        <f aca="false">G120</f>
        <v>763.655443793812</v>
      </c>
    </row>
    <row r="33" customFormat="false" ht="15" hidden="false" customHeight="false" outlineLevel="0" collapsed="false">
      <c r="A33" s="5" t="s">
        <v>473</v>
      </c>
      <c r="B33" s="0" t="s">
        <v>38</v>
      </c>
      <c r="C33" s="14" t="n">
        <f aca="false">C121</f>
        <v>0.442229310650363</v>
      </c>
      <c r="D33" s="14" t="n">
        <f aca="false">D121</f>
        <v>0.488265624569926</v>
      </c>
      <c r="E33" s="14" t="n">
        <f aca="false">E121</f>
        <v>0.501908785310895</v>
      </c>
      <c r="F33" s="14" t="n">
        <f aca="false">F121</f>
        <v>0.458918058825756</v>
      </c>
      <c r="G33" s="14" t="n">
        <f aca="false">G121</f>
        <v>0.440070345291243</v>
      </c>
    </row>
    <row r="34" customFormat="false" ht="15" hidden="false" customHeight="false" outlineLevel="0" collapsed="false">
      <c r="A34" s="5" t="s">
        <v>493</v>
      </c>
      <c r="B34" s="0" t="s">
        <v>347</v>
      </c>
      <c r="C34" s="17" t="n">
        <f aca="false">C122</f>
        <v>375.4</v>
      </c>
      <c r="D34" s="17" t="n">
        <f aca="false">D122</f>
        <v>613.248484594756</v>
      </c>
      <c r="E34" s="17" t="n">
        <f aca="false">E122</f>
        <v>752.304606103921</v>
      </c>
      <c r="F34" s="17" t="n">
        <f aca="false">F122</f>
        <v>586.827053991937</v>
      </c>
      <c r="G34" s="17" t="n">
        <f aca="false">G122</f>
        <v>574.3864027253</v>
      </c>
    </row>
    <row r="35" customFormat="false" ht="15" hidden="false" customHeight="false" outlineLevel="0" collapsed="false">
      <c r="A35" s="0" t="s">
        <v>562</v>
      </c>
      <c r="B35" s="0" t="s">
        <v>396</v>
      </c>
      <c r="C35" s="11" t="n">
        <f aca="false">C123</f>
        <v>515.15</v>
      </c>
      <c r="D35" s="11" t="n">
        <f aca="false">D123</f>
        <v>847.063406812065</v>
      </c>
      <c r="E35" s="11" t="n">
        <f aca="false">E123</f>
        <v>1039.137835013</v>
      </c>
      <c r="F35" s="11" t="n">
        <f aca="false">F123</f>
        <v>810.568205304863</v>
      </c>
      <c r="G35" s="11" t="n">
        <f aca="false">G123</f>
        <v>793.384273000746</v>
      </c>
    </row>
    <row r="37" customFormat="false" ht="17.15" hidden="false" customHeight="false" outlineLevel="0" collapsed="false">
      <c r="A37" s="4" t="s">
        <v>565</v>
      </c>
    </row>
    <row r="38" customFormat="false" ht="17.15" hidden="false" customHeight="false" outlineLevel="0" collapsed="false">
      <c r="A38" s="5" t="s">
        <v>524</v>
      </c>
      <c r="C38" s="18" t="n">
        <f aca="false">ABS(C43-Units!C38)+ABS(D43-Units!D38)+ABS(E43-Units!E38)+ABS(F43-Units!F38)+ABS(G43-Units!G38)</f>
        <v>0</v>
      </c>
    </row>
    <row r="39" customFormat="false" ht="17.15" hidden="false" customHeight="false" outlineLevel="0" collapsed="false">
      <c r="A39" s="5" t="s">
        <v>526</v>
      </c>
      <c r="C39" s="18" t="n">
        <f aca="false">ABS(C72-Units!C39)+ABS(D72-Units!D39)+ABS(E72-Units!E39)+ABS(F72-Units!F39)+ABS(G72-Units!G39)</f>
        <v>0</v>
      </c>
    </row>
    <row r="40" customFormat="false" ht="17.15" hidden="false" customHeight="false" outlineLevel="0" collapsed="false">
      <c r="A40" s="4" t="s">
        <v>566</v>
      </c>
      <c r="C40" s="18" t="n">
        <f aca="false">ABS(C101-Units!C40)+ABS(D101-Units!D40)+ABS(E101-Units!E40)+ABS(F101-Units!F40)+ABS(G101-Units!G40)</f>
        <v>0</v>
      </c>
    </row>
    <row r="41" customFormat="false" ht="17.15" hidden="false" customHeight="false" outlineLevel="0" collapsed="false">
      <c r="A41" s="6" t="s">
        <v>16</v>
      </c>
      <c r="B41" s="6" t="s">
        <v>17</v>
      </c>
      <c r="C41" s="9" t="s">
        <v>567</v>
      </c>
      <c r="D41" s="9" t="s">
        <v>568</v>
      </c>
      <c r="E41" s="9" t="s">
        <v>569</v>
      </c>
      <c r="F41" s="9" t="s">
        <v>570</v>
      </c>
      <c r="G41" s="9" t="s">
        <v>571</v>
      </c>
      <c r="H41" s="6" t="s">
        <v>508</v>
      </c>
    </row>
    <row r="42" customFormat="false" ht="17.15" hidden="false" customHeight="false" outlineLevel="0" collapsed="false">
      <c r="A42" s="1" t="s">
        <v>572</v>
      </c>
    </row>
    <row r="43" customFormat="false" ht="17.15" hidden="false" customHeight="false" outlineLevel="0" collapsed="false">
      <c r="A43" s="5" t="s">
        <v>573</v>
      </c>
      <c r="B43" s="5" t="s">
        <v>27</v>
      </c>
      <c r="C43" s="15" t="n">
        <f aca="false">u_bw_26*tt_bw+u_rb_26*tt_rb+u_ru_26*tt_ru+u_hp_26*tt_hp+u_amd_26*tt_amd+u_tpu_26*tt_tpu+u_trn_26*tt_trn+u_oth_26*tt_oth</f>
        <v>14.885</v>
      </c>
      <c r="D43" s="15" t="n">
        <f aca="false">u_bw_27*tt_bw+u_rb_27*tt_rb+u_ru_27*tt_ru+u_hp_27*tt_hp+u_amd_27*tt_amd+u_tpu_27*tt_tpu+u_trn_27*tt_trn+u_oth_27*tt_oth</f>
        <v>24.31</v>
      </c>
      <c r="E43" s="15" t="n">
        <f aca="false">u_bw_28*um28_A*tt_bw+u_rb_28*um28_A*tt_rb+u_ru_28*um28_A*tt_ru+u_hp_28*um28_A*tt_hp+u_amd_28*um28_A*tt_amd+u_tpu_28*um28_A*tt_tpu+u_trn_28*um28_A*tt_trn+u_oth_28*um28_A*tt_oth</f>
        <v>28.1</v>
      </c>
      <c r="F4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" s="15" t="n">
        <f aca="false">F43*(1+cy30g)</f>
        <v>31.99</v>
      </c>
      <c r="H43" s="8" t="s">
        <v>574</v>
      </c>
    </row>
    <row r="44" customFormat="false" ht="17.15" hidden="false" customHeight="false" outlineLevel="0" collapsed="false">
      <c r="A44" s="5" t="s">
        <v>575</v>
      </c>
      <c r="B44" s="0" t="s">
        <v>576</v>
      </c>
      <c r="C44" s="18" t="n">
        <f aca="false">(mk_soc26-nonai26)/C43</f>
        <v>0.450117568021498</v>
      </c>
      <c r="H44" s="5" t="s">
        <v>577</v>
      </c>
    </row>
    <row r="45" customFormat="false" ht="17.15" hidden="false" customHeight="false" outlineLevel="0" collapsed="false">
      <c r="A45" s="0" t="s">
        <v>578</v>
      </c>
      <c r="B45" s="0" t="s">
        <v>148</v>
      </c>
      <c r="C45" s="15" t="n">
        <f aca="false">$C$44*C43*(1-0)^0</f>
        <v>6.7</v>
      </c>
      <c r="D45" s="15" t="n">
        <f aca="false">$C$44*D43*(1-0)^1</f>
        <v>10.9423580786026</v>
      </c>
      <c r="E45" s="15" t="n">
        <f aca="false">$C$44*E43*(1-0)^2</f>
        <v>12.6483036614041</v>
      </c>
      <c r="F45" s="15" t="n">
        <f aca="false">$C$44*F43*(1-0)^3</f>
        <v>14.3992610010077</v>
      </c>
      <c r="G45" s="15" t="n">
        <f aca="false">$C$44*G43*(1-0)^4</f>
        <v>14.3992610010077</v>
      </c>
    </row>
    <row r="46" customFormat="false" ht="17.15" hidden="false" customHeight="false" outlineLevel="0" collapsed="false">
      <c r="A46" s="5" t="s">
        <v>579</v>
      </c>
      <c r="B46" s="0" t="s">
        <v>148</v>
      </c>
      <c r="C46" s="15" t="n">
        <f aca="false">nonai26*(1+g_nonai)^0</f>
        <v>4.3</v>
      </c>
      <c r="D46" s="15" t="n">
        <f aca="false">nonai26*(1+g_nonai)^1</f>
        <v>4.472</v>
      </c>
      <c r="E46" s="15" t="n">
        <f aca="false">nonai26*(1+g_nonai)^2</f>
        <v>4.65088</v>
      </c>
      <c r="F46" s="15" t="n">
        <f aca="false">nonai26*(1+g_nonai)^3</f>
        <v>4.8369152</v>
      </c>
      <c r="G46" s="15" t="n">
        <f aca="false">nonai26*(1+g_nonai)^4</f>
        <v>5.030391808</v>
      </c>
    </row>
    <row r="47" customFormat="false" ht="17.15" hidden="false" customHeight="false" outlineLevel="0" collapsed="false">
      <c r="A47" s="0" t="s">
        <v>580</v>
      </c>
      <c r="B47" s="0" t="s">
        <v>148</v>
      </c>
      <c r="C47" s="15" t="n">
        <f aca="false">C45+C46</f>
        <v>11</v>
      </c>
      <c r="D47" s="15" t="n">
        <f aca="false">D45+D46</f>
        <v>15.4143580786026</v>
      </c>
      <c r="E47" s="15" t="n">
        <f aca="false">E45+E46</f>
        <v>17.2991836614041</v>
      </c>
      <c r="F47" s="15" t="n">
        <f aca="false">F45+F46</f>
        <v>19.2361762010077</v>
      </c>
      <c r="G47" s="15" t="n">
        <f aca="false">G45+G46</f>
        <v>19.4296528090077</v>
      </c>
      <c r="H47" s="8" t="s">
        <v>581</v>
      </c>
    </row>
    <row r="48" customFormat="false" ht="17.15" hidden="false" customHeight="false" outlineLevel="0" collapsed="false">
      <c r="A48" s="5" t="s">
        <v>582</v>
      </c>
      <c r="B48" s="0" t="s">
        <v>148</v>
      </c>
      <c r="C48" s="15" t="n">
        <f aca="false">mk_mem26*(w_hbm*hsA_26/hsA_26+(1-w_hbm)*drA_26/drA_26)</f>
        <v>2.75</v>
      </c>
      <c r="D48" s="15" t="n">
        <f aca="false">mk_mem26*(w_hbm*hsA_27/hsA_26+(1-w_hbm)*drA_27/drA_26)</f>
        <v>3.99150647980462</v>
      </c>
      <c r="E48" s="15" t="n">
        <f aca="false">mk_mem26*(w_hbm*hsA_28/hsA_26+(1-w_hbm)*drA_28/drA_26)</f>
        <v>5.17069526557172</v>
      </c>
      <c r="F48" s="15" t="n">
        <f aca="false">mk_mem26*(w_hbm*hsA_29/hsA_26+(1-w_hbm)*drA_29/drA_26)</f>
        <v>6.33160644779016</v>
      </c>
      <c r="G48" s="15" t="n">
        <f aca="false">F48*(1+cy30g)</f>
        <v>6.33160644779016</v>
      </c>
      <c r="H48" s="8" t="s">
        <v>583</v>
      </c>
    </row>
    <row r="49" customFormat="false" ht="17.15" hidden="false" customHeight="false" outlineLevel="0" collapsed="false">
      <c r="A49" s="1" t="s">
        <v>584</v>
      </c>
    </row>
    <row r="50" customFormat="false" ht="17.15" hidden="false" customHeight="false" outlineLevel="0" collapsed="false">
      <c r="A50" s="0" t="s">
        <v>585</v>
      </c>
      <c r="B50" s="0" t="s">
        <v>148</v>
      </c>
      <c r="C50" s="15" t="n">
        <f aca="false">fmk_soc25</f>
        <v>7.925</v>
      </c>
      <c r="D50" s="15" t="n">
        <f aca="false">0.75*C47+0.25*D47</f>
        <v>12.1035895196507</v>
      </c>
      <c r="E50" s="15" t="n">
        <f aca="false">0.75*D47+0.25*E47</f>
        <v>15.885564474303</v>
      </c>
      <c r="F50" s="15" t="n">
        <f aca="false">0.75*E47+0.25*F47</f>
        <v>17.783431796305</v>
      </c>
      <c r="G50" s="15" t="n">
        <f aca="false">0.75*F47+0.25*G47</f>
        <v>19.2845453530077</v>
      </c>
    </row>
    <row r="51" customFormat="false" ht="17.15" hidden="false" customHeight="false" outlineLevel="0" collapsed="false">
      <c r="A51" s="5" t="s">
        <v>586</v>
      </c>
      <c r="B51" s="0" t="s">
        <v>148</v>
      </c>
      <c r="C51" s="15" t="n">
        <f aca="false">fmk_mem25</f>
        <v>2.2625</v>
      </c>
      <c r="D51" s="15" t="n">
        <f aca="false">0.75*C48+0.25*D48</f>
        <v>3.06037661995115</v>
      </c>
      <c r="E51" s="15" t="n">
        <f aca="false">0.75*D48+0.25*E48</f>
        <v>4.28630367624639</v>
      </c>
      <c r="F51" s="15" t="n">
        <f aca="false">0.75*E48+0.25*F48</f>
        <v>5.46092306112633</v>
      </c>
      <c r="G51" s="15" t="n">
        <f aca="false">0.75*F48+0.25*G48</f>
        <v>6.33160644779016</v>
      </c>
    </row>
    <row r="52" customFormat="false" ht="17.15" hidden="false" customHeight="false" outlineLevel="0" collapsed="false">
      <c r="A52" s="0" t="s">
        <v>587</v>
      </c>
      <c r="B52" s="0" t="s">
        <v>38</v>
      </c>
      <c r="C52" s="14" t="n">
        <f aca="false">a25_soc/(C50*fx)</f>
        <v>0.645552050473186</v>
      </c>
      <c r="D52" s="14" t="n">
        <f aca="false">sh_soc</f>
        <v>0.66</v>
      </c>
      <c r="E52" s="14" t="n">
        <f aca="false">sh_soc</f>
        <v>0.66</v>
      </c>
      <c r="F52" s="14" t="n">
        <f aca="false">sh_soc</f>
        <v>0.66</v>
      </c>
      <c r="G52" s="14" t="n">
        <f aca="false">sh_soc</f>
        <v>0.66</v>
      </c>
      <c r="H52" s="8" t="s">
        <v>588</v>
      </c>
    </row>
    <row r="53" customFormat="false" ht="17.15" hidden="false" customHeight="false" outlineLevel="0" collapsed="false">
      <c r="A53" s="0" t="s">
        <v>589</v>
      </c>
      <c r="B53" s="0" t="s">
        <v>347</v>
      </c>
      <c r="C53" s="11" t="n">
        <f aca="false">a25_soc</f>
        <v>767.4</v>
      </c>
      <c r="D53" s="11" t="n">
        <f aca="false">D50*D52*fx</f>
        <v>1198.25536244542</v>
      </c>
      <c r="E53" s="11" t="n">
        <f aca="false">E50*E52*fx</f>
        <v>1572.670882956</v>
      </c>
      <c r="F53" s="11" t="n">
        <f aca="false">F50*F52*fx</f>
        <v>1760.5597478342</v>
      </c>
      <c r="G53" s="11" t="n">
        <f aca="false">G50*G52*fx</f>
        <v>1909.16998994777</v>
      </c>
      <c r="H53" s="5" t="s">
        <v>590</v>
      </c>
    </row>
    <row r="54" customFormat="false" ht="15" hidden="false" customHeight="false" outlineLevel="0" collapsed="false">
      <c r="A54" s="5" t="s">
        <v>591</v>
      </c>
      <c r="B54" s="0" t="s">
        <v>347</v>
      </c>
      <c r="C54" s="11" t="n">
        <f aca="false">a25_mem</f>
        <v>171.5</v>
      </c>
      <c r="D54" s="11" t="n">
        <f aca="false">D51*sh_mem*fx</f>
        <v>231.979929423922</v>
      </c>
      <c r="E54" s="11" t="n">
        <f aca="false">E51*sh_mem*fx</f>
        <v>324.906554906633</v>
      </c>
      <c r="F54" s="11" t="n">
        <f aca="false">F51*sh_mem*fx</f>
        <v>413.944002202504</v>
      </c>
      <c r="G54" s="11" t="n">
        <f aca="false">G51*sh_mem*fx</f>
        <v>479.942764992713</v>
      </c>
    </row>
    <row r="55" customFormat="false" ht="15" hidden="false" customHeight="false" outlineLevel="0" collapsed="false">
      <c r="A55" s="5" t="s">
        <v>592</v>
      </c>
      <c r="B55" s="0" t="s">
        <v>347</v>
      </c>
      <c r="C55" s="11" t="n">
        <f aca="false">a25_oth</f>
        <v>80.5</v>
      </c>
      <c r="D55" s="11" t="n">
        <f aca="false">C55*(1+g_oth_26)</f>
        <v>104</v>
      </c>
      <c r="E55" s="11" t="n">
        <f aca="false">D55*(1+g_oth_A)</f>
        <v>119.6</v>
      </c>
      <c r="F55" s="11" t="n">
        <f aca="false">E55*(1+g_oth_A)</f>
        <v>137.54</v>
      </c>
      <c r="G55" s="11" t="n">
        <f aca="false">F55*(1+g_oth_A)</f>
        <v>158.171</v>
      </c>
    </row>
    <row r="56" customFormat="false" ht="15" hidden="false" customHeight="false" outlineLevel="0" collapsed="false">
      <c r="A56" s="5" t="s">
        <v>593</v>
      </c>
      <c r="B56" s="0" t="s">
        <v>347</v>
      </c>
      <c r="C56" s="11" t="n">
        <f aca="false">a25_svc</f>
        <v>109.2</v>
      </c>
      <c r="D56" s="11" t="n">
        <f aca="false">C56*(1+g_svc_26)</f>
        <v>135.6</v>
      </c>
      <c r="E56" s="11" t="n">
        <f aca="false">D56*(1+g_svc_A)</f>
        <v>151.872</v>
      </c>
      <c r="F56" s="11" t="n">
        <f aca="false">E56*(1+g_svc_A)</f>
        <v>170.09664</v>
      </c>
      <c r="G56" s="11" t="n">
        <f aca="false">F56*(1+g_svc_A)</f>
        <v>190.5082368</v>
      </c>
    </row>
    <row r="57" customFormat="false" ht="15" hidden="false" customHeight="false" outlineLevel="0" collapsed="false">
      <c r="A57" s="5" t="s">
        <v>459</v>
      </c>
      <c r="B57" s="0" t="s">
        <v>347</v>
      </c>
      <c r="C57" s="11" t="n">
        <f aca="false">C53+C54+C55+C56</f>
        <v>1128.6</v>
      </c>
      <c r="D57" s="11" t="n">
        <f aca="false">D53+D54+D55+D56</f>
        <v>1669.83529186934</v>
      </c>
      <c r="E57" s="11" t="n">
        <f aca="false">E53+E54+E55+E56</f>
        <v>2169.04943786263</v>
      </c>
      <c r="F57" s="11" t="n">
        <f aca="false">F53+F54+F55+F56</f>
        <v>2482.1403900367</v>
      </c>
      <c r="G57" s="11" t="n">
        <f aca="false">G53+G54+G55+G56</f>
        <v>2737.79199174048</v>
      </c>
    </row>
    <row r="58" customFormat="false" ht="17.15" hidden="false" customHeight="false" outlineLevel="0" collapsed="false">
      <c r="A58" s="0" t="s">
        <v>594</v>
      </c>
      <c r="B58" s="0" t="s">
        <v>38</v>
      </c>
      <c r="C58" s="14" t="n">
        <f aca="false">C53/C57</f>
        <v>0.679957469431154</v>
      </c>
      <c r="D58" s="14" t="n">
        <f aca="false">D53/D57</f>
        <v>0.71758895519809</v>
      </c>
      <c r="E58" s="14" t="n">
        <f aca="false">E53/E57</f>
        <v>0.725050732133473</v>
      </c>
      <c r="F58" s="14" t="n">
        <f aca="false">F53/F57</f>
        <v>0.709290963114365</v>
      </c>
      <c r="G58" s="14" t="n">
        <f aca="false">G53/G57</f>
        <v>0.697339314201902</v>
      </c>
    </row>
    <row r="59" customFormat="false" ht="17.15" hidden="false" customHeight="false" outlineLevel="0" collapsed="false">
      <c r="A59" s="5" t="s">
        <v>463</v>
      </c>
      <c r="B59" s="0" t="s">
        <v>38</v>
      </c>
      <c r="C59" s="14" t="n">
        <f aca="false">a25_gp/a25_rev</f>
        <v>0.643</v>
      </c>
      <c r="D59" s="14" t="n">
        <f aca="false">gm_a+gm_b*D58+0</f>
        <v>0.661180081875993</v>
      </c>
      <c r="E59" s="14" t="n">
        <f aca="false">gm_a+gm_b*E58+0</f>
        <v>0.664784928000481</v>
      </c>
      <c r="F59" s="14" t="n">
        <f aca="false">gm_a+gm_b*F58+0</f>
        <v>0.657171253300295</v>
      </c>
      <c r="G59" s="14" t="n">
        <f aca="false">gm_a+gm_b*G58+0</f>
        <v>0.651397312905611</v>
      </c>
      <c r="H59" s="5" t="s">
        <v>595</v>
      </c>
    </row>
    <row r="60" customFormat="false" ht="15" hidden="false" customHeight="false" outlineLevel="0" collapsed="false">
      <c r="A60" s="5" t="s">
        <v>467</v>
      </c>
      <c r="B60" s="0" t="s">
        <v>347</v>
      </c>
      <c r="C60" s="11" t="n">
        <f aca="false">C57*C59</f>
        <v>725.6898</v>
      </c>
      <c r="D60" s="11" t="n">
        <f aca="false">D57*D59</f>
        <v>1104.06183499759</v>
      </c>
      <c r="E60" s="11" t="n">
        <f aca="false">E57*E59</f>
        <v>1441.95137437899</v>
      </c>
      <c r="F60" s="11" t="n">
        <f aca="false">F57*F59</f>
        <v>1631.1913109877</v>
      </c>
      <c r="G60" s="11" t="n">
        <f aca="false">G57*G59</f>
        <v>1783.39034671425</v>
      </c>
    </row>
    <row r="61" customFormat="false" ht="17.15" hidden="false" customHeight="false" outlineLevel="0" collapsed="false">
      <c r="A61" s="5" t="s">
        <v>596</v>
      </c>
      <c r="B61" s="0" t="s">
        <v>347</v>
      </c>
      <c r="C61" s="11" t="n">
        <f aca="false">opex25</f>
        <v>226.5898</v>
      </c>
      <c r="D61" s="11" t="n">
        <f aca="false">opex_fix+opex_var*D57</f>
        <v>288.738663284105</v>
      </c>
      <c r="E61" s="11" t="n">
        <f aca="false">opex_fix+opex_var*E57</f>
        <v>346.062330411708</v>
      </c>
      <c r="F61" s="11" t="n">
        <f aca="false">opex_fix+opex_var*F57</f>
        <v>382.013878794577</v>
      </c>
      <c r="G61" s="11" t="n">
        <f aca="false">opex_fix+opex_var*G57</f>
        <v>411.369792352569</v>
      </c>
      <c r="H61" s="5" t="s">
        <v>597</v>
      </c>
    </row>
    <row r="62" customFormat="false" ht="15" hidden="false" customHeight="false" outlineLevel="0" collapsed="false">
      <c r="A62" s="5" t="s">
        <v>470</v>
      </c>
      <c r="B62" s="0" t="s">
        <v>347</v>
      </c>
      <c r="C62" s="11" t="n">
        <f aca="false">C60-C61</f>
        <v>499.1</v>
      </c>
      <c r="D62" s="11" t="n">
        <f aca="false">D60-D61</f>
        <v>815.323171713486</v>
      </c>
      <c r="E62" s="11" t="n">
        <f aca="false">E60-E61</f>
        <v>1095.88904396728</v>
      </c>
      <c r="F62" s="11" t="n">
        <f aca="false">F60-F61</f>
        <v>1249.17743219312</v>
      </c>
      <c r="G62" s="11" t="n">
        <f aca="false">G60-G61</f>
        <v>1372.02055436168</v>
      </c>
    </row>
    <row r="63" customFormat="false" ht="15" hidden="false" customHeight="false" outlineLevel="0" collapsed="false">
      <c r="A63" s="5" t="s">
        <v>473</v>
      </c>
      <c r="B63" s="0" t="s">
        <v>38</v>
      </c>
      <c r="C63" s="14" t="n">
        <f aca="false">C62/C57</f>
        <v>0.442229310650363</v>
      </c>
      <c r="D63" s="14" t="n">
        <f aca="false">D62/D57</f>
        <v>0.488265624569926</v>
      </c>
      <c r="E63" s="14" t="n">
        <f aca="false">E62/E57</f>
        <v>0.505239311210522</v>
      </c>
      <c r="F63" s="14" t="n">
        <f aca="false">F62/F57</f>
        <v>0.503266228295272</v>
      </c>
      <c r="G63" s="14" t="n">
        <f aca="false">G62/G57</f>
        <v>0.50114126949778</v>
      </c>
    </row>
    <row r="64" customFormat="false" ht="15" hidden="false" customHeight="false" outlineLevel="0" collapsed="false">
      <c r="A64" s="5" t="s">
        <v>493</v>
      </c>
      <c r="B64" s="0" t="s">
        <v>347</v>
      </c>
      <c r="C64" s="11" t="n">
        <f aca="false">a25_ni</f>
        <v>375.4</v>
      </c>
      <c r="D64" s="11" t="n">
        <f aca="false">D62*nioi</f>
        <v>613.248484594756</v>
      </c>
      <c r="E64" s="11" t="n">
        <f aca="false">E62*nioi</f>
        <v>824.277193158321</v>
      </c>
      <c r="F64" s="11" t="n">
        <f aca="false">F62*nioi</f>
        <v>939.573648658182</v>
      </c>
      <c r="G64" s="11" t="n">
        <f aca="false">G62*nioi</f>
        <v>1031.97057925741</v>
      </c>
    </row>
    <row r="65" customFormat="false" ht="15" hidden="false" customHeight="false" outlineLevel="0" collapsed="false">
      <c r="A65" s="0" t="s">
        <v>562</v>
      </c>
      <c r="B65" s="0" t="s">
        <v>396</v>
      </c>
      <c r="C65" s="11" t="n">
        <f aca="false">a25_eps</f>
        <v>515.15</v>
      </c>
      <c r="D65" s="11" t="n">
        <f aca="false">D64*1000/shares</f>
        <v>847.063406812065</v>
      </c>
      <c r="E65" s="11" t="n">
        <f aca="false">E64*1000/shares</f>
        <v>1138.5516066225</v>
      </c>
      <c r="F65" s="11" t="n">
        <f aca="false">F64*1000/shares</f>
        <v>1297.80745615567</v>
      </c>
      <c r="G65" s="11" t="n">
        <f aca="false">G64*1000/shares</f>
        <v>1425.4328164761</v>
      </c>
    </row>
    <row r="66" customFormat="false" ht="17.15" hidden="false" customHeight="false" outlineLevel="0" collapsed="false">
      <c r="A66" s="5" t="s">
        <v>598</v>
      </c>
      <c r="B66" s="0" t="s">
        <v>148</v>
      </c>
      <c r="C66" s="12" t="n">
        <f aca="false">C57/fx</f>
        <v>7.524</v>
      </c>
      <c r="D66" s="12" t="n">
        <f aca="false">D57/fx</f>
        <v>11.1322352791289</v>
      </c>
      <c r="E66" s="12" t="n">
        <f aca="false">E57/fx</f>
        <v>14.4603295857509</v>
      </c>
      <c r="F66" s="12" t="n">
        <f aca="false">F57/fx</f>
        <v>16.5476026002447</v>
      </c>
      <c r="G66" s="12" t="n">
        <f aca="false">G57/fx</f>
        <v>18.2519466116032</v>
      </c>
      <c r="H66" s="8" t="s">
        <v>599</v>
      </c>
    </row>
    <row r="69" customFormat="false" ht="17.15" hidden="false" customHeight="false" outlineLevel="0" collapsed="false">
      <c r="A69" s="4" t="s">
        <v>600</v>
      </c>
    </row>
    <row r="70" customFormat="false" ht="17.15" hidden="false" customHeight="false" outlineLevel="0" collapsed="false">
      <c r="A70" s="6" t="s">
        <v>16</v>
      </c>
      <c r="B70" s="6" t="s">
        <v>17</v>
      </c>
      <c r="C70" s="9" t="s">
        <v>567</v>
      </c>
      <c r="D70" s="9" t="s">
        <v>568</v>
      </c>
      <c r="E70" s="9" t="s">
        <v>569</v>
      </c>
      <c r="F70" s="9" t="s">
        <v>570</v>
      </c>
      <c r="G70" s="9" t="s">
        <v>571</v>
      </c>
      <c r="H70" s="6" t="s">
        <v>508</v>
      </c>
    </row>
    <row r="71" customFormat="false" ht="17.15" hidden="false" customHeight="false" outlineLevel="0" collapsed="false">
      <c r="A71" s="1" t="s">
        <v>572</v>
      </c>
    </row>
    <row r="72" customFormat="false" ht="17.15" hidden="false" customHeight="false" outlineLevel="0" collapsed="false">
      <c r="A72" s="5" t="s">
        <v>573</v>
      </c>
      <c r="B72" s="5" t="s">
        <v>27</v>
      </c>
      <c r="C72" s="15" t="n">
        <f aca="false">u_bw_26*tt_bw+u_rb_26*tt_rb+u_ru_26*tt_ru+u_hp_26*tt_hp+u_amd_26*tt_amd+u_tpu_26*tt_tpu+u_trn_26*tt_trn+u_oth_26*tt_oth</f>
        <v>14.885</v>
      </c>
      <c r="D72" s="15" t="n">
        <f aca="false">u_bw_27*tt_bw+u_rb_27*tt_rb+u_ru_27*tt_ru+u_hp_27*tt_hp+u_amd_27*tt_amd+u_tpu_27*tt_tpu+u_trn_27*tt_trn+u_oth_27*tt_oth</f>
        <v>24.31</v>
      </c>
      <c r="E72" s="15" t="n">
        <f aca="false">u_bw_28*um28_B*tt_bw+u_rb_28*um28_B*tt_rb+u_ru_28*um28_B*tt_ru+u_hp_28*um28_B*tt_hp+u_amd_28*um28_B*tt_amd+u_tpu_28*um28_B*tt_tpu+u_trn_28*um28_B*tt_trn+u_oth_28*um28_B*tt_oth</f>
        <v>22.48</v>
      </c>
      <c r="F72" s="15" t="n">
        <f aca="false">u_bw_28*(1+g29_bw)*um29_B*tt_bw+u_rb_28*(1+g29_rb)*um29_B*tt_rb+u_ru_28*(1+g29_ru)*um29_B*tt_ru+u_hp_28*(1+g29_hp)*um29_B*tt_hp+u_amd_28*(1+g29_amd)*um29_B*tt_amd+u_tpu_28*(1+g29_tpu)*um29_B*tt_tpu+u_trn_28*(1+g29_trn)*um29_B*tt_trn+u_oth_28*(1+g29_oth)*um29_B*tt_oth</f>
        <v>27.1915</v>
      </c>
      <c r="G72" s="15" t="n">
        <f aca="false">F72*(1+cy30g)</f>
        <v>27.1915</v>
      </c>
      <c r="H72" s="8" t="s">
        <v>574</v>
      </c>
    </row>
    <row r="73" customFormat="false" ht="17.15" hidden="false" customHeight="false" outlineLevel="0" collapsed="false">
      <c r="A73" s="5" t="s">
        <v>575</v>
      </c>
      <c r="B73" s="0" t="s">
        <v>576</v>
      </c>
      <c r="C73" s="18" t="n">
        <f aca="false">(mk_soc26-nonai26)/C72</f>
        <v>0.450117568021498</v>
      </c>
      <c r="H73" s="5" t="s">
        <v>577</v>
      </c>
    </row>
    <row r="74" customFormat="false" ht="17.15" hidden="false" customHeight="false" outlineLevel="0" collapsed="false">
      <c r="A74" s="0" t="s">
        <v>578</v>
      </c>
      <c r="B74" s="0" t="s">
        <v>148</v>
      </c>
      <c r="C74" s="15" t="n">
        <f aca="false">$C$73*C72*(1-0)^0</f>
        <v>6.7</v>
      </c>
      <c r="D74" s="15" t="n">
        <f aca="false">$C$73*D72*(1-0)^1</f>
        <v>10.9423580786026</v>
      </c>
      <c r="E74" s="15" t="n">
        <f aca="false">$C$73*E72*(1-0)^2</f>
        <v>10.1186429291233</v>
      </c>
      <c r="F74" s="15" t="n">
        <f aca="false">$C$73*F72*(1-0)^3</f>
        <v>12.2393718508566</v>
      </c>
      <c r="G74" s="15" t="n">
        <f aca="false">$C$73*G72*(1-0)^4</f>
        <v>12.2393718508566</v>
      </c>
    </row>
    <row r="75" customFormat="false" ht="17.15" hidden="false" customHeight="false" outlineLevel="0" collapsed="false">
      <c r="A75" s="5" t="s">
        <v>579</v>
      </c>
      <c r="B75" s="0" t="s">
        <v>148</v>
      </c>
      <c r="C75" s="15" t="n">
        <f aca="false">nonai26*(1+g_nonai)^0</f>
        <v>4.3</v>
      </c>
      <c r="D75" s="15" t="n">
        <f aca="false">nonai26*(1+g_nonai)^1</f>
        <v>4.472</v>
      </c>
      <c r="E75" s="15" t="n">
        <f aca="false">nonai26*(1+g_nonai)^2</f>
        <v>4.65088</v>
      </c>
      <c r="F75" s="15" t="n">
        <f aca="false">nonai26*(1+g_nonai)^3</f>
        <v>4.8369152</v>
      </c>
      <c r="G75" s="15" t="n">
        <f aca="false">nonai26*(1+g_nonai)^4</f>
        <v>5.030391808</v>
      </c>
    </row>
    <row r="76" customFormat="false" ht="17.15" hidden="false" customHeight="false" outlineLevel="0" collapsed="false">
      <c r="A76" s="0" t="s">
        <v>580</v>
      </c>
      <c r="B76" s="0" t="s">
        <v>148</v>
      </c>
      <c r="C76" s="15" t="n">
        <f aca="false">C74+C75</f>
        <v>11</v>
      </c>
      <c r="D76" s="15" t="n">
        <f aca="false">D74+D75</f>
        <v>15.4143580786026</v>
      </c>
      <c r="E76" s="15" t="n">
        <f aca="false">E74+E75</f>
        <v>14.7695229291233</v>
      </c>
      <c r="F76" s="15" t="n">
        <f aca="false">F74+F75</f>
        <v>17.0762870508566</v>
      </c>
      <c r="G76" s="15" t="n">
        <f aca="false">G74+G75</f>
        <v>17.2697636588566</v>
      </c>
      <c r="H76" s="8" t="s">
        <v>581</v>
      </c>
    </row>
    <row r="77" customFormat="false" ht="17.15" hidden="false" customHeight="false" outlineLevel="0" collapsed="false">
      <c r="A77" s="5" t="s">
        <v>582</v>
      </c>
      <c r="B77" s="0" t="s">
        <v>148</v>
      </c>
      <c r="C77" s="15" t="n">
        <f aca="false">mk_mem26*(w_hbm*hsB_26/hsB_26+(1-w_hbm)*drB_26/drB_26)</f>
        <v>2.75</v>
      </c>
      <c r="D77" s="15" t="n">
        <f aca="false">mk_mem26*(w_hbm*hsB_27/hsB_26+(1-w_hbm)*drB_27/drB_26)</f>
        <v>3.99150647980462</v>
      </c>
      <c r="E77" s="15" t="n">
        <f aca="false">mk_mem26*(w_hbm*hsB_28/hsB_26+(1-w_hbm)*drB_28/drB_26)</f>
        <v>4.8492815003257</v>
      </c>
      <c r="F77" s="15" t="n">
        <f aca="false">mk_mem26*(w_hbm*hsB_29/hsB_26+(1-w_hbm)*drB_29/drB_26)</f>
        <v>5.89583446540914</v>
      </c>
      <c r="G77" s="15" t="n">
        <f aca="false">F77*(1+cy30g)</f>
        <v>5.89583446540914</v>
      </c>
      <c r="H77" s="8" t="s">
        <v>583</v>
      </c>
    </row>
    <row r="78" customFormat="false" ht="17.15" hidden="false" customHeight="false" outlineLevel="0" collapsed="false">
      <c r="A78" s="1" t="s">
        <v>584</v>
      </c>
    </row>
    <row r="79" customFormat="false" ht="17.15" hidden="false" customHeight="false" outlineLevel="0" collapsed="false">
      <c r="A79" s="0" t="s">
        <v>585</v>
      </c>
      <c r="B79" s="0" t="s">
        <v>148</v>
      </c>
      <c r="C79" s="15" t="n">
        <f aca="false">fmk_soc25</f>
        <v>7.925</v>
      </c>
      <c r="D79" s="15" t="n">
        <f aca="false">0.75*C76+0.25*D76</f>
        <v>12.1035895196507</v>
      </c>
      <c r="E79" s="15" t="n">
        <f aca="false">0.75*D76+0.25*E76</f>
        <v>15.2531492912328</v>
      </c>
      <c r="F79" s="15" t="n">
        <f aca="false">0.75*E76+0.25*F76</f>
        <v>15.3462139595566</v>
      </c>
      <c r="G79" s="15" t="n">
        <f aca="false">0.75*F76+0.25*G76</f>
        <v>17.1246562028566</v>
      </c>
    </row>
    <row r="80" customFormat="false" ht="17.15" hidden="false" customHeight="false" outlineLevel="0" collapsed="false">
      <c r="A80" s="5" t="s">
        <v>586</v>
      </c>
      <c r="B80" s="0" t="s">
        <v>148</v>
      </c>
      <c r="C80" s="15" t="n">
        <f aca="false">fmk_mem25</f>
        <v>2.2625</v>
      </c>
      <c r="D80" s="15" t="n">
        <f aca="false">0.75*C77+0.25*D77</f>
        <v>3.06037661995115</v>
      </c>
      <c r="E80" s="15" t="n">
        <f aca="false">0.75*D77+0.25*E77</f>
        <v>4.20595023493489</v>
      </c>
      <c r="F80" s="15" t="n">
        <f aca="false">0.75*E77+0.25*F77</f>
        <v>5.11091974159656</v>
      </c>
      <c r="G80" s="15" t="n">
        <f aca="false">0.75*F77+0.25*G77</f>
        <v>5.89583446540914</v>
      </c>
    </row>
    <row r="81" customFormat="false" ht="17.15" hidden="false" customHeight="false" outlineLevel="0" collapsed="false">
      <c r="A81" s="0" t="s">
        <v>587</v>
      </c>
      <c r="B81" s="0" t="s">
        <v>38</v>
      </c>
      <c r="C81" s="14" t="n">
        <f aca="false">a25_soc/(C79*fx)</f>
        <v>0.645552050473186</v>
      </c>
      <c r="D81" s="14" t="n">
        <f aca="false">sh_soc</f>
        <v>0.66</v>
      </c>
      <c r="E81" s="14" t="n">
        <f aca="false">sh_soc</f>
        <v>0.66</v>
      </c>
      <c r="F81" s="14" t="n">
        <f aca="false">sh_soc</f>
        <v>0.66</v>
      </c>
      <c r="G81" s="14" t="n">
        <f aca="false">sh_soc</f>
        <v>0.66</v>
      </c>
      <c r="H81" s="8" t="s">
        <v>588</v>
      </c>
    </row>
    <row r="82" customFormat="false" ht="17.15" hidden="false" customHeight="false" outlineLevel="0" collapsed="false">
      <c r="A82" s="0" t="s">
        <v>589</v>
      </c>
      <c r="B82" s="0" t="s">
        <v>347</v>
      </c>
      <c r="C82" s="11" t="n">
        <f aca="false">a25_soc</f>
        <v>767.4</v>
      </c>
      <c r="D82" s="11" t="n">
        <f aca="false">D79*D81*fx</f>
        <v>1198.25536244542</v>
      </c>
      <c r="E82" s="11" t="n">
        <f aca="false">E79*E81*fx</f>
        <v>1510.06177983205</v>
      </c>
      <c r="F82" s="11" t="n">
        <f aca="false">F79*F81*fx</f>
        <v>1519.2751819961</v>
      </c>
      <c r="G82" s="11" t="n">
        <f aca="false">G79*G81*fx</f>
        <v>1695.3409640828</v>
      </c>
      <c r="H82" s="5" t="s">
        <v>590</v>
      </c>
    </row>
    <row r="83" customFormat="false" ht="15" hidden="false" customHeight="false" outlineLevel="0" collapsed="false">
      <c r="A83" s="5" t="s">
        <v>591</v>
      </c>
      <c r="B83" s="0" t="s">
        <v>347</v>
      </c>
      <c r="C83" s="11" t="n">
        <f aca="false">a25_mem</f>
        <v>171.5</v>
      </c>
      <c r="D83" s="11" t="n">
        <f aca="false">D80*sh_mem*fx</f>
        <v>231.979929423922</v>
      </c>
      <c r="E83" s="11" t="n">
        <f aca="false">E80*sh_mem*fx</f>
        <v>318.815675266888</v>
      </c>
      <c r="F83" s="11" t="n">
        <f aca="false">F80*sh_mem*fx</f>
        <v>387.413363838148</v>
      </c>
      <c r="G83" s="11" t="n">
        <f aca="false">G80*sh_mem*fx</f>
        <v>446.910767212229</v>
      </c>
    </row>
    <row r="84" customFormat="false" ht="15" hidden="false" customHeight="false" outlineLevel="0" collapsed="false">
      <c r="A84" s="5" t="s">
        <v>592</v>
      </c>
      <c r="B84" s="0" t="s">
        <v>347</v>
      </c>
      <c r="C84" s="11" t="n">
        <f aca="false">a25_oth</f>
        <v>80.5</v>
      </c>
      <c r="D84" s="11" t="n">
        <f aca="false">C84*(1+g_oth_26)</f>
        <v>104</v>
      </c>
      <c r="E84" s="11" t="n">
        <f aca="false">D84*(1+g_oth_B)</f>
        <v>114.4</v>
      </c>
      <c r="F84" s="11" t="n">
        <f aca="false">E84*(1+g_oth_B)</f>
        <v>125.84</v>
      </c>
      <c r="G84" s="11" t="n">
        <f aca="false">F84*(1+g_oth_B)</f>
        <v>138.424</v>
      </c>
    </row>
    <row r="85" customFormat="false" ht="15" hidden="false" customHeight="false" outlineLevel="0" collapsed="false">
      <c r="A85" s="5" t="s">
        <v>593</v>
      </c>
      <c r="B85" s="0" t="s">
        <v>347</v>
      </c>
      <c r="C85" s="11" t="n">
        <f aca="false">a25_svc</f>
        <v>109.2</v>
      </c>
      <c r="D85" s="11" t="n">
        <f aca="false">C85*(1+g_svc_26)</f>
        <v>135.6</v>
      </c>
      <c r="E85" s="11" t="n">
        <f aca="false">D85*(1+g_svc_B)</f>
        <v>149.16</v>
      </c>
      <c r="F85" s="11" t="n">
        <f aca="false">E85*(1+g_svc_B)</f>
        <v>164.076</v>
      </c>
      <c r="G85" s="11" t="n">
        <f aca="false">F85*(1+g_svc_B)</f>
        <v>180.4836</v>
      </c>
    </row>
    <row r="86" customFormat="false" ht="15" hidden="false" customHeight="false" outlineLevel="0" collapsed="false">
      <c r="A86" s="5" t="s">
        <v>459</v>
      </c>
      <c r="B86" s="0" t="s">
        <v>347</v>
      </c>
      <c r="C86" s="11" t="n">
        <f aca="false">C82+C83+C84+C85</f>
        <v>1128.6</v>
      </c>
      <c r="D86" s="11" t="n">
        <f aca="false">D82+D83+D84+D85</f>
        <v>1669.83529186934</v>
      </c>
      <c r="E86" s="11" t="n">
        <f aca="false">E82+E83+E84+E85</f>
        <v>2092.43745509893</v>
      </c>
      <c r="F86" s="11" t="n">
        <f aca="false">F82+F83+F84+F85</f>
        <v>2196.60454583425</v>
      </c>
      <c r="G86" s="11" t="n">
        <f aca="false">G82+G83+G84+G85</f>
        <v>2461.15933129503</v>
      </c>
    </row>
    <row r="87" customFormat="false" ht="17.15" hidden="false" customHeight="false" outlineLevel="0" collapsed="false">
      <c r="A87" s="0" t="s">
        <v>594</v>
      </c>
      <c r="B87" s="0" t="s">
        <v>38</v>
      </c>
      <c r="C87" s="14" t="n">
        <f aca="false">C82/C86</f>
        <v>0.679957469431154</v>
      </c>
      <c r="D87" s="14" t="n">
        <f aca="false">D82/D86</f>
        <v>0.71758895519809</v>
      </c>
      <c r="E87" s="14" t="n">
        <f aca="false">E82/E86</f>
        <v>0.721675945989338</v>
      </c>
      <c r="F87" s="14" t="n">
        <f aca="false">F82/F86</f>
        <v>0.691647108204948</v>
      </c>
      <c r="G87" s="14" t="n">
        <f aca="false">G82/G86</f>
        <v>0.688838362687691</v>
      </c>
    </row>
    <row r="88" customFormat="false" ht="17.15" hidden="false" customHeight="false" outlineLevel="0" collapsed="false">
      <c r="A88" s="5" t="s">
        <v>463</v>
      </c>
      <c r="B88" s="0" t="s">
        <v>38</v>
      </c>
      <c r="C88" s="14" t="n">
        <f aca="false">a25_gp/a25_rev</f>
        <v>0.643</v>
      </c>
      <c r="D88" s="14" t="n">
        <f aca="false">gm_a+gm_b*D87+0</f>
        <v>0.661180081875993</v>
      </c>
      <c r="E88" s="14" t="n">
        <f aca="false">gm_a+gm_b*E87+0</f>
        <v>0.663154540914669</v>
      </c>
      <c r="F88" s="14" t="n">
        <f aca="false">gm_a+gm_b*F87+0</f>
        <v>0.648647361130638</v>
      </c>
      <c r="G88" s="14" t="n">
        <f aca="false">gm_a+gm_b*G87+0</f>
        <v>0.647290432951166</v>
      </c>
      <c r="H88" s="5" t="s">
        <v>595</v>
      </c>
    </row>
    <row r="89" customFormat="false" ht="15" hidden="false" customHeight="false" outlineLevel="0" collapsed="false">
      <c r="A89" s="5" t="s">
        <v>467</v>
      </c>
      <c r="B89" s="0" t="s">
        <v>347</v>
      </c>
      <c r="C89" s="11" t="n">
        <f aca="false">C86*C88</f>
        <v>725.6898</v>
      </c>
      <c r="D89" s="11" t="n">
        <f aca="false">D86*D88</f>
        <v>1104.06183499759</v>
      </c>
      <c r="E89" s="11" t="n">
        <f aca="false">E86*E88</f>
        <v>1387.60939992879</v>
      </c>
      <c r="F89" s="11" t="n">
        <f aca="false">F86*F88</f>
        <v>1424.82174210295</v>
      </c>
      <c r="G89" s="11" t="n">
        <f aca="false">G86*G88</f>
        <v>1593.08488911576</v>
      </c>
    </row>
    <row r="90" customFormat="false" ht="17.15" hidden="false" customHeight="false" outlineLevel="0" collapsed="false">
      <c r="A90" s="5" t="s">
        <v>596</v>
      </c>
      <c r="B90" s="0" t="s">
        <v>347</v>
      </c>
      <c r="C90" s="11" t="n">
        <f aca="false">opex25</f>
        <v>226.5898</v>
      </c>
      <c r="D90" s="11" t="n">
        <f aca="false">opex_fix+opex_var*D86</f>
        <v>288.738663284105</v>
      </c>
      <c r="E90" s="11" t="n">
        <f aca="false">opex_fix+opex_var*E86</f>
        <v>337.265144207792</v>
      </c>
      <c r="F90" s="11" t="n">
        <f aca="false">opex_fix+opex_var*F86</f>
        <v>349.226423115627</v>
      </c>
      <c r="G90" s="11" t="n">
        <f aca="false">opex_fix+opex_var*G86</f>
        <v>379.604669766857</v>
      </c>
      <c r="H90" s="5" t="s">
        <v>597</v>
      </c>
    </row>
    <row r="91" customFormat="false" ht="15" hidden="false" customHeight="false" outlineLevel="0" collapsed="false">
      <c r="A91" s="5" t="s">
        <v>470</v>
      </c>
      <c r="B91" s="0" t="s">
        <v>347</v>
      </c>
      <c r="C91" s="11" t="n">
        <f aca="false">C89-C90</f>
        <v>499.1</v>
      </c>
      <c r="D91" s="11" t="n">
        <f aca="false">D89-D90</f>
        <v>815.323171713486</v>
      </c>
      <c r="E91" s="11" t="n">
        <f aca="false">E89-E90</f>
        <v>1050.344255721</v>
      </c>
      <c r="F91" s="11" t="n">
        <f aca="false">F89-F90</f>
        <v>1075.59531898732</v>
      </c>
      <c r="G91" s="11" t="n">
        <f aca="false">G89-G90</f>
        <v>1213.4802193489</v>
      </c>
    </row>
    <row r="92" customFormat="false" ht="15" hidden="false" customHeight="false" outlineLevel="0" collapsed="false">
      <c r="A92" s="5" t="s">
        <v>473</v>
      </c>
      <c r="B92" s="0" t="s">
        <v>38</v>
      </c>
      <c r="C92" s="14" t="n">
        <f aca="false">C91/C86</f>
        <v>0.442229310650363</v>
      </c>
      <c r="D92" s="14" t="n">
        <f aca="false">D91/D86</f>
        <v>0.488265624569926</v>
      </c>
      <c r="E92" s="14" t="n">
        <f aca="false">E91/E86</f>
        <v>0.501971637508915</v>
      </c>
      <c r="F92" s="14" t="n">
        <f aca="false">F91/F86</f>
        <v>0.489662702841591</v>
      </c>
      <c r="G92" s="14" t="n">
        <f aca="false">G91/G86</f>
        <v>0.493052279841788</v>
      </c>
    </row>
    <row r="93" customFormat="false" ht="15" hidden="false" customHeight="false" outlineLevel="0" collapsed="false">
      <c r="A93" s="5" t="s">
        <v>493</v>
      </c>
      <c r="B93" s="0" t="s">
        <v>347</v>
      </c>
      <c r="C93" s="11" t="n">
        <f aca="false">a25_ni</f>
        <v>375.4</v>
      </c>
      <c r="D93" s="11" t="n">
        <f aca="false">D91*nioi</f>
        <v>613.248484594756</v>
      </c>
      <c r="E93" s="11" t="n">
        <f aca="false">E91*nioi</f>
        <v>790.020504102711</v>
      </c>
      <c r="F93" s="11" t="n">
        <f aca="false">F91*nioi</f>
        <v>809.013189236309</v>
      </c>
      <c r="G93" s="11" t="n">
        <f aca="false">G91*nioi</f>
        <v>912.723851620073</v>
      </c>
    </row>
    <row r="94" customFormat="false" ht="15" hidden="false" customHeight="false" outlineLevel="0" collapsed="false">
      <c r="A94" s="0" t="s">
        <v>562</v>
      </c>
      <c r="B94" s="0" t="s">
        <v>396</v>
      </c>
      <c r="C94" s="11" t="n">
        <f aca="false">a25_eps</f>
        <v>515.15</v>
      </c>
      <c r="D94" s="11" t="n">
        <f aca="false">D93*1000/shares</f>
        <v>847.063406812065</v>
      </c>
      <c r="E94" s="11" t="n">
        <f aca="false">E93*1000/shares</f>
        <v>1091.23377630333</v>
      </c>
      <c r="F94" s="11" t="n">
        <f aca="false">F93*1000/shares</f>
        <v>1117.46785429604</v>
      </c>
      <c r="G94" s="11" t="n">
        <f aca="false">G93*1000/shares</f>
        <v>1260.72056377413</v>
      </c>
    </row>
    <row r="95" customFormat="false" ht="17.15" hidden="false" customHeight="false" outlineLevel="0" collapsed="false">
      <c r="A95" s="5" t="s">
        <v>598</v>
      </c>
      <c r="B95" s="0" t="s">
        <v>148</v>
      </c>
      <c r="C95" s="12" t="n">
        <f aca="false">C86/fx</f>
        <v>7.524</v>
      </c>
      <c r="D95" s="12" t="n">
        <f aca="false">D86/fx</f>
        <v>11.1322352791289</v>
      </c>
      <c r="E95" s="12" t="n">
        <f aca="false">E86/fx</f>
        <v>13.9495830339929</v>
      </c>
      <c r="F95" s="12" t="n">
        <f aca="false">F86/fx</f>
        <v>14.6440303055617</v>
      </c>
      <c r="G95" s="12" t="n">
        <f aca="false">G86/fx</f>
        <v>16.4077288753002</v>
      </c>
      <c r="H95" s="8" t="s">
        <v>599</v>
      </c>
    </row>
    <row r="98" customFormat="false" ht="17.15" hidden="false" customHeight="false" outlineLevel="0" collapsed="false">
      <c r="A98" s="4" t="s">
        <v>601</v>
      </c>
    </row>
    <row r="99" customFormat="false" ht="17.15" hidden="false" customHeight="false" outlineLevel="0" collapsed="false">
      <c r="A99" s="6" t="s">
        <v>16</v>
      </c>
      <c r="B99" s="6" t="s">
        <v>17</v>
      </c>
      <c r="C99" s="9" t="s">
        <v>567</v>
      </c>
      <c r="D99" s="9" t="s">
        <v>568</v>
      </c>
      <c r="E99" s="9" t="s">
        <v>569</v>
      </c>
      <c r="F99" s="9" t="s">
        <v>570</v>
      </c>
      <c r="G99" s="9" t="s">
        <v>571</v>
      </c>
      <c r="H99" s="6" t="s">
        <v>508</v>
      </c>
    </row>
    <row r="100" customFormat="false" ht="17.15" hidden="false" customHeight="false" outlineLevel="0" collapsed="false">
      <c r="A100" s="1" t="s">
        <v>572</v>
      </c>
    </row>
    <row r="101" customFormat="false" ht="17.15" hidden="false" customHeight="false" outlineLevel="0" collapsed="false">
      <c r="A101" s="5" t="s">
        <v>573</v>
      </c>
      <c r="B101" s="5" t="s">
        <v>27</v>
      </c>
      <c r="C101" s="15" t="n">
        <f aca="false">u_bw_26*tt_bw+u_rb_26*tt_rb+u_ru_26*tt_ru+u_hp_26*tt_hp+u_amd_26*tt_amd+u_tpu_26*tt_tpu+u_trn_26*tt_trn+u_oth_26*tt_oth</f>
        <v>14.885</v>
      </c>
      <c r="D101" s="15" t="n">
        <f aca="false">u_bw_27*tt_bw+u_rb_27*tt_rb+u_ru_27*tt_ru+u_hp_27*tt_hp+u_amd_27*tt_amd+u_tpu_27*tt_tpu+u_trn_27*tt_trn+u_oth_27*tt_oth</f>
        <v>24.31</v>
      </c>
      <c r="E101" s="15" t="n">
        <f aca="false">u_bw_28*um28_C*tt_bw+u_rb_28*um28_C*tt_rb+u_ru_28*um28_C*tt_ru+u_hp_28*um28_C*tt_hp+u_amd_28*um28_C*tt_amd+u_tpu_28*um28_C*tt_tpu+u_trn_28*um28_C*tt_trn+u_oth_28*um28_C*tt_oth</f>
        <v>16.86</v>
      </c>
      <c r="F101" s="15" t="n">
        <f aca="false">u_bw_28*(1+g29_bw)*um29_C*tt_bw+u_rb_28*(1+g29_rb)*um29_C*tt_rb+u_ru_28*(1+g29_ru)*um29_C*tt_ru+u_hp_28*(1+g29_hp)*um29_C*tt_hp+u_amd_28*(1+g29_amd)*um29_C*tt_amd+u_tpu_28*(1+g29_tpu)*um29_C*tt_tpu+u_trn_28*(1+g29_trn)*um29_C*tt_trn+u_oth_28*(1+g29_oth)*um29_C*tt_oth</f>
        <v>19.194</v>
      </c>
      <c r="G101" s="15" t="n">
        <f aca="false">F101*(1+cy30g)</f>
        <v>19.194</v>
      </c>
      <c r="H101" s="8" t="s">
        <v>574</v>
      </c>
    </row>
    <row r="102" customFormat="false" ht="17.15" hidden="false" customHeight="false" outlineLevel="0" collapsed="false">
      <c r="A102" s="5" t="s">
        <v>575</v>
      </c>
      <c r="B102" s="0" t="s">
        <v>576</v>
      </c>
      <c r="C102" s="18" t="n">
        <f aca="false">(mk_soc26-nonai26)/C101</f>
        <v>0.450117568021498</v>
      </c>
      <c r="H102" s="5" t="s">
        <v>577</v>
      </c>
    </row>
    <row r="103" customFormat="false" ht="17.15" hidden="false" customHeight="false" outlineLevel="0" collapsed="false">
      <c r="A103" s="0" t="s">
        <v>578</v>
      </c>
      <c r="B103" s="0" t="s">
        <v>148</v>
      </c>
      <c r="C103" s="15" t="n">
        <f aca="false">$C$102*C101*(1-0)^0</f>
        <v>6.7</v>
      </c>
      <c r="D103" s="15" t="n">
        <f aca="false">$C$102*D101*(1-0)^1</f>
        <v>10.9423580786026</v>
      </c>
      <c r="E103" s="15" t="n">
        <f aca="false">$C$102*E101*(1-0)^2</f>
        <v>7.58898219684246</v>
      </c>
      <c r="F103" s="15" t="n">
        <f aca="false">$C$102*F101*(1-0)^3</f>
        <v>8.63955660060464</v>
      </c>
      <c r="G103" s="15" t="n">
        <f aca="false">$C$102*G101*(1-0)^4</f>
        <v>8.63955660060464</v>
      </c>
    </row>
    <row r="104" customFormat="false" ht="17.15" hidden="false" customHeight="false" outlineLevel="0" collapsed="false">
      <c r="A104" s="5" t="s">
        <v>579</v>
      </c>
      <c r="B104" s="0" t="s">
        <v>148</v>
      </c>
      <c r="C104" s="15" t="n">
        <f aca="false">nonai26*(1+g_nonai)^0</f>
        <v>4.3</v>
      </c>
      <c r="D104" s="15" t="n">
        <f aca="false">nonai26*(1+g_nonai)^1</f>
        <v>4.472</v>
      </c>
      <c r="E104" s="15" t="n">
        <f aca="false">nonai26*(1+g_nonai)^2</f>
        <v>4.65088</v>
      </c>
      <c r="F104" s="15" t="n">
        <f aca="false">nonai26*(1+g_nonai)^3</f>
        <v>4.8369152</v>
      </c>
      <c r="G104" s="15" t="n">
        <f aca="false">nonai26*(1+g_nonai)^4</f>
        <v>5.030391808</v>
      </c>
    </row>
    <row r="105" customFormat="false" ht="17.15" hidden="false" customHeight="false" outlineLevel="0" collapsed="false">
      <c r="A105" s="0" t="s">
        <v>580</v>
      </c>
      <c r="B105" s="0" t="s">
        <v>148</v>
      </c>
      <c r="C105" s="15" t="n">
        <f aca="false">C103+C104</f>
        <v>11</v>
      </c>
      <c r="D105" s="15" t="n">
        <f aca="false">D103+D104</f>
        <v>15.4143580786026</v>
      </c>
      <c r="E105" s="15" t="n">
        <f aca="false">E103+E104</f>
        <v>12.2398621968425</v>
      </c>
      <c r="F105" s="15" t="n">
        <f aca="false">F103+F104</f>
        <v>13.4764718006046</v>
      </c>
      <c r="G105" s="15" t="n">
        <f aca="false">G103+G104</f>
        <v>13.6699484086046</v>
      </c>
      <c r="H105" s="8" t="s">
        <v>581</v>
      </c>
    </row>
    <row r="106" customFormat="false" ht="17.15" hidden="false" customHeight="false" outlineLevel="0" collapsed="false">
      <c r="A106" s="5" t="s">
        <v>582</v>
      </c>
      <c r="B106" s="0" t="s">
        <v>148</v>
      </c>
      <c r="C106" s="15" t="n">
        <f aca="false">mk_mem26*(w_hbm*hsC_26/hsC_26+(1-w_hbm)*drC_26/drC_26)</f>
        <v>2.75</v>
      </c>
      <c r="D106" s="15" t="n">
        <f aca="false">mk_mem26*(w_hbm*hsC_27/hsC_26+(1-w_hbm)*drC_27/drC_26)</f>
        <v>3.99150647980462</v>
      </c>
      <c r="E106" s="15" t="n">
        <f aca="false">mk_mem26*(w_hbm*hsC_28/hsC_26+(1-w_hbm)*drC_28/drC_26)</f>
        <v>3.72997394923451</v>
      </c>
      <c r="F106" s="15" t="n">
        <f aca="false">mk_mem26*(w_hbm*hsC_29/hsC_26+(1-w_hbm)*drC_29/drC_26)</f>
        <v>4.40250457885175</v>
      </c>
      <c r="G106" s="15" t="n">
        <f aca="false">F106*(1+cy30g)</f>
        <v>4.40250457885175</v>
      </c>
      <c r="H106" s="8" t="s">
        <v>583</v>
      </c>
    </row>
    <row r="107" customFormat="false" ht="17.15" hidden="false" customHeight="false" outlineLevel="0" collapsed="false">
      <c r="A107" s="1" t="s">
        <v>584</v>
      </c>
    </row>
    <row r="108" customFormat="false" ht="17.15" hidden="false" customHeight="false" outlineLevel="0" collapsed="false">
      <c r="A108" s="0" t="s">
        <v>585</v>
      </c>
      <c r="B108" s="0" t="s">
        <v>148</v>
      </c>
      <c r="C108" s="15" t="n">
        <f aca="false">fmk_soc25</f>
        <v>7.925</v>
      </c>
      <c r="D108" s="15" t="n">
        <f aca="false">0.75*C105+0.25*D105</f>
        <v>12.1035895196507</v>
      </c>
      <c r="E108" s="15" t="n">
        <f aca="false">0.75*D105+0.25*E105</f>
        <v>14.6207341081626</v>
      </c>
      <c r="F108" s="15" t="n">
        <f aca="false">0.75*E105+0.25*F105</f>
        <v>12.549014597783</v>
      </c>
      <c r="G108" s="15" t="n">
        <f aca="false">0.75*F105+0.25*G105</f>
        <v>13.5248409526046</v>
      </c>
    </row>
    <row r="109" customFormat="false" ht="17.15" hidden="false" customHeight="false" outlineLevel="0" collapsed="false">
      <c r="A109" s="5" t="s">
        <v>586</v>
      </c>
      <c r="B109" s="0" t="s">
        <v>148</v>
      </c>
      <c r="C109" s="15" t="n">
        <f aca="false">fmk_mem25</f>
        <v>2.2625</v>
      </c>
      <c r="D109" s="15" t="n">
        <f aca="false">0.75*C106+0.25*D106</f>
        <v>3.06037661995115</v>
      </c>
      <c r="E109" s="15" t="n">
        <f aca="false">0.75*D106+0.25*E106</f>
        <v>3.92612334716209</v>
      </c>
      <c r="F109" s="15" t="n">
        <f aca="false">0.75*E106+0.25*F106</f>
        <v>3.89810660663882</v>
      </c>
      <c r="G109" s="15" t="n">
        <f aca="false">0.75*F106+0.25*G106</f>
        <v>4.40250457885175</v>
      </c>
    </row>
    <row r="110" customFormat="false" ht="17.15" hidden="false" customHeight="false" outlineLevel="0" collapsed="false">
      <c r="A110" s="0" t="s">
        <v>587</v>
      </c>
      <c r="B110" s="0" t="s">
        <v>38</v>
      </c>
      <c r="C110" s="14" t="n">
        <f aca="false">a25_soc/(C108*fx)</f>
        <v>0.645552050473186</v>
      </c>
      <c r="D110" s="14" t="n">
        <f aca="false">sh_soc</f>
        <v>0.66</v>
      </c>
      <c r="E110" s="14" t="n">
        <f aca="false">sh_soc</f>
        <v>0.66</v>
      </c>
      <c r="F110" s="14" t="n">
        <f aca="false">shC_28</f>
        <v>0.61</v>
      </c>
      <c r="G110" s="14" t="n">
        <f aca="false">shC_29</f>
        <v>0.56</v>
      </c>
      <c r="H110" s="8" t="s">
        <v>588</v>
      </c>
    </row>
    <row r="111" customFormat="false" ht="17.15" hidden="false" customHeight="false" outlineLevel="0" collapsed="false">
      <c r="A111" s="0" t="s">
        <v>589</v>
      </c>
      <c r="B111" s="0" t="s">
        <v>347</v>
      </c>
      <c r="C111" s="11" t="n">
        <f aca="false">a25_soc</f>
        <v>767.4</v>
      </c>
      <c r="D111" s="11" t="n">
        <f aca="false">D108*D110*fx</f>
        <v>1198.25536244542</v>
      </c>
      <c r="E111" s="11" t="n">
        <f aca="false">E108*E110*fx</f>
        <v>1447.4526767081</v>
      </c>
      <c r="F111" s="11" t="n">
        <f aca="false">F108*F110*fx</f>
        <v>1148.23483569714</v>
      </c>
      <c r="G111" s="11" t="n">
        <f aca="false">G108*G110*fx</f>
        <v>1136.08664001879</v>
      </c>
      <c r="H111" s="5" t="s">
        <v>590</v>
      </c>
    </row>
    <row r="112" customFormat="false" ht="15" hidden="false" customHeight="false" outlineLevel="0" collapsed="false">
      <c r="A112" s="5" t="s">
        <v>591</v>
      </c>
      <c r="B112" s="0" t="s">
        <v>347</v>
      </c>
      <c r="C112" s="11" t="n">
        <f aca="false">a25_mem</f>
        <v>171.5</v>
      </c>
      <c r="D112" s="11" t="n">
        <f aca="false">D109*sh_mem*fx</f>
        <v>231.979929423922</v>
      </c>
      <c r="E112" s="11" t="n">
        <f aca="false">E109*sh_mem*fx</f>
        <v>297.604487972729</v>
      </c>
      <c r="F112" s="11" t="n">
        <f aca="false">F109*sh_mem*fx</f>
        <v>295.48078808334</v>
      </c>
      <c r="G112" s="11" t="n">
        <f aca="false">G109*sh_mem*fx</f>
        <v>333.714711722906</v>
      </c>
    </row>
    <row r="113" customFormat="false" ht="15" hidden="false" customHeight="false" outlineLevel="0" collapsed="false">
      <c r="A113" s="5" t="s">
        <v>592</v>
      </c>
      <c r="B113" s="0" t="s">
        <v>347</v>
      </c>
      <c r="C113" s="11" t="n">
        <f aca="false">a25_oth</f>
        <v>80.5</v>
      </c>
      <c r="D113" s="11" t="n">
        <f aca="false">C113*(1+g_oth_26)</f>
        <v>104</v>
      </c>
      <c r="E113" s="11" t="n">
        <f aca="false">D113*(1+g_oth_C)</f>
        <v>104</v>
      </c>
      <c r="F113" s="11" t="n">
        <f aca="false">E113*(1+g_oth_C)</f>
        <v>104</v>
      </c>
      <c r="G113" s="11" t="n">
        <f aca="false">F113*(1+g_oth_C)</f>
        <v>104</v>
      </c>
    </row>
    <row r="114" customFormat="false" ht="15" hidden="false" customHeight="false" outlineLevel="0" collapsed="false">
      <c r="A114" s="5" t="s">
        <v>593</v>
      </c>
      <c r="B114" s="0" t="s">
        <v>347</v>
      </c>
      <c r="C114" s="11" t="n">
        <f aca="false">a25_svc</f>
        <v>109.2</v>
      </c>
      <c r="D114" s="11" t="n">
        <f aca="false">C114*(1+g_svc_26)</f>
        <v>135.6</v>
      </c>
      <c r="E114" s="11" t="n">
        <f aca="false">D114*(1+g_svc_C)</f>
        <v>143.736</v>
      </c>
      <c r="F114" s="11" t="n">
        <f aca="false">E114*(1+g_svc_C)</f>
        <v>152.36016</v>
      </c>
      <c r="G114" s="11" t="n">
        <f aca="false">F114*(1+g_svc_C)</f>
        <v>161.5017696</v>
      </c>
    </row>
    <row r="115" customFormat="false" ht="15" hidden="false" customHeight="false" outlineLevel="0" collapsed="false">
      <c r="A115" s="5" t="s">
        <v>459</v>
      </c>
      <c r="B115" s="0" t="s">
        <v>347</v>
      </c>
      <c r="C115" s="11" t="n">
        <f aca="false">C111+C112+C113+C114</f>
        <v>1128.6</v>
      </c>
      <c r="D115" s="11" t="n">
        <f aca="false">D111+D112+D113+D114</f>
        <v>1669.83529186934</v>
      </c>
      <c r="E115" s="11" t="n">
        <f aca="false">E111+E112+E113+E114</f>
        <v>1992.79316468082</v>
      </c>
      <c r="F115" s="11" t="n">
        <f aca="false">F111+F112+F113+F114</f>
        <v>1700.07578378049</v>
      </c>
      <c r="G115" s="11" t="n">
        <f aca="false">G111+G112+G113+G114</f>
        <v>1735.3031213417</v>
      </c>
    </row>
    <row r="116" customFormat="false" ht="17.15" hidden="false" customHeight="false" outlineLevel="0" collapsed="false">
      <c r="A116" s="0" t="s">
        <v>594</v>
      </c>
      <c r="B116" s="0" t="s">
        <v>38</v>
      </c>
      <c r="C116" s="14" t="n">
        <f aca="false">C111/C115</f>
        <v>0.679957469431154</v>
      </c>
      <c r="D116" s="14" t="n">
        <f aca="false">D111/D115</f>
        <v>0.71758895519809</v>
      </c>
      <c r="E116" s="14" t="n">
        <f aca="false">E111/E115</f>
        <v>0.726343657917919</v>
      </c>
      <c r="F116" s="14" t="n">
        <f aca="false">F111/F115</f>
        <v>0.675402147746495</v>
      </c>
      <c r="G116" s="14" t="n">
        <f aca="false">G111/G115</f>
        <v>0.654690599035167</v>
      </c>
    </row>
    <row r="117" customFormat="false" ht="17.15" hidden="false" customHeight="false" outlineLevel="0" collapsed="false">
      <c r="A117" s="5" t="s">
        <v>463</v>
      </c>
      <c r="B117" s="0" t="s">
        <v>38</v>
      </c>
      <c r="C117" s="14" t="n">
        <f aca="false">a25_gp/a25_rev</f>
        <v>0.643</v>
      </c>
      <c r="D117" s="14" t="n">
        <f aca="false">gm_a+gm_b*D116+0</f>
        <v>0.661180081875993</v>
      </c>
      <c r="E117" s="14" t="n">
        <f aca="false">gm_a+gm_b*E116+0</f>
        <v>0.66540955113565</v>
      </c>
      <c r="F117" s="14" t="n">
        <f aca="false">gm_a+gm_b*F116+gm_adj_C28</f>
        <v>0.630799286434995</v>
      </c>
      <c r="G117" s="14" t="n">
        <f aca="false">gm_a+gm_b*G116+gm_adj_C29</f>
        <v>0.610793366028807</v>
      </c>
      <c r="H117" s="5" t="s">
        <v>595</v>
      </c>
    </row>
    <row r="118" customFormat="false" ht="15" hidden="false" customHeight="false" outlineLevel="0" collapsed="false">
      <c r="A118" s="5" t="s">
        <v>467</v>
      </c>
      <c r="B118" s="0" t="s">
        <v>347</v>
      </c>
      <c r="C118" s="11" t="n">
        <f aca="false">C115*C117</f>
        <v>725.6898</v>
      </c>
      <c r="D118" s="11" t="n">
        <f aca="false">D115*D117</f>
        <v>1104.06183499759</v>
      </c>
      <c r="E118" s="11" t="n">
        <f aca="false">E115*E117</f>
        <v>1326.02360521646</v>
      </c>
      <c r="F118" s="11" t="n">
        <f aca="false">F115*F117</f>
        <v>1072.40659129414</v>
      </c>
      <c r="G118" s="11" t="n">
        <f aca="false">G115*G117</f>
        <v>1059.91163456459</v>
      </c>
    </row>
    <row r="119" customFormat="false" ht="17.15" hidden="false" customHeight="false" outlineLevel="0" collapsed="false">
      <c r="A119" s="5" t="s">
        <v>596</v>
      </c>
      <c r="B119" s="0" t="s">
        <v>347</v>
      </c>
      <c r="C119" s="11" t="n">
        <f aca="false">opex25</f>
        <v>226.5898</v>
      </c>
      <c r="D119" s="11" t="n">
        <f aca="false">opex_fix+opex_var*D115</f>
        <v>288.738663284105</v>
      </c>
      <c r="E119" s="11" t="n">
        <f aca="false">opex_fix+opex_var*E115</f>
        <v>325.823208555651</v>
      </c>
      <c r="F119" s="11" t="n">
        <f aca="false">opex_fix+opex_var*F115</f>
        <v>292.211112744928</v>
      </c>
      <c r="G119" s="11" t="n">
        <f aca="false">opex_fix+opex_var*G115</f>
        <v>296.256190770778</v>
      </c>
      <c r="H119" s="5" t="s">
        <v>597</v>
      </c>
    </row>
    <row r="120" customFormat="false" ht="15" hidden="false" customHeight="false" outlineLevel="0" collapsed="false">
      <c r="A120" s="5" t="s">
        <v>470</v>
      </c>
      <c r="B120" s="0" t="s">
        <v>347</v>
      </c>
      <c r="C120" s="11" t="n">
        <f aca="false">C118-C119</f>
        <v>499.1</v>
      </c>
      <c r="D120" s="11" t="n">
        <f aca="false">D118-D119</f>
        <v>815.323171713486</v>
      </c>
      <c r="E120" s="11" t="n">
        <f aca="false">E118-E119</f>
        <v>1000.20039666081</v>
      </c>
      <c r="F120" s="11" t="n">
        <f aca="false">F118-F119</f>
        <v>780.195478549216</v>
      </c>
      <c r="G120" s="11" t="n">
        <f aca="false">G118-G119</f>
        <v>763.655443793812</v>
      </c>
    </row>
    <row r="121" customFormat="false" ht="15" hidden="false" customHeight="false" outlineLevel="0" collapsed="false">
      <c r="A121" s="5" t="s">
        <v>473</v>
      </c>
      <c r="B121" s="0" t="s">
        <v>38</v>
      </c>
      <c r="C121" s="14" t="n">
        <f aca="false">C120/C115</f>
        <v>0.442229310650363</v>
      </c>
      <c r="D121" s="14" t="n">
        <f aca="false">D120/D115</f>
        <v>0.488265624569926</v>
      </c>
      <c r="E121" s="14" t="n">
        <f aca="false">E120/E115</f>
        <v>0.501908785310895</v>
      </c>
      <c r="F121" s="14" t="n">
        <f aca="false">F120/F115</f>
        <v>0.458918058825756</v>
      </c>
      <c r="G121" s="14" t="n">
        <f aca="false">G120/G115</f>
        <v>0.440070345291243</v>
      </c>
    </row>
    <row r="122" customFormat="false" ht="15" hidden="false" customHeight="false" outlineLevel="0" collapsed="false">
      <c r="A122" s="5" t="s">
        <v>493</v>
      </c>
      <c r="B122" s="0" t="s">
        <v>347</v>
      </c>
      <c r="C122" s="11" t="n">
        <f aca="false">a25_ni</f>
        <v>375.4</v>
      </c>
      <c r="D122" s="11" t="n">
        <f aca="false">D120*nioi</f>
        <v>613.248484594756</v>
      </c>
      <c r="E122" s="11" t="n">
        <f aca="false">E120*nioi</f>
        <v>752.304606103921</v>
      </c>
      <c r="F122" s="11" t="n">
        <f aca="false">F120*nioi</f>
        <v>586.827053991937</v>
      </c>
      <c r="G122" s="11" t="n">
        <f aca="false">G120*nioi</f>
        <v>574.3864027253</v>
      </c>
    </row>
    <row r="123" customFormat="false" ht="15" hidden="false" customHeight="false" outlineLevel="0" collapsed="false">
      <c r="A123" s="0" t="s">
        <v>562</v>
      </c>
      <c r="B123" s="0" t="s">
        <v>396</v>
      </c>
      <c r="C123" s="11" t="n">
        <f aca="false">a25_eps</f>
        <v>515.15</v>
      </c>
      <c r="D123" s="11" t="n">
        <f aca="false">D122*1000/shares</f>
        <v>847.063406812065</v>
      </c>
      <c r="E123" s="11" t="n">
        <f aca="false">E122*1000/shares</f>
        <v>1039.137835013</v>
      </c>
      <c r="F123" s="11" t="n">
        <f aca="false">F122*1000/shares</f>
        <v>810.568205304863</v>
      </c>
      <c r="G123" s="11" t="n">
        <f aca="false">G122*1000/shares</f>
        <v>793.384273000746</v>
      </c>
    </row>
    <row r="124" customFormat="false" ht="17.15" hidden="false" customHeight="false" outlineLevel="0" collapsed="false">
      <c r="A124" s="5" t="s">
        <v>598</v>
      </c>
      <c r="B124" s="0" t="s">
        <v>148</v>
      </c>
      <c r="C124" s="12" t="n">
        <f aca="false">C115/fx</f>
        <v>7.524</v>
      </c>
      <c r="D124" s="12" t="n">
        <f aca="false">D115/fx</f>
        <v>11.1322352791289</v>
      </c>
      <c r="E124" s="12" t="n">
        <f aca="false">E115/fx</f>
        <v>13.2852877645388</v>
      </c>
      <c r="F124" s="12" t="n">
        <f aca="false">F115/fx</f>
        <v>11.3338385585366</v>
      </c>
      <c r="G124" s="12" t="n">
        <f aca="false">G115/fx</f>
        <v>11.5686874756113</v>
      </c>
      <c r="H124" s="8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22"/>
    <col collapsed="false" customWidth="true" hidden="false" outlineLevel="0" max="10" min="8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602</v>
      </c>
    </row>
    <row r="2" customFormat="false" ht="17.15" hidden="false" customHeight="false" outlineLevel="0" collapsed="false">
      <c r="A2" s="0" t="s">
        <v>603</v>
      </c>
    </row>
    <row r="4" customFormat="false" ht="17.15" hidden="false" customHeight="false" outlineLevel="0" collapsed="false">
      <c r="A4" s="1" t="s">
        <v>604</v>
      </c>
    </row>
    <row r="5" customFormat="false" ht="17.15" hidden="false" customHeight="false" outlineLevel="0" collapsed="false">
      <c r="A5" s="6" t="s">
        <v>605</v>
      </c>
      <c r="B5" s="6" t="s">
        <v>606</v>
      </c>
      <c r="C5" s="6" t="s">
        <v>607</v>
      </c>
      <c r="D5" s="6" t="s">
        <v>608</v>
      </c>
      <c r="E5" s="6" t="s">
        <v>609</v>
      </c>
      <c r="F5" s="6" t="s">
        <v>21</v>
      </c>
      <c r="G5" s="6" t="s">
        <v>508</v>
      </c>
    </row>
    <row r="6" customFormat="false" ht="17.15" hidden="false" customHeight="false" outlineLevel="0" collapsed="false">
      <c r="A6" s="0" t="s">
        <v>610</v>
      </c>
      <c r="B6" s="19" t="n">
        <v>9.59</v>
      </c>
      <c r="C6" s="7" t="n">
        <v>38.35</v>
      </c>
      <c r="D6" s="15" t="n">
        <f aca="false">C6/4</f>
        <v>9.5875</v>
      </c>
      <c r="E6" s="14" t="n">
        <f aca="false">B6/D6-1</f>
        <v>0.00026075619295951</v>
      </c>
      <c r="F6" s="8" t="s">
        <v>443</v>
      </c>
      <c r="G6" s="5" t="s">
        <v>611</v>
      </c>
    </row>
    <row r="7" customFormat="false" ht="17.15" hidden="false" customHeight="false" outlineLevel="0" collapsed="false">
      <c r="A7" s="0" t="s">
        <v>612</v>
      </c>
      <c r="B7" s="19" t="n">
        <v>20.27</v>
      </c>
      <c r="C7" s="7" t="n">
        <v>81.07</v>
      </c>
      <c r="D7" s="15" t="n">
        <f aca="false">C7/4</f>
        <v>20.2675</v>
      </c>
      <c r="E7" s="14" t="n">
        <f aca="false">B7/D7-1</f>
        <v>0.000123350191192806</v>
      </c>
      <c r="F7" s="8" t="s">
        <v>443</v>
      </c>
      <c r="G7" s="5" t="s">
        <v>613</v>
      </c>
    </row>
    <row r="8" customFormat="false" ht="17.15" hidden="false" customHeight="false" outlineLevel="0" collapsed="false">
      <c r="A8" s="0" t="s">
        <v>614</v>
      </c>
      <c r="B8" s="19" t="n">
        <v>25.49</v>
      </c>
      <c r="C8" s="7" t="n">
        <v>101.94</v>
      </c>
      <c r="D8" s="15" t="n">
        <f aca="false">C8/4</f>
        <v>25.485</v>
      </c>
      <c r="E8" s="14" t="n">
        <f aca="false">B8/D8-1</f>
        <v>0.000196193839513414</v>
      </c>
      <c r="F8" s="8" t="s">
        <v>443</v>
      </c>
      <c r="G8" s="5" t="s">
        <v>615</v>
      </c>
    </row>
    <row r="9" customFormat="false" ht="17.15" hidden="false" customHeight="false" outlineLevel="0" collapsed="false">
      <c r="A9" s="0" t="s">
        <v>616</v>
      </c>
      <c r="B9" s="19" t="n">
        <v>75.59</v>
      </c>
      <c r="C9" s="7" t="n">
        <v>302.35</v>
      </c>
      <c r="D9" s="15" t="n">
        <f aca="false">C9/4</f>
        <v>75.5875</v>
      </c>
      <c r="E9" s="14" t="n">
        <f aca="false">B9/D9-1</f>
        <v>3.30742516949645E-005</v>
      </c>
      <c r="F9" s="8" t="s">
        <v>443</v>
      </c>
      <c r="G9" s="5" t="s">
        <v>617</v>
      </c>
    </row>
    <row r="10" customFormat="false" ht="17.15" hidden="false" customHeight="false" outlineLevel="0" collapsed="false">
      <c r="A10" s="0" t="s">
        <v>618</v>
      </c>
      <c r="B10" s="19" t="n">
        <v>67.53</v>
      </c>
      <c r="C10" s="7" t="n">
        <v>270.12</v>
      </c>
      <c r="D10" s="15" t="n">
        <f aca="false">C10/4</f>
        <v>67.53</v>
      </c>
      <c r="E10" s="14" t="n">
        <f aca="false">B10/D10-1</f>
        <v>0</v>
      </c>
      <c r="F10" s="8" t="s">
        <v>443</v>
      </c>
      <c r="G10" s="5" t="s">
        <v>619</v>
      </c>
    </row>
    <row r="11" customFormat="false" ht="17.15" hidden="false" customHeight="false" outlineLevel="0" collapsed="false">
      <c r="A11" s="0" t="s">
        <v>620</v>
      </c>
      <c r="B11" s="19" t="n">
        <v>88.47</v>
      </c>
      <c r="C11" s="7" t="n">
        <v>353.87</v>
      </c>
      <c r="D11" s="15" t="n">
        <f aca="false">C11/4</f>
        <v>88.4675</v>
      </c>
      <c r="E11" s="14" t="n">
        <f aca="false">B11/D11-1</f>
        <v>2.8258965156569E-005</v>
      </c>
      <c r="F11" s="8" t="s">
        <v>621</v>
      </c>
      <c r="G11" s="5" t="s">
        <v>622</v>
      </c>
    </row>
    <row r="12" customFormat="false" ht="17.15" hidden="false" customHeight="false" outlineLevel="0" collapsed="false">
      <c r="A12" s="0" t="s">
        <v>623</v>
      </c>
      <c r="B12" s="19" t="n">
        <v>112.39</v>
      </c>
      <c r="C12" s="7" t="n">
        <v>449.6</v>
      </c>
      <c r="D12" s="15" t="n">
        <f aca="false">C12/4</f>
        <v>112.4</v>
      </c>
      <c r="E12" s="14" t="n">
        <f aca="false">B12/D12-1</f>
        <v>-8.89679715302405E-005</v>
      </c>
      <c r="F12" s="8" t="s">
        <v>621</v>
      </c>
      <c r="G12" s="5" t="s">
        <v>624</v>
      </c>
    </row>
    <row r="13" customFormat="false" ht="17.15" hidden="false" customHeight="false" outlineLevel="0" collapsed="false">
      <c r="A13" s="0" t="s">
        <v>625</v>
      </c>
      <c r="B13" s="19" t="n">
        <v>174.35</v>
      </c>
      <c r="C13" s="7" t="n">
        <v>697.4</v>
      </c>
      <c r="D13" s="15" t="n">
        <f aca="false">C13/4</f>
        <v>174.35</v>
      </c>
      <c r="E13" s="14" t="n">
        <f aca="false">B13/D13-1</f>
        <v>0</v>
      </c>
      <c r="F13" s="8" t="s">
        <v>621</v>
      </c>
      <c r="G13" s="5" t="s">
        <v>626</v>
      </c>
    </row>
    <row r="14" customFormat="false" ht="17.15" hidden="false" customHeight="false" outlineLevel="0" collapsed="false">
      <c r="A14" s="0" t="s">
        <v>627</v>
      </c>
      <c r="B14" s="19" t="n">
        <v>84.45</v>
      </c>
      <c r="C14" s="7" t="n">
        <v>337.8</v>
      </c>
      <c r="D14" s="15" t="n">
        <f aca="false">C14/4</f>
        <v>84.45</v>
      </c>
      <c r="E14" s="14" t="n">
        <f aca="false">B14/D14-1</f>
        <v>0</v>
      </c>
      <c r="F14" s="8" t="s">
        <v>621</v>
      </c>
      <c r="G14" s="5" t="s">
        <v>628</v>
      </c>
    </row>
    <row r="15" customFormat="false" ht="17.15" hidden="false" customHeight="false" outlineLevel="0" collapsed="false">
      <c r="A15" s="0" t="s">
        <v>629</v>
      </c>
      <c r="B15" s="19" t="n">
        <v>226.24</v>
      </c>
      <c r="C15" s="7" t="n">
        <v>904.96</v>
      </c>
      <c r="D15" s="15" t="n">
        <f aca="false">C15/4</f>
        <v>226.24</v>
      </c>
      <c r="E15" s="14" t="n">
        <f aca="false">B15/D15-1</f>
        <v>0</v>
      </c>
      <c r="F15" s="8" t="s">
        <v>621</v>
      </c>
      <c r="G15" s="5" t="s">
        <v>630</v>
      </c>
    </row>
    <row r="16" customFormat="false" ht="17.15" hidden="false" customHeight="false" outlineLevel="0" collapsed="false">
      <c r="A16" s="0" t="s">
        <v>631</v>
      </c>
      <c r="B16" s="19" t="n">
        <v>515.15</v>
      </c>
      <c r="C16" s="7" t="n">
        <v>2060.6</v>
      </c>
      <c r="D16" s="15" t="n">
        <f aca="false">C16/4</f>
        <v>515.15</v>
      </c>
      <c r="E16" s="14" t="n">
        <f aca="false">B16/D16-1</f>
        <v>0</v>
      </c>
      <c r="F16" s="8" t="s">
        <v>621</v>
      </c>
      <c r="G16" s="5" t="s">
        <v>632</v>
      </c>
    </row>
    <row r="17" customFormat="false" ht="17.15" hidden="false" customHeight="false" outlineLevel="0" collapsed="false">
      <c r="A17" s="4" t="s">
        <v>633</v>
      </c>
    </row>
    <row r="18" customFormat="false" ht="17.15" hidden="false" customHeight="false" outlineLevel="0" collapsed="false">
      <c r="A18" s="1" t="s">
        <v>634</v>
      </c>
    </row>
    <row r="19" customFormat="false" ht="17.15" hidden="false" customHeight="false" outlineLevel="0" collapsed="false">
      <c r="A19" s="6" t="s">
        <v>635</v>
      </c>
      <c r="B19" s="6" t="s">
        <v>636</v>
      </c>
      <c r="C19" s="6" t="s">
        <v>637</v>
      </c>
      <c r="D19" s="6" t="s">
        <v>638</v>
      </c>
      <c r="E19" s="9" t="s">
        <v>639</v>
      </c>
      <c r="F19" s="9" t="s">
        <v>640</v>
      </c>
      <c r="G19" s="9" t="s">
        <v>641</v>
      </c>
      <c r="H19" s="6" t="s">
        <v>642</v>
      </c>
      <c r="I19" s="6" t="s">
        <v>643</v>
      </c>
      <c r="J19" s="6" t="s">
        <v>21</v>
      </c>
      <c r="K19" s="6" t="s">
        <v>644</v>
      </c>
    </row>
    <row r="20" customFormat="false" ht="17.15" hidden="false" customHeight="false" outlineLevel="0" collapsed="false">
      <c r="A20" s="0" t="s">
        <v>645</v>
      </c>
      <c r="B20" s="20"/>
      <c r="C20" s="20" t="n">
        <f aca="false">B7</f>
        <v>20.27</v>
      </c>
      <c r="D20" s="20" t="n">
        <f aca="false">B6</f>
        <v>9.59</v>
      </c>
      <c r="E20" s="12" t="str">
        <f aca="false">IF(B20="","",B20/C20)</f>
        <v/>
      </c>
      <c r="F20" s="12" t="str">
        <f aca="false">IF(B20="","",B20/D20)</f>
        <v/>
      </c>
      <c r="G20" s="21" t="n">
        <v>23.9</v>
      </c>
      <c r="H20" s="12" t="str">
        <f aca="false">IF(OR(B20="",G20=""),"",E20-G20)</f>
        <v/>
      </c>
      <c r="I20" s="12" t="str">
        <f aca="false">IF(OR(B20="",G20=""),"",F20-G20)</f>
        <v/>
      </c>
      <c r="J20" s="8" t="s">
        <v>480</v>
      </c>
      <c r="K20" s="5" t="s">
        <v>646</v>
      </c>
    </row>
    <row r="21" customFormat="false" ht="17.15" hidden="false" customHeight="false" outlineLevel="0" collapsed="false">
      <c r="A21" s="0" t="s">
        <v>647</v>
      </c>
      <c r="B21" s="22" t="n">
        <v>522.8</v>
      </c>
      <c r="C21" s="20" t="n">
        <f aca="false">B8</f>
        <v>25.49</v>
      </c>
      <c r="D21" s="20" t="n">
        <f aca="false">B7</f>
        <v>20.27</v>
      </c>
      <c r="E21" s="12" t="n">
        <f aca="false">IF(B21="","",B21/C21)</f>
        <v>20.5100039231071</v>
      </c>
      <c r="F21" s="12" t="n">
        <f aca="false">IF(B21="","",B21/D21)</f>
        <v>25.7918105574741</v>
      </c>
      <c r="G21" s="21" t="n">
        <v>22.8</v>
      </c>
      <c r="H21" s="12" t="n">
        <f aca="false">IF(OR(B21="",G21=""),"",E21-G21)</f>
        <v>-2.2899960768929</v>
      </c>
      <c r="I21" s="12" t="n">
        <f aca="false">IF(OR(B21="",G21=""),"",F21-G21)</f>
        <v>2.9918105574741</v>
      </c>
      <c r="J21" s="8" t="s">
        <v>480</v>
      </c>
      <c r="K21" s="5" t="s">
        <v>648</v>
      </c>
    </row>
    <row r="22" customFormat="false" ht="17.15" hidden="false" customHeight="false" outlineLevel="0" collapsed="false">
      <c r="A22" s="0" t="s">
        <v>649</v>
      </c>
      <c r="B22" s="22" t="n">
        <v>561</v>
      </c>
      <c r="C22" s="20" t="n">
        <f aca="false">B9</f>
        <v>75.59</v>
      </c>
      <c r="D22" s="20" t="n">
        <f aca="false">B8</f>
        <v>25.49</v>
      </c>
      <c r="E22" s="12" t="n">
        <f aca="false">IF(B22="","",B22/C22)</f>
        <v>7.42161661595449</v>
      </c>
      <c r="F22" s="12" t="n">
        <f aca="false">IF(B22="","",B22/D22)</f>
        <v>22.0086308356218</v>
      </c>
      <c r="G22" s="21" t="n">
        <v>19.6</v>
      </c>
      <c r="H22" s="12" t="n">
        <f aca="false">IF(OR(B22="",G22=""),"",E22-G22)</f>
        <v>-12.1783833840455</v>
      </c>
      <c r="I22" s="12" t="n">
        <f aca="false">IF(OR(B22="",G22=""),"",F22-G22)</f>
        <v>2.40863083562181</v>
      </c>
      <c r="J22" s="8" t="s">
        <v>480</v>
      </c>
      <c r="K22" s="5" t="s">
        <v>648</v>
      </c>
    </row>
    <row r="23" customFormat="false" ht="17.15" hidden="false" customHeight="false" outlineLevel="0" collapsed="false">
      <c r="A23" s="0" t="s">
        <v>650</v>
      </c>
      <c r="B23" s="22" t="n">
        <v>1540</v>
      </c>
      <c r="C23" s="20" t="n">
        <f aca="false">B10</f>
        <v>67.53</v>
      </c>
      <c r="D23" s="20" t="n">
        <f aca="false">B9</f>
        <v>75.59</v>
      </c>
      <c r="E23" s="12" t="n">
        <f aca="false">IF(B23="","",B23/C23)</f>
        <v>22.8046794017474</v>
      </c>
      <c r="F23" s="12" t="n">
        <f aca="false">IF(B23="","",B23/D23)</f>
        <v>20.3730652202672</v>
      </c>
      <c r="G23" s="21" t="n">
        <v>8.1</v>
      </c>
      <c r="H23" s="12" t="n">
        <f aca="false">IF(OR(B23="",G23=""),"",E23-G23)</f>
        <v>14.7046794017474</v>
      </c>
      <c r="I23" s="12" t="n">
        <f aca="false">IF(OR(B23="",G23=""),"",F23-G23)</f>
        <v>12.2730652202672</v>
      </c>
      <c r="J23" s="8" t="s">
        <v>480</v>
      </c>
      <c r="K23" s="5" t="s">
        <v>648</v>
      </c>
    </row>
    <row r="24" customFormat="false" ht="17.15" hidden="false" customHeight="false" outlineLevel="0" collapsed="false">
      <c r="A24" s="0" t="s">
        <v>651</v>
      </c>
      <c r="B24" s="22" t="n">
        <v>1932.5</v>
      </c>
      <c r="C24" s="20" t="n">
        <f aca="false">B11</f>
        <v>88.47</v>
      </c>
      <c r="D24" s="20" t="n">
        <f aca="false">B10</f>
        <v>67.53</v>
      </c>
      <c r="E24" s="12" t="n">
        <f aca="false">IF(B24="","",B24/C24)</f>
        <v>21.8435627896462</v>
      </c>
      <c r="F24" s="12" t="n">
        <f aca="false">IF(B24="","",B24/D24)</f>
        <v>28.6169110025174</v>
      </c>
      <c r="G24" s="21" t="n">
        <v>15.1</v>
      </c>
      <c r="H24" s="12" t="n">
        <f aca="false">IF(OR(B24="",G24=""),"",E24-G24)</f>
        <v>6.74356278964621</v>
      </c>
      <c r="I24" s="12" t="n">
        <f aca="false">IF(OR(B24="",G24=""),"",F24-G24)</f>
        <v>13.5169110025174</v>
      </c>
      <c r="J24" s="8" t="s">
        <v>480</v>
      </c>
      <c r="K24" s="5" t="s">
        <v>648</v>
      </c>
    </row>
    <row r="25" customFormat="false" ht="17.15" hidden="false" customHeight="false" outlineLevel="0" collapsed="false">
      <c r="A25" s="0" t="s">
        <v>652</v>
      </c>
      <c r="B25" s="22" t="n">
        <v>2725</v>
      </c>
      <c r="C25" s="20" t="n">
        <f aca="false">B12</f>
        <v>112.39</v>
      </c>
      <c r="D25" s="20" t="n">
        <f aca="false">B11</f>
        <v>88.47</v>
      </c>
      <c r="E25" s="12" t="n">
        <f aca="false">IF(B25="","",B25/C25)</f>
        <v>24.2459293531453</v>
      </c>
      <c r="F25" s="12" t="n">
        <f aca="false">IF(B25="","",B25/D25)</f>
        <v>30.8014016050639</v>
      </c>
      <c r="G25" s="21" t="n">
        <v>26.2</v>
      </c>
      <c r="H25" s="12" t="n">
        <f aca="false">IF(OR(B25="",G25=""),"",E25-G25)</f>
        <v>-1.9540706468547</v>
      </c>
      <c r="I25" s="12" t="n">
        <f aca="false">IF(OR(B25="",G25=""),"",F25-G25)</f>
        <v>4.60140160506386</v>
      </c>
      <c r="J25" s="8" t="s">
        <v>480</v>
      </c>
      <c r="K25" s="5" t="s">
        <v>648</v>
      </c>
    </row>
    <row r="26" customFormat="false" ht="17.15" hidden="false" customHeight="false" outlineLevel="0" collapsed="false">
      <c r="A26" s="0" t="s">
        <v>653</v>
      </c>
      <c r="B26" s="22" t="n">
        <v>2120</v>
      </c>
      <c r="C26" s="20" t="n">
        <f aca="false">B13</f>
        <v>174.35</v>
      </c>
      <c r="D26" s="20" t="n">
        <f aca="false">B12</f>
        <v>112.39</v>
      </c>
      <c r="E26" s="12" t="n">
        <f aca="false">IF(B26="","",B26/C26)</f>
        <v>12.1594493834241</v>
      </c>
      <c r="F26" s="12" t="n">
        <f aca="false">IF(B26="","",B26/D26)</f>
        <v>18.8628881573094</v>
      </c>
      <c r="G26" s="21" t="n">
        <v>21.1</v>
      </c>
      <c r="H26" s="12" t="n">
        <f aca="false">IF(OR(B26="",G26=""),"",E26-G26)</f>
        <v>-8.94055061657585</v>
      </c>
      <c r="I26" s="12" t="n">
        <f aca="false">IF(OR(B26="",G26=""),"",F26-G26)</f>
        <v>-2.23711184269063</v>
      </c>
      <c r="J26" s="8" t="s">
        <v>480</v>
      </c>
      <c r="K26" s="5" t="s">
        <v>648</v>
      </c>
    </row>
    <row r="27" customFormat="false" ht="17.15" hidden="false" customHeight="false" outlineLevel="0" collapsed="false">
      <c r="A27" s="0" t="s">
        <v>654</v>
      </c>
      <c r="B27" s="22" t="n">
        <v>4797</v>
      </c>
      <c r="C27" s="20" t="n">
        <f aca="false">B14</f>
        <v>84.45</v>
      </c>
      <c r="D27" s="20" t="n">
        <f aca="false">B13</f>
        <v>174.35</v>
      </c>
      <c r="E27" s="12" t="n">
        <f aca="false">IF(B27="","",B27/C27)</f>
        <v>56.8028419182948</v>
      </c>
      <c r="F27" s="12" t="n">
        <f aca="false">IF(B27="","",B27/D27)</f>
        <v>27.513622024663</v>
      </c>
      <c r="G27" s="21" t="n">
        <v>16.8</v>
      </c>
      <c r="H27" s="12" t="n">
        <f aca="false">IF(OR(B27="",G27=""),"",E27-G27)</f>
        <v>40.0028419182949</v>
      </c>
      <c r="I27" s="12" t="n">
        <f aca="false">IF(OR(B27="",G27=""),"",F27-G27)</f>
        <v>10.713622024663</v>
      </c>
      <c r="J27" s="8" t="s">
        <v>480</v>
      </c>
      <c r="K27" s="5" t="s">
        <v>655</v>
      </c>
    </row>
    <row r="28" customFormat="false" ht="17.15" hidden="false" customHeight="false" outlineLevel="0" collapsed="false">
      <c r="A28" s="0" t="s">
        <v>656</v>
      </c>
      <c r="B28" s="22" t="n">
        <v>9198</v>
      </c>
      <c r="C28" s="20" t="n">
        <f aca="false">B15</f>
        <v>226.24</v>
      </c>
      <c r="D28" s="20" t="n">
        <f aca="false">B14</f>
        <v>84.45</v>
      </c>
      <c r="E28" s="12" t="n">
        <f aca="false">IF(B28="","",B28/C28)</f>
        <v>40.6559405940594</v>
      </c>
      <c r="F28" s="12" t="n">
        <f aca="false">IF(B28="","",B28/D28)</f>
        <v>108.916518650089</v>
      </c>
      <c r="G28" s="21" t="n">
        <v>76.3</v>
      </c>
      <c r="H28" s="12" t="n">
        <f aca="false">IF(OR(B28="",G28=""),"",E28-G28)</f>
        <v>-35.6440594059406</v>
      </c>
      <c r="I28" s="12" t="n">
        <f aca="false">IF(OR(B28="",G28=""),"",F28-G28)</f>
        <v>32.6165186500888</v>
      </c>
      <c r="J28" s="8" t="s">
        <v>480</v>
      </c>
      <c r="K28" s="5" t="s">
        <v>648</v>
      </c>
    </row>
    <row r="29" customFormat="false" ht="17.15" hidden="false" customHeight="false" outlineLevel="0" collapsed="false">
      <c r="A29" s="0" t="s">
        <v>657</v>
      </c>
      <c r="B29" s="22" t="n">
        <v>19635</v>
      </c>
      <c r="C29" s="20" t="n">
        <f aca="false">B16</f>
        <v>515.15</v>
      </c>
      <c r="D29" s="20" t="n">
        <f aca="false">B15</f>
        <v>226.24</v>
      </c>
      <c r="E29" s="12" t="n">
        <f aca="false">IF(B29="","",B29/C29)</f>
        <v>38.1151121032709</v>
      </c>
      <c r="F29" s="12" t="n">
        <f aca="false">IF(B29="","",B29/D29)</f>
        <v>86.7883663366337</v>
      </c>
      <c r="G29" s="12"/>
      <c r="H29" s="12" t="str">
        <f aca="false">IF(OR(B29="",G29=""),"",E29-G29)</f>
        <v/>
      </c>
      <c r="I29" s="12" t="str">
        <f aca="false">IF(OR(B29="",G29=""),"",F29-G29)</f>
        <v/>
      </c>
      <c r="J29" s="8" t="s">
        <v>480</v>
      </c>
      <c r="K29" s="8" t="s">
        <v>658</v>
      </c>
    </row>
    <row r="31" customFormat="false" ht="17.15" hidden="false" customHeight="false" outlineLevel="0" collapsed="false">
      <c r="A31" s="5" t="s">
        <v>659</v>
      </c>
    </row>
    <row r="33" customFormat="false" ht="17.15" hidden="false" customHeight="false" outlineLevel="0" collapsed="false">
      <c r="A33" s="1" t="s">
        <v>660</v>
      </c>
    </row>
    <row r="34" customFormat="false" ht="17.15" hidden="false" customHeight="false" outlineLevel="0" collapsed="false">
      <c r="A34" s="6" t="s">
        <v>661</v>
      </c>
      <c r="B34" s="9" t="s">
        <v>639</v>
      </c>
      <c r="C34" s="9" t="s">
        <v>640</v>
      </c>
      <c r="D34" s="9" t="s">
        <v>662</v>
      </c>
      <c r="E34" s="6" t="s">
        <v>663</v>
      </c>
    </row>
    <row r="35" customFormat="false" ht="17.15" hidden="false" customHeight="false" outlineLevel="0" collapsed="false">
      <c r="A35" s="0" t="s">
        <v>664</v>
      </c>
      <c r="B35" s="12" t="n">
        <f aca="false">PERCENTILE(E20:E29,0.25)</f>
        <v>20.5100039231071</v>
      </c>
      <c r="C35" s="12" t="n">
        <f aca="false">PERCENTILE(F20:F29,0.25)</f>
        <v>22.0086308356218</v>
      </c>
      <c r="D35" s="12" t="n">
        <f aca="false">PERCENTILE(G20:G29,0.25)</f>
        <v>16.8</v>
      </c>
      <c r="E35" s="5" t="s">
        <v>665</v>
      </c>
    </row>
    <row r="36" customFormat="false" ht="15" hidden="false" customHeight="false" outlineLevel="0" collapsed="false">
      <c r="A36" s="5" t="s">
        <v>666</v>
      </c>
      <c r="B36" s="12" t="n">
        <f aca="false">PERCENTILE(E20:E29,0.5)</f>
        <v>22.8046794017474</v>
      </c>
      <c r="C36" s="12" t="n">
        <f aca="false">PERCENTILE(F20:F29,0.5)</f>
        <v>27.513622024663</v>
      </c>
      <c r="D36" s="12" t="n">
        <f aca="false">PERCENTILE(G20:G29,0.5)</f>
        <v>21.1</v>
      </c>
      <c r="E36" s="5" t="s">
        <v>667</v>
      </c>
    </row>
    <row r="37" customFormat="false" ht="17.15" hidden="false" customHeight="false" outlineLevel="0" collapsed="false">
      <c r="A37" s="0" t="s">
        <v>668</v>
      </c>
      <c r="B37" s="12" t="n">
        <f aca="false">PERCENTILE(E20:E29,0.75)</f>
        <v>38.1151121032709</v>
      </c>
      <c r="C37" s="12" t="n">
        <f aca="false">PERCENTILE(F20:F29,0.75)</f>
        <v>30.8014016050639</v>
      </c>
      <c r="D37" s="12" t="n">
        <f aca="false">PERCENTILE(G20:G29,0.75)</f>
        <v>23.9</v>
      </c>
      <c r="E37" s="5" t="s">
        <v>669</v>
      </c>
    </row>
    <row r="38" customFormat="false" ht="15" hidden="false" customHeight="false" outlineLevel="0" collapsed="false">
      <c r="A38" s="5" t="s">
        <v>670</v>
      </c>
      <c r="B38" s="0" t="n">
        <f aca="false">COUNT(E20:E29)</f>
        <v>9</v>
      </c>
      <c r="C38" s="0" t="n">
        <f aca="false">COUNT(F20:F29)</f>
        <v>9</v>
      </c>
      <c r="D38" s="0" t="n">
        <f aca="false">COUNT(G20:G29)</f>
        <v>9</v>
      </c>
    </row>
    <row r="40" customFormat="false" ht="17.15" hidden="false" customHeight="false" outlineLevel="0" collapsed="false">
      <c r="A40" s="4" t="s">
        <v>671</v>
      </c>
    </row>
    <row r="41" customFormat="false" ht="17.15" hidden="false" customHeight="false" outlineLevel="0" collapsed="false">
      <c r="A41" s="9" t="s">
        <v>672</v>
      </c>
      <c r="B41" s="9" t="s">
        <v>673</v>
      </c>
      <c r="C41" s="6" t="s">
        <v>666</v>
      </c>
      <c r="D41" s="9" t="s">
        <v>674</v>
      </c>
    </row>
    <row r="42" customFormat="false" ht="15" hidden="false" customHeight="false" outlineLevel="0" collapsed="false">
      <c r="A42" s="7" t="n">
        <v>10</v>
      </c>
      <c r="B42" s="12" t="n">
        <f aca="false">PERCENTILE(B48:B57,0.25)</f>
        <v>14.2470880183449</v>
      </c>
      <c r="C42" s="12" t="n">
        <f aca="false">PERCENTILE(B48:B57,0.5)</f>
        <v>22.3241210956968</v>
      </c>
      <c r="D42" s="12" t="n">
        <f aca="false">PERCENTILE(B48:B57,0.75)</f>
        <v>34.6478164157395</v>
      </c>
    </row>
    <row r="43" customFormat="false" ht="15" hidden="false" customHeight="false" outlineLevel="0" collapsed="false">
      <c r="A43" s="7" t="n">
        <v>20</v>
      </c>
      <c r="B43" s="12" t="n">
        <f aca="false">PERCENTILE(C48:C57,0.25)</f>
        <v>20.1275009807768</v>
      </c>
      <c r="C43" s="12" t="n">
        <f aca="false">PERCENTILE(C48:C57,0.5)</f>
        <v>22.3241210956968</v>
      </c>
      <c r="D43" s="12" t="n">
        <f aca="false">PERCENTILE(C48:C57,0.75)</f>
        <v>34.6478164157395</v>
      </c>
    </row>
    <row r="44" customFormat="false" ht="15" hidden="false" customHeight="false" outlineLevel="0" collapsed="false">
      <c r="A44" s="7" t="n">
        <v>30</v>
      </c>
      <c r="B44" s="12" t="n">
        <f aca="false">PERCENTILE(D48:D57,0.25)</f>
        <v>20.8433936397419</v>
      </c>
      <c r="C44" s="12" t="n">
        <f aca="false">PERCENTILE(D48:D57,0.5)</f>
        <v>23.5253043774463</v>
      </c>
      <c r="D44" s="12" t="n">
        <f aca="false">PERCENTILE(D48:D57,0.75)</f>
        <v>36.0863340774532</v>
      </c>
    </row>
    <row r="46" customFormat="false" ht="17.15" hidden="false" customHeight="false" outlineLevel="0" collapsed="false">
      <c r="A46" s="4" t="s">
        <v>675</v>
      </c>
    </row>
    <row r="47" customFormat="false" ht="15" hidden="false" customHeight="false" outlineLevel="0" collapsed="false">
      <c r="B47" s="0" t="n">
        <f aca="false">A42</f>
        <v>10</v>
      </c>
      <c r="C47" s="0" t="n">
        <f aca="false">A43</f>
        <v>20</v>
      </c>
      <c r="D47" s="0" t="n">
        <f aca="false">A44</f>
        <v>30</v>
      </c>
    </row>
    <row r="48" customFormat="false" ht="15" hidden="false" customHeight="false" outlineLevel="0" collapsed="false">
      <c r="B48" s="12" t="n">
        <f aca="false">IF(E20="",B$47,E20)</f>
        <v>10</v>
      </c>
      <c r="C48" s="12" t="n">
        <f aca="false">IF(E20="",C$47,E20)</f>
        <v>20</v>
      </c>
      <c r="D48" s="12" t="n">
        <f aca="false">IF(E20="",D$47,E20)</f>
        <v>30</v>
      </c>
    </row>
    <row r="49" customFormat="false" ht="15" hidden="false" customHeight="false" outlineLevel="0" collapsed="false">
      <c r="B49" s="12" t="n">
        <f aca="false">IF(E21="",B$47,E21)</f>
        <v>20.5100039231071</v>
      </c>
      <c r="C49" s="12" t="n">
        <f aca="false">IF(E21="",C$47,E21)</f>
        <v>20.5100039231071</v>
      </c>
      <c r="D49" s="12" t="n">
        <f aca="false">IF(E21="",D$47,E21)</f>
        <v>20.5100039231071</v>
      </c>
    </row>
    <row r="50" customFormat="false" ht="15" hidden="false" customHeight="false" outlineLevel="0" collapsed="false">
      <c r="B50" s="12" t="n">
        <f aca="false">IF(E22="",B$47,E22)</f>
        <v>7.42161661595449</v>
      </c>
      <c r="C50" s="12" t="n">
        <f aca="false">IF(E22="",C$47,E22)</f>
        <v>7.42161661595449</v>
      </c>
      <c r="D50" s="12" t="n">
        <f aca="false">IF(E22="",D$47,E22)</f>
        <v>7.42161661595449</v>
      </c>
    </row>
    <row r="51" customFormat="false" ht="15" hidden="false" customHeight="false" outlineLevel="0" collapsed="false">
      <c r="B51" s="12" t="n">
        <f aca="false">IF(E23="",B$47,E23)</f>
        <v>22.8046794017474</v>
      </c>
      <c r="C51" s="12" t="n">
        <f aca="false">IF(E23="",C$47,E23)</f>
        <v>22.8046794017474</v>
      </c>
      <c r="D51" s="12" t="n">
        <f aca="false">IF(E23="",D$47,E23)</f>
        <v>22.8046794017474</v>
      </c>
    </row>
    <row r="52" customFormat="false" ht="15" hidden="false" customHeight="false" outlineLevel="0" collapsed="false">
      <c r="B52" s="12" t="n">
        <f aca="false">IF(E24="",B$47,E24)</f>
        <v>21.8435627896462</v>
      </c>
      <c r="C52" s="12" t="n">
        <f aca="false">IF(E24="",C$47,E24)</f>
        <v>21.8435627896462</v>
      </c>
      <c r="D52" s="12" t="n">
        <f aca="false">IF(E24="",D$47,E24)</f>
        <v>21.8435627896462</v>
      </c>
    </row>
    <row r="53" customFormat="false" ht="15" hidden="false" customHeight="false" outlineLevel="0" collapsed="false">
      <c r="B53" s="12" t="n">
        <f aca="false">IF(E25="",B$47,E25)</f>
        <v>24.2459293531453</v>
      </c>
      <c r="C53" s="12" t="n">
        <f aca="false">IF(E25="",C$47,E25)</f>
        <v>24.2459293531453</v>
      </c>
      <c r="D53" s="12" t="n">
        <f aca="false">IF(E25="",D$47,E25)</f>
        <v>24.2459293531453</v>
      </c>
    </row>
    <row r="54" customFormat="false" ht="15" hidden="false" customHeight="false" outlineLevel="0" collapsed="false">
      <c r="B54" s="12" t="n">
        <f aca="false">IF(E26="",B$47,E26)</f>
        <v>12.1594493834241</v>
      </c>
      <c r="C54" s="12" t="n">
        <f aca="false">IF(E26="",C$47,E26)</f>
        <v>12.1594493834241</v>
      </c>
      <c r="D54" s="12" t="n">
        <f aca="false">IF(E26="",D$47,E26)</f>
        <v>12.1594493834241</v>
      </c>
    </row>
    <row r="55" customFormat="false" ht="15" hidden="false" customHeight="false" outlineLevel="0" collapsed="false">
      <c r="B55" s="12" t="n">
        <f aca="false">IF(E27="",B$47,E27)</f>
        <v>56.8028419182948</v>
      </c>
      <c r="C55" s="12" t="n">
        <f aca="false">IF(E27="",C$47,E27)</f>
        <v>56.8028419182948</v>
      </c>
      <c r="D55" s="12" t="n">
        <f aca="false">IF(E27="",D$47,E27)</f>
        <v>56.8028419182948</v>
      </c>
    </row>
    <row r="56" customFormat="false" ht="15" hidden="false" customHeight="false" outlineLevel="0" collapsed="false">
      <c r="B56" s="12" t="n">
        <f aca="false">IF(E28="",B$47,E28)</f>
        <v>40.6559405940594</v>
      </c>
      <c r="C56" s="12" t="n">
        <f aca="false">IF(E28="",C$47,E28)</f>
        <v>40.6559405940594</v>
      </c>
      <c r="D56" s="12" t="n">
        <f aca="false">IF(E28="",D$47,E28)</f>
        <v>40.6559405940594</v>
      </c>
    </row>
    <row r="57" customFormat="false" ht="15" hidden="false" customHeight="false" outlineLevel="0" collapsed="false">
      <c r="B57" s="12" t="n">
        <f aca="false">IF(E29="",B$47,E29)</f>
        <v>38.1151121032709</v>
      </c>
      <c r="C57" s="12" t="n">
        <f aca="false">IF(E29="",C$47,E29)</f>
        <v>38.1151121032709</v>
      </c>
      <c r="D57" s="12" t="n">
        <f aca="false">IF(E29="",D$47,E29)</f>
        <v>38.1151121032709</v>
      </c>
    </row>
    <row r="59" customFormat="false" ht="17.15" hidden="false" customHeight="false" outlineLevel="0" collapsed="false">
      <c r="A59" s="1" t="s">
        <v>676</v>
      </c>
    </row>
    <row r="60" customFormat="false" ht="17.15" hidden="false" customHeight="false" outlineLevel="0" collapsed="false">
      <c r="A60" s="5" t="s">
        <v>677</v>
      </c>
    </row>
    <row r="61" customFormat="false" ht="17.15" hidden="false" customHeight="false" outlineLevel="0" collapsed="false">
      <c r="A61" s="6" t="s">
        <v>678</v>
      </c>
      <c r="B61" s="6" t="s">
        <v>679</v>
      </c>
      <c r="C61" s="9" t="s">
        <v>680</v>
      </c>
      <c r="D61" s="6" t="s">
        <v>681</v>
      </c>
      <c r="E61" s="6" t="s">
        <v>682</v>
      </c>
      <c r="F61" s="9" t="s">
        <v>683</v>
      </c>
      <c r="G61" s="9" t="s">
        <v>684</v>
      </c>
      <c r="H61" s="6" t="s">
        <v>685</v>
      </c>
    </row>
    <row r="62" customFormat="false" ht="15" hidden="false" customHeight="false" outlineLevel="0" collapsed="false">
      <c r="A62" s="0" t="s">
        <v>686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12" t="n">
        <f aca="false">IF(D62="見頂",pe_peak,IF(D62="谷底",pe_trough,pe_mid))</f>
        <v>22.8046794017474</v>
      </c>
      <c r="F62" s="5" t="s">
        <v>687</v>
      </c>
      <c r="G62" s="12" t="n">
        <f aca="false">pe_peak</f>
        <v>20.5100039231071</v>
      </c>
      <c r="H62" s="8" t="s">
        <v>688</v>
      </c>
    </row>
    <row r="63" customFormat="false" ht="15" hidden="false" customHeight="false" outlineLevel="0" collapsed="false">
      <c r="A63" s="0" t="s">
        <v>689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12" t="n">
        <f aca="false">IF(D63="見頂",pe_peak,IF(D63="谷底",pe_trough,pe_mid))</f>
        <v>22.8046794017474</v>
      </c>
      <c r="F63" s="5" t="s">
        <v>687</v>
      </c>
      <c r="G63" s="12" t="n">
        <f aca="false">pe_peak</f>
        <v>20.5100039231071</v>
      </c>
      <c r="H63" s="8" t="s">
        <v>688</v>
      </c>
    </row>
    <row r="64" customFormat="false" ht="15" hidden="false" customHeight="false" outlineLevel="0" collapsed="false">
      <c r="A64" s="0" t="s">
        <v>690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12" t="n">
        <f aca="false">IF(D64="見頂",pe_peak,IF(D64="谷底",pe_trough,pe_mid))</f>
        <v>20.5100039231071</v>
      </c>
      <c r="F64" s="5" t="s">
        <v>687</v>
      </c>
      <c r="G64" s="12" t="n">
        <f aca="false">pe_peak</f>
        <v>20.5100039231071</v>
      </c>
      <c r="H64" s="8" t="s">
        <v>688</v>
      </c>
    </row>
    <row r="66" customFormat="false" ht="17.15" hidden="false" customHeight="false" outlineLevel="0" collapsed="false">
      <c r="A66" s="1" t="s">
        <v>691</v>
      </c>
    </row>
    <row r="67" customFormat="false" ht="17.15" hidden="false" customHeight="false" outlineLevel="0" collapsed="false">
      <c r="A67" s="6" t="s">
        <v>678</v>
      </c>
      <c r="B67" s="9" t="s">
        <v>692</v>
      </c>
      <c r="C67" s="9" t="s">
        <v>562</v>
      </c>
      <c r="D67" s="6" t="s">
        <v>693</v>
      </c>
      <c r="E67" s="6" t="s">
        <v>682</v>
      </c>
      <c r="F67" s="6" t="s">
        <v>694</v>
      </c>
      <c r="G67" s="6" t="s">
        <v>695</v>
      </c>
      <c r="H67" s="6" t="s">
        <v>696</v>
      </c>
    </row>
    <row r="68" customFormat="false" ht="15" hidden="false" customHeight="false" outlineLevel="0" collapsed="false">
      <c r="A68" s="23" t="s">
        <v>686</v>
      </c>
      <c r="B68" s="23" t="s">
        <v>556</v>
      </c>
      <c r="C68" s="24" t="n">
        <f aca="false">PL!E13</f>
        <v>1138.5516066225</v>
      </c>
      <c r="D68" s="23" t="str">
        <f aca="false">"規則值："&amp;D62</f>
        <v>規則值：中段</v>
      </c>
      <c r="E68" s="25" t="n">
        <f aca="false">E62</f>
        <v>22.8046794017474</v>
      </c>
      <c r="F68" s="24" t="n">
        <f aca="false">C68*E68</f>
        <v>25964.3043713706</v>
      </c>
      <c r="G68" s="26" t="n">
        <f aca="false">F68/px-1</f>
        <v>-0.246100337648938</v>
      </c>
      <c r="H68" s="23"/>
    </row>
    <row r="69" customFormat="false" ht="17.15" hidden="false" customHeight="false" outlineLevel="0" collapsed="false">
      <c r="A69" s="0" t="s">
        <v>686</v>
      </c>
      <c r="B69" s="0" t="s">
        <v>556</v>
      </c>
      <c r="C69" s="17" t="n">
        <f aca="false">PL!E13</f>
        <v>1138.5516066225</v>
      </c>
      <c r="D69" s="5" t="s">
        <v>697</v>
      </c>
      <c r="E69" s="12" t="n">
        <f aca="false">pe_peak</f>
        <v>20.5100039231071</v>
      </c>
      <c r="F69" s="17" t="n">
        <f aca="false">C69*E69</f>
        <v>23351.6979184874</v>
      </c>
      <c r="G69" s="27" t="n">
        <f aca="false">F69/px-1</f>
        <v>-0.321959990752398</v>
      </c>
    </row>
    <row r="70" customFormat="false" ht="15" hidden="false" customHeight="false" outlineLevel="0" collapsed="false">
      <c r="A70" s="0" t="s">
        <v>686</v>
      </c>
      <c r="B70" s="0" t="s">
        <v>556</v>
      </c>
      <c r="C70" s="17" t="n">
        <f aca="false">PL!E13</f>
        <v>1138.5516066225</v>
      </c>
      <c r="D70" s="5" t="s">
        <v>698</v>
      </c>
      <c r="E70" s="12" t="n">
        <f aca="false">pe_mid</f>
        <v>22.8046794017474</v>
      </c>
      <c r="F70" s="17" t="n">
        <f aca="false">C70*E70</f>
        <v>25964.3043713706</v>
      </c>
      <c r="G70" s="27" t="n">
        <f aca="false">F70/px-1</f>
        <v>-0.246100337648938</v>
      </c>
    </row>
    <row r="71" customFormat="false" ht="17.15" hidden="false" customHeight="false" outlineLevel="0" collapsed="false">
      <c r="A71" s="0" t="s">
        <v>686</v>
      </c>
      <c r="B71" s="0" t="s">
        <v>556</v>
      </c>
      <c r="C71" s="17" t="n">
        <f aca="false">PL!E13</f>
        <v>1138.5516066225</v>
      </c>
      <c r="D71" s="5" t="s">
        <v>699</v>
      </c>
      <c r="E71" s="12" t="n">
        <f aca="false">pe_trough</f>
        <v>38.1151121032709</v>
      </c>
      <c r="F71" s="17" t="n">
        <f aca="false">C71*E71</f>
        <v>43396.0221217759</v>
      </c>
      <c r="G71" s="27" t="n">
        <f aca="false">F71/px-1</f>
        <v>0.260047099935421</v>
      </c>
    </row>
    <row r="72" customFormat="false" ht="17.15" hidden="false" customHeight="false" outlineLevel="0" collapsed="false">
      <c r="A72" s="0" t="s">
        <v>686</v>
      </c>
      <c r="B72" s="0" t="s">
        <v>557</v>
      </c>
      <c r="C72" s="17" t="n">
        <f aca="false">PL!F13</f>
        <v>1297.80745615567</v>
      </c>
      <c r="D72" s="5" t="s">
        <v>700</v>
      </c>
      <c r="E72" s="12" t="n">
        <f aca="false">pe_peak</f>
        <v>20.5100039231071</v>
      </c>
      <c r="F72" s="17" t="n">
        <f aca="false">C72*E72</f>
        <v>26618.0360171905</v>
      </c>
      <c r="G72" s="27" t="n">
        <f aca="false">F72/px-1</f>
        <v>-0.227118582543829</v>
      </c>
    </row>
    <row r="73" customFormat="false" ht="15" hidden="false" customHeight="false" outlineLevel="0" collapsed="false">
      <c r="A73" s="0" t="s">
        <v>686</v>
      </c>
      <c r="B73" s="0" t="s">
        <v>557</v>
      </c>
      <c r="C73" s="17" t="n">
        <f aca="false">PL!F13</f>
        <v>1297.80745615567</v>
      </c>
      <c r="D73" s="5" t="s">
        <v>698</v>
      </c>
      <c r="E73" s="12" t="n">
        <f aca="false">pe_mid</f>
        <v>22.8046794017474</v>
      </c>
      <c r="F73" s="17" t="n">
        <f aca="false">C73*E73</f>
        <v>29596.0829628275</v>
      </c>
      <c r="G73" s="27" t="n">
        <f aca="false">F73/px-1</f>
        <v>-0.140647997595021</v>
      </c>
    </row>
    <row r="74" customFormat="false" ht="17.15" hidden="false" customHeight="false" outlineLevel="0" collapsed="false">
      <c r="A74" s="0" t="s">
        <v>686</v>
      </c>
      <c r="B74" s="0" t="s">
        <v>557</v>
      </c>
      <c r="C74" s="17" t="n">
        <f aca="false">PL!F13</f>
        <v>1297.80745615567</v>
      </c>
      <c r="D74" s="5" t="s">
        <v>699</v>
      </c>
      <c r="E74" s="12" t="n">
        <f aca="false">pe_trough</f>
        <v>38.1151121032709</v>
      </c>
      <c r="F74" s="17" t="n">
        <f aca="false">C74*E74</f>
        <v>49466.0766798344</v>
      </c>
      <c r="G74" s="27" t="n">
        <f aca="false">F74/px-1</f>
        <v>0.436297232283228</v>
      </c>
    </row>
    <row r="75" customFormat="false" ht="15" hidden="false" customHeight="false" outlineLevel="0" collapsed="false">
      <c r="A75" s="23" t="s">
        <v>689</v>
      </c>
      <c r="B75" s="23" t="s">
        <v>556</v>
      </c>
      <c r="C75" s="24" t="n">
        <f aca="false">PL!E24</f>
        <v>1091.23377630333</v>
      </c>
      <c r="D75" s="23" t="str">
        <f aca="false">"規則值："&amp;D63</f>
        <v>規則值：中段</v>
      </c>
      <c r="E75" s="25" t="n">
        <f aca="false">E63</f>
        <v>22.8046794017474</v>
      </c>
      <c r="F75" s="24" t="n">
        <f aca="false">C75*E75</f>
        <v>24885.2364209555</v>
      </c>
      <c r="G75" s="26" t="n">
        <f aca="false">F75/px-1</f>
        <v>-0.277432159670283</v>
      </c>
      <c r="H75" s="23"/>
    </row>
    <row r="76" customFormat="false" ht="17.15" hidden="false" customHeight="false" outlineLevel="0" collapsed="false">
      <c r="A76" s="0" t="s">
        <v>689</v>
      </c>
      <c r="B76" s="0" t="s">
        <v>556</v>
      </c>
      <c r="C76" s="17" t="n">
        <f aca="false">PL!E24</f>
        <v>1091.23377630333</v>
      </c>
      <c r="D76" s="5" t="s">
        <v>697</v>
      </c>
      <c r="E76" s="12" t="n">
        <f aca="false">pe_peak</f>
        <v>20.5100039231071</v>
      </c>
      <c r="F76" s="17" t="n">
        <f aca="false">C76*E76</f>
        <v>22381.2090330082</v>
      </c>
      <c r="G76" s="27" t="n">
        <f aca="false">F76/px-1</f>
        <v>-0.350139110539832</v>
      </c>
    </row>
    <row r="77" customFormat="false" ht="15" hidden="false" customHeight="false" outlineLevel="0" collapsed="false">
      <c r="A77" s="0" t="s">
        <v>689</v>
      </c>
      <c r="B77" s="0" t="s">
        <v>556</v>
      </c>
      <c r="C77" s="17" t="n">
        <f aca="false">PL!E24</f>
        <v>1091.23377630333</v>
      </c>
      <c r="D77" s="5" t="s">
        <v>698</v>
      </c>
      <c r="E77" s="12" t="n">
        <f aca="false">pe_mid</f>
        <v>22.8046794017474</v>
      </c>
      <c r="F77" s="17" t="n">
        <f aca="false">C77*E77</f>
        <v>24885.2364209555</v>
      </c>
      <c r="G77" s="27" t="n">
        <f aca="false">F77/px-1</f>
        <v>-0.277432159670283</v>
      </c>
    </row>
    <row r="78" customFormat="false" ht="17.15" hidden="false" customHeight="false" outlineLevel="0" collapsed="false">
      <c r="A78" s="0" t="s">
        <v>689</v>
      </c>
      <c r="B78" s="0" t="s">
        <v>556</v>
      </c>
      <c r="C78" s="17" t="n">
        <f aca="false">PL!E24</f>
        <v>1091.23377630333</v>
      </c>
      <c r="D78" s="5" t="s">
        <v>699</v>
      </c>
      <c r="E78" s="12" t="n">
        <f aca="false">pe_trough</f>
        <v>38.1151121032709</v>
      </c>
      <c r="F78" s="17" t="n">
        <f aca="false">C78*E78</f>
        <v>41592.4977146769</v>
      </c>
      <c r="G78" s="27" t="n">
        <f aca="false">F78/px-1</f>
        <v>0.207679956872152</v>
      </c>
    </row>
    <row r="79" customFormat="false" ht="17.15" hidden="false" customHeight="false" outlineLevel="0" collapsed="false">
      <c r="A79" s="0" t="s">
        <v>689</v>
      </c>
      <c r="B79" s="0" t="s">
        <v>557</v>
      </c>
      <c r="C79" s="17" t="n">
        <f aca="false">PL!F24</f>
        <v>1117.46785429604</v>
      </c>
      <c r="D79" s="5" t="s">
        <v>700</v>
      </c>
      <c r="E79" s="12" t="n">
        <f aca="false">pe_peak</f>
        <v>20.5100039231071</v>
      </c>
      <c r="F79" s="17" t="n">
        <f aca="false">C79*E79</f>
        <v>22919.2700755579</v>
      </c>
      <c r="G79" s="27" t="n">
        <f aca="false">F79/px-1</f>
        <v>-0.334515967608655</v>
      </c>
    </row>
    <row r="80" customFormat="false" ht="15" hidden="false" customHeight="false" outlineLevel="0" collapsed="false">
      <c r="A80" s="0" t="s">
        <v>689</v>
      </c>
      <c r="B80" s="0" t="s">
        <v>557</v>
      </c>
      <c r="C80" s="17" t="n">
        <f aca="false">PL!F24</f>
        <v>1117.46785429604</v>
      </c>
      <c r="D80" s="5" t="s">
        <v>698</v>
      </c>
      <c r="E80" s="12" t="n">
        <f aca="false">pe_mid</f>
        <v>22.8046794017474</v>
      </c>
      <c r="F80" s="17" t="n">
        <f aca="false">C80*E80</f>
        <v>25483.4961589798</v>
      </c>
      <c r="G80" s="27" t="n">
        <f aca="false">F80/px-1</f>
        <v>-0.260061087137636</v>
      </c>
    </row>
    <row r="81" customFormat="false" ht="17.15" hidden="false" customHeight="false" outlineLevel="0" collapsed="false">
      <c r="A81" s="0" t="s">
        <v>689</v>
      </c>
      <c r="B81" s="0" t="s">
        <v>557</v>
      </c>
      <c r="C81" s="17" t="n">
        <f aca="false">PL!F24</f>
        <v>1117.46785429604</v>
      </c>
      <c r="D81" s="5" t="s">
        <v>699</v>
      </c>
      <c r="E81" s="12" t="n">
        <f aca="false">pe_trough</f>
        <v>38.1151121032709</v>
      </c>
      <c r="F81" s="17" t="n">
        <f aca="false">C81*E81</f>
        <v>42592.4125382953</v>
      </c>
      <c r="G81" s="27" t="n">
        <f aca="false">F81/px-1</f>
        <v>0.2367134883361</v>
      </c>
    </row>
    <row r="82" customFormat="false" ht="15" hidden="false" customHeight="false" outlineLevel="0" collapsed="false">
      <c r="A82" s="23" t="s">
        <v>690</v>
      </c>
      <c r="B82" s="23" t="s">
        <v>556</v>
      </c>
      <c r="C82" s="24" t="n">
        <f aca="false">PL!E35</f>
        <v>1039.137835013</v>
      </c>
      <c r="D82" s="23" t="str">
        <f aca="false">"規則值："&amp;D64</f>
        <v>規則值：見頂</v>
      </c>
      <c r="E82" s="25" t="n">
        <f aca="false">E64</f>
        <v>20.5100039231071</v>
      </c>
      <c r="F82" s="24" t="n">
        <f aca="false">C82*E82</f>
        <v>21312.7210727656</v>
      </c>
      <c r="G82" s="26" t="n">
        <f aca="false">F82/px-1</f>
        <v>-0.381163731917375</v>
      </c>
      <c r="H82" s="23"/>
    </row>
    <row r="83" customFormat="false" ht="17.15" hidden="false" customHeight="false" outlineLevel="0" collapsed="false">
      <c r="A83" s="0" t="s">
        <v>690</v>
      </c>
      <c r="B83" s="0" t="s">
        <v>556</v>
      </c>
      <c r="C83" s="17" t="n">
        <f aca="false">PL!E35</f>
        <v>1039.137835013</v>
      </c>
      <c r="D83" s="5" t="s">
        <v>697</v>
      </c>
      <c r="E83" s="12" t="n">
        <f aca="false">pe_peak</f>
        <v>20.5100039231071</v>
      </c>
      <c r="F83" s="17" t="n">
        <f aca="false">C83*E83</f>
        <v>21312.7210727656</v>
      </c>
      <c r="G83" s="27" t="n">
        <f aca="false">F83/px-1</f>
        <v>-0.381163731917375</v>
      </c>
    </row>
    <row r="84" customFormat="false" ht="15" hidden="false" customHeight="false" outlineLevel="0" collapsed="false">
      <c r="A84" s="0" t="s">
        <v>690</v>
      </c>
      <c r="B84" s="0" t="s">
        <v>556</v>
      </c>
      <c r="C84" s="17" t="n">
        <f aca="false">PL!E35</f>
        <v>1039.137835013</v>
      </c>
      <c r="D84" s="5" t="s">
        <v>698</v>
      </c>
      <c r="E84" s="12" t="n">
        <f aca="false">pe_mid</f>
        <v>22.8046794017474</v>
      </c>
      <c r="F84" s="17" t="n">
        <f aca="false">C84*E84</f>
        <v>23697.2051816973</v>
      </c>
      <c r="G84" s="27" t="n">
        <f aca="false">F84/px-1</f>
        <v>-0.311927840252692</v>
      </c>
    </row>
    <row r="85" customFormat="false" ht="17.15" hidden="false" customHeight="false" outlineLevel="0" collapsed="false">
      <c r="A85" s="0" t="s">
        <v>690</v>
      </c>
      <c r="B85" s="0" t="s">
        <v>556</v>
      </c>
      <c r="C85" s="17" t="n">
        <f aca="false">PL!E35</f>
        <v>1039.137835013</v>
      </c>
      <c r="D85" s="5" t="s">
        <v>699</v>
      </c>
      <c r="E85" s="12" t="n">
        <f aca="false">pe_trough</f>
        <v>38.1151121032709</v>
      </c>
      <c r="F85" s="17" t="n">
        <f aca="false">C85*E85</f>
        <v>39606.8550722706</v>
      </c>
      <c r="G85" s="27" t="n">
        <f aca="false">F85/px-1</f>
        <v>0.150024827882423</v>
      </c>
    </row>
    <row r="86" customFormat="false" ht="17.15" hidden="false" customHeight="false" outlineLevel="0" collapsed="false">
      <c r="A86" s="0" t="s">
        <v>690</v>
      </c>
      <c r="B86" s="0" t="s">
        <v>557</v>
      </c>
      <c r="C86" s="17" t="n">
        <f aca="false">PL!F35</f>
        <v>810.568205304863</v>
      </c>
      <c r="D86" s="5" t="s">
        <v>700</v>
      </c>
      <c r="E86" s="12" t="n">
        <f aca="false">pe_peak</f>
        <v>20.5100039231071</v>
      </c>
      <c r="F86" s="17" t="n">
        <f aca="false">C86*E86</f>
        <v>16624.7570707486</v>
      </c>
      <c r="G86" s="27" t="n">
        <f aca="false">F86/px-1</f>
        <v>-0.517283476459099</v>
      </c>
    </row>
    <row r="87" customFormat="false" ht="15" hidden="false" customHeight="false" outlineLevel="0" collapsed="false">
      <c r="A87" s="0" t="s">
        <v>690</v>
      </c>
      <c r="B87" s="0" t="s">
        <v>557</v>
      </c>
      <c r="C87" s="17" t="n">
        <f aca="false">PL!F35</f>
        <v>810.568205304863</v>
      </c>
      <c r="D87" s="5" t="s">
        <v>698</v>
      </c>
      <c r="E87" s="12" t="n">
        <f aca="false">pe_mid</f>
        <v>22.8046794017474</v>
      </c>
      <c r="F87" s="17" t="n">
        <f aca="false">C87*E87</f>
        <v>18484.7480552271</v>
      </c>
      <c r="G87" s="27" t="n">
        <f aca="false">F87/px-1</f>
        <v>-0.463276769592708</v>
      </c>
    </row>
    <row r="88" customFormat="false" ht="17.15" hidden="false" customHeight="false" outlineLevel="0" collapsed="false">
      <c r="A88" s="0" t="s">
        <v>690</v>
      </c>
      <c r="B88" s="0" t="s">
        <v>557</v>
      </c>
      <c r="C88" s="17" t="n">
        <f aca="false">PL!F35</f>
        <v>810.568205304863</v>
      </c>
      <c r="D88" s="5" t="s">
        <v>699</v>
      </c>
      <c r="E88" s="12" t="n">
        <f aca="false">pe_trough</f>
        <v>38.1151121032709</v>
      </c>
      <c r="F88" s="17" t="n">
        <f aca="false">C88*E88</f>
        <v>30894.898012542</v>
      </c>
      <c r="G88" s="27" t="n">
        <f aca="false">F88/px-1</f>
        <v>-0.102935597777528</v>
      </c>
    </row>
    <row r="90" customFormat="false" ht="17.15" hidden="false" customHeight="false" outlineLevel="0" collapsed="false">
      <c r="A90" s="1" t="s">
        <v>701</v>
      </c>
    </row>
    <row r="91" customFormat="false" ht="15" hidden="false" customHeight="false" outlineLevel="0" collapsed="false">
      <c r="A91" s="6" t="s">
        <v>16</v>
      </c>
      <c r="B91" s="6" t="s">
        <v>702</v>
      </c>
      <c r="C91" s="6" t="s">
        <v>696</v>
      </c>
    </row>
    <row r="92" customFormat="false" ht="17.15" hidden="false" customHeight="false" outlineLevel="0" collapsed="false">
      <c r="A92" s="5" t="s">
        <v>703</v>
      </c>
      <c r="B92" s="17" t="n">
        <f aca="false">px</f>
        <v>34440</v>
      </c>
    </row>
    <row r="93" customFormat="false" ht="17.15" hidden="false" customHeight="false" outlineLevel="0" collapsed="false">
      <c r="A93" s="5" t="s">
        <v>704</v>
      </c>
      <c r="B93" s="12" t="n">
        <f aca="false">sa_fpe</f>
        <v>37.7</v>
      </c>
      <c r="C93" s="8" t="s">
        <v>705</v>
      </c>
    </row>
    <row r="94" customFormat="false" ht="17.15" hidden="false" customHeight="false" outlineLevel="0" collapsed="false">
      <c r="A94" s="5" t="s">
        <v>706</v>
      </c>
      <c r="B94" s="12" t="n">
        <f aca="false">px/g_eps</f>
        <v>37.7780702909043</v>
      </c>
      <c r="C94" s="5" t="s">
        <v>707</v>
      </c>
    </row>
    <row r="95" customFormat="false" ht="17.15" hidden="false" customHeight="false" outlineLevel="0" collapsed="false">
      <c r="A95" s="5" t="s">
        <v>708</v>
      </c>
      <c r="B95" s="12" t="n">
        <f aca="false">B94-B93</f>
        <v>0.0780702909043001</v>
      </c>
      <c r="C95" s="8" t="s">
        <v>709</v>
      </c>
    </row>
    <row r="96" customFormat="false" ht="17.15" hidden="false" customHeight="false" outlineLevel="0" collapsed="false">
      <c r="A96" s="5" t="s">
        <v>710</v>
      </c>
      <c r="B96" s="12" t="n">
        <f aca="false">px/PL!D13</f>
        <v>40.6581133396087</v>
      </c>
    </row>
    <row r="97" customFormat="false" ht="17.15" hidden="false" customHeight="false" outlineLevel="0" collapsed="false">
      <c r="A97" s="5" t="s">
        <v>711</v>
      </c>
      <c r="B97" s="12" t="n">
        <f aca="false">px/PL!E13</f>
        <v>30.2489582375328</v>
      </c>
      <c r="C97" s="12" t="n">
        <f aca="false">px/PL!E24</f>
        <v>31.5606066709823</v>
      </c>
      <c r="D97" s="12" t="n">
        <f aca="false">px/PL!E35</f>
        <v>33.1428602054214</v>
      </c>
    </row>
    <row r="98" customFormat="false" ht="17.15" hidden="false" customHeight="false" outlineLevel="0" collapsed="false">
      <c r="A98" s="5" t="s">
        <v>712</v>
      </c>
      <c r="B98" s="15" t="n">
        <f aca="false">B97/E62</f>
        <v>1.32643646089649</v>
      </c>
      <c r="C98" s="8" t="s">
        <v>713</v>
      </c>
    </row>
    <row r="100" customFormat="false" ht="17.15" hidden="false" customHeight="false" outlineLevel="0" collapsed="false">
      <c r="A100" s="1" t="s">
        <v>714</v>
      </c>
    </row>
    <row r="101" customFormat="false" ht="15" hidden="false" customHeight="false" outlineLevel="0" collapsed="false">
      <c r="A101" s="6" t="s">
        <v>16</v>
      </c>
      <c r="B101" s="6" t="s">
        <v>702</v>
      </c>
      <c r="C101" s="9"/>
      <c r="D101" s="9"/>
      <c r="E101" s="6" t="s">
        <v>508</v>
      </c>
    </row>
    <row r="102" customFormat="false" ht="17.15" hidden="false" customHeight="false" outlineLevel="0" collapsed="false">
      <c r="A102" s="5" t="s">
        <v>715</v>
      </c>
      <c r="B102" s="17" t="n">
        <f aca="false">tp_wA*B104+tp_wB*B105+tp_wC*B106</f>
        <v>24494.453736442</v>
      </c>
      <c r="E102" s="5" t="s">
        <v>716</v>
      </c>
    </row>
    <row r="103" customFormat="false" ht="17.15" hidden="false" customHeight="false" outlineLevel="0" collapsed="false">
      <c r="A103" s="5" t="s">
        <v>717</v>
      </c>
      <c r="B103" s="14" t="n">
        <f aca="false">B102/px-1</f>
        <v>-0.288778927513298</v>
      </c>
      <c r="E103" s="5" t="s">
        <v>718</v>
      </c>
    </row>
    <row r="104" customFormat="false" ht="17.15" hidden="false" customHeight="false" outlineLevel="0" collapsed="false">
      <c r="A104" s="5" t="s">
        <v>719</v>
      </c>
      <c r="B104" s="17" t="n">
        <f aca="false">F68</f>
        <v>25964.3043713706</v>
      </c>
      <c r="E104" s="0" t="str">
        <f aca="false">"FY2027 EPS × "&amp;D68&amp;" "&amp;TEXT(E68,"0.0")&amp;"x（第 5 節 F68）"</f>
        <v>FY2027 EPS × 規則值：中段 22.8x（第 5 節 F68）</v>
      </c>
    </row>
    <row r="105" customFormat="false" ht="17.15" hidden="false" customHeight="false" outlineLevel="0" collapsed="false">
      <c r="A105" s="5" t="s">
        <v>720</v>
      </c>
      <c r="B105" s="17" t="n">
        <f aca="false">F75</f>
        <v>24885.2364209555</v>
      </c>
      <c r="E105" s="0" t="str">
        <f aca="false">"FY2027 EPS × "&amp;D75&amp;" "&amp;TEXT(E75,"0.0")&amp;"x（第 5 節 F75）"</f>
        <v>FY2027 EPS × 規則值：中段 22.8x（第 5 節 F75）</v>
      </c>
    </row>
    <row r="106" customFormat="false" ht="17.15" hidden="false" customHeight="false" outlineLevel="0" collapsed="false">
      <c r="A106" s="5" t="s">
        <v>721</v>
      </c>
      <c r="B106" s="17" t="n">
        <f aca="false">F82</f>
        <v>21312.7210727656</v>
      </c>
      <c r="E106" s="0" t="str">
        <f aca="false">"FY2027 EPS × "&amp;D82&amp;" "&amp;TEXT(E82,"0.0")&amp;"x（第 5 節 F82）"</f>
        <v>FY2027 EPS × 規則值：見頂 20.5x（第 5 節 F82）</v>
      </c>
    </row>
    <row r="107" customFormat="false" ht="17.15" hidden="false" customHeight="false" outlineLevel="0" collapsed="false">
      <c r="A107" s="5" t="s">
        <v>722</v>
      </c>
      <c r="B107" s="27" t="n">
        <f aca="false">tp_wA</f>
        <v>0.3</v>
      </c>
      <c r="C107" s="27" t="n">
        <f aca="false">tp_wB</f>
        <v>0.5</v>
      </c>
      <c r="D107" s="27" t="n">
        <f aca="false">tp_wC</f>
        <v>0.2</v>
      </c>
      <c r="E107" s="0" t="str">
        <f aca="false">"合計 "&amp;TEXT(B107+C107+D107,"0%")&amp;"；In 頁 tp_wA／tp_wB／tp_wC（Assumed，Andy 可改）"</f>
        <v>合計 100%；In 頁 tp_wA／tp_wB／tp_wC（Assumed，Andy 可改）</v>
      </c>
    </row>
    <row r="108" customFormat="false" ht="17.15" hidden="false" customHeight="false" outlineLevel="0" collapsed="false">
      <c r="A108" s="5" t="s">
        <v>723</v>
      </c>
      <c r="B108" s="0" t="s">
        <v>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725</v>
      </c>
    </row>
    <row r="3" customFormat="false" ht="17.15" hidden="false" customHeight="false" outlineLevel="0" collapsed="false">
      <c r="A3" s="6" t="s">
        <v>16</v>
      </c>
      <c r="B3" s="6" t="s">
        <v>726</v>
      </c>
      <c r="C3" s="6" t="s">
        <v>727</v>
      </c>
      <c r="D3" s="6" t="s">
        <v>728</v>
      </c>
      <c r="E3" s="6" t="s">
        <v>729</v>
      </c>
      <c r="F3" s="6" t="s">
        <v>730</v>
      </c>
      <c r="G3" s="6" t="s">
        <v>731</v>
      </c>
      <c r="H3" s="6" t="s">
        <v>732</v>
      </c>
      <c r="I3" s="6" t="s">
        <v>733</v>
      </c>
      <c r="J3" s="6" t="s">
        <v>508</v>
      </c>
    </row>
    <row r="4" customFormat="false" ht="17.15" hidden="false" customHeight="false" outlineLevel="0" collapsed="false">
      <c r="A4" s="1" t="s">
        <v>734</v>
      </c>
    </row>
    <row r="5" customFormat="false" ht="17.15" hidden="false" customHeight="false" outlineLevel="0" collapsed="false">
      <c r="A5" s="5" t="s">
        <v>459</v>
      </c>
      <c r="B5" s="11" t="n">
        <f aca="false">g_rev</f>
        <v>1714</v>
      </c>
      <c r="C5" s="11" t="n">
        <f aca="false">PL!D5</f>
        <v>1669.83529186934</v>
      </c>
      <c r="D5" s="14" t="n">
        <f aca="false">C5/B5-1</f>
        <v>-0.0257670409163731</v>
      </c>
      <c r="E5" s="11" t="n">
        <f aca="false">PL!D16</f>
        <v>1669.83529186934</v>
      </c>
      <c r="F5" s="14" t="n">
        <f aca="false">E5/B5-1</f>
        <v>-0.0257670409163731</v>
      </c>
      <c r="G5" s="11" t="n">
        <f aca="false">PL!D27</f>
        <v>1669.83529186934</v>
      </c>
      <c r="H5" s="14" t="n">
        <f aca="false">G5/B5-1</f>
        <v>-0.0257670409163731</v>
      </c>
      <c r="I5" s="5" t="s">
        <v>735</v>
      </c>
    </row>
    <row r="6" customFormat="false" ht="17.15" hidden="false" customHeight="false" outlineLevel="0" collapsed="false">
      <c r="A6" s="0" t="s">
        <v>441</v>
      </c>
      <c r="B6" s="11" t="n">
        <f aca="false">g_soc</f>
        <v>1243.5</v>
      </c>
      <c r="C6" s="11" t="n">
        <f aca="false">PL!D7</f>
        <v>1198.25536244542</v>
      </c>
      <c r="D6" s="14" t="n">
        <f aca="false">C6/B6-1</f>
        <v>-0.0363849115839043</v>
      </c>
      <c r="E6" s="11" t="n">
        <f aca="false">PL!D18</f>
        <v>1198.25536244542</v>
      </c>
      <c r="F6" s="14" t="n">
        <f aca="false">E6/B6-1</f>
        <v>-0.0363849115839043</v>
      </c>
      <c r="G6" s="11" t="n">
        <f aca="false">PL!D29</f>
        <v>1198.25536244542</v>
      </c>
      <c r="H6" s="14" t="n">
        <f aca="false">G6/B6-1</f>
        <v>-0.0363849115839043</v>
      </c>
      <c r="I6" s="5" t="s">
        <v>33</v>
      </c>
    </row>
    <row r="7" customFormat="false" ht="15" hidden="false" customHeight="false" outlineLevel="0" collapsed="false">
      <c r="A7" s="5" t="s">
        <v>446</v>
      </c>
      <c r="B7" s="11" t="n">
        <f aca="false">g_mem</f>
        <v>227</v>
      </c>
      <c r="C7" s="11" t="n">
        <f aca="false">PL!D8</f>
        <v>231.979929423922</v>
      </c>
      <c r="D7" s="14" t="n">
        <f aca="false">C7/B7-1</f>
        <v>0.0219380150833559</v>
      </c>
      <c r="E7" s="11" t="n">
        <f aca="false">PL!D19</f>
        <v>231.979929423922</v>
      </c>
      <c r="F7" s="14" t="n">
        <f aca="false">E7/B7-1</f>
        <v>0.0219380150833559</v>
      </c>
      <c r="G7" s="11" t="n">
        <f aca="false">PL!D30</f>
        <v>231.979929423922</v>
      </c>
      <c r="H7" s="14" t="n">
        <f aca="false">G7/B7-1</f>
        <v>0.0219380150833559</v>
      </c>
      <c r="I7" s="5" t="s">
        <v>736</v>
      </c>
    </row>
    <row r="8" customFormat="false" ht="15" hidden="false" customHeight="false" outlineLevel="0" collapsed="false">
      <c r="A8" s="5" t="s">
        <v>470</v>
      </c>
      <c r="B8" s="11" t="n">
        <f aca="false">g_oi</f>
        <v>846</v>
      </c>
      <c r="C8" s="11" t="n">
        <f aca="false">PL!D10</f>
        <v>815.323171713486</v>
      </c>
      <c r="D8" s="14" t="n">
        <f aca="false">C8/B8-1</f>
        <v>-0.0362610263433976</v>
      </c>
      <c r="E8" s="11" t="n">
        <f aca="false">PL!D21</f>
        <v>815.323171713486</v>
      </c>
      <c r="F8" s="14" t="n">
        <f aca="false">E8/B8-1</f>
        <v>-0.0362610263433976</v>
      </c>
      <c r="G8" s="11" t="n">
        <f aca="false">PL!D32</f>
        <v>815.323171713486</v>
      </c>
      <c r="H8" s="14" t="n">
        <f aca="false">G8/B8-1</f>
        <v>-0.0362610263433976</v>
      </c>
      <c r="I8" s="5" t="s">
        <v>33</v>
      </c>
    </row>
    <row r="9" customFormat="false" ht="17.15" hidden="false" customHeight="false" outlineLevel="0" collapsed="false">
      <c r="A9" s="5" t="s">
        <v>737</v>
      </c>
      <c r="B9" s="14" t="n">
        <f aca="false">g_oi/g_rev</f>
        <v>0.493582263710618</v>
      </c>
      <c r="C9" s="14" t="n">
        <f aca="false">PL!D11</f>
        <v>0.488265624569926</v>
      </c>
      <c r="D9" s="14" t="n">
        <f aca="false">C9-B9</f>
        <v>-0.0053166391406928</v>
      </c>
      <c r="E9" s="14" t="n">
        <f aca="false">PL!D22</f>
        <v>0.488265624569926</v>
      </c>
      <c r="F9" s="14" t="n">
        <f aca="false">E9-B9</f>
        <v>-0.0053166391406928</v>
      </c>
      <c r="G9" s="14" t="n">
        <f aca="false">PL!D33</f>
        <v>0.488265624569926</v>
      </c>
      <c r="H9" s="14" t="n">
        <f aca="false">G9-B9</f>
        <v>-0.0053166391406928</v>
      </c>
      <c r="I9" s="5" t="s">
        <v>738</v>
      </c>
    </row>
    <row r="10" customFormat="false" ht="15" hidden="false" customHeight="false" outlineLevel="0" collapsed="false">
      <c r="A10" s="5" t="s">
        <v>493</v>
      </c>
      <c r="B10" s="11" t="n">
        <f aca="false">g_ni</f>
        <v>660</v>
      </c>
      <c r="C10" s="11" t="n">
        <f aca="false">PL!D12</f>
        <v>613.248484594756</v>
      </c>
      <c r="D10" s="14" t="n">
        <f aca="false">C10/B10-1</f>
        <v>-0.0708356294018856</v>
      </c>
      <c r="E10" s="11" t="n">
        <f aca="false">PL!D23</f>
        <v>613.248484594756</v>
      </c>
      <c r="F10" s="14" t="n">
        <f aca="false">E10/B10-1</f>
        <v>-0.0708356294018856</v>
      </c>
      <c r="G10" s="11" t="n">
        <f aca="false">PL!D34</f>
        <v>613.248484594756</v>
      </c>
      <c r="H10" s="14" t="n">
        <f aca="false">G10/B10-1</f>
        <v>-0.0708356294018856</v>
      </c>
      <c r="I10" s="5" t="s">
        <v>33</v>
      </c>
    </row>
    <row r="11" customFormat="false" ht="17.15" hidden="false" customHeight="false" outlineLevel="0" collapsed="false">
      <c r="A11" s="0" t="s">
        <v>739</v>
      </c>
      <c r="B11" s="11" t="n">
        <f aca="false">g_eps</f>
        <v>911.64</v>
      </c>
      <c r="C11" s="11" t="n">
        <f aca="false">PL!D13</f>
        <v>847.063406812065</v>
      </c>
      <c r="D11" s="14" t="n">
        <f aca="false">C11/B11-1</f>
        <v>-0.0708356294018855</v>
      </c>
      <c r="E11" s="11" t="n">
        <f aca="false">PL!D24</f>
        <v>847.063406812065</v>
      </c>
      <c r="F11" s="14" t="n">
        <f aca="false">E11/B11-1</f>
        <v>-0.0708356294018855</v>
      </c>
      <c r="G11" s="11" t="n">
        <f aca="false">PL!D35</f>
        <v>847.063406812065</v>
      </c>
      <c r="H11" s="14" t="n">
        <f aca="false">G11/B11-1</f>
        <v>-0.0708356294018855</v>
      </c>
      <c r="I11" s="5" t="s">
        <v>740</v>
      </c>
    </row>
    <row r="12" customFormat="false" ht="17.15" hidden="false" customHeight="false" outlineLevel="0" collapsed="false">
      <c r="A12" s="1" t="s">
        <v>741</v>
      </c>
    </row>
    <row r="13" customFormat="false" ht="17.15" hidden="false" customHeight="false" outlineLevel="0" collapsed="false">
      <c r="A13" s="5" t="s">
        <v>459</v>
      </c>
      <c r="B13" s="11" t="n">
        <f aca="false">cons_rev26</f>
        <v>1760</v>
      </c>
      <c r="C13" s="11" t="n">
        <f aca="false">PL!D5</f>
        <v>1669.83529186934</v>
      </c>
      <c r="D13" s="14" t="n">
        <f aca="false">C13/B13-1</f>
        <v>-0.0512299478015134</v>
      </c>
      <c r="E13" s="11" t="n">
        <f aca="false">PL!D16</f>
        <v>1669.83529186934</v>
      </c>
      <c r="F13" s="14" t="n">
        <f aca="false">E13/B13-1</f>
        <v>-0.0512299478015134</v>
      </c>
      <c r="G13" s="11" t="n">
        <f aca="false">PL!D27</f>
        <v>1669.83529186934</v>
      </c>
      <c r="H13" s="14" t="n">
        <f aca="false">G13/B13-1</f>
        <v>-0.0512299478015134</v>
      </c>
      <c r="I13" s="8" t="s">
        <v>742</v>
      </c>
    </row>
    <row r="14" customFormat="false" ht="17.15" hidden="false" customHeight="false" outlineLevel="0" collapsed="false">
      <c r="A14" s="5" t="s">
        <v>470</v>
      </c>
      <c r="B14" s="11" t="n">
        <f aca="false">cons_oi26</f>
        <v>886.4</v>
      </c>
      <c r="C14" s="11" t="n">
        <f aca="false">PL!D10</f>
        <v>815.323171713486</v>
      </c>
      <c r="D14" s="14" t="n">
        <f aca="false">C14/B14-1</f>
        <v>-0.0801859524892987</v>
      </c>
      <c r="E14" s="11" t="n">
        <f aca="false">PL!D21</f>
        <v>815.323171713486</v>
      </c>
      <c r="F14" s="14" t="n">
        <f aca="false">E14/B14-1</f>
        <v>-0.0801859524892987</v>
      </c>
      <c r="G14" s="11" t="n">
        <f aca="false">PL!D32</f>
        <v>815.323171713486</v>
      </c>
      <c r="H14" s="14" t="n">
        <f aca="false">G14/B14-1</f>
        <v>-0.0801859524892987</v>
      </c>
      <c r="I14" s="8" t="s">
        <v>743</v>
      </c>
    </row>
    <row r="15" customFormat="false" ht="17.15" hidden="false" customHeight="false" outlineLevel="0" collapsed="false">
      <c r="A15" s="1" t="s">
        <v>744</v>
      </c>
    </row>
    <row r="16" customFormat="false" ht="17.15" hidden="false" customHeight="false" outlineLevel="0" collapsed="false">
      <c r="A16" s="0" t="s">
        <v>745</v>
      </c>
      <c r="B16" s="15" t="n">
        <f aca="false">mk_soc26</f>
        <v>11</v>
      </c>
      <c r="C16" s="15" t="n">
        <f aca="false">PL!C47</f>
        <v>11</v>
      </c>
      <c r="D16" s="14" t="n">
        <f aca="false">C16/B16-1</f>
        <v>0</v>
      </c>
      <c r="E16" s="15" t="n">
        <f aca="false">PL!C76</f>
        <v>11</v>
      </c>
      <c r="F16" s="14" t="n">
        <f aca="false">E16/B16-1</f>
        <v>0</v>
      </c>
      <c r="G16" s="15" t="n">
        <f aca="false">PL!C105</f>
        <v>11</v>
      </c>
      <c r="H16" s="14" t="n">
        <f aca="false">G16/B16-1</f>
        <v>0</v>
      </c>
      <c r="I16" s="5" t="s">
        <v>746</v>
      </c>
      <c r="J16" s="5" t="s">
        <v>747</v>
      </c>
    </row>
    <row r="17" customFormat="false" ht="17.15" hidden="false" customHeight="false" outlineLevel="0" collapsed="false">
      <c r="A17" s="5" t="s">
        <v>748</v>
      </c>
      <c r="B17" s="15" t="n">
        <f aca="false">mk_mem26</f>
        <v>2.75</v>
      </c>
      <c r="C17" s="15" t="n">
        <f aca="false">PL!C48</f>
        <v>2.75</v>
      </c>
      <c r="D17" s="14" t="n">
        <f aca="false">C17/B17-1</f>
        <v>0</v>
      </c>
      <c r="E17" s="15" t="n">
        <f aca="false">PL!C77</f>
        <v>2.75</v>
      </c>
      <c r="F17" s="14" t="n">
        <f aca="false">E17/B17-1</f>
        <v>0</v>
      </c>
      <c r="G17" s="15" t="n">
        <f aca="false">PL!C106</f>
        <v>2.75</v>
      </c>
      <c r="H17" s="14" t="n">
        <f aca="false">G17/B17-1</f>
        <v>0</v>
      </c>
      <c r="I17" s="5" t="s">
        <v>749</v>
      </c>
      <c r="J17" s="5" t="s">
        <v>750</v>
      </c>
    </row>
    <row r="18" customFormat="false" ht="17.15" hidden="false" customHeight="false" outlineLevel="0" collapsed="false">
      <c r="A18" s="0" t="s">
        <v>751</v>
      </c>
      <c r="B18" s="14" t="n">
        <f aca="false">sh_soc</f>
        <v>0.66</v>
      </c>
      <c r="C18" s="14" t="n">
        <f aca="false">PL!C52</f>
        <v>0.645552050473186</v>
      </c>
      <c r="D18" s="14" t="n">
        <f aca="false">C18-B18</f>
        <v>-0.0144479495268139</v>
      </c>
      <c r="E18" s="14" t="n">
        <f aca="false">PL!C81</f>
        <v>0.645552050473186</v>
      </c>
      <c r="F18" s="14" t="n">
        <f aca="false">E18-B18</f>
        <v>-0.0144479495268139</v>
      </c>
      <c r="G18" s="14" t="n">
        <f aca="false">PL!C110</f>
        <v>0.645552050473186</v>
      </c>
      <c r="H18" s="14" t="n">
        <f aca="false">G18-B18</f>
        <v>-0.0144479495268139</v>
      </c>
      <c r="I18" s="5" t="s">
        <v>752</v>
      </c>
      <c r="J18" s="5" t="s">
        <v>753</v>
      </c>
    </row>
    <row r="19" customFormat="false" ht="17.15" hidden="false" customHeight="false" outlineLevel="0" collapsed="false">
      <c r="A19" s="1" t="s">
        <v>754</v>
      </c>
    </row>
    <row r="20" customFormat="false" ht="17.15" hidden="false" customHeight="false" outlineLevel="0" collapsed="false">
      <c r="A20" s="0" t="s">
        <v>755</v>
      </c>
      <c r="B20" s="15" t="n">
        <f aca="false">semi_test26</f>
        <v>15.3</v>
      </c>
      <c r="C20" s="15" t="n">
        <f aca="false">PL!C47+PL!C48</f>
        <v>13.75</v>
      </c>
      <c r="D20" s="14" t="n">
        <f aca="false">C20/B20-1</f>
        <v>-0.101307189542484</v>
      </c>
      <c r="E20" s="15" t="n">
        <f aca="false">PL!C76+PL!C77</f>
        <v>13.75</v>
      </c>
      <c r="F20" s="14" t="n">
        <f aca="false">E20/B20-1</f>
        <v>-0.101307189542484</v>
      </c>
      <c r="G20" s="15" t="n">
        <f aca="false">PL!C105+PL!C106</f>
        <v>13.75</v>
      </c>
      <c r="H20" s="14" t="n">
        <f aca="false">G20/B20-1</f>
        <v>-0.101307189542484</v>
      </c>
      <c r="I20" s="8" t="s">
        <v>756</v>
      </c>
      <c r="J20" s="8" t="s">
        <v>757</v>
      </c>
    </row>
    <row r="21" customFormat="false" ht="17.15" hidden="false" customHeight="false" outlineLevel="0" collapsed="false">
      <c r="A21" s="0" t="s">
        <v>758</v>
      </c>
      <c r="B21" s="15" t="n">
        <f aca="false">semi_test27</f>
        <v>17.8392824967822</v>
      </c>
      <c r="C21" s="15" t="n">
        <f aca="false">PL!D47+PL!D48</f>
        <v>19.4058645584072</v>
      </c>
      <c r="D21" s="14" t="n">
        <f aca="false">C21/B21-1</f>
        <v>0.087816427701485</v>
      </c>
      <c r="E21" s="15" t="n">
        <f aca="false">PL!D76+PL!D77</f>
        <v>19.4058645584072</v>
      </c>
      <c r="F21" s="14" t="n">
        <f aca="false">E21/B21-1</f>
        <v>0.087816427701485</v>
      </c>
      <c r="G21" s="15" t="n">
        <f aca="false">PL!D105+PL!D106</f>
        <v>19.4058645584072</v>
      </c>
      <c r="H21" s="14" t="n">
        <f aca="false">G21/B21-1</f>
        <v>0.087816427701485</v>
      </c>
      <c r="I21" s="8" t="s">
        <v>756</v>
      </c>
    </row>
    <row r="22" customFormat="false" ht="17.15" hidden="false" customHeight="false" outlineLevel="0" collapsed="false">
      <c r="A22" s="0" t="s">
        <v>759</v>
      </c>
      <c r="B22" s="15" t="n">
        <f aca="false">semi_test28</f>
        <v>20.8</v>
      </c>
      <c r="C22" s="15" t="n">
        <f aca="false">PL!E47+PL!E48</f>
        <v>22.4698789269758</v>
      </c>
      <c r="D22" s="14" t="n">
        <f aca="false">C22/B22-1</f>
        <v>0.0802826407199913</v>
      </c>
      <c r="E22" s="15" t="n">
        <f aca="false">PL!E76+PL!E77</f>
        <v>19.618804429449</v>
      </c>
      <c r="F22" s="14" t="n">
        <f aca="false">E22/B22-1</f>
        <v>-0.0567882485841836</v>
      </c>
      <c r="G22" s="15" t="n">
        <f aca="false">PL!E105+PL!E106</f>
        <v>15.969836146077</v>
      </c>
      <c r="H22" s="14" t="n">
        <f aca="false">G22/B22-1</f>
        <v>-0.232219416053992</v>
      </c>
      <c r="I22" s="8" t="s">
        <v>756</v>
      </c>
    </row>
    <row r="23" customFormat="false" ht="17.15" hidden="false" customHeight="false" outlineLevel="0" collapsed="false">
      <c r="A23" s="1" t="s">
        <v>760</v>
      </c>
    </row>
    <row r="24" customFormat="false" ht="17.15" hidden="false" customHeight="false" outlineLevel="0" collapsed="false">
      <c r="A24" s="0" t="s">
        <v>761</v>
      </c>
      <c r="C24" s="14" t="n">
        <f aca="false">q1_rev/PL!D5</f>
        <v>0.220081586363283</v>
      </c>
      <c r="J24" s="8" t="s">
        <v>762</v>
      </c>
    </row>
    <row r="25" customFormat="false" ht="17.15" hidden="false" customHeight="false" outlineLevel="0" collapsed="false">
      <c r="A25" s="0" t="s">
        <v>763</v>
      </c>
      <c r="C25" s="14" t="n">
        <f aca="false">q1_soc*4/PL!D7</f>
        <v>0.866593242596319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764</v>
      </c>
    </row>
    <row r="3" customFormat="false" ht="17.15" hidden="false" customHeight="false" outlineLevel="0" collapsed="false">
      <c r="A3" s="6" t="s">
        <v>765</v>
      </c>
      <c r="B3" s="6" t="s">
        <v>766</v>
      </c>
      <c r="C3" s="9" t="s">
        <v>767</v>
      </c>
      <c r="D3" s="9" t="s">
        <v>768</v>
      </c>
      <c r="E3" s="6" t="s">
        <v>769</v>
      </c>
      <c r="F3" s="9" t="s">
        <v>770</v>
      </c>
      <c r="G3" s="9" t="s">
        <v>771</v>
      </c>
      <c r="H3" s="6" t="s">
        <v>769</v>
      </c>
    </row>
    <row r="4" customFormat="false" ht="17.15" hidden="false" customHeight="false" outlineLevel="0" collapsed="false">
      <c r="A4" s="5" t="s">
        <v>772</v>
      </c>
      <c r="B4" s="0" t="s">
        <v>773</v>
      </c>
      <c r="C4" s="17" t="n">
        <f aca="false">PL!E57</f>
        <v>2169.04943786263</v>
      </c>
      <c r="D4" s="11" t="n">
        <f aca="false">PL!E65</f>
        <v>1138.5516066225</v>
      </c>
      <c r="E4" s="14" t="n">
        <f aca="false">D4/D$4-1</f>
        <v>0</v>
      </c>
      <c r="F4" s="17" t="n">
        <f aca="false">PL!F57</f>
        <v>2482.1403900367</v>
      </c>
      <c r="G4" s="11" t="n">
        <f aca="false">PL!F65</f>
        <v>1297.80745615567</v>
      </c>
      <c r="H4" s="14" t="n">
        <f aca="false">G4/G$4-1</f>
        <v>0</v>
      </c>
    </row>
    <row r="5" customFormat="false" ht="17.15" hidden="false" customHeight="false" outlineLevel="0" collapsed="false">
      <c r="A5" s="5" t="s">
        <v>774</v>
      </c>
      <c r="B5" s="0" t="s">
        <v>775</v>
      </c>
      <c r="C5" s="17" t="n">
        <f aca="false">E67</f>
        <v>2049.90770430536</v>
      </c>
      <c r="D5" s="11" t="n">
        <f aca="false">E75</f>
        <v>1054.03626774716</v>
      </c>
      <c r="E5" s="14" t="n">
        <f aca="false">D5/D$4-1</f>
        <v>-0.0742305736373788</v>
      </c>
      <c r="F5" s="17" t="n">
        <f aca="false">F67</f>
        <v>2348.76465156441</v>
      </c>
      <c r="G5" s="11" t="n">
        <f aca="false">F75</f>
        <v>1203.19496900971</v>
      </c>
      <c r="H5" s="14" t="n">
        <f aca="false">G5/G$4-1</f>
        <v>-0.0729017903982618</v>
      </c>
    </row>
    <row r="6" customFormat="false" ht="17.15" hidden="false" customHeight="false" outlineLevel="0" collapsed="false">
      <c r="A6" s="5" t="s">
        <v>776</v>
      </c>
      <c r="B6" s="0" t="s">
        <v>777</v>
      </c>
      <c r="C6" s="17" t="n">
        <f aca="false">E99</f>
        <v>2288.1911714199</v>
      </c>
      <c r="D6" s="11" t="n">
        <f aca="false">E107</f>
        <v>1223.06694549785</v>
      </c>
      <c r="E6" s="14" t="n">
        <f aca="false">D6/D$4-1</f>
        <v>0.0742305736373785</v>
      </c>
      <c r="F6" s="17" t="n">
        <f aca="false">F99</f>
        <v>2615.51612850899</v>
      </c>
      <c r="G6" s="11" t="n">
        <f aca="false">F107</f>
        <v>1392.41994330164</v>
      </c>
      <c r="H6" s="14" t="n">
        <f aca="false">G6/G$4-1</f>
        <v>0.0729017903982621</v>
      </c>
    </row>
    <row r="7" customFormat="false" ht="17.15" hidden="false" customHeight="false" outlineLevel="0" collapsed="false">
      <c r="A7" s="5" t="s">
        <v>778</v>
      </c>
      <c r="B7" s="5" t="s">
        <v>779</v>
      </c>
      <c r="C7" s="17" t="n">
        <f aca="false">E131</f>
        <v>2097.90399572289</v>
      </c>
      <c r="D7" s="11" t="n">
        <f aca="false">E139</f>
        <v>1088.08330326358</v>
      </c>
      <c r="E7" s="14" t="n">
        <f aca="false">D7/D$4-1</f>
        <v>-0.0443267595999767</v>
      </c>
      <c r="F7" s="17" t="n">
        <f aca="false">F131</f>
        <v>2339.74563536127</v>
      </c>
      <c r="G7" s="11" t="n">
        <f aca="false">F139</f>
        <v>1196.79716709789</v>
      </c>
      <c r="H7" s="14" t="n">
        <f aca="false">G7/G$4-1</f>
        <v>-0.0778314907798384</v>
      </c>
    </row>
    <row r="8" customFormat="false" ht="17.15" hidden="false" customHeight="false" outlineLevel="0" collapsed="false">
      <c r="A8" s="5" t="s">
        <v>780</v>
      </c>
      <c r="B8" s="5" t="s">
        <v>781</v>
      </c>
      <c r="C8" s="17" t="n">
        <f aca="false">E163</f>
        <v>2028.32378116125</v>
      </c>
      <c r="D8" s="11" t="n">
        <f aca="false">E171</f>
        <v>1038.72532233518</v>
      </c>
      <c r="E8" s="14" t="n">
        <f aca="false">D8/D$4-1</f>
        <v>-0.0876783131363329</v>
      </c>
      <c r="F8" s="17" t="n">
        <f aca="false">F163</f>
        <v>2207.12500278443</v>
      </c>
      <c r="G8" s="11" t="n">
        <f aca="false">F171</f>
        <v>1102.72032794642</v>
      </c>
      <c r="H8" s="14" t="n">
        <f aca="false">G8/G$4-1</f>
        <v>-0.15032054815522</v>
      </c>
    </row>
    <row r="9" customFormat="false" ht="17.15" hidden="false" customHeight="false" outlineLevel="0" collapsed="false">
      <c r="A9" s="5" t="s">
        <v>782</v>
      </c>
      <c r="B9" s="5" t="s">
        <v>783</v>
      </c>
      <c r="C9" s="17" t="n">
        <f aca="false">E195</f>
        <v>2133.0314223614</v>
      </c>
      <c r="D9" s="11" t="n">
        <f aca="false">E203</f>
        <v>1113.00157730183</v>
      </c>
      <c r="E9" s="14" t="n">
        <f aca="false">D9/D$4-1</f>
        <v>-0.022440817941021</v>
      </c>
      <c r="F9" s="17" t="n">
        <f aca="false">F195</f>
        <v>2425.14218768477</v>
      </c>
      <c r="G9" s="11" t="n">
        <f aca="false">F203</f>
        <v>1257.37475265852</v>
      </c>
      <c r="H9" s="14" t="n">
        <f aca="false">G9/G$4-1</f>
        <v>-0.0311546241357928</v>
      </c>
    </row>
    <row r="10" customFormat="false" ht="17.15" hidden="false" customHeight="false" outlineLevel="0" collapsed="false">
      <c r="A10" s="5" t="s">
        <v>784</v>
      </c>
      <c r="B10" s="5" t="s">
        <v>785</v>
      </c>
      <c r="C10" s="17" t="n">
        <f aca="false">E227</f>
        <v>2214.67572679853</v>
      </c>
      <c r="D10" s="11" t="n">
        <f aca="false">E235</f>
        <v>1170.91743810663</v>
      </c>
      <c r="E10" s="14" t="n">
        <f aca="false">D10/D$4-1</f>
        <v>0.028427197586715</v>
      </c>
      <c r="F10" s="17" t="n">
        <f aca="false">F227</f>
        <v>2549.21199826737</v>
      </c>
      <c r="G10" s="11" t="n">
        <f aca="false">F235</f>
        <v>1345.38591190984</v>
      </c>
      <c r="H10" s="14" t="n">
        <f aca="false">G10/G$4-1</f>
        <v>0.0366606429393648</v>
      </c>
    </row>
    <row r="11" customFormat="false" ht="17.15" hidden="false" customHeight="false" outlineLevel="0" collapsed="false">
      <c r="A11" s="5" t="s">
        <v>786</v>
      </c>
      <c r="B11" s="0" t="s">
        <v>787</v>
      </c>
      <c r="C11" s="17" t="n">
        <f aca="false">E259</f>
        <v>2169.04943786263</v>
      </c>
      <c r="D11" s="11" t="n">
        <f aca="false">E267</f>
        <v>1186.7168184564</v>
      </c>
      <c r="E11" s="14" t="n">
        <f aca="false">D11/D$4-1</f>
        <v>0.0423039338346547</v>
      </c>
      <c r="F11" s="17" t="n">
        <f aca="false">F259</f>
        <v>2482.1403900367</v>
      </c>
      <c r="G11" s="11" t="n">
        <f aca="false">F267</f>
        <v>1360.4664929521</v>
      </c>
      <c r="H11" s="14" t="n">
        <f aca="false">G11/G$4-1</f>
        <v>0.0482806879396676</v>
      </c>
    </row>
    <row r="12" customFormat="false" ht="17.15" hidden="false" customHeight="false" outlineLevel="0" collapsed="false">
      <c r="A12" s="5" t="s">
        <v>788</v>
      </c>
      <c r="B12" s="5" t="s">
        <v>789</v>
      </c>
      <c r="C12" s="17" t="n">
        <f aca="false">E291</f>
        <v>2169.04943786263</v>
      </c>
      <c r="D12" s="11" t="n">
        <f aca="false">E299</f>
        <v>1099.90728609506</v>
      </c>
      <c r="E12" s="14" t="n">
        <f aca="false">D12/D$4-1</f>
        <v>-0.0339416503412408</v>
      </c>
      <c r="F12" s="17" t="n">
        <f aca="false">F291</f>
        <v>2482.1403900367</v>
      </c>
      <c r="G12" s="11" t="n">
        <f aca="false">F299</f>
        <v>1247.53432727892</v>
      </c>
      <c r="H12" s="14" t="n">
        <f aca="false">G12/G$4-1</f>
        <v>-0.0387369702942449</v>
      </c>
    </row>
    <row r="13" customFormat="false" ht="17.15" hidden="false" customHeight="false" outlineLevel="0" collapsed="false">
      <c r="A13" s="0" t="s">
        <v>790</v>
      </c>
      <c r="B13" s="5" t="s">
        <v>791</v>
      </c>
      <c r="C13" s="17" t="n">
        <f aca="false">E323</f>
        <v>2085.0557361495</v>
      </c>
      <c r="D13" s="11" t="n">
        <f aca="false">E331</f>
        <v>1078.96915845989</v>
      </c>
      <c r="E13" s="14" t="n">
        <f aca="false">D13/D$4-1</f>
        <v>-0.0523317940232562</v>
      </c>
      <c r="F13" s="17" t="n">
        <f aca="false">F323</f>
        <v>2385.4599231237</v>
      </c>
      <c r="G13" s="11" t="n">
        <f aca="false">F331</f>
        <v>1229.22542213775</v>
      </c>
      <c r="H13" s="14" t="n">
        <f aca="false">G13/G$4-1</f>
        <v>-0.0528445369092523</v>
      </c>
    </row>
    <row r="14" customFormat="false" ht="17.15" hidden="false" customHeight="false" outlineLevel="0" collapsed="false">
      <c r="A14" s="0" t="s">
        <v>792</v>
      </c>
      <c r="B14" s="5" t="s">
        <v>793</v>
      </c>
      <c r="C14" s="17" t="n">
        <f aca="false">E355</f>
        <v>2253.04313957576</v>
      </c>
      <c r="D14" s="11" t="n">
        <f aca="false">E363</f>
        <v>1198.13405478512</v>
      </c>
      <c r="E14" s="14" t="n">
        <f aca="false">D14/D$4-1</f>
        <v>0.0523317940232555</v>
      </c>
      <c r="F14" s="17" t="n">
        <f aca="false">F355</f>
        <v>2578.8208569497</v>
      </c>
      <c r="G14" s="11" t="n">
        <f aca="false">F363</f>
        <v>1366.3894901736</v>
      </c>
      <c r="H14" s="14" t="n">
        <f aca="false">G14/G$4-1</f>
        <v>0.0528445369092525</v>
      </c>
    </row>
    <row r="15" customFormat="false" ht="17.15" hidden="false" customHeight="false" outlineLevel="0" collapsed="false">
      <c r="A15" s="5" t="s">
        <v>794</v>
      </c>
      <c r="B15" s="0" t="s">
        <v>795</v>
      </c>
      <c r="C15" s="17" t="n">
        <f aca="false">E387</f>
        <v>2207.44811991839</v>
      </c>
      <c r="D15" s="11" t="n">
        <f aca="false">E395</f>
        <v>1165.79040472803</v>
      </c>
      <c r="E15" s="14" t="n">
        <f aca="false">D15/D$4-1</f>
        <v>0.0239240785811483</v>
      </c>
      <c r="F15" s="17" t="n">
        <f aca="false">F387</f>
        <v>2533.2674399323</v>
      </c>
      <c r="G15" s="11" t="n">
        <f aca="false">F395</f>
        <v>1334.07535169999</v>
      </c>
      <c r="H15" s="14" t="n">
        <f aca="false">G15/G$4-1</f>
        <v>0.0279455133134647</v>
      </c>
    </row>
    <row r="16" customFormat="false" ht="17.15" hidden="false" customHeight="false" outlineLevel="0" collapsed="false">
      <c r="A16" s="5" t="s">
        <v>796</v>
      </c>
      <c r="B16" s="0" t="s">
        <v>797</v>
      </c>
      <c r="C16" s="17" t="n">
        <f aca="false">E419</f>
        <v>2130.65075580687</v>
      </c>
      <c r="D16" s="11" t="n">
        <f aca="false">E427</f>
        <v>1111.31280851697</v>
      </c>
      <c r="E16" s="14" t="n">
        <f aca="false">D16/D$4-1</f>
        <v>-0.0239240785811488</v>
      </c>
      <c r="F16" s="17" t="n">
        <f aca="false">F419</f>
        <v>2431.0133401411</v>
      </c>
      <c r="G16" s="11" t="n">
        <f aca="false">F427</f>
        <v>1261.53956061136</v>
      </c>
      <c r="H16" s="14" t="n">
        <f aca="false">G16/G$4-1</f>
        <v>-0.0279455133134644</v>
      </c>
    </row>
    <row r="17" customFormat="false" ht="17.15" hidden="false" customHeight="false" outlineLevel="0" collapsed="false">
      <c r="A17" s="5" t="s">
        <v>798</v>
      </c>
      <c r="C17" s="17" t="n">
        <f aca="false">E451</f>
        <v>2136.90216029078</v>
      </c>
      <c r="D17" s="11" t="n">
        <f aca="false">E459</f>
        <v>1131.88257189253</v>
      </c>
      <c r="E17" s="14" t="n">
        <f aca="false">D17/D$4-1</f>
        <v>-0.00585747250382063</v>
      </c>
      <c r="F17" s="17" t="n">
        <f aca="false">F451</f>
        <v>2441.18346707825</v>
      </c>
      <c r="G17" s="11" t="n">
        <f aca="false">F459</f>
        <v>1289.31083801959</v>
      </c>
      <c r="H17" s="14" t="n">
        <f aca="false">G17/G$4-1</f>
        <v>-0.00654690192738738</v>
      </c>
    </row>
    <row r="18" customFormat="false" ht="17.15" hidden="false" customHeight="false" outlineLevel="0" collapsed="false">
      <c r="A18" s="5" t="s">
        <v>799</v>
      </c>
      <c r="C18" s="17" t="n">
        <f aca="false">E483</f>
        <v>2201.19671543448</v>
      </c>
      <c r="D18" s="11" t="n">
        <f aca="false">E491</f>
        <v>1145.22064135247</v>
      </c>
      <c r="E18" s="14" t="n">
        <f aca="false">D18/D$4-1</f>
        <v>0.00585747250382029</v>
      </c>
      <c r="F18" s="17" t="n">
        <f aca="false">F483</f>
        <v>2523.09731299515</v>
      </c>
      <c r="G18" s="11" t="n">
        <f aca="false">F491</f>
        <v>1306.30407429176</v>
      </c>
      <c r="H18" s="14" t="n">
        <f aca="false">G18/G$4-1</f>
        <v>0.00654690192738783</v>
      </c>
    </row>
    <row r="19" customFormat="false" ht="17.15" hidden="false" customHeight="false" outlineLevel="0" collapsed="false">
      <c r="A19" s="5" t="s">
        <v>800</v>
      </c>
      <c r="C19" s="17" t="n">
        <f aca="false">E515</f>
        <v>2155.23157639987</v>
      </c>
      <c r="D19" s="11" t="n">
        <f aca="false">E523</f>
        <v>1135.68505601699</v>
      </c>
      <c r="E19" s="14" t="n">
        <f aca="false">D19/D$4-1</f>
        <v>-0.00251771688594304</v>
      </c>
      <c r="F19" s="17" t="n">
        <f aca="false">F515</f>
        <v>2443.92127199505</v>
      </c>
      <c r="G19" s="11" t="n">
        <f aca="false">F523</f>
        <v>1289.87880263287</v>
      </c>
      <c r="H19" s="14" t="n">
        <f aca="false">G19/G$4-1</f>
        <v>-0.00610926796975886</v>
      </c>
    </row>
    <row r="20" customFormat="false" ht="17.15" hidden="false" customHeight="false" outlineLevel="0" collapsed="false">
      <c r="A20" s="5" t="s">
        <v>801</v>
      </c>
      <c r="C20" s="17" t="n">
        <f aca="false">E547</f>
        <v>2182.86729932539</v>
      </c>
      <c r="D20" s="11" t="n">
        <f aca="false">E555</f>
        <v>1141.41815722801</v>
      </c>
      <c r="E20" s="14" t="n">
        <f aca="false">D20/D$4-1</f>
        <v>0.00251771688594293</v>
      </c>
      <c r="F20" s="17" t="n">
        <f aca="false">F547</f>
        <v>2520.35950807835</v>
      </c>
      <c r="G20" s="11" t="n">
        <f aca="false">F555</f>
        <v>1305.73610967848</v>
      </c>
      <c r="H20" s="14" t="n">
        <f aca="false">G20/G$4-1</f>
        <v>0.00610926796975897</v>
      </c>
    </row>
    <row r="21" customFormat="false" ht="17.15" hidden="false" customHeight="false" outlineLevel="0" collapsed="false">
      <c r="A21" s="5" t="s">
        <v>802</v>
      </c>
      <c r="C21" s="17" t="n">
        <f aca="false">E579</f>
        <v>2042.54427533845</v>
      </c>
      <c r="D21" s="11" t="n">
        <f aca="false">E587</f>
        <v>1059.68459550881</v>
      </c>
      <c r="E21" s="14" t="n">
        <f aca="false">D21/D$4-1</f>
        <v>-0.0692695971398705</v>
      </c>
      <c r="F21" s="17" t="n">
        <f aca="false">F579</f>
        <v>2337.17347336759</v>
      </c>
      <c r="G21" s="11" t="n">
        <f aca="false">F587</f>
        <v>1208.82355152729</v>
      </c>
      <c r="H21" s="14" t="n">
        <f aca="false">G21/G$4-1</f>
        <v>-0.0685647968859524</v>
      </c>
    </row>
    <row r="22" customFormat="false" ht="17.15" hidden="false" customHeight="false" outlineLevel="0" collapsed="false">
      <c r="A22" s="5" t="s">
        <v>803</v>
      </c>
      <c r="C22" s="17" t="n">
        <f aca="false">E611</f>
        <v>2295.5546003868</v>
      </c>
      <c r="D22" s="11" t="n">
        <f aca="false">E619</f>
        <v>1217.4186177362</v>
      </c>
      <c r="E22" s="14" t="n">
        <f aca="false">D22/D$4-1</f>
        <v>0.0692695971398702</v>
      </c>
      <c r="F22" s="17" t="n">
        <f aca="false">F611</f>
        <v>2627.10730670581</v>
      </c>
      <c r="G22" s="11" t="n">
        <f aca="false">F619</f>
        <v>1386.79136078406</v>
      </c>
      <c r="H22" s="14" t="n">
        <f aca="false">G22/G$4-1</f>
        <v>0.0685647968859526</v>
      </c>
    </row>
    <row r="23" customFormat="false" ht="17.15" hidden="false" customHeight="false" outlineLevel="0" collapsed="false">
      <c r="A23" s="5" t="s">
        <v>804</v>
      </c>
      <c r="C23" s="17" t="n">
        <f aca="false">E643</f>
        <v>2169.04943786263</v>
      </c>
      <c r="D23" s="11" t="n">
        <f aca="false">E651</f>
        <v>1089.87958695527</v>
      </c>
      <c r="E23" s="14" t="n">
        <f aca="false">D23/D$4-1</f>
        <v>-0.0427490676611615</v>
      </c>
      <c r="F23" s="17" t="n">
        <f aca="false">F643</f>
        <v>2482.1403900367</v>
      </c>
      <c r="G23" s="11" t="n">
        <f aca="false">F651</f>
        <v>1242.32739740132</v>
      </c>
      <c r="H23" s="14" t="n">
        <f aca="false">G23/G$4-1</f>
        <v>-0.0427490676611612</v>
      </c>
    </row>
    <row r="24" customFormat="false" ht="17.15" hidden="false" customHeight="false" outlineLevel="0" collapsed="false">
      <c r="A24" s="5" t="s">
        <v>805</v>
      </c>
      <c r="B24" s="5" t="s">
        <v>806</v>
      </c>
      <c r="C24" s="17" t="n">
        <f aca="false">E675</f>
        <v>2169.04943786263</v>
      </c>
      <c r="D24" s="11" t="n">
        <f aca="false">E683</f>
        <v>1180.91759815879</v>
      </c>
      <c r="E24" s="14" t="n">
        <f aca="false">D24/D$4-1</f>
        <v>0.03721042708109</v>
      </c>
      <c r="F24" s="17" t="n">
        <f aca="false">F675</f>
        <v>2482.1403900367</v>
      </c>
      <c r="G24" s="11" t="n">
        <f aca="false">F683</f>
        <v>1346.09942586825</v>
      </c>
      <c r="H24" s="14" t="n">
        <f aca="false">G24/G$4-1</f>
        <v>0.03721042708109</v>
      </c>
    </row>
    <row r="25" customFormat="false" ht="17.15" hidden="false" customHeight="false" outlineLevel="0" collapsed="false">
      <c r="A25" s="5" t="s">
        <v>807</v>
      </c>
      <c r="B25" s="0" t="s">
        <v>808</v>
      </c>
      <c r="C25" s="17" t="n">
        <f aca="false">PL!E86</f>
        <v>2092.43745509893</v>
      </c>
      <c r="D25" s="11" t="n">
        <f aca="false">PL!E94</f>
        <v>1091.23377630333</v>
      </c>
      <c r="E25" s="14" t="n">
        <f aca="false">D25/D$4-1</f>
        <v>-0.0415596711154312</v>
      </c>
      <c r="F25" s="17" t="n">
        <f aca="false">PL!F86</f>
        <v>2196.60454583425</v>
      </c>
      <c r="G25" s="11" t="n">
        <f aca="false">PL!F94</f>
        <v>1117.46785429604</v>
      </c>
      <c r="H25" s="14" t="n">
        <f aca="false">G25/G$4-1</f>
        <v>-0.138957131895226</v>
      </c>
    </row>
    <row r="26" customFormat="false" ht="17.15" hidden="false" customHeight="false" outlineLevel="0" collapsed="false">
      <c r="A26" s="5" t="s">
        <v>809</v>
      </c>
      <c r="B26" s="0" t="s">
        <v>810</v>
      </c>
      <c r="C26" s="17" t="n">
        <f aca="false">PL!E115</f>
        <v>1992.79316468082</v>
      </c>
      <c r="D26" s="11" t="n">
        <f aca="false">PL!E123</f>
        <v>1039.137835013</v>
      </c>
      <c r="E26" s="14" t="n">
        <f aca="false">D26/D$4-1</f>
        <v>-0.0873159995833781</v>
      </c>
      <c r="F26" s="17" t="n">
        <f aca="false">PL!F115</f>
        <v>1700.07578378049</v>
      </c>
      <c r="G26" s="11" t="n">
        <f aca="false">PL!F123</f>
        <v>810.568205304863</v>
      </c>
      <c r="H26" s="14" t="n">
        <f aca="false">G26/G$4-1</f>
        <v>-0.375432617943263</v>
      </c>
    </row>
    <row r="28" customFormat="false" ht="17.15" hidden="false" customHeight="false" outlineLevel="0" collapsed="false">
      <c r="A28" s="5" t="s">
        <v>811</v>
      </c>
    </row>
    <row r="50" customFormat="false" ht="17.15" hidden="false" customHeight="false" outlineLevel="0" collapsed="false">
      <c r="A50" s="4" t="s">
        <v>812</v>
      </c>
    </row>
    <row r="51" customFormat="false" ht="17.15" hidden="false" customHeight="false" outlineLevel="0" collapsed="false">
      <c r="A51" s="6" t="s">
        <v>16</v>
      </c>
      <c r="B51" s="6" t="s">
        <v>17</v>
      </c>
      <c r="C51" s="9" t="s">
        <v>567</v>
      </c>
      <c r="D51" s="9" t="s">
        <v>568</v>
      </c>
      <c r="E51" s="9" t="s">
        <v>569</v>
      </c>
      <c r="F51" s="9" t="s">
        <v>570</v>
      </c>
      <c r="G51" s="9" t="s">
        <v>571</v>
      </c>
      <c r="H51" s="6" t="s">
        <v>508</v>
      </c>
    </row>
    <row r="52" customFormat="false" ht="17.15" hidden="false" customHeight="false" outlineLevel="0" collapsed="false">
      <c r="A52" s="1" t="s">
        <v>572</v>
      </c>
    </row>
    <row r="53" customFormat="false" ht="17.15" hidden="false" customHeight="false" outlineLevel="0" collapsed="false">
      <c r="A53" s="5" t="s">
        <v>573</v>
      </c>
      <c r="B53" s="5" t="s">
        <v>27</v>
      </c>
      <c r="C53" s="15" t="n">
        <f aca="false">u_bw_26*tt_bw+u_rb_26*tt_rb+u_ru_26*tt_ru+u_hp_26*tt_hp+u_amd_26*tt_amd+u_tpu_26*tt_tpu+u_trn_26*tt_trn+u_oth_26*tt_oth</f>
        <v>14.885</v>
      </c>
      <c r="D53" s="15" t="n">
        <f aca="false">u_bw_27*tt_bw+u_rb_27*tt_rb+u_ru_27*tt_ru+u_hp_27*tt_hp+u_amd_27*tt_amd+u_tpu_27*tt_tpu+u_trn_27*tt_trn+u_oth_27*tt_oth</f>
        <v>24.31</v>
      </c>
      <c r="E53" s="15" t="n">
        <f aca="false">u_bw_28*um28_A*tt_bw+u_rb_28*um28_A*tt_rb+u_ru_28*um28_A*tt_ru+u_hp_28*um28_A*tt_hp+u_amd_28*um28_A*tt_amd+u_tpu_28*um28_A*tt_tpu+u_trn_28*um28_A*tt_trn+u_oth_28*um28_A*tt_oth</f>
        <v>28.1</v>
      </c>
      <c r="F5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" s="15" t="n">
        <f aca="false">F53*(1+cy30g)</f>
        <v>31.99</v>
      </c>
      <c r="H53" s="8" t="s">
        <v>574</v>
      </c>
    </row>
    <row r="54" customFormat="false" ht="17.15" hidden="false" customHeight="false" outlineLevel="0" collapsed="false">
      <c r="A54" s="5" t="s">
        <v>575</v>
      </c>
      <c r="B54" s="0" t="s">
        <v>576</v>
      </c>
      <c r="C54" s="18" t="n">
        <f aca="false">(mk_soc26-nonai26)/C53</f>
        <v>0.450117568021498</v>
      </c>
      <c r="H54" s="5" t="s">
        <v>577</v>
      </c>
    </row>
    <row r="55" customFormat="false" ht="17.15" hidden="false" customHeight="false" outlineLevel="0" collapsed="false">
      <c r="A55" s="0" t="s">
        <v>578</v>
      </c>
      <c r="B55" s="0" t="s">
        <v>148</v>
      </c>
      <c r="C55" s="15" t="n">
        <f aca="false">$C$54*C53*(1-0)^0</f>
        <v>6.7</v>
      </c>
      <c r="D55" s="15" t="n">
        <f aca="false">$C$54*D53*(1-0)^1</f>
        <v>10.9423580786026</v>
      </c>
      <c r="E55" s="15" t="n">
        <f aca="false">$C$54*E53*(1-0)^2</f>
        <v>12.6483036614041</v>
      </c>
      <c r="F55" s="15" t="n">
        <f aca="false">$C$54*F53*(1-0)^3</f>
        <v>14.3992610010077</v>
      </c>
      <c r="G55" s="15" t="n">
        <f aca="false">$C$54*G53*(1-0)^4</f>
        <v>14.3992610010077</v>
      </c>
    </row>
    <row r="56" customFormat="false" ht="17.15" hidden="false" customHeight="false" outlineLevel="0" collapsed="false">
      <c r="A56" s="5" t="s">
        <v>579</v>
      </c>
      <c r="B56" s="0" t="s">
        <v>148</v>
      </c>
      <c r="C56" s="15" t="n">
        <f aca="false">nonai26*(1+g_nonai)^0</f>
        <v>4.3</v>
      </c>
      <c r="D56" s="15" t="n">
        <f aca="false">nonai26*(1+g_nonai)^1</f>
        <v>4.472</v>
      </c>
      <c r="E56" s="15" t="n">
        <f aca="false">nonai26*(1+g_nonai)^2</f>
        <v>4.65088</v>
      </c>
      <c r="F56" s="15" t="n">
        <f aca="false">nonai26*(1+g_nonai)^3</f>
        <v>4.8369152</v>
      </c>
      <c r="G56" s="15" t="n">
        <f aca="false">nonai26*(1+g_nonai)^4</f>
        <v>5.030391808</v>
      </c>
    </row>
    <row r="57" customFormat="false" ht="17.15" hidden="false" customHeight="false" outlineLevel="0" collapsed="false">
      <c r="A57" s="0" t="s">
        <v>580</v>
      </c>
      <c r="B57" s="0" t="s">
        <v>148</v>
      </c>
      <c r="C57" s="15" t="n">
        <f aca="false">C55+C56</f>
        <v>11</v>
      </c>
      <c r="D57" s="15" t="n">
        <f aca="false">D55+D56</f>
        <v>15.4143580786026</v>
      </c>
      <c r="E57" s="15" t="n">
        <f aca="false">E55+E56</f>
        <v>17.2991836614041</v>
      </c>
      <c r="F57" s="15" t="n">
        <f aca="false">F55+F56</f>
        <v>19.2361762010077</v>
      </c>
      <c r="G57" s="15" t="n">
        <f aca="false">G55+G56</f>
        <v>19.4296528090077</v>
      </c>
      <c r="H57" s="8" t="s">
        <v>581</v>
      </c>
    </row>
    <row r="58" customFormat="false" ht="17.15" hidden="false" customHeight="false" outlineLevel="0" collapsed="false">
      <c r="A58" s="5" t="s">
        <v>582</v>
      </c>
      <c r="B58" s="0" t="s">
        <v>148</v>
      </c>
      <c r="C58" s="15" t="n">
        <f aca="false">mk_mem26*(w_hbm*hsA_26/hsA_26+(1-w_hbm)*drA_26/drA_26)</f>
        <v>2.75</v>
      </c>
      <c r="D58" s="15" t="n">
        <f aca="false">mk_mem26*(w_hbm*hsA_27/hsA_26+(1-w_hbm)*drA_27/drA_26)</f>
        <v>3.99150647980462</v>
      </c>
      <c r="E58" s="15" t="n">
        <f aca="false">mk_mem26*(w_hbm*hsA_28/hsA_26+(1-w_hbm)*drA_28/drA_26)</f>
        <v>5.17069526557172</v>
      </c>
      <c r="F58" s="15" t="n">
        <f aca="false">mk_mem26*(w_hbm*hsA_29/hsA_26+(1-w_hbm)*drA_29/drA_26)</f>
        <v>6.33160644779016</v>
      </c>
      <c r="G58" s="15" t="n">
        <f aca="false">F58*(1+cy30g)</f>
        <v>6.33160644779016</v>
      </c>
      <c r="H58" s="8" t="s">
        <v>583</v>
      </c>
    </row>
    <row r="59" customFormat="false" ht="17.15" hidden="false" customHeight="false" outlineLevel="0" collapsed="false">
      <c r="A59" s="1" t="s">
        <v>584</v>
      </c>
    </row>
    <row r="60" customFormat="false" ht="17.15" hidden="false" customHeight="false" outlineLevel="0" collapsed="false">
      <c r="A60" s="0" t="s">
        <v>585</v>
      </c>
      <c r="B60" s="0" t="s">
        <v>148</v>
      </c>
      <c r="C60" s="15" t="n">
        <f aca="false">fmk_soc25</f>
        <v>7.925</v>
      </c>
      <c r="D60" s="15" t="n">
        <f aca="false">0.75*C57+0.25*D57</f>
        <v>12.1035895196507</v>
      </c>
      <c r="E60" s="15" t="n">
        <f aca="false">0.75*D57+0.25*E57</f>
        <v>15.885564474303</v>
      </c>
      <c r="F60" s="15" t="n">
        <f aca="false">0.75*E57+0.25*F57</f>
        <v>17.783431796305</v>
      </c>
      <c r="G60" s="15" t="n">
        <f aca="false">0.75*F57+0.25*G57</f>
        <v>19.2845453530077</v>
      </c>
    </row>
    <row r="61" customFormat="false" ht="17.15" hidden="false" customHeight="false" outlineLevel="0" collapsed="false">
      <c r="A61" s="5" t="s">
        <v>586</v>
      </c>
      <c r="B61" s="0" t="s">
        <v>148</v>
      </c>
      <c r="C61" s="15" t="n">
        <f aca="false">fmk_mem25</f>
        <v>2.2625</v>
      </c>
      <c r="D61" s="15" t="n">
        <f aca="false">0.75*C58+0.25*D58</f>
        <v>3.06037661995115</v>
      </c>
      <c r="E61" s="15" t="n">
        <f aca="false">0.75*D58+0.25*E58</f>
        <v>4.28630367624639</v>
      </c>
      <c r="F61" s="15" t="n">
        <f aca="false">0.75*E58+0.25*F58</f>
        <v>5.46092306112633</v>
      </c>
      <c r="G61" s="15" t="n">
        <f aca="false">0.75*F58+0.25*G58</f>
        <v>6.33160644779016</v>
      </c>
    </row>
    <row r="62" customFormat="false" ht="17.15" hidden="false" customHeight="false" outlineLevel="0" collapsed="false">
      <c r="A62" s="0" t="s">
        <v>587</v>
      </c>
      <c r="B62" s="0" t="s">
        <v>38</v>
      </c>
      <c r="C62" s="14" t="n">
        <f aca="false">a25_soc/(C60*fx)</f>
        <v>0.645552050473186</v>
      </c>
      <c r="D62" s="14" t="n">
        <f aca="false">sh_soc_lo</f>
        <v>0.61</v>
      </c>
      <c r="E62" s="14" t="n">
        <f aca="false">sh_soc_lo</f>
        <v>0.61</v>
      </c>
      <c r="F62" s="14" t="n">
        <f aca="false">sh_soc_lo</f>
        <v>0.61</v>
      </c>
      <c r="G62" s="14" t="n">
        <f aca="false">sh_soc_lo</f>
        <v>0.61</v>
      </c>
      <c r="H62" s="8" t="s">
        <v>588</v>
      </c>
    </row>
    <row r="63" customFormat="false" ht="17.15" hidden="false" customHeight="false" outlineLevel="0" collapsed="false">
      <c r="A63" s="0" t="s">
        <v>589</v>
      </c>
      <c r="B63" s="0" t="s">
        <v>347</v>
      </c>
      <c r="C63" s="11" t="n">
        <f aca="false">a25_soc</f>
        <v>767.4</v>
      </c>
      <c r="D63" s="11" t="n">
        <f aca="false">D60*D62*fx</f>
        <v>1107.47844104803</v>
      </c>
      <c r="E63" s="11" t="n">
        <f aca="false">E60*E62*fx</f>
        <v>1453.52914939872</v>
      </c>
      <c r="F63" s="11" t="n">
        <f aca="false">F60*F62*fx</f>
        <v>1627.18400936191</v>
      </c>
      <c r="G63" s="11" t="n">
        <f aca="false">G60*G62*fx</f>
        <v>1764.53589980021</v>
      </c>
      <c r="H63" s="5" t="s">
        <v>590</v>
      </c>
    </row>
    <row r="64" customFormat="false" ht="15" hidden="false" customHeight="false" outlineLevel="0" collapsed="false">
      <c r="A64" s="5" t="s">
        <v>591</v>
      </c>
      <c r="B64" s="0" t="s">
        <v>347</v>
      </c>
      <c r="C64" s="11" t="n">
        <f aca="false">a25_mem</f>
        <v>171.5</v>
      </c>
      <c r="D64" s="11" t="n">
        <f aca="false">D61*sh_mem*fx</f>
        <v>231.979929423922</v>
      </c>
      <c r="E64" s="11" t="n">
        <f aca="false">E61*sh_mem*fx</f>
        <v>324.906554906633</v>
      </c>
      <c r="F64" s="11" t="n">
        <f aca="false">F61*sh_mem*fx</f>
        <v>413.944002202504</v>
      </c>
      <c r="G64" s="11" t="n">
        <f aca="false">G61*sh_mem*fx</f>
        <v>479.942764992713</v>
      </c>
    </row>
    <row r="65" customFormat="false" ht="15" hidden="false" customHeight="false" outlineLevel="0" collapsed="false">
      <c r="A65" s="5" t="s">
        <v>592</v>
      </c>
      <c r="B65" s="0" t="s">
        <v>347</v>
      </c>
      <c r="C65" s="11" t="n">
        <f aca="false">a25_oth</f>
        <v>80.5</v>
      </c>
      <c r="D65" s="11" t="n">
        <f aca="false">C65*(1+g_oth_26)</f>
        <v>104</v>
      </c>
      <c r="E65" s="11" t="n">
        <f aca="false">D65*(1+g_oth_A)</f>
        <v>119.6</v>
      </c>
      <c r="F65" s="11" t="n">
        <f aca="false">E65*(1+g_oth_A)</f>
        <v>137.54</v>
      </c>
      <c r="G65" s="11" t="n">
        <f aca="false">F65*(1+g_oth_A)</f>
        <v>158.171</v>
      </c>
    </row>
    <row r="66" customFormat="false" ht="15" hidden="false" customHeight="false" outlineLevel="0" collapsed="false">
      <c r="A66" s="5" t="s">
        <v>593</v>
      </c>
      <c r="B66" s="0" t="s">
        <v>347</v>
      </c>
      <c r="C66" s="11" t="n">
        <f aca="false">a25_svc</f>
        <v>109.2</v>
      </c>
      <c r="D66" s="11" t="n">
        <f aca="false">C66*(1+g_svc_26)</f>
        <v>135.6</v>
      </c>
      <c r="E66" s="11" t="n">
        <f aca="false">D66*(1+g_svc_A)</f>
        <v>151.872</v>
      </c>
      <c r="F66" s="11" t="n">
        <f aca="false">E66*(1+g_svc_A)</f>
        <v>170.09664</v>
      </c>
      <c r="G66" s="11" t="n">
        <f aca="false">F66*(1+g_svc_A)</f>
        <v>190.5082368</v>
      </c>
    </row>
    <row r="67" customFormat="false" ht="15" hidden="false" customHeight="false" outlineLevel="0" collapsed="false">
      <c r="A67" s="5" t="s">
        <v>459</v>
      </c>
      <c r="B67" s="0" t="s">
        <v>347</v>
      </c>
      <c r="C67" s="11" t="n">
        <f aca="false">C63+C64+C65+C66</f>
        <v>1128.6</v>
      </c>
      <c r="D67" s="11" t="n">
        <f aca="false">D63+D64+D65+D66</f>
        <v>1579.05837047196</v>
      </c>
      <c r="E67" s="11" t="n">
        <f aca="false">E63+E64+E65+E66</f>
        <v>2049.90770430536</v>
      </c>
      <c r="F67" s="11" t="n">
        <f aca="false">F63+F64+F65+F66</f>
        <v>2348.76465156441</v>
      </c>
      <c r="G67" s="11" t="n">
        <f aca="false">G63+G64+G65+G66</f>
        <v>2593.15790159292</v>
      </c>
    </row>
    <row r="68" customFormat="false" ht="17.15" hidden="false" customHeight="false" outlineLevel="0" collapsed="false">
      <c r="A68" s="0" t="s">
        <v>594</v>
      </c>
      <c r="B68" s="0" t="s">
        <v>38</v>
      </c>
      <c r="C68" s="14" t="n">
        <f aca="false">C63/C67</f>
        <v>0.679957469431154</v>
      </c>
      <c r="D68" s="14" t="n">
        <f aca="false">D63/D67</f>
        <v>0.70135370658719</v>
      </c>
      <c r="E68" s="14" t="n">
        <f aca="false">E63/E67</f>
        <v>0.709070533442029</v>
      </c>
      <c r="F68" s="14" t="n">
        <f aca="false">F63/F67</f>
        <v>0.692782909636396</v>
      </c>
      <c r="G68" s="14" t="n">
        <f aca="false">G63/G67</f>
        <v>0.680458331795488</v>
      </c>
    </row>
    <row r="69" customFormat="false" ht="17.15" hidden="false" customHeight="false" outlineLevel="0" collapsed="false">
      <c r="A69" s="5" t="s">
        <v>463</v>
      </c>
      <c r="B69" s="0" t="s">
        <v>38</v>
      </c>
      <c r="C69" s="14" t="n">
        <f aca="false">a25_gp/a25_rev</f>
        <v>0.643</v>
      </c>
      <c r="D69" s="14" t="n">
        <f aca="false">gm_a+gm_b*D68+0</f>
        <v>0.653336699054191</v>
      </c>
      <c r="E69" s="14" t="n">
        <f aca="false">gm_a+gm_b*E68+0</f>
        <v>0.657064761903283</v>
      </c>
      <c r="F69" s="14" t="n">
        <f aca="false">gm_a+gm_b*F68+0</f>
        <v>0.649196076191916</v>
      </c>
      <c r="G69" s="14" t="n">
        <f aca="false">gm_a+gm_b*G68+0</f>
        <v>0.643241970748872</v>
      </c>
      <c r="H69" s="5" t="s">
        <v>595</v>
      </c>
    </row>
    <row r="70" customFormat="false" ht="15" hidden="false" customHeight="false" outlineLevel="0" collapsed="false">
      <c r="A70" s="5" t="s">
        <v>467</v>
      </c>
      <c r="B70" s="0" t="s">
        <v>347</v>
      </c>
      <c r="C70" s="11" t="n">
        <f aca="false">C67*C69</f>
        <v>725.6898</v>
      </c>
      <c r="D70" s="11" t="n">
        <f aca="false">D67*D69</f>
        <v>1031.65678337804</v>
      </c>
      <c r="E70" s="11" t="n">
        <f aca="false">E67*E69</f>
        <v>1346.9221176531</v>
      </c>
      <c r="F70" s="11" t="n">
        <f aca="false">F67*F69</f>
        <v>1524.80879569389</v>
      </c>
      <c r="G70" s="11" t="n">
        <f aca="false">G67*G69</f>
        <v>1668.02799908364</v>
      </c>
    </row>
    <row r="71" customFormat="false" ht="17.15" hidden="false" customHeight="false" outlineLevel="0" collapsed="false">
      <c r="A71" s="5" t="s">
        <v>596</v>
      </c>
      <c r="B71" s="0" t="s">
        <v>347</v>
      </c>
      <c r="C71" s="11" t="n">
        <f aca="false">opex25</f>
        <v>226.5898</v>
      </c>
      <c r="D71" s="11" t="n">
        <f aca="false">opex_fix+opex_var*D67</f>
        <v>278.31494819747</v>
      </c>
      <c r="E71" s="11" t="n">
        <f aca="false">opex_fix+opex_var*E67</f>
        <v>332.381546062431</v>
      </c>
      <c r="F71" s="11" t="n">
        <f aca="false">opex_fix+opex_var*F67</f>
        <v>366.698634832747</v>
      </c>
      <c r="G71" s="11" t="n">
        <f aca="false">opex_fix+opex_var*G67</f>
        <v>394.761776523158</v>
      </c>
      <c r="H71" s="5" t="s">
        <v>597</v>
      </c>
    </row>
    <row r="72" customFormat="false" ht="15" hidden="false" customHeight="false" outlineLevel="0" collapsed="false">
      <c r="A72" s="5" t="s">
        <v>470</v>
      </c>
      <c r="B72" s="0" t="s">
        <v>347</v>
      </c>
      <c r="C72" s="11" t="n">
        <f aca="false">C70-C71</f>
        <v>499.1</v>
      </c>
      <c r="D72" s="11" t="n">
        <f aca="false">D70-D71</f>
        <v>753.341835180568</v>
      </c>
      <c r="E72" s="11" t="n">
        <f aca="false">E70-E71</f>
        <v>1014.54057159067</v>
      </c>
      <c r="F72" s="11" t="n">
        <f aca="false">F70-F71</f>
        <v>1158.11016086114</v>
      </c>
      <c r="G72" s="11" t="n">
        <f aca="false">G70-G71</f>
        <v>1273.26622256048</v>
      </c>
    </row>
    <row r="73" customFormat="false" ht="15" hidden="false" customHeight="false" outlineLevel="0" collapsed="false">
      <c r="A73" s="5" t="s">
        <v>473</v>
      </c>
      <c r="B73" s="0" t="s">
        <v>38</v>
      </c>
      <c r="C73" s="14" t="n">
        <f aca="false">C72/C67</f>
        <v>0.442229310650363</v>
      </c>
      <c r="D73" s="14" t="n">
        <f aca="false">D72/D67</f>
        <v>0.477082956062863</v>
      </c>
      <c r="E73" s="14" t="n">
        <f aca="false">E72/E67</f>
        <v>0.494920122237633</v>
      </c>
      <c r="F73" s="14" t="n">
        <f aca="false">F72/F67</f>
        <v>0.493072032606491</v>
      </c>
      <c r="G73" s="14" t="n">
        <f aca="false">G72/G67</f>
        <v>0.491009907949818</v>
      </c>
    </row>
    <row r="74" customFormat="false" ht="15" hidden="false" customHeight="false" outlineLevel="0" collapsed="false">
      <c r="A74" s="5" t="s">
        <v>493</v>
      </c>
      <c r="B74" s="0" t="s">
        <v>347</v>
      </c>
      <c r="C74" s="11" t="n">
        <f aca="false">a25_ni</f>
        <v>375.4</v>
      </c>
      <c r="D74" s="11" t="n">
        <f aca="false">D72*nioi</f>
        <v>566.628982021209</v>
      </c>
      <c r="E74" s="11" t="n">
        <f aca="false">E72*nioi</f>
        <v>763.09062427397</v>
      </c>
      <c r="F74" s="11" t="n">
        <f aca="false">F72*nioi</f>
        <v>871.077047459973</v>
      </c>
      <c r="G74" s="11" t="n">
        <f aca="false">G72*nioi</f>
        <v>957.692125724714</v>
      </c>
    </row>
    <row r="75" customFormat="false" ht="15" hidden="false" customHeight="false" outlineLevel="0" collapsed="false">
      <c r="A75" s="0" t="s">
        <v>562</v>
      </c>
      <c r="B75" s="0" t="s">
        <v>396</v>
      </c>
      <c r="C75" s="11" t="n">
        <f aca="false">a25_eps</f>
        <v>515.15</v>
      </c>
      <c r="D75" s="11" t="n">
        <f aca="false">D74*1000/shares</f>
        <v>782.669159348204</v>
      </c>
      <c r="E75" s="11" t="n">
        <f aca="false">E74*1000/shares</f>
        <v>1054.03626774716</v>
      </c>
      <c r="F75" s="11" t="n">
        <f aca="false">F74*1000/shares</f>
        <v>1203.19496900971</v>
      </c>
      <c r="G75" s="11" t="n">
        <f aca="false">G74*1000/shares</f>
        <v>1322.83401438739</v>
      </c>
    </row>
    <row r="76" customFormat="false" ht="17.15" hidden="false" customHeight="false" outlineLevel="0" collapsed="false">
      <c r="A76" s="5" t="s">
        <v>598</v>
      </c>
      <c r="B76" s="0" t="s">
        <v>148</v>
      </c>
      <c r="C76" s="12" t="n">
        <f aca="false">C67/fx</f>
        <v>7.524</v>
      </c>
      <c r="D76" s="12" t="n">
        <f aca="false">D67/fx</f>
        <v>10.5270558031464</v>
      </c>
      <c r="E76" s="12" t="n">
        <f aca="false">E67/fx</f>
        <v>13.6660513620357</v>
      </c>
      <c r="F76" s="12" t="n">
        <f aca="false">F67/fx</f>
        <v>15.6584310104294</v>
      </c>
      <c r="G76" s="12" t="n">
        <f aca="false">G67/fx</f>
        <v>17.2877193439528</v>
      </c>
      <c r="H76" s="8" t="s">
        <v>599</v>
      </c>
    </row>
    <row r="82" customFormat="false" ht="17.15" hidden="false" customHeight="false" outlineLevel="0" collapsed="false">
      <c r="A82" s="4" t="s">
        <v>813</v>
      </c>
    </row>
    <row r="83" customFormat="false" ht="17.15" hidden="false" customHeight="false" outlineLevel="0" collapsed="false">
      <c r="A83" s="6" t="s">
        <v>16</v>
      </c>
      <c r="B83" s="6" t="s">
        <v>17</v>
      </c>
      <c r="C83" s="9" t="s">
        <v>567</v>
      </c>
      <c r="D83" s="9" t="s">
        <v>568</v>
      </c>
      <c r="E83" s="9" t="s">
        <v>569</v>
      </c>
      <c r="F83" s="9" t="s">
        <v>570</v>
      </c>
      <c r="G83" s="9" t="s">
        <v>571</v>
      </c>
      <c r="H83" s="6" t="s">
        <v>508</v>
      </c>
    </row>
    <row r="84" customFormat="false" ht="17.15" hidden="false" customHeight="false" outlineLevel="0" collapsed="false">
      <c r="A84" s="1" t="s">
        <v>572</v>
      </c>
    </row>
    <row r="85" customFormat="false" ht="17.15" hidden="false" customHeight="false" outlineLevel="0" collapsed="false">
      <c r="A85" s="5" t="s">
        <v>573</v>
      </c>
      <c r="B85" s="5" t="s">
        <v>27</v>
      </c>
      <c r="C85" s="15" t="n">
        <f aca="false">u_bw_26*tt_bw+u_rb_26*tt_rb+u_ru_26*tt_ru+u_hp_26*tt_hp+u_amd_26*tt_amd+u_tpu_26*tt_tpu+u_trn_26*tt_trn+u_oth_26*tt_oth</f>
        <v>14.885</v>
      </c>
      <c r="D85" s="15" t="n">
        <f aca="false">u_bw_27*tt_bw+u_rb_27*tt_rb+u_ru_27*tt_ru+u_hp_27*tt_hp+u_amd_27*tt_amd+u_tpu_27*tt_tpu+u_trn_27*tt_trn+u_oth_27*tt_oth</f>
        <v>24.31</v>
      </c>
      <c r="E85" s="15" t="n">
        <f aca="false">u_bw_28*um28_A*tt_bw+u_rb_28*um28_A*tt_rb+u_ru_28*um28_A*tt_ru+u_hp_28*um28_A*tt_hp+u_amd_28*um28_A*tt_amd+u_tpu_28*um28_A*tt_tpu+u_trn_28*um28_A*tt_trn+u_oth_28*um28_A*tt_oth</f>
        <v>28.1</v>
      </c>
      <c r="F8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85" s="15" t="n">
        <f aca="false">F85*(1+cy30g)</f>
        <v>31.99</v>
      </c>
      <c r="H85" s="8" t="s">
        <v>574</v>
      </c>
    </row>
    <row r="86" customFormat="false" ht="17.15" hidden="false" customHeight="false" outlineLevel="0" collapsed="false">
      <c r="A86" s="5" t="s">
        <v>575</v>
      </c>
      <c r="B86" s="0" t="s">
        <v>576</v>
      </c>
      <c r="C86" s="18" t="n">
        <f aca="false">(mk_soc26-nonai26)/C85</f>
        <v>0.450117568021498</v>
      </c>
      <c r="H86" s="5" t="s">
        <v>577</v>
      </c>
    </row>
    <row r="87" customFormat="false" ht="17.15" hidden="false" customHeight="false" outlineLevel="0" collapsed="false">
      <c r="A87" s="0" t="s">
        <v>578</v>
      </c>
      <c r="B87" s="0" t="s">
        <v>148</v>
      </c>
      <c r="C87" s="15" t="n">
        <f aca="false">$C$86*C85*(1-0)^0</f>
        <v>6.7</v>
      </c>
      <c r="D87" s="15" t="n">
        <f aca="false">$C$86*D85*(1-0)^1</f>
        <v>10.9423580786026</v>
      </c>
      <c r="E87" s="15" t="n">
        <f aca="false">$C$86*E85*(1-0)^2</f>
        <v>12.6483036614041</v>
      </c>
      <c r="F87" s="15" t="n">
        <f aca="false">$C$86*F85*(1-0)^3</f>
        <v>14.3992610010077</v>
      </c>
      <c r="G87" s="15" t="n">
        <f aca="false">$C$86*G85*(1-0)^4</f>
        <v>14.3992610010077</v>
      </c>
    </row>
    <row r="88" customFormat="false" ht="17.15" hidden="false" customHeight="false" outlineLevel="0" collapsed="false">
      <c r="A88" s="5" t="s">
        <v>579</v>
      </c>
      <c r="B88" s="0" t="s">
        <v>148</v>
      </c>
      <c r="C88" s="15" t="n">
        <f aca="false">nonai26*(1+g_nonai)^0</f>
        <v>4.3</v>
      </c>
      <c r="D88" s="15" t="n">
        <f aca="false">nonai26*(1+g_nonai)^1</f>
        <v>4.472</v>
      </c>
      <c r="E88" s="15" t="n">
        <f aca="false">nonai26*(1+g_nonai)^2</f>
        <v>4.65088</v>
      </c>
      <c r="F88" s="15" t="n">
        <f aca="false">nonai26*(1+g_nonai)^3</f>
        <v>4.8369152</v>
      </c>
      <c r="G88" s="15" t="n">
        <f aca="false">nonai26*(1+g_nonai)^4</f>
        <v>5.030391808</v>
      </c>
    </row>
    <row r="89" customFormat="false" ht="17.15" hidden="false" customHeight="false" outlineLevel="0" collapsed="false">
      <c r="A89" s="0" t="s">
        <v>580</v>
      </c>
      <c r="B89" s="0" t="s">
        <v>148</v>
      </c>
      <c r="C89" s="15" t="n">
        <f aca="false">C87+C88</f>
        <v>11</v>
      </c>
      <c r="D89" s="15" t="n">
        <f aca="false">D87+D88</f>
        <v>15.4143580786026</v>
      </c>
      <c r="E89" s="15" t="n">
        <f aca="false">E87+E88</f>
        <v>17.2991836614041</v>
      </c>
      <c r="F89" s="15" t="n">
        <f aca="false">F87+F88</f>
        <v>19.2361762010077</v>
      </c>
      <c r="G89" s="15" t="n">
        <f aca="false">G87+G88</f>
        <v>19.4296528090077</v>
      </c>
      <c r="H89" s="8" t="s">
        <v>581</v>
      </c>
    </row>
    <row r="90" customFormat="false" ht="17.15" hidden="false" customHeight="false" outlineLevel="0" collapsed="false">
      <c r="A90" s="5" t="s">
        <v>582</v>
      </c>
      <c r="B90" s="0" t="s">
        <v>148</v>
      </c>
      <c r="C90" s="15" t="n">
        <f aca="false">mk_mem26*(w_hbm*hsA_26/hsA_26+(1-w_hbm)*drA_26/drA_26)</f>
        <v>2.75</v>
      </c>
      <c r="D90" s="15" t="n">
        <f aca="false">mk_mem26*(w_hbm*hsA_27/hsA_26+(1-w_hbm)*drA_27/drA_26)</f>
        <v>3.99150647980462</v>
      </c>
      <c r="E90" s="15" t="n">
        <f aca="false">mk_mem26*(w_hbm*hsA_28/hsA_26+(1-w_hbm)*drA_28/drA_26)</f>
        <v>5.17069526557172</v>
      </c>
      <c r="F90" s="15" t="n">
        <f aca="false">mk_mem26*(w_hbm*hsA_29/hsA_26+(1-w_hbm)*drA_29/drA_26)</f>
        <v>6.33160644779016</v>
      </c>
      <c r="G90" s="15" t="n">
        <f aca="false">F90*(1+cy30g)</f>
        <v>6.33160644779016</v>
      </c>
      <c r="H90" s="8" t="s">
        <v>583</v>
      </c>
    </row>
    <row r="91" customFormat="false" ht="17.15" hidden="false" customHeight="false" outlineLevel="0" collapsed="false">
      <c r="A91" s="1" t="s">
        <v>584</v>
      </c>
    </row>
    <row r="92" customFormat="false" ht="17.15" hidden="false" customHeight="false" outlineLevel="0" collapsed="false">
      <c r="A92" s="0" t="s">
        <v>585</v>
      </c>
      <c r="B92" s="0" t="s">
        <v>148</v>
      </c>
      <c r="C92" s="15" t="n">
        <f aca="false">fmk_soc25</f>
        <v>7.925</v>
      </c>
      <c r="D92" s="15" t="n">
        <f aca="false">0.75*C89+0.25*D89</f>
        <v>12.1035895196507</v>
      </c>
      <c r="E92" s="15" t="n">
        <f aca="false">0.75*D89+0.25*E89</f>
        <v>15.885564474303</v>
      </c>
      <c r="F92" s="15" t="n">
        <f aca="false">0.75*E89+0.25*F89</f>
        <v>17.783431796305</v>
      </c>
      <c r="G92" s="15" t="n">
        <f aca="false">0.75*F89+0.25*G89</f>
        <v>19.2845453530077</v>
      </c>
    </row>
    <row r="93" customFormat="false" ht="17.15" hidden="false" customHeight="false" outlineLevel="0" collapsed="false">
      <c r="A93" s="5" t="s">
        <v>586</v>
      </c>
      <c r="B93" s="0" t="s">
        <v>148</v>
      </c>
      <c r="C93" s="15" t="n">
        <f aca="false">fmk_mem25</f>
        <v>2.2625</v>
      </c>
      <c r="D93" s="15" t="n">
        <f aca="false">0.75*C90+0.25*D90</f>
        <v>3.06037661995115</v>
      </c>
      <c r="E93" s="15" t="n">
        <f aca="false">0.75*D90+0.25*E90</f>
        <v>4.28630367624639</v>
      </c>
      <c r="F93" s="15" t="n">
        <f aca="false">0.75*E90+0.25*F90</f>
        <v>5.46092306112633</v>
      </c>
      <c r="G93" s="15" t="n">
        <f aca="false">0.75*F90+0.25*G90</f>
        <v>6.33160644779016</v>
      </c>
    </row>
    <row r="94" customFormat="false" ht="17.15" hidden="false" customHeight="false" outlineLevel="0" collapsed="false">
      <c r="A94" s="0" t="s">
        <v>587</v>
      </c>
      <c r="B94" s="0" t="s">
        <v>38</v>
      </c>
      <c r="C94" s="14" t="n">
        <f aca="false">a25_soc/(C92*fx)</f>
        <v>0.645552050473186</v>
      </c>
      <c r="D94" s="14" t="n">
        <f aca="false">sh_soc_hi</f>
        <v>0.71</v>
      </c>
      <c r="E94" s="14" t="n">
        <f aca="false">sh_soc_hi</f>
        <v>0.71</v>
      </c>
      <c r="F94" s="14" t="n">
        <f aca="false">sh_soc_hi</f>
        <v>0.71</v>
      </c>
      <c r="G94" s="14" t="n">
        <f aca="false">sh_soc_hi</f>
        <v>0.71</v>
      </c>
      <c r="H94" s="8" t="s">
        <v>588</v>
      </c>
    </row>
    <row r="95" customFormat="false" ht="17.15" hidden="false" customHeight="false" outlineLevel="0" collapsed="false">
      <c r="A95" s="0" t="s">
        <v>589</v>
      </c>
      <c r="B95" s="0" t="s">
        <v>347</v>
      </c>
      <c r="C95" s="11" t="n">
        <f aca="false">a25_soc</f>
        <v>767.4</v>
      </c>
      <c r="D95" s="11" t="n">
        <f aca="false">D92*D94*fx</f>
        <v>1289.03228384279</v>
      </c>
      <c r="E95" s="11" t="n">
        <f aca="false">E92*E94*fx</f>
        <v>1691.81261651327</v>
      </c>
      <c r="F95" s="11" t="n">
        <f aca="false">F92*F94*fx</f>
        <v>1893.93548630648</v>
      </c>
      <c r="G95" s="11" t="n">
        <f aca="false">G92*G94*fx</f>
        <v>2053.80408009532</v>
      </c>
      <c r="H95" s="5" t="s">
        <v>590</v>
      </c>
    </row>
    <row r="96" customFormat="false" ht="15" hidden="false" customHeight="false" outlineLevel="0" collapsed="false">
      <c r="A96" s="5" t="s">
        <v>591</v>
      </c>
      <c r="B96" s="0" t="s">
        <v>347</v>
      </c>
      <c r="C96" s="11" t="n">
        <f aca="false">a25_mem</f>
        <v>171.5</v>
      </c>
      <c r="D96" s="11" t="n">
        <f aca="false">D93*sh_mem*fx</f>
        <v>231.979929423922</v>
      </c>
      <c r="E96" s="11" t="n">
        <f aca="false">E93*sh_mem*fx</f>
        <v>324.906554906633</v>
      </c>
      <c r="F96" s="11" t="n">
        <f aca="false">F93*sh_mem*fx</f>
        <v>413.944002202504</v>
      </c>
      <c r="G96" s="11" t="n">
        <f aca="false">G93*sh_mem*fx</f>
        <v>479.942764992713</v>
      </c>
    </row>
    <row r="97" customFormat="false" ht="15" hidden="false" customHeight="false" outlineLevel="0" collapsed="false">
      <c r="A97" s="5" t="s">
        <v>592</v>
      </c>
      <c r="B97" s="0" t="s">
        <v>347</v>
      </c>
      <c r="C97" s="11" t="n">
        <f aca="false">a25_oth</f>
        <v>80.5</v>
      </c>
      <c r="D97" s="11" t="n">
        <f aca="false">C97*(1+g_oth_26)</f>
        <v>104</v>
      </c>
      <c r="E97" s="11" t="n">
        <f aca="false">D97*(1+g_oth_A)</f>
        <v>119.6</v>
      </c>
      <c r="F97" s="11" t="n">
        <f aca="false">E97*(1+g_oth_A)</f>
        <v>137.54</v>
      </c>
      <c r="G97" s="11" t="n">
        <f aca="false">F97*(1+g_oth_A)</f>
        <v>158.171</v>
      </c>
    </row>
    <row r="98" customFormat="false" ht="15" hidden="false" customHeight="false" outlineLevel="0" collapsed="false">
      <c r="A98" s="5" t="s">
        <v>593</v>
      </c>
      <c r="B98" s="0" t="s">
        <v>347</v>
      </c>
      <c r="C98" s="11" t="n">
        <f aca="false">a25_svc</f>
        <v>109.2</v>
      </c>
      <c r="D98" s="11" t="n">
        <f aca="false">C98*(1+g_svc_26)</f>
        <v>135.6</v>
      </c>
      <c r="E98" s="11" t="n">
        <f aca="false">D98*(1+g_svc_A)</f>
        <v>151.872</v>
      </c>
      <c r="F98" s="11" t="n">
        <f aca="false">E98*(1+g_svc_A)</f>
        <v>170.09664</v>
      </c>
      <c r="G98" s="11" t="n">
        <f aca="false">F98*(1+g_svc_A)</f>
        <v>190.5082368</v>
      </c>
    </row>
    <row r="99" customFormat="false" ht="15" hidden="false" customHeight="false" outlineLevel="0" collapsed="false">
      <c r="A99" s="5" t="s">
        <v>459</v>
      </c>
      <c r="B99" s="0" t="s">
        <v>347</v>
      </c>
      <c r="C99" s="11" t="n">
        <f aca="false">C95+C96+C97+C98</f>
        <v>1128.6</v>
      </c>
      <c r="D99" s="11" t="n">
        <f aca="false">D95+D96+D97+D98</f>
        <v>1760.61221326672</v>
      </c>
      <c r="E99" s="11" t="n">
        <f aca="false">E95+E96+E97+E98</f>
        <v>2288.1911714199</v>
      </c>
      <c r="F99" s="11" t="n">
        <f aca="false">F95+F96+F97+F98</f>
        <v>2615.51612850899</v>
      </c>
      <c r="G99" s="11" t="n">
        <f aca="false">G95+G96+G97+G98</f>
        <v>2882.42608188804</v>
      </c>
    </row>
    <row r="100" customFormat="false" ht="17.15" hidden="false" customHeight="false" outlineLevel="0" collapsed="false">
      <c r="A100" s="0" t="s">
        <v>594</v>
      </c>
      <c r="B100" s="0" t="s">
        <v>38</v>
      </c>
      <c r="C100" s="14" t="n">
        <f aca="false">C95/C99</f>
        <v>0.679957469431154</v>
      </c>
      <c r="D100" s="14" t="n">
        <f aca="false">D95/D99</f>
        <v>0.732150029478137</v>
      </c>
      <c r="E100" s="14" t="n">
        <f aca="false">E95/E99</f>
        <v>0.739366814121322</v>
      </c>
      <c r="F100" s="14" t="n">
        <f aca="false">F95/F99</f>
        <v>0.724115391858107</v>
      </c>
      <c r="G100" s="14" t="n">
        <f aca="false">G95/G99</f>
        <v>0.712526192085401</v>
      </c>
    </row>
    <row r="101" customFormat="false" ht="17.15" hidden="false" customHeight="false" outlineLevel="0" collapsed="false">
      <c r="A101" s="5" t="s">
        <v>463</v>
      </c>
      <c r="B101" s="0" t="s">
        <v>38</v>
      </c>
      <c r="C101" s="14" t="n">
        <f aca="false">a25_gp/a25_rev</f>
        <v>0.643</v>
      </c>
      <c r="D101" s="14" t="n">
        <f aca="false">gm_a+gm_b*D100+0</f>
        <v>0.66821465723805</v>
      </c>
      <c r="E101" s="14" t="n">
        <f aca="false">gm_a+gm_b*E100+0</f>
        <v>0.671701145560809</v>
      </c>
      <c r="F101" s="14" t="n">
        <f aca="false">gm_a+gm_b*F100+0</f>
        <v>0.664333057380931</v>
      </c>
      <c r="G101" s="14" t="n">
        <f aca="false">gm_a+gm_b*G100+0</f>
        <v>0.658734219162055</v>
      </c>
      <c r="H101" s="5" t="s">
        <v>595</v>
      </c>
    </row>
    <row r="102" customFormat="false" ht="15" hidden="false" customHeight="false" outlineLevel="0" collapsed="false">
      <c r="A102" s="5" t="s">
        <v>467</v>
      </c>
      <c r="B102" s="0" t="s">
        <v>347</v>
      </c>
      <c r="C102" s="11" t="n">
        <f aca="false">C99*C101</f>
        <v>725.6898</v>
      </c>
      <c r="D102" s="11" t="n">
        <f aca="false">D99*D101</f>
        <v>1176.46688661714</v>
      </c>
      <c r="E102" s="11" t="n">
        <f aca="false">E99*E101</f>
        <v>1536.98063110488</v>
      </c>
      <c r="F102" s="11" t="n">
        <f aca="false">F99*F101</f>
        <v>1737.57382628151</v>
      </c>
      <c r="G102" s="11" t="n">
        <f aca="false">G99*G101</f>
        <v>1898.75269434486</v>
      </c>
    </row>
    <row r="103" customFormat="false" ht="17.15" hidden="false" customHeight="false" outlineLevel="0" collapsed="false">
      <c r="A103" s="5" t="s">
        <v>596</v>
      </c>
      <c r="B103" s="0" t="s">
        <v>347</v>
      </c>
      <c r="C103" s="11" t="n">
        <f aca="false">opex25</f>
        <v>226.5898</v>
      </c>
      <c r="D103" s="11" t="n">
        <f aca="false">opex_fix+opex_var*D99</f>
        <v>299.16237837074</v>
      </c>
      <c r="E103" s="11" t="n">
        <f aca="false">opex_fix+opex_var*E99</f>
        <v>359.743114760984</v>
      </c>
      <c r="F103" s="11" t="n">
        <f aca="false">opex_fix+opex_var*F99</f>
        <v>397.329122756406</v>
      </c>
      <c r="G103" s="11" t="n">
        <f aca="false">opex_fix+opex_var*G99</f>
        <v>427.977808181979</v>
      </c>
      <c r="H103" s="5" t="s">
        <v>597</v>
      </c>
    </row>
    <row r="104" customFormat="false" ht="15" hidden="false" customHeight="false" outlineLevel="0" collapsed="false">
      <c r="A104" s="5" t="s">
        <v>470</v>
      </c>
      <c r="B104" s="0" t="s">
        <v>347</v>
      </c>
      <c r="C104" s="11" t="n">
        <f aca="false">C102-C103</f>
        <v>499.1</v>
      </c>
      <c r="D104" s="11" t="n">
        <f aca="false">D102-D103</f>
        <v>877.304508246402</v>
      </c>
      <c r="E104" s="11" t="n">
        <f aca="false">E102-E103</f>
        <v>1177.23751634389</v>
      </c>
      <c r="F104" s="11" t="n">
        <f aca="false">F102-F103</f>
        <v>1340.24470352511</v>
      </c>
      <c r="G104" s="11" t="n">
        <f aca="false">G102-G103</f>
        <v>1470.77488616288</v>
      </c>
    </row>
    <row r="105" customFormat="false" ht="15" hidden="false" customHeight="false" outlineLevel="0" collapsed="false">
      <c r="A105" s="5" t="s">
        <v>473</v>
      </c>
      <c r="B105" s="0" t="s">
        <v>38</v>
      </c>
      <c r="C105" s="14" t="n">
        <f aca="false">C104/C99</f>
        <v>0.442229310650363</v>
      </c>
      <c r="D105" s="14" t="n">
        <f aca="false">D104/D99</f>
        <v>0.498295139404159</v>
      </c>
      <c r="E105" s="14" t="n">
        <f aca="false">E104/E99</f>
        <v>0.514483899355917</v>
      </c>
      <c r="F105" s="14" t="n">
        <f aca="false">F104/F99</f>
        <v>0.512420737504354</v>
      </c>
      <c r="G105" s="14" t="n">
        <f aca="false">G104/G99</f>
        <v>0.510255890135263</v>
      </c>
    </row>
    <row r="106" customFormat="false" ht="15" hidden="false" customHeight="false" outlineLevel="0" collapsed="false">
      <c r="A106" s="5" t="s">
        <v>493</v>
      </c>
      <c r="B106" s="0" t="s">
        <v>347</v>
      </c>
      <c r="C106" s="11" t="n">
        <f aca="false">a25_ni</f>
        <v>375.4</v>
      </c>
      <c r="D106" s="11" t="n">
        <f aca="false">D104*nioi</f>
        <v>659.867987168302</v>
      </c>
      <c r="E106" s="11" t="n">
        <f aca="false">E104*nioi</f>
        <v>885.463762042672</v>
      </c>
      <c r="F106" s="11" t="n">
        <f aca="false">F104*nioi</f>
        <v>1008.07024985639</v>
      </c>
      <c r="G106" s="11" t="n">
        <f aca="false">G104*nioi</f>
        <v>1106.24903279011</v>
      </c>
    </row>
    <row r="107" customFormat="false" ht="15" hidden="false" customHeight="false" outlineLevel="0" collapsed="false">
      <c r="A107" s="0" t="s">
        <v>562</v>
      </c>
      <c r="B107" s="0" t="s">
        <v>396</v>
      </c>
      <c r="C107" s="11" t="n">
        <f aca="false">a25_eps</f>
        <v>515.15</v>
      </c>
      <c r="D107" s="11" t="n">
        <f aca="false">D106*1000/shares</f>
        <v>911.457654275925</v>
      </c>
      <c r="E107" s="11" t="n">
        <f aca="false">E106*1000/shares</f>
        <v>1223.06694549785</v>
      </c>
      <c r="F107" s="11" t="n">
        <f aca="false">F106*1000/shares</f>
        <v>1392.41994330164</v>
      </c>
      <c r="G107" s="11" t="n">
        <f aca="false">G106*1000/shares</f>
        <v>1528.03161856481</v>
      </c>
    </row>
    <row r="108" customFormat="false" ht="17.15" hidden="false" customHeight="false" outlineLevel="0" collapsed="false">
      <c r="A108" s="5" t="s">
        <v>598</v>
      </c>
      <c r="B108" s="0" t="s">
        <v>148</v>
      </c>
      <c r="C108" s="12" t="n">
        <f aca="false">C99/fx</f>
        <v>7.524</v>
      </c>
      <c r="D108" s="12" t="n">
        <f aca="false">D99/fx</f>
        <v>11.7374147551114</v>
      </c>
      <c r="E108" s="12" t="n">
        <f aca="false">E99/fx</f>
        <v>15.254607809466</v>
      </c>
      <c r="F108" s="12" t="n">
        <f aca="false">F99/fx</f>
        <v>17.4367741900599</v>
      </c>
      <c r="G108" s="12" t="n">
        <f aca="false">G99/fx</f>
        <v>19.2161738792536</v>
      </c>
      <c r="H108" s="8" t="s">
        <v>599</v>
      </c>
    </row>
    <row r="114" customFormat="false" ht="17.15" hidden="false" customHeight="false" outlineLevel="0" collapsed="false">
      <c r="A114" s="4" t="s">
        <v>814</v>
      </c>
    </row>
    <row r="115" customFormat="false" ht="17.15" hidden="false" customHeight="false" outlineLevel="0" collapsed="false">
      <c r="A115" s="6" t="s">
        <v>16</v>
      </c>
      <c r="B115" s="6" t="s">
        <v>17</v>
      </c>
      <c r="C115" s="9" t="s">
        <v>567</v>
      </c>
      <c r="D115" s="9" t="s">
        <v>568</v>
      </c>
      <c r="E115" s="9" t="s">
        <v>569</v>
      </c>
      <c r="F115" s="9" t="s">
        <v>570</v>
      </c>
      <c r="G115" s="9" t="s">
        <v>571</v>
      </c>
      <c r="H115" s="6" t="s">
        <v>508</v>
      </c>
    </row>
    <row r="116" customFormat="false" ht="17.15" hidden="false" customHeight="false" outlineLevel="0" collapsed="false">
      <c r="A116" s="1" t="s">
        <v>572</v>
      </c>
    </row>
    <row r="117" customFormat="false" ht="17.15" hidden="false" customHeight="false" outlineLevel="0" collapsed="false">
      <c r="A117" s="5" t="s">
        <v>573</v>
      </c>
      <c r="B117" s="5" t="s">
        <v>27</v>
      </c>
      <c r="C117" s="15" t="n">
        <f aca="false">u_bw_26*tt_bw+u_rb_26*tt_rb+u_ru_26*tt_ru+u_hp_26*tt_hp+u_amd_26*tt_amd+u_tpu_26*tt_tpu+u_trn_26*tt_trn+u_oth_26*tt_oth</f>
        <v>14.885</v>
      </c>
      <c r="D117" s="15" t="n">
        <f aca="false">u_bw_27*tt_bw+u_rb_27*tt_rb+u_ru_27*tt_ru+u_hp_27*tt_hp+u_amd_27*tt_amd+u_tpu_27*tt_tpu+u_trn_27*tt_trn+u_oth_27*tt_oth</f>
        <v>24.31</v>
      </c>
      <c r="E117" s="15" t="n">
        <f aca="false">u_bw_28*um28_A*tt_bw+u_rb_28*um28_A*tt_rb+u_ru_28*um28_A*tt_ru+u_hp_28*um28_A*tt_hp+u_amd_28*um28_A*tt_amd+u_tpu_28*um28_A*tt_tpu+u_trn_28*um28_A*tt_trn+u_oth_28*um28_A*tt_oth</f>
        <v>28.1</v>
      </c>
      <c r="F11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17" s="15" t="n">
        <f aca="false">F117*(1+cy30g)</f>
        <v>31.99</v>
      </c>
      <c r="H117" s="8" t="s">
        <v>574</v>
      </c>
    </row>
    <row r="118" customFormat="false" ht="17.15" hidden="false" customHeight="false" outlineLevel="0" collapsed="false">
      <c r="A118" s="5" t="s">
        <v>575</v>
      </c>
      <c r="B118" s="0" t="s">
        <v>576</v>
      </c>
      <c r="C118" s="18" t="n">
        <f aca="false">(mk_soc26-nonai26)/C117</f>
        <v>0.450117568021498</v>
      </c>
      <c r="H118" s="5" t="s">
        <v>577</v>
      </c>
    </row>
    <row r="119" customFormat="false" ht="17.15" hidden="false" customHeight="false" outlineLevel="0" collapsed="false">
      <c r="A119" s="0" t="s">
        <v>578</v>
      </c>
      <c r="B119" s="0" t="s">
        <v>148</v>
      </c>
      <c r="C119" s="15" t="n">
        <f aca="false">$C$118*C117*(1-eff_par_lo)^0</f>
        <v>6.7</v>
      </c>
      <c r="D119" s="15" t="n">
        <f aca="false">$C$118*D117*(1-eff_par_lo)^1</f>
        <v>10.3952401746725</v>
      </c>
      <c r="E119" s="15" t="n">
        <f aca="false">$C$118*E117*(1-eff_par_lo)^2</f>
        <v>11.4150940544172</v>
      </c>
      <c r="F119" s="15" t="n">
        <f aca="false">$C$118*F117*(1-eff_par_lo)^3</f>
        <v>12.345566400739</v>
      </c>
      <c r="G119" s="15" t="n">
        <f aca="false">$C$118*G117*(1-eff_par_lo)^4</f>
        <v>11.728288080702</v>
      </c>
    </row>
    <row r="120" customFormat="false" ht="17.15" hidden="false" customHeight="false" outlineLevel="0" collapsed="false">
      <c r="A120" s="5" t="s">
        <v>579</v>
      </c>
      <c r="B120" s="0" t="s">
        <v>148</v>
      </c>
      <c r="C120" s="15" t="n">
        <f aca="false">nonai26*(1+g_nonai)^0</f>
        <v>4.3</v>
      </c>
      <c r="D120" s="15" t="n">
        <f aca="false">nonai26*(1+g_nonai)^1</f>
        <v>4.472</v>
      </c>
      <c r="E120" s="15" t="n">
        <f aca="false">nonai26*(1+g_nonai)^2</f>
        <v>4.65088</v>
      </c>
      <c r="F120" s="15" t="n">
        <f aca="false">nonai26*(1+g_nonai)^3</f>
        <v>4.8369152</v>
      </c>
      <c r="G120" s="15" t="n">
        <f aca="false">nonai26*(1+g_nonai)^4</f>
        <v>5.030391808</v>
      </c>
    </row>
    <row r="121" customFormat="false" ht="17.15" hidden="false" customHeight="false" outlineLevel="0" collapsed="false">
      <c r="A121" s="0" t="s">
        <v>580</v>
      </c>
      <c r="B121" s="0" t="s">
        <v>148</v>
      </c>
      <c r="C121" s="15" t="n">
        <f aca="false">C119+C120</f>
        <v>11</v>
      </c>
      <c r="D121" s="15" t="n">
        <f aca="false">D119+D120</f>
        <v>14.8672401746725</v>
      </c>
      <c r="E121" s="15" t="n">
        <f aca="false">E119+E120</f>
        <v>16.0659740544172</v>
      </c>
      <c r="F121" s="15" t="n">
        <f aca="false">F119+F120</f>
        <v>17.182481600739</v>
      </c>
      <c r="G121" s="15" t="n">
        <f aca="false">G119+G120</f>
        <v>16.758679888702</v>
      </c>
      <c r="H121" s="8" t="s">
        <v>581</v>
      </c>
    </row>
    <row r="122" customFormat="false" ht="17.15" hidden="false" customHeight="false" outlineLevel="0" collapsed="false">
      <c r="A122" s="5" t="s">
        <v>582</v>
      </c>
      <c r="B122" s="0" t="s">
        <v>148</v>
      </c>
      <c r="C122" s="15" t="n">
        <f aca="false">mk_mem26*(w_hbm*hsA_26/hsA_26+(1-w_hbm)*drA_26/drA_26)</f>
        <v>2.75</v>
      </c>
      <c r="D122" s="15" t="n">
        <f aca="false">mk_mem26*(w_hbm*hsA_27/hsA_26+(1-w_hbm)*drA_27/drA_26)</f>
        <v>3.99150647980462</v>
      </c>
      <c r="E122" s="15" t="n">
        <f aca="false">mk_mem26*(w_hbm*hsA_28/hsA_26+(1-w_hbm)*drA_28/drA_26)</f>
        <v>5.17069526557172</v>
      </c>
      <c r="F122" s="15" t="n">
        <f aca="false">mk_mem26*(w_hbm*hsA_29/hsA_26+(1-w_hbm)*drA_29/drA_26)</f>
        <v>6.33160644779016</v>
      </c>
      <c r="G122" s="15" t="n">
        <f aca="false">F122*(1+cy30g)</f>
        <v>6.33160644779016</v>
      </c>
      <c r="H122" s="8" t="s">
        <v>583</v>
      </c>
    </row>
    <row r="123" customFormat="false" ht="17.15" hidden="false" customHeight="false" outlineLevel="0" collapsed="false">
      <c r="A123" s="1" t="s">
        <v>584</v>
      </c>
    </row>
    <row r="124" customFormat="false" ht="17.15" hidden="false" customHeight="false" outlineLevel="0" collapsed="false">
      <c r="A124" s="0" t="s">
        <v>585</v>
      </c>
      <c r="B124" s="0" t="s">
        <v>148</v>
      </c>
      <c r="C124" s="15" t="n">
        <f aca="false">fmk_soc25</f>
        <v>7.925</v>
      </c>
      <c r="D124" s="15" t="n">
        <f aca="false">0.75*C121+0.25*D121</f>
        <v>11.9668100436681</v>
      </c>
      <c r="E124" s="15" t="n">
        <f aca="false">0.75*D121+0.25*E121</f>
        <v>15.1669236446087</v>
      </c>
      <c r="F124" s="15" t="n">
        <f aca="false">0.75*E121+0.25*F121</f>
        <v>16.3451009409977</v>
      </c>
      <c r="G124" s="15" t="n">
        <f aca="false">0.75*F121+0.25*G121</f>
        <v>17.0765311727298</v>
      </c>
    </row>
    <row r="125" customFormat="false" ht="17.15" hidden="false" customHeight="false" outlineLevel="0" collapsed="false">
      <c r="A125" s="5" t="s">
        <v>586</v>
      </c>
      <c r="B125" s="0" t="s">
        <v>148</v>
      </c>
      <c r="C125" s="15" t="n">
        <f aca="false">fmk_mem25</f>
        <v>2.2625</v>
      </c>
      <c r="D125" s="15" t="n">
        <f aca="false">0.75*C122+0.25*D122</f>
        <v>3.06037661995115</v>
      </c>
      <c r="E125" s="15" t="n">
        <f aca="false">0.75*D122+0.25*E122</f>
        <v>4.28630367624639</v>
      </c>
      <c r="F125" s="15" t="n">
        <f aca="false">0.75*E122+0.25*F122</f>
        <v>5.46092306112633</v>
      </c>
      <c r="G125" s="15" t="n">
        <f aca="false">0.75*F122+0.25*G122</f>
        <v>6.33160644779016</v>
      </c>
    </row>
    <row r="126" customFormat="false" ht="17.15" hidden="false" customHeight="false" outlineLevel="0" collapsed="false">
      <c r="A126" s="0" t="s">
        <v>587</v>
      </c>
      <c r="B126" s="0" t="s">
        <v>38</v>
      </c>
      <c r="C126" s="14" t="n">
        <f aca="false">a25_soc/(C124*fx)</f>
        <v>0.645552050473186</v>
      </c>
      <c r="D126" s="14" t="n">
        <f aca="false">sh_soc</f>
        <v>0.66</v>
      </c>
      <c r="E126" s="14" t="n">
        <f aca="false">sh_soc</f>
        <v>0.66</v>
      </c>
      <c r="F126" s="14" t="n">
        <f aca="false">sh_soc</f>
        <v>0.66</v>
      </c>
      <c r="G126" s="14" t="n">
        <f aca="false">sh_soc</f>
        <v>0.66</v>
      </c>
      <c r="H126" s="8" t="s">
        <v>588</v>
      </c>
    </row>
    <row r="127" customFormat="false" ht="17.15" hidden="false" customHeight="false" outlineLevel="0" collapsed="false">
      <c r="A127" s="0" t="s">
        <v>589</v>
      </c>
      <c r="B127" s="0" t="s">
        <v>347</v>
      </c>
      <c r="C127" s="11" t="n">
        <f aca="false">a25_soc</f>
        <v>767.4</v>
      </c>
      <c r="D127" s="11" t="n">
        <f aca="false">D124*D126*fx</f>
        <v>1184.71419432314</v>
      </c>
      <c r="E127" s="11" t="n">
        <f aca="false">E124*E126*fx</f>
        <v>1501.52544081626</v>
      </c>
      <c r="F127" s="11" t="n">
        <f aca="false">F124*F126*fx</f>
        <v>1618.16499315877</v>
      </c>
      <c r="G127" s="11" t="n">
        <f aca="false">G124*G126*fx</f>
        <v>1690.57658610025</v>
      </c>
      <c r="H127" s="5" t="s">
        <v>590</v>
      </c>
    </row>
    <row r="128" customFormat="false" ht="15" hidden="false" customHeight="false" outlineLevel="0" collapsed="false">
      <c r="A128" s="5" t="s">
        <v>591</v>
      </c>
      <c r="B128" s="0" t="s">
        <v>347</v>
      </c>
      <c r="C128" s="11" t="n">
        <f aca="false">a25_mem</f>
        <v>171.5</v>
      </c>
      <c r="D128" s="11" t="n">
        <f aca="false">D125*sh_mem*fx</f>
        <v>231.979929423922</v>
      </c>
      <c r="E128" s="11" t="n">
        <f aca="false">E125*sh_mem*fx</f>
        <v>324.906554906633</v>
      </c>
      <c r="F128" s="11" t="n">
        <f aca="false">F125*sh_mem*fx</f>
        <v>413.944002202504</v>
      </c>
      <c r="G128" s="11" t="n">
        <f aca="false">G125*sh_mem*fx</f>
        <v>479.942764992713</v>
      </c>
    </row>
    <row r="129" customFormat="false" ht="15" hidden="false" customHeight="false" outlineLevel="0" collapsed="false">
      <c r="A129" s="5" t="s">
        <v>592</v>
      </c>
      <c r="B129" s="0" t="s">
        <v>347</v>
      </c>
      <c r="C129" s="11" t="n">
        <f aca="false">a25_oth</f>
        <v>80.5</v>
      </c>
      <c r="D129" s="11" t="n">
        <f aca="false">C129*(1+g_oth_26)</f>
        <v>104</v>
      </c>
      <c r="E129" s="11" t="n">
        <f aca="false">D129*(1+g_oth_A)</f>
        <v>119.6</v>
      </c>
      <c r="F129" s="11" t="n">
        <f aca="false">E129*(1+g_oth_A)</f>
        <v>137.54</v>
      </c>
      <c r="G129" s="11" t="n">
        <f aca="false">F129*(1+g_oth_A)</f>
        <v>158.171</v>
      </c>
    </row>
    <row r="130" customFormat="false" ht="15" hidden="false" customHeight="false" outlineLevel="0" collapsed="false">
      <c r="A130" s="5" t="s">
        <v>593</v>
      </c>
      <c r="B130" s="0" t="s">
        <v>347</v>
      </c>
      <c r="C130" s="11" t="n">
        <f aca="false">a25_svc</f>
        <v>109.2</v>
      </c>
      <c r="D130" s="11" t="n">
        <f aca="false">C130*(1+g_svc_26)</f>
        <v>135.6</v>
      </c>
      <c r="E130" s="11" t="n">
        <f aca="false">D130*(1+g_svc_A)</f>
        <v>151.872</v>
      </c>
      <c r="F130" s="11" t="n">
        <f aca="false">E130*(1+g_svc_A)</f>
        <v>170.09664</v>
      </c>
      <c r="G130" s="11" t="n">
        <f aca="false">F130*(1+g_svc_A)</f>
        <v>190.5082368</v>
      </c>
    </row>
    <row r="131" customFormat="false" ht="15" hidden="false" customHeight="false" outlineLevel="0" collapsed="false">
      <c r="A131" s="5" t="s">
        <v>459</v>
      </c>
      <c r="B131" s="0" t="s">
        <v>347</v>
      </c>
      <c r="C131" s="11" t="n">
        <f aca="false">C127+C128+C129+C130</f>
        <v>1128.6</v>
      </c>
      <c r="D131" s="11" t="n">
        <f aca="false">D127+D128+D129+D130</f>
        <v>1656.29412374707</v>
      </c>
      <c r="E131" s="11" t="n">
        <f aca="false">E127+E128+E129+E130</f>
        <v>2097.90399572289</v>
      </c>
      <c r="F131" s="11" t="n">
        <f aca="false">F127+F128+F129+F130</f>
        <v>2339.74563536127</v>
      </c>
      <c r="G131" s="11" t="n">
        <f aca="false">G127+G128+G129+G130</f>
        <v>2519.19858789296</v>
      </c>
    </row>
    <row r="132" customFormat="false" ht="17.15" hidden="false" customHeight="false" outlineLevel="0" collapsed="false">
      <c r="A132" s="0" t="s">
        <v>594</v>
      </c>
      <c r="B132" s="0" t="s">
        <v>38</v>
      </c>
      <c r="C132" s="14" t="n">
        <f aca="false">C127/C131</f>
        <v>0.679957469431154</v>
      </c>
      <c r="D132" s="14" t="n">
        <f aca="false">D127/D131</f>
        <v>0.715280080595192</v>
      </c>
      <c r="E132" s="14" t="n">
        <f aca="false">E127/E131</f>
        <v>0.715726479322933</v>
      </c>
      <c r="F132" s="14" t="n">
        <f aca="false">F127/F131</f>
        <v>0.691598680088536</v>
      </c>
      <c r="G132" s="14" t="n">
        <f aca="false">G127/G131</f>
        <v>0.671077141049938</v>
      </c>
    </row>
    <row r="133" customFormat="false" ht="17.15" hidden="false" customHeight="false" outlineLevel="0" collapsed="false">
      <c r="A133" s="5" t="s">
        <v>463</v>
      </c>
      <c r="B133" s="0" t="s">
        <v>38</v>
      </c>
      <c r="C133" s="14" t="n">
        <f aca="false">a25_gp/a25_rev</f>
        <v>0.643</v>
      </c>
      <c r="D133" s="14" t="n">
        <f aca="false">gm_a+gm_b*D132+0</f>
        <v>0.660064645467714</v>
      </c>
      <c r="E133" s="14" t="n">
        <f aca="false">gm_a+gm_b*E132+0</f>
        <v>0.660280304383493</v>
      </c>
      <c r="F133" s="14" t="n">
        <f aca="false">gm_a+gm_b*F132+0</f>
        <v>0.648623965107241</v>
      </c>
      <c r="G133" s="14" t="n">
        <f aca="false">gm_a+gm_b*G132+0</f>
        <v>0.638709839944771</v>
      </c>
      <c r="H133" s="5" t="s">
        <v>595</v>
      </c>
    </row>
    <row r="134" customFormat="false" ht="15" hidden="false" customHeight="false" outlineLevel="0" collapsed="false">
      <c r="A134" s="5" t="s">
        <v>467</v>
      </c>
      <c r="B134" s="0" t="s">
        <v>347</v>
      </c>
      <c r="C134" s="11" t="n">
        <f aca="false">C131*C133</f>
        <v>725.6898</v>
      </c>
      <c r="D134" s="11" t="n">
        <f aca="false">D131*D133</f>
        <v>1093.26119358136</v>
      </c>
      <c r="E134" s="11" t="n">
        <f aca="false">E131*E133</f>
        <v>1385.20468886326</v>
      </c>
      <c r="F134" s="11" t="n">
        <f aca="false">F131*F133</f>
        <v>1517.61509135039</v>
      </c>
      <c r="G134" s="11" t="n">
        <f aca="false">G131*G133</f>
        <v>1609.03692686221</v>
      </c>
    </row>
    <row r="135" customFormat="false" ht="17.15" hidden="false" customHeight="false" outlineLevel="0" collapsed="false">
      <c r="A135" s="5" t="s">
        <v>596</v>
      </c>
      <c r="B135" s="0" t="s">
        <v>347</v>
      </c>
      <c r="C135" s="11" t="n">
        <f aca="false">opex25</f>
        <v>226.5898</v>
      </c>
      <c r="D135" s="11" t="n">
        <f aca="false">opex_fix+opex_var*D131</f>
        <v>287.183760603182</v>
      </c>
      <c r="E135" s="11" t="n">
        <f aca="false">opex_fix+opex_var*E131</f>
        <v>337.89285509616</v>
      </c>
      <c r="F135" s="11" t="n">
        <f aca="false">opex_fix+opex_var*F131</f>
        <v>365.663000953386</v>
      </c>
      <c r="G135" s="11" t="n">
        <f aca="false">opex_fix+opex_var*G131</f>
        <v>386.269190498604</v>
      </c>
      <c r="H135" s="5" t="s">
        <v>597</v>
      </c>
    </row>
    <row r="136" customFormat="false" ht="15" hidden="false" customHeight="false" outlineLevel="0" collapsed="false">
      <c r="A136" s="5" t="s">
        <v>470</v>
      </c>
      <c r="B136" s="0" t="s">
        <v>347</v>
      </c>
      <c r="C136" s="11" t="n">
        <f aca="false">C134-C135</f>
        <v>499.1</v>
      </c>
      <c r="D136" s="11" t="n">
        <f aca="false">D134-D135</f>
        <v>806.077432978183</v>
      </c>
      <c r="E136" s="11" t="n">
        <f aca="false">E134-E135</f>
        <v>1047.3118337671</v>
      </c>
      <c r="F136" s="11" t="n">
        <f aca="false">F134-F135</f>
        <v>1151.952090397</v>
      </c>
      <c r="G136" s="11" t="n">
        <f aca="false">G134-G135</f>
        <v>1222.7677363636</v>
      </c>
    </row>
    <row r="137" customFormat="false" ht="15" hidden="false" customHeight="false" outlineLevel="0" collapsed="false">
      <c r="A137" s="5" t="s">
        <v>473</v>
      </c>
      <c r="B137" s="0" t="s">
        <v>38</v>
      </c>
      <c r="C137" s="14" t="n">
        <f aca="false">C136/C131</f>
        <v>0.442229310650363</v>
      </c>
      <c r="D137" s="14" t="n">
        <f aca="false">D136/D131</f>
        <v>0.486675296024464</v>
      </c>
      <c r="E137" s="14" t="n">
        <f aca="false">E136/E131</f>
        <v>0.499218189155609</v>
      </c>
      <c r="F137" s="14" t="n">
        <f aca="false">F136/F131</f>
        <v>0.492340736953286</v>
      </c>
      <c r="G137" s="14" t="n">
        <f aca="false">G136/G131</f>
        <v>0.485379652973812</v>
      </c>
    </row>
    <row r="138" customFormat="false" ht="15" hidden="false" customHeight="false" outlineLevel="0" collapsed="false">
      <c r="A138" s="5" t="s">
        <v>493</v>
      </c>
      <c r="B138" s="0" t="s">
        <v>347</v>
      </c>
      <c r="C138" s="11" t="n">
        <f aca="false">a25_ni</f>
        <v>375.4</v>
      </c>
      <c r="D138" s="11" t="n">
        <f aca="false">D136*nioi</f>
        <v>606.294266359467</v>
      </c>
      <c r="E138" s="11" t="n">
        <f aca="false">E136*nioi</f>
        <v>787.739656173449</v>
      </c>
      <c r="F138" s="11" t="n">
        <f aca="false">F136*nioi</f>
        <v>866.445230885664</v>
      </c>
      <c r="G138" s="11" t="n">
        <f aca="false">G136*nioi</f>
        <v>919.709493550182</v>
      </c>
    </row>
    <row r="139" customFormat="false" ht="15" hidden="false" customHeight="false" outlineLevel="0" collapsed="false">
      <c r="A139" s="0" t="s">
        <v>562</v>
      </c>
      <c r="B139" s="0" t="s">
        <v>396</v>
      </c>
      <c r="C139" s="11" t="n">
        <f aca="false">a25_eps</f>
        <v>515.15</v>
      </c>
      <c r="D139" s="11" t="n">
        <f aca="false">D138*1000/shares</f>
        <v>837.457734824158</v>
      </c>
      <c r="E139" s="11" t="n">
        <f aca="false">E138*1000/shares</f>
        <v>1088.08330326358</v>
      </c>
      <c r="F139" s="11" t="n">
        <f aca="false">F138*1000/shares</f>
        <v>1196.79716709789</v>
      </c>
      <c r="G139" s="11" t="n">
        <f aca="false">G138*1000/shares</f>
        <v>1270.36964045468</v>
      </c>
    </row>
    <row r="140" customFormat="false" ht="17.15" hidden="false" customHeight="false" outlineLevel="0" collapsed="false">
      <c r="A140" s="5" t="s">
        <v>598</v>
      </c>
      <c r="B140" s="0" t="s">
        <v>148</v>
      </c>
      <c r="C140" s="12" t="n">
        <f aca="false">C131/fx</f>
        <v>7.524</v>
      </c>
      <c r="D140" s="12" t="n">
        <f aca="false">D131/fx</f>
        <v>11.0419608249804</v>
      </c>
      <c r="E140" s="12" t="n">
        <f aca="false">E131/fx</f>
        <v>13.9860266381526</v>
      </c>
      <c r="F140" s="12" t="n">
        <f aca="false">F131/fx</f>
        <v>15.5983042357418</v>
      </c>
      <c r="G140" s="12" t="n">
        <f aca="false">G131/fx</f>
        <v>16.7946572526197</v>
      </c>
      <c r="H140" s="8" t="s">
        <v>599</v>
      </c>
    </row>
    <row r="146" customFormat="false" ht="17.15" hidden="false" customHeight="false" outlineLevel="0" collapsed="false">
      <c r="A146" s="4" t="s">
        <v>815</v>
      </c>
    </row>
    <row r="147" customFormat="false" ht="17.15" hidden="false" customHeight="false" outlineLevel="0" collapsed="false">
      <c r="A147" s="6" t="s">
        <v>16</v>
      </c>
      <c r="B147" s="6" t="s">
        <v>17</v>
      </c>
      <c r="C147" s="9" t="s">
        <v>567</v>
      </c>
      <c r="D147" s="9" t="s">
        <v>568</v>
      </c>
      <c r="E147" s="9" t="s">
        <v>569</v>
      </c>
      <c r="F147" s="9" t="s">
        <v>570</v>
      </c>
      <c r="G147" s="9" t="s">
        <v>571</v>
      </c>
      <c r="H147" s="6" t="s">
        <v>508</v>
      </c>
    </row>
    <row r="148" customFormat="false" ht="17.15" hidden="false" customHeight="false" outlineLevel="0" collapsed="false">
      <c r="A148" s="1" t="s">
        <v>572</v>
      </c>
    </row>
    <row r="149" customFormat="false" ht="17.15" hidden="false" customHeight="false" outlineLevel="0" collapsed="false">
      <c r="A149" s="5" t="s">
        <v>573</v>
      </c>
      <c r="B149" s="5" t="s">
        <v>27</v>
      </c>
      <c r="C149" s="15" t="n">
        <f aca="false">u_bw_26*tt_bw+u_rb_26*tt_rb+u_ru_26*tt_ru+u_hp_26*tt_hp+u_amd_26*tt_amd+u_tpu_26*tt_tpu+u_trn_26*tt_trn+u_oth_26*tt_oth</f>
        <v>14.885</v>
      </c>
      <c r="D149" s="15" t="n">
        <f aca="false">u_bw_27*tt_bw+u_rb_27*tt_rb+u_ru_27*tt_ru+u_hp_27*tt_hp+u_amd_27*tt_amd+u_tpu_27*tt_tpu+u_trn_27*tt_trn+u_oth_27*tt_oth</f>
        <v>24.31</v>
      </c>
      <c r="E149" s="15" t="n">
        <f aca="false">u_bw_28*um28_A*tt_bw+u_rb_28*um28_A*tt_rb+u_ru_28*um28_A*tt_ru+u_hp_28*um28_A*tt_hp+u_amd_28*um28_A*tt_amd+u_tpu_28*um28_A*tt_tpu+u_trn_28*um28_A*tt_trn+u_oth_28*um28_A*tt_oth</f>
        <v>28.1</v>
      </c>
      <c r="F14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49" s="15" t="n">
        <f aca="false">F149*(1+cy30g)</f>
        <v>31.99</v>
      </c>
      <c r="H149" s="8" t="s">
        <v>574</v>
      </c>
    </row>
    <row r="150" customFormat="false" ht="17.15" hidden="false" customHeight="false" outlineLevel="0" collapsed="false">
      <c r="A150" s="5" t="s">
        <v>575</v>
      </c>
      <c r="B150" s="0" t="s">
        <v>576</v>
      </c>
      <c r="C150" s="18" t="n">
        <f aca="false">(mk_soc26-nonai26)/C149</f>
        <v>0.450117568021498</v>
      </c>
      <c r="H150" s="5" t="s">
        <v>577</v>
      </c>
    </row>
    <row r="151" customFormat="false" ht="17.15" hidden="false" customHeight="false" outlineLevel="0" collapsed="false">
      <c r="A151" s="0" t="s">
        <v>578</v>
      </c>
      <c r="B151" s="0" t="s">
        <v>148</v>
      </c>
      <c r="C151" s="15" t="n">
        <f aca="false">$C$150*C149*(1-eff_par_hi)^0</f>
        <v>6.7</v>
      </c>
      <c r="D151" s="15" t="n">
        <f aca="false">$C$150*D149*(1-eff_par_hi)^1</f>
        <v>9.84812227074236</v>
      </c>
      <c r="E151" s="15" t="n">
        <f aca="false">$C$150*E149*(1-eff_par_hi)^2</f>
        <v>10.2451259657373</v>
      </c>
      <c r="F151" s="15" t="n">
        <f aca="false">$C$150*F149*(1-eff_par_hi)^3</f>
        <v>10.4970612697346</v>
      </c>
      <c r="G151" s="15" t="n">
        <f aca="false">$C$150*G149*(1-eff_par_hi)^4</f>
        <v>9.44735514276117</v>
      </c>
    </row>
    <row r="152" customFormat="false" ht="17.15" hidden="false" customHeight="false" outlineLevel="0" collapsed="false">
      <c r="A152" s="5" t="s">
        <v>579</v>
      </c>
      <c r="B152" s="0" t="s">
        <v>148</v>
      </c>
      <c r="C152" s="15" t="n">
        <f aca="false">nonai26*(1+g_nonai)^0</f>
        <v>4.3</v>
      </c>
      <c r="D152" s="15" t="n">
        <f aca="false">nonai26*(1+g_nonai)^1</f>
        <v>4.472</v>
      </c>
      <c r="E152" s="15" t="n">
        <f aca="false">nonai26*(1+g_nonai)^2</f>
        <v>4.65088</v>
      </c>
      <c r="F152" s="15" t="n">
        <f aca="false">nonai26*(1+g_nonai)^3</f>
        <v>4.8369152</v>
      </c>
      <c r="G152" s="15" t="n">
        <f aca="false">nonai26*(1+g_nonai)^4</f>
        <v>5.030391808</v>
      </c>
    </row>
    <row r="153" customFormat="false" ht="17.15" hidden="false" customHeight="false" outlineLevel="0" collapsed="false">
      <c r="A153" s="0" t="s">
        <v>580</v>
      </c>
      <c r="B153" s="0" t="s">
        <v>148</v>
      </c>
      <c r="C153" s="15" t="n">
        <f aca="false">C151+C152</f>
        <v>11</v>
      </c>
      <c r="D153" s="15" t="n">
        <f aca="false">D151+D152</f>
        <v>14.3201222707424</v>
      </c>
      <c r="E153" s="15" t="n">
        <f aca="false">E151+E152</f>
        <v>14.8960059657373</v>
      </c>
      <c r="F153" s="15" t="n">
        <f aca="false">F151+F152</f>
        <v>15.3339764697346</v>
      </c>
      <c r="G153" s="15" t="n">
        <f aca="false">G151+G152</f>
        <v>14.4777469507612</v>
      </c>
      <c r="H153" s="8" t="s">
        <v>581</v>
      </c>
    </row>
    <row r="154" customFormat="false" ht="17.15" hidden="false" customHeight="false" outlineLevel="0" collapsed="false">
      <c r="A154" s="5" t="s">
        <v>582</v>
      </c>
      <c r="B154" s="0" t="s">
        <v>148</v>
      </c>
      <c r="C154" s="15" t="n">
        <f aca="false">mk_mem26*(w_hbm*hsA_26/hsA_26+(1-w_hbm)*drA_26/drA_26)</f>
        <v>2.75</v>
      </c>
      <c r="D154" s="15" t="n">
        <f aca="false">mk_mem26*(w_hbm*hsA_27/hsA_26+(1-w_hbm)*drA_27/drA_26)</f>
        <v>3.99150647980462</v>
      </c>
      <c r="E154" s="15" t="n">
        <f aca="false">mk_mem26*(w_hbm*hsA_28/hsA_26+(1-w_hbm)*drA_28/drA_26)</f>
        <v>5.17069526557172</v>
      </c>
      <c r="F154" s="15" t="n">
        <f aca="false">mk_mem26*(w_hbm*hsA_29/hsA_26+(1-w_hbm)*drA_29/drA_26)</f>
        <v>6.33160644779016</v>
      </c>
      <c r="G154" s="15" t="n">
        <f aca="false">F154*(1+cy30g)</f>
        <v>6.33160644779016</v>
      </c>
      <c r="H154" s="8" t="s">
        <v>583</v>
      </c>
    </row>
    <row r="155" customFormat="false" ht="17.15" hidden="false" customHeight="false" outlineLevel="0" collapsed="false">
      <c r="A155" s="1" t="s">
        <v>584</v>
      </c>
    </row>
    <row r="156" customFormat="false" ht="17.15" hidden="false" customHeight="false" outlineLevel="0" collapsed="false">
      <c r="A156" s="0" t="s">
        <v>585</v>
      </c>
      <c r="B156" s="0" t="s">
        <v>148</v>
      </c>
      <c r="C156" s="15" t="n">
        <f aca="false">fmk_soc25</f>
        <v>7.925</v>
      </c>
      <c r="D156" s="15" t="n">
        <f aca="false">0.75*C153+0.25*D153</f>
        <v>11.8300305676856</v>
      </c>
      <c r="E156" s="15" t="n">
        <f aca="false">0.75*D153+0.25*E153</f>
        <v>14.4640931944911</v>
      </c>
      <c r="F156" s="15" t="n">
        <f aca="false">0.75*E153+0.25*F153</f>
        <v>15.0054985917367</v>
      </c>
      <c r="G156" s="15" t="n">
        <f aca="false">0.75*F153+0.25*G153</f>
        <v>15.1199190899913</v>
      </c>
    </row>
    <row r="157" customFormat="false" ht="17.15" hidden="false" customHeight="false" outlineLevel="0" collapsed="false">
      <c r="A157" s="5" t="s">
        <v>586</v>
      </c>
      <c r="B157" s="0" t="s">
        <v>148</v>
      </c>
      <c r="C157" s="15" t="n">
        <f aca="false">fmk_mem25</f>
        <v>2.2625</v>
      </c>
      <c r="D157" s="15" t="n">
        <f aca="false">0.75*C154+0.25*D154</f>
        <v>3.06037661995115</v>
      </c>
      <c r="E157" s="15" t="n">
        <f aca="false">0.75*D154+0.25*E154</f>
        <v>4.28630367624639</v>
      </c>
      <c r="F157" s="15" t="n">
        <f aca="false">0.75*E154+0.25*F154</f>
        <v>5.46092306112633</v>
      </c>
      <c r="G157" s="15" t="n">
        <f aca="false">0.75*F154+0.25*G154</f>
        <v>6.33160644779016</v>
      </c>
    </row>
    <row r="158" customFormat="false" ht="17.15" hidden="false" customHeight="false" outlineLevel="0" collapsed="false">
      <c r="A158" s="0" t="s">
        <v>587</v>
      </c>
      <c r="B158" s="0" t="s">
        <v>38</v>
      </c>
      <c r="C158" s="14" t="n">
        <f aca="false">a25_soc/(C156*fx)</f>
        <v>0.645552050473186</v>
      </c>
      <c r="D158" s="14" t="n">
        <f aca="false">sh_soc</f>
        <v>0.66</v>
      </c>
      <c r="E158" s="14" t="n">
        <f aca="false">sh_soc</f>
        <v>0.66</v>
      </c>
      <c r="F158" s="14" t="n">
        <f aca="false">sh_soc</f>
        <v>0.66</v>
      </c>
      <c r="G158" s="14" t="n">
        <f aca="false">sh_soc</f>
        <v>0.66</v>
      </c>
      <c r="H158" s="8" t="s">
        <v>588</v>
      </c>
    </row>
    <row r="159" customFormat="false" ht="17.15" hidden="false" customHeight="false" outlineLevel="0" collapsed="false">
      <c r="A159" s="0" t="s">
        <v>589</v>
      </c>
      <c r="B159" s="0" t="s">
        <v>347</v>
      </c>
      <c r="C159" s="11" t="n">
        <f aca="false">a25_soc</f>
        <v>767.4</v>
      </c>
      <c r="D159" s="11" t="n">
        <f aca="false">D156*D158*fx</f>
        <v>1171.17302620087</v>
      </c>
      <c r="E159" s="11" t="n">
        <f aca="false">E156*E158*fx</f>
        <v>1431.94522625462</v>
      </c>
      <c r="F159" s="11" t="n">
        <f aca="false">F156*F158*fx</f>
        <v>1485.54436058193</v>
      </c>
      <c r="G159" s="11" t="n">
        <f aca="false">G156*G158*fx</f>
        <v>1496.87198990914</v>
      </c>
      <c r="H159" s="5" t="s">
        <v>590</v>
      </c>
    </row>
    <row r="160" customFormat="false" ht="15" hidden="false" customHeight="false" outlineLevel="0" collapsed="false">
      <c r="A160" s="5" t="s">
        <v>591</v>
      </c>
      <c r="B160" s="0" t="s">
        <v>347</v>
      </c>
      <c r="C160" s="11" t="n">
        <f aca="false">a25_mem</f>
        <v>171.5</v>
      </c>
      <c r="D160" s="11" t="n">
        <f aca="false">D157*sh_mem*fx</f>
        <v>231.979929423922</v>
      </c>
      <c r="E160" s="11" t="n">
        <f aca="false">E157*sh_mem*fx</f>
        <v>324.906554906633</v>
      </c>
      <c r="F160" s="11" t="n">
        <f aca="false">F157*sh_mem*fx</f>
        <v>413.944002202504</v>
      </c>
      <c r="G160" s="11" t="n">
        <f aca="false">G157*sh_mem*fx</f>
        <v>479.942764992713</v>
      </c>
    </row>
    <row r="161" customFormat="false" ht="15" hidden="false" customHeight="false" outlineLevel="0" collapsed="false">
      <c r="A161" s="5" t="s">
        <v>592</v>
      </c>
      <c r="B161" s="0" t="s">
        <v>347</v>
      </c>
      <c r="C161" s="11" t="n">
        <f aca="false">a25_oth</f>
        <v>80.5</v>
      </c>
      <c r="D161" s="11" t="n">
        <f aca="false">C161*(1+g_oth_26)</f>
        <v>104</v>
      </c>
      <c r="E161" s="11" t="n">
        <f aca="false">D161*(1+g_oth_A)</f>
        <v>119.6</v>
      </c>
      <c r="F161" s="11" t="n">
        <f aca="false">E161*(1+g_oth_A)</f>
        <v>137.54</v>
      </c>
      <c r="G161" s="11" t="n">
        <f aca="false">F161*(1+g_oth_A)</f>
        <v>158.171</v>
      </c>
    </row>
    <row r="162" customFormat="false" ht="15" hidden="false" customHeight="false" outlineLevel="0" collapsed="false">
      <c r="A162" s="5" t="s">
        <v>593</v>
      </c>
      <c r="B162" s="0" t="s">
        <v>347</v>
      </c>
      <c r="C162" s="11" t="n">
        <f aca="false">a25_svc</f>
        <v>109.2</v>
      </c>
      <c r="D162" s="11" t="n">
        <f aca="false">C162*(1+g_svc_26)</f>
        <v>135.6</v>
      </c>
      <c r="E162" s="11" t="n">
        <f aca="false">D162*(1+g_svc_A)</f>
        <v>151.872</v>
      </c>
      <c r="F162" s="11" t="n">
        <f aca="false">E162*(1+g_svc_A)</f>
        <v>170.09664</v>
      </c>
      <c r="G162" s="11" t="n">
        <f aca="false">F162*(1+g_svc_A)</f>
        <v>190.5082368</v>
      </c>
    </row>
    <row r="163" customFormat="false" ht="15" hidden="false" customHeight="false" outlineLevel="0" collapsed="false">
      <c r="A163" s="5" t="s">
        <v>459</v>
      </c>
      <c r="B163" s="0" t="s">
        <v>347</v>
      </c>
      <c r="C163" s="11" t="n">
        <f aca="false">C159+C160+C161+C162</f>
        <v>1128.6</v>
      </c>
      <c r="D163" s="11" t="n">
        <f aca="false">D159+D160+D161+D162</f>
        <v>1642.7529556248</v>
      </c>
      <c r="E163" s="11" t="n">
        <f aca="false">E159+E160+E161+E162</f>
        <v>2028.32378116125</v>
      </c>
      <c r="F163" s="11" t="n">
        <f aca="false">F159+F160+F161+F162</f>
        <v>2207.12500278443</v>
      </c>
      <c r="G163" s="11" t="n">
        <f aca="false">G159+G160+G161+G162</f>
        <v>2325.49399170185</v>
      </c>
    </row>
    <row r="164" customFormat="false" ht="17.15" hidden="false" customHeight="false" outlineLevel="0" collapsed="false">
      <c r="A164" s="0" t="s">
        <v>594</v>
      </c>
      <c r="B164" s="0" t="s">
        <v>38</v>
      </c>
      <c r="C164" s="14" t="n">
        <f aca="false">C159/C163</f>
        <v>0.679957469431154</v>
      </c>
      <c r="D164" s="14" t="n">
        <f aca="false">D159/D163</f>
        <v>0.712933142010654</v>
      </c>
      <c r="E164" s="14" t="n">
        <f aca="false">E159/E163</f>
        <v>0.705974676998958</v>
      </c>
      <c r="F164" s="14" t="n">
        <f aca="false">F159/F163</f>
        <v>0.673067614524695</v>
      </c>
      <c r="G164" s="14" t="n">
        <f aca="false">G159/G163</f>
        <v>0.643679147420068</v>
      </c>
    </row>
    <row r="165" customFormat="false" ht="17.15" hidden="false" customHeight="false" outlineLevel="0" collapsed="false">
      <c r="A165" s="5" t="s">
        <v>463</v>
      </c>
      <c r="B165" s="0" t="s">
        <v>38</v>
      </c>
      <c r="C165" s="14" t="n">
        <f aca="false">a25_gp/a25_rev</f>
        <v>0.643</v>
      </c>
      <c r="D165" s="14" t="n">
        <f aca="false">gm_a+gm_b*D164+0</f>
        <v>0.658930820035227</v>
      </c>
      <c r="E165" s="14" t="n">
        <f aca="false">gm_a+gm_b*E164+0</f>
        <v>0.655569128061985</v>
      </c>
      <c r="F165" s="14" t="n">
        <f aca="false">gm_a+gm_b*F164+0</f>
        <v>0.639671454135803</v>
      </c>
      <c r="G165" s="14" t="n">
        <f aca="false">gm_a+gm_b*G164+0</f>
        <v>0.625473642721153</v>
      </c>
      <c r="H165" s="5" t="s">
        <v>595</v>
      </c>
    </row>
    <row r="166" customFormat="false" ht="15" hidden="false" customHeight="false" outlineLevel="0" collapsed="false">
      <c r="A166" s="5" t="s">
        <v>467</v>
      </c>
      <c r="B166" s="0" t="s">
        <v>347</v>
      </c>
      <c r="C166" s="11" t="n">
        <f aca="false">C163*C165</f>
        <v>725.6898</v>
      </c>
      <c r="D166" s="11" t="n">
        <f aca="false">D163*D165</f>
        <v>1082.46055216514</v>
      </c>
      <c r="E166" s="11" t="n">
        <f aca="false">E163*E165</f>
        <v>1329.70645264327</v>
      </c>
      <c r="F166" s="11" t="n">
        <f aca="false">F163*F165</f>
        <v>1411.83485999061</v>
      </c>
      <c r="G166" s="11" t="n">
        <f aca="false">G163*G165</f>
        <v>1454.53519811591</v>
      </c>
    </row>
    <row r="167" customFormat="false" ht="17.15" hidden="false" customHeight="false" outlineLevel="0" collapsed="false">
      <c r="A167" s="5" t="s">
        <v>596</v>
      </c>
      <c r="B167" s="0" t="s">
        <v>347</v>
      </c>
      <c r="C167" s="11" t="n">
        <f aca="false">opex25</f>
        <v>226.5898</v>
      </c>
      <c r="D167" s="11" t="n">
        <f aca="false">opex_fix+opex_var*D163</f>
        <v>285.628857922258</v>
      </c>
      <c r="E167" s="11" t="n">
        <f aca="false">opex_fix+opex_var*E163</f>
        <v>329.903111435626</v>
      </c>
      <c r="F167" s="11" t="n">
        <f aca="false">opex_fix+opex_var*F163</f>
        <v>350.434464147882</v>
      </c>
      <c r="G167" s="11" t="n">
        <f aca="false">opex_fix+opex_var*G163</f>
        <v>364.026515922441</v>
      </c>
      <c r="H167" s="5" t="s">
        <v>597</v>
      </c>
    </row>
    <row r="168" customFormat="false" ht="15" hidden="false" customHeight="false" outlineLevel="0" collapsed="false">
      <c r="A168" s="5" t="s">
        <v>470</v>
      </c>
      <c r="B168" s="0" t="s">
        <v>347</v>
      </c>
      <c r="C168" s="11" t="n">
        <f aca="false">C166-C167</f>
        <v>499.1</v>
      </c>
      <c r="D168" s="11" t="n">
        <f aca="false">D166-D167</f>
        <v>796.83169424288</v>
      </c>
      <c r="E168" s="11" t="n">
        <f aca="false">E166-E167</f>
        <v>999.803341207643</v>
      </c>
      <c r="F168" s="11" t="n">
        <f aca="false">F166-F167</f>
        <v>1061.40039584272</v>
      </c>
      <c r="G168" s="11" t="n">
        <f aca="false">G166-G167</f>
        <v>1090.50868219347</v>
      </c>
    </row>
    <row r="169" customFormat="false" ht="15" hidden="false" customHeight="false" outlineLevel="0" collapsed="false">
      <c r="A169" s="5" t="s">
        <v>473</v>
      </c>
      <c r="B169" s="0" t="s">
        <v>38</v>
      </c>
      <c r="C169" s="14" t="n">
        <f aca="false">C168/C163</f>
        <v>0.442229310650363</v>
      </c>
      <c r="D169" s="14" t="n">
        <f aca="false">D168/D163</f>
        <v>0.485058749408744</v>
      </c>
      <c r="E169" s="14" t="n">
        <f aca="false">E168/E163</f>
        <v>0.492920977653399</v>
      </c>
      <c r="F169" s="14" t="n">
        <f aca="false">F168/F163</f>
        <v>0.480897273377673</v>
      </c>
      <c r="G169" s="14" t="n">
        <f aca="false">G168/G163</f>
        <v>0.468936357644773</v>
      </c>
    </row>
    <row r="170" customFormat="false" ht="15" hidden="false" customHeight="false" outlineLevel="0" collapsed="false">
      <c r="A170" s="5" t="s">
        <v>493</v>
      </c>
      <c r="B170" s="0" t="s">
        <v>347</v>
      </c>
      <c r="C170" s="11" t="n">
        <f aca="false">a25_ni</f>
        <v>375.4</v>
      </c>
      <c r="D170" s="11" t="n">
        <f aca="false">D168*nioi</f>
        <v>599.340048124178</v>
      </c>
      <c r="E170" s="11" t="n">
        <f aca="false">E168*nioi</f>
        <v>752.005959305448</v>
      </c>
      <c r="F170" s="11" t="n">
        <f aca="false">F168*nioi</f>
        <v>798.336422759684</v>
      </c>
      <c r="G170" s="11" t="n">
        <f aca="false">G168*nioi</f>
        <v>820.230333190599</v>
      </c>
    </row>
    <row r="171" customFormat="false" ht="15" hidden="false" customHeight="false" outlineLevel="0" collapsed="false">
      <c r="A171" s="0" t="s">
        <v>562</v>
      </c>
      <c r="B171" s="0" t="s">
        <v>396</v>
      </c>
      <c r="C171" s="11" t="n">
        <f aca="false">a25_eps</f>
        <v>515.15</v>
      </c>
      <c r="D171" s="11" t="n">
        <f aca="false">D170*1000/shares</f>
        <v>827.852062836251</v>
      </c>
      <c r="E171" s="11" t="n">
        <f aca="false">E170*1000/shares</f>
        <v>1038.72532233518</v>
      </c>
      <c r="F171" s="11" t="n">
        <f aca="false">F170*1000/shares</f>
        <v>1102.72032794642</v>
      </c>
      <c r="G171" s="11" t="n">
        <f aca="false">G170*1000/shares</f>
        <v>1132.961789318</v>
      </c>
    </row>
    <row r="172" customFormat="false" ht="17.15" hidden="false" customHeight="false" outlineLevel="0" collapsed="false">
      <c r="A172" s="5" t="s">
        <v>598</v>
      </c>
      <c r="B172" s="0" t="s">
        <v>148</v>
      </c>
      <c r="C172" s="12" t="n">
        <f aca="false">C163/fx</f>
        <v>7.524</v>
      </c>
      <c r="D172" s="12" t="n">
        <f aca="false">D163/fx</f>
        <v>10.951686370832</v>
      </c>
      <c r="E172" s="12" t="n">
        <f aca="false">E163/fx</f>
        <v>13.522158541075</v>
      </c>
      <c r="F172" s="12" t="n">
        <f aca="false">F163/fx</f>
        <v>14.7141666852296</v>
      </c>
      <c r="G172" s="12" t="n">
        <f aca="false">G163/fx</f>
        <v>15.5032932780123</v>
      </c>
      <c r="H172" s="8" t="s">
        <v>599</v>
      </c>
    </row>
    <row r="178" customFormat="false" ht="17.15" hidden="false" customHeight="false" outlineLevel="0" collapsed="false">
      <c r="A178" s="4" t="s">
        <v>816</v>
      </c>
    </row>
    <row r="179" customFormat="false" ht="17.15" hidden="false" customHeight="false" outlineLevel="0" collapsed="false">
      <c r="A179" s="6" t="s">
        <v>16</v>
      </c>
      <c r="B179" s="6" t="s">
        <v>17</v>
      </c>
      <c r="C179" s="9" t="s">
        <v>567</v>
      </c>
      <c r="D179" s="9" t="s">
        <v>568</v>
      </c>
      <c r="E179" s="9" t="s">
        <v>569</v>
      </c>
      <c r="F179" s="9" t="s">
        <v>570</v>
      </c>
      <c r="G179" s="9" t="s">
        <v>571</v>
      </c>
      <c r="H179" s="6" t="s">
        <v>508</v>
      </c>
    </row>
    <row r="180" customFormat="false" ht="17.15" hidden="false" customHeight="false" outlineLevel="0" collapsed="false">
      <c r="A180" s="1" t="s">
        <v>572</v>
      </c>
    </row>
    <row r="181" customFormat="false" ht="17.15" hidden="false" customHeight="false" outlineLevel="0" collapsed="false">
      <c r="A181" s="5" t="s">
        <v>573</v>
      </c>
      <c r="B181" s="5" t="s">
        <v>27</v>
      </c>
      <c r="C181" s="15" t="n">
        <f aca="false">u_bw_26*tt_bw_lo+u_rb_26*tt_rb_lo+u_ru_26*tt_ru_lo+u_hp_26*tt_hp_lo+u_amd_26*tt_amd_lo+u_tpu_26*tt_tpu_lo+u_trn_26*tt_trn_lo+u_oth_26*tt_oth_lo</f>
        <v>12.435</v>
      </c>
      <c r="D181" s="15" t="n">
        <f aca="false">u_bw_27*tt_bw_lo+u_rb_27*tt_rb_lo+u_ru_27*tt_ru_lo+u_hp_27*tt_hp_lo+u_amd_27*tt_amd_lo+u_tpu_27*tt_tpu_lo+u_trn_27*tt_trn_lo+u_oth_27*tt_oth_lo</f>
        <v>19.75</v>
      </c>
      <c r="E181" s="15" t="n">
        <f aca="false">u_bw_28*um28_A*tt_bw_lo+u_rb_28*um28_A*tt_rb_lo+u_ru_28*um28_A*tt_ru_lo+u_hp_28*um28_A*tt_hp_lo+u_amd_28*um28_A*tt_amd_lo+u_tpu_28*um28_A*tt_tpu_lo+u_trn_28*um28_A*tt_trn_lo+u_oth_28*um28_A*tt_oth_lo</f>
        <v>22.45</v>
      </c>
      <c r="F181" s="15" t="n">
        <f aca="false">u_bw_28*(1+g29_bw)*um29_A*tt_bw_lo+u_rb_28*(1+g29_rb)*um29_A*tt_rb_lo+u_ru_28*(1+g29_ru)*um29_A*tt_ru_lo+u_hp_28*(1+g29_hp)*um29_A*tt_hp_lo+u_amd_28*(1+g29_amd)*um29_A*tt_amd_lo+u_tpu_28*(1+g29_tpu)*um29_A*tt_tpu_lo+u_trn_28*(1+g29_trn)*um29_A*tt_trn_lo+u_oth_28*(1+g29_oth)*um29_A*tt_oth_lo</f>
        <v>25.525</v>
      </c>
      <c r="G181" s="15" t="n">
        <f aca="false">F181*(1+cy30g)</f>
        <v>25.525</v>
      </c>
      <c r="H181" s="8" t="s">
        <v>574</v>
      </c>
    </row>
    <row r="182" customFormat="false" ht="17.15" hidden="false" customHeight="false" outlineLevel="0" collapsed="false">
      <c r="A182" s="5" t="s">
        <v>575</v>
      </c>
      <c r="B182" s="0" t="s">
        <v>576</v>
      </c>
      <c r="C182" s="18" t="n">
        <f aca="false">(mk_soc26-nonai26)/C181</f>
        <v>0.538801769199839</v>
      </c>
      <c r="H182" s="5" t="s">
        <v>577</v>
      </c>
    </row>
    <row r="183" customFormat="false" ht="17.15" hidden="false" customHeight="false" outlineLevel="0" collapsed="false">
      <c r="A183" s="0" t="s">
        <v>578</v>
      </c>
      <c r="B183" s="0" t="s">
        <v>148</v>
      </c>
      <c r="C183" s="15" t="n">
        <f aca="false">$C$182*C181*(1-0)^0</f>
        <v>6.7</v>
      </c>
      <c r="D183" s="15" t="n">
        <f aca="false">$C$182*D181*(1-0)^1</f>
        <v>10.6413349416968</v>
      </c>
      <c r="E183" s="15" t="n">
        <f aca="false">$C$182*E181*(1-0)^2</f>
        <v>12.0960997185364</v>
      </c>
      <c r="F183" s="15" t="n">
        <f aca="false">$C$182*F181*(1-0)^3</f>
        <v>13.7529151588259</v>
      </c>
      <c r="G183" s="15" t="n">
        <f aca="false">$C$182*G181*(1-0)^4</f>
        <v>13.7529151588259</v>
      </c>
    </row>
    <row r="184" customFormat="false" ht="17.15" hidden="false" customHeight="false" outlineLevel="0" collapsed="false">
      <c r="A184" s="5" t="s">
        <v>579</v>
      </c>
      <c r="B184" s="0" t="s">
        <v>148</v>
      </c>
      <c r="C184" s="15" t="n">
        <f aca="false">nonai26*(1+g_nonai)^0</f>
        <v>4.3</v>
      </c>
      <c r="D184" s="15" t="n">
        <f aca="false">nonai26*(1+g_nonai)^1</f>
        <v>4.472</v>
      </c>
      <c r="E184" s="15" t="n">
        <f aca="false">nonai26*(1+g_nonai)^2</f>
        <v>4.65088</v>
      </c>
      <c r="F184" s="15" t="n">
        <f aca="false">nonai26*(1+g_nonai)^3</f>
        <v>4.8369152</v>
      </c>
      <c r="G184" s="15" t="n">
        <f aca="false">nonai26*(1+g_nonai)^4</f>
        <v>5.030391808</v>
      </c>
    </row>
    <row r="185" customFormat="false" ht="17.15" hidden="false" customHeight="false" outlineLevel="0" collapsed="false">
      <c r="A185" s="0" t="s">
        <v>580</v>
      </c>
      <c r="B185" s="0" t="s">
        <v>148</v>
      </c>
      <c r="C185" s="15" t="n">
        <f aca="false">C183+C184</f>
        <v>11</v>
      </c>
      <c r="D185" s="15" t="n">
        <f aca="false">D183+D184</f>
        <v>15.1133349416968</v>
      </c>
      <c r="E185" s="15" t="n">
        <f aca="false">E183+E184</f>
        <v>16.7469797185364</v>
      </c>
      <c r="F185" s="15" t="n">
        <f aca="false">F183+F184</f>
        <v>18.5898303588259</v>
      </c>
      <c r="G185" s="15" t="n">
        <f aca="false">G183+G184</f>
        <v>18.7833069668259</v>
      </c>
      <c r="H185" s="8" t="s">
        <v>581</v>
      </c>
    </row>
    <row r="186" customFormat="false" ht="17.15" hidden="false" customHeight="false" outlineLevel="0" collapsed="false">
      <c r="A186" s="5" t="s">
        <v>582</v>
      </c>
      <c r="B186" s="0" t="s">
        <v>148</v>
      </c>
      <c r="C186" s="15" t="n">
        <f aca="false">mk_mem26*(w_hbm*hsA_26/hsA_26+(1-w_hbm)*drA_26/drA_26)</f>
        <v>2.75</v>
      </c>
      <c r="D186" s="15" t="n">
        <f aca="false">mk_mem26*(w_hbm*hsA_27/hsA_26+(1-w_hbm)*drA_27/drA_26)</f>
        <v>3.99150647980462</v>
      </c>
      <c r="E186" s="15" t="n">
        <f aca="false">mk_mem26*(w_hbm*hsA_28/hsA_26+(1-w_hbm)*drA_28/drA_26)</f>
        <v>5.17069526557172</v>
      </c>
      <c r="F186" s="15" t="n">
        <f aca="false">mk_mem26*(w_hbm*hsA_29/hsA_26+(1-w_hbm)*drA_29/drA_26)</f>
        <v>6.33160644779016</v>
      </c>
      <c r="G186" s="15" t="n">
        <f aca="false">F186*(1+cy30g)</f>
        <v>6.33160644779016</v>
      </c>
      <c r="H186" s="8" t="s">
        <v>583</v>
      </c>
    </row>
    <row r="187" customFormat="false" ht="17.15" hidden="false" customHeight="false" outlineLevel="0" collapsed="false">
      <c r="A187" s="1" t="s">
        <v>584</v>
      </c>
    </row>
    <row r="188" customFormat="false" ht="17.15" hidden="false" customHeight="false" outlineLevel="0" collapsed="false">
      <c r="A188" s="0" t="s">
        <v>585</v>
      </c>
      <c r="B188" s="0" t="s">
        <v>148</v>
      </c>
      <c r="C188" s="15" t="n">
        <f aca="false">fmk_soc25</f>
        <v>7.925</v>
      </c>
      <c r="D188" s="15" t="n">
        <f aca="false">0.75*C185+0.25*D185</f>
        <v>12.0283337354242</v>
      </c>
      <c r="E188" s="15" t="n">
        <f aca="false">0.75*D185+0.25*E185</f>
        <v>15.5217461359067</v>
      </c>
      <c r="F188" s="15" t="n">
        <f aca="false">0.75*E185+0.25*F185</f>
        <v>17.2076923786088</v>
      </c>
      <c r="G188" s="15" t="n">
        <f aca="false">0.75*F185+0.25*G185</f>
        <v>18.6381995108259</v>
      </c>
    </row>
    <row r="189" customFormat="false" ht="17.15" hidden="false" customHeight="false" outlineLevel="0" collapsed="false">
      <c r="A189" s="5" t="s">
        <v>586</v>
      </c>
      <c r="B189" s="0" t="s">
        <v>148</v>
      </c>
      <c r="C189" s="15" t="n">
        <f aca="false">fmk_mem25</f>
        <v>2.2625</v>
      </c>
      <c r="D189" s="15" t="n">
        <f aca="false">0.75*C186+0.25*D186</f>
        <v>3.06037661995115</v>
      </c>
      <c r="E189" s="15" t="n">
        <f aca="false">0.75*D186+0.25*E186</f>
        <v>4.28630367624639</v>
      </c>
      <c r="F189" s="15" t="n">
        <f aca="false">0.75*E186+0.25*F186</f>
        <v>5.46092306112633</v>
      </c>
      <c r="G189" s="15" t="n">
        <f aca="false">0.75*F186+0.25*G186</f>
        <v>6.33160644779016</v>
      </c>
    </row>
    <row r="190" customFormat="false" ht="17.15" hidden="false" customHeight="false" outlineLevel="0" collapsed="false">
      <c r="A190" s="0" t="s">
        <v>587</v>
      </c>
      <c r="B190" s="0" t="s">
        <v>38</v>
      </c>
      <c r="C190" s="14" t="n">
        <f aca="false">a25_soc/(C188*fx)</f>
        <v>0.645552050473186</v>
      </c>
      <c r="D190" s="14" t="n">
        <f aca="false">sh_soc</f>
        <v>0.66</v>
      </c>
      <c r="E190" s="14" t="n">
        <f aca="false">sh_soc</f>
        <v>0.66</v>
      </c>
      <c r="F190" s="14" t="n">
        <f aca="false">sh_soc</f>
        <v>0.66</v>
      </c>
      <c r="G190" s="14" t="n">
        <f aca="false">sh_soc</f>
        <v>0.66</v>
      </c>
      <c r="H190" s="8" t="s">
        <v>588</v>
      </c>
    </row>
    <row r="191" customFormat="false" ht="17.15" hidden="false" customHeight="false" outlineLevel="0" collapsed="false">
      <c r="A191" s="0" t="s">
        <v>589</v>
      </c>
      <c r="B191" s="0" t="s">
        <v>347</v>
      </c>
      <c r="C191" s="11" t="n">
        <f aca="false">a25_soc</f>
        <v>767.4</v>
      </c>
      <c r="D191" s="11" t="n">
        <f aca="false">D188*D190*fx</f>
        <v>1190.805039807</v>
      </c>
      <c r="E191" s="11" t="n">
        <f aca="false">E188*E190*fx</f>
        <v>1536.65286745477</v>
      </c>
      <c r="F191" s="11" t="n">
        <f aca="false">F188*F190*fx</f>
        <v>1703.56154548227</v>
      </c>
      <c r="G191" s="11" t="n">
        <f aca="false">G188*G190*fx</f>
        <v>1845.18175157176</v>
      </c>
      <c r="H191" s="5" t="s">
        <v>590</v>
      </c>
    </row>
    <row r="192" customFormat="false" ht="15" hidden="false" customHeight="false" outlineLevel="0" collapsed="false">
      <c r="A192" s="5" t="s">
        <v>591</v>
      </c>
      <c r="B192" s="0" t="s">
        <v>347</v>
      </c>
      <c r="C192" s="11" t="n">
        <f aca="false">a25_mem</f>
        <v>171.5</v>
      </c>
      <c r="D192" s="11" t="n">
        <f aca="false">D189*sh_mem*fx</f>
        <v>231.979929423922</v>
      </c>
      <c r="E192" s="11" t="n">
        <f aca="false">E189*sh_mem*fx</f>
        <v>324.906554906633</v>
      </c>
      <c r="F192" s="11" t="n">
        <f aca="false">F189*sh_mem*fx</f>
        <v>413.944002202504</v>
      </c>
      <c r="G192" s="11" t="n">
        <f aca="false">G189*sh_mem*fx</f>
        <v>479.942764992713</v>
      </c>
    </row>
    <row r="193" customFormat="false" ht="15" hidden="false" customHeight="false" outlineLevel="0" collapsed="false">
      <c r="A193" s="5" t="s">
        <v>592</v>
      </c>
      <c r="B193" s="0" t="s">
        <v>347</v>
      </c>
      <c r="C193" s="11" t="n">
        <f aca="false">a25_oth</f>
        <v>80.5</v>
      </c>
      <c r="D193" s="11" t="n">
        <f aca="false">C193*(1+g_oth_26)</f>
        <v>104</v>
      </c>
      <c r="E193" s="11" t="n">
        <f aca="false">D193*(1+g_oth_A)</f>
        <v>119.6</v>
      </c>
      <c r="F193" s="11" t="n">
        <f aca="false">E193*(1+g_oth_A)</f>
        <v>137.54</v>
      </c>
      <c r="G193" s="11" t="n">
        <f aca="false">F193*(1+g_oth_A)</f>
        <v>158.171</v>
      </c>
    </row>
    <row r="194" customFormat="false" ht="15" hidden="false" customHeight="false" outlineLevel="0" collapsed="false">
      <c r="A194" s="5" t="s">
        <v>593</v>
      </c>
      <c r="B194" s="0" t="s">
        <v>347</v>
      </c>
      <c r="C194" s="11" t="n">
        <f aca="false">a25_svc</f>
        <v>109.2</v>
      </c>
      <c r="D194" s="11" t="n">
        <f aca="false">C194*(1+g_svc_26)</f>
        <v>135.6</v>
      </c>
      <c r="E194" s="11" t="n">
        <f aca="false">D194*(1+g_svc_A)</f>
        <v>151.872</v>
      </c>
      <c r="F194" s="11" t="n">
        <f aca="false">E194*(1+g_svc_A)</f>
        <v>170.09664</v>
      </c>
      <c r="G194" s="11" t="n">
        <f aca="false">F194*(1+g_svc_A)</f>
        <v>190.5082368</v>
      </c>
    </row>
    <row r="195" customFormat="false" ht="15" hidden="false" customHeight="false" outlineLevel="0" collapsed="false">
      <c r="A195" s="5" t="s">
        <v>459</v>
      </c>
      <c r="B195" s="0" t="s">
        <v>347</v>
      </c>
      <c r="C195" s="11" t="n">
        <f aca="false">C191+C192+C193+C194</f>
        <v>1128.6</v>
      </c>
      <c r="D195" s="11" t="n">
        <f aca="false">D191+D192+D193+D194</f>
        <v>1662.38496923092</v>
      </c>
      <c r="E195" s="11" t="n">
        <f aca="false">E191+E192+E193+E194</f>
        <v>2133.0314223614</v>
      </c>
      <c r="F195" s="11" t="n">
        <f aca="false">F191+F192+F193+F194</f>
        <v>2425.14218768477</v>
      </c>
      <c r="G195" s="11" t="n">
        <f aca="false">G191+G192+G193+G194</f>
        <v>2673.80375336448</v>
      </c>
    </row>
    <row r="196" customFormat="false" ht="17.15" hidden="false" customHeight="false" outlineLevel="0" collapsed="false">
      <c r="A196" s="0" t="s">
        <v>594</v>
      </c>
      <c r="B196" s="0" t="s">
        <v>38</v>
      </c>
      <c r="C196" s="14" t="n">
        <f aca="false">C191/C195</f>
        <v>0.679957469431154</v>
      </c>
      <c r="D196" s="14" t="n">
        <f aca="false">D191/D195</f>
        <v>0.716323271593287</v>
      </c>
      <c r="E196" s="14" t="n">
        <f aca="false">E191/E195</f>
        <v>0.720407984310702</v>
      </c>
      <c r="F196" s="14" t="n">
        <f aca="false">F191/F195</f>
        <v>0.702458418369531</v>
      </c>
      <c r="G196" s="14" t="n">
        <f aca="false">G191/G195</f>
        <v>0.690096178244178</v>
      </c>
    </row>
    <row r="197" customFormat="false" ht="17.15" hidden="false" customHeight="false" outlineLevel="0" collapsed="false">
      <c r="A197" s="5" t="s">
        <v>463</v>
      </c>
      <c r="B197" s="0" t="s">
        <v>38</v>
      </c>
      <c r="C197" s="14" t="n">
        <f aca="false">a25_gp/a25_rev</f>
        <v>0.643</v>
      </c>
      <c r="D197" s="14" t="n">
        <f aca="false">gm_a+gm_b*D196+0</f>
        <v>0.660568619663022</v>
      </c>
      <c r="E197" s="14" t="n">
        <f aca="false">gm_a+gm_b*E196+0</f>
        <v>0.662541978145397</v>
      </c>
      <c r="F197" s="14" t="n">
        <f aca="false">gm_a+gm_b*F196+0</f>
        <v>0.653870394448966</v>
      </c>
      <c r="G197" s="14" t="n">
        <f aca="false">gm_a+gm_b*G196+0</f>
        <v>0.64789809404495</v>
      </c>
      <c r="H197" s="5" t="s">
        <v>595</v>
      </c>
    </row>
    <row r="198" customFormat="false" ht="15" hidden="false" customHeight="false" outlineLevel="0" collapsed="false">
      <c r="A198" s="5" t="s">
        <v>467</v>
      </c>
      <c r="B198" s="0" t="s">
        <v>347</v>
      </c>
      <c r="C198" s="11" t="n">
        <f aca="false">C195*C197</f>
        <v>725.6898</v>
      </c>
      <c r="D198" s="11" t="n">
        <f aca="false">D195*D197</f>
        <v>1098.11934447342</v>
      </c>
      <c r="E198" s="11" t="n">
        <f aca="false">E195*E197</f>
        <v>1413.22285801761</v>
      </c>
      <c r="F198" s="11" t="n">
        <f aca="false">F195*F197</f>
        <v>1585.72867885627</v>
      </c>
      <c r="G198" s="11" t="n">
        <f aca="false">G195*G197</f>
        <v>1732.35235565508</v>
      </c>
    </row>
    <row r="199" customFormat="false" ht="17.15" hidden="false" customHeight="false" outlineLevel="0" collapsed="false">
      <c r="A199" s="5" t="s">
        <v>596</v>
      </c>
      <c r="B199" s="0" t="s">
        <v>347</v>
      </c>
      <c r="C199" s="11" t="n">
        <f aca="false">opex25</f>
        <v>226.5898</v>
      </c>
      <c r="D199" s="11" t="n">
        <f aca="false">opex_fix+opex_var*D195</f>
        <v>287.883159051411</v>
      </c>
      <c r="E199" s="11" t="n">
        <f aca="false">opex_fix+opex_var*E195</f>
        <v>341.926460569556</v>
      </c>
      <c r="F199" s="11" t="n">
        <f aca="false">opex_fix+opex_var*F195</f>
        <v>375.468900042037</v>
      </c>
      <c r="G199" s="11" t="n">
        <f aca="false">opex_fix+opex_var*G195</f>
        <v>404.022163071252</v>
      </c>
      <c r="H199" s="5" t="s">
        <v>597</v>
      </c>
    </row>
    <row r="200" customFormat="false" ht="15" hidden="false" customHeight="false" outlineLevel="0" collapsed="false">
      <c r="A200" s="5" t="s">
        <v>470</v>
      </c>
      <c r="B200" s="0" t="s">
        <v>347</v>
      </c>
      <c r="C200" s="11" t="n">
        <f aca="false">C198-C199</f>
        <v>499.1</v>
      </c>
      <c r="D200" s="11" t="n">
        <f aca="false">D198-D199</f>
        <v>810.236185422012</v>
      </c>
      <c r="E200" s="11" t="n">
        <f aca="false">E198-E199</f>
        <v>1071.29639744805</v>
      </c>
      <c r="F200" s="11" t="n">
        <f aca="false">F198-F199</f>
        <v>1210.25977881423</v>
      </c>
      <c r="G200" s="11" t="n">
        <f aca="false">G198-G199</f>
        <v>1328.33019258382</v>
      </c>
    </row>
    <row r="201" customFormat="false" ht="15" hidden="false" customHeight="false" outlineLevel="0" collapsed="false">
      <c r="A201" s="5" t="s">
        <v>473</v>
      </c>
      <c r="B201" s="0" t="s">
        <v>38</v>
      </c>
      <c r="C201" s="14" t="n">
        <f aca="false">C200/C195</f>
        <v>0.442229310650363</v>
      </c>
      <c r="D201" s="14" t="n">
        <f aca="false">D200/D195</f>
        <v>0.487393835013353</v>
      </c>
      <c r="E201" s="14" t="n">
        <f aca="false">E200/E195</f>
        <v>0.502241263873208</v>
      </c>
      <c r="F201" s="14" t="n">
        <f aca="false">F200/F195</f>
        <v>0.499046936282792</v>
      </c>
      <c r="G201" s="14" t="n">
        <f aca="false">G200/G195</f>
        <v>0.496794198494326</v>
      </c>
    </row>
    <row r="202" customFormat="false" ht="15" hidden="false" customHeight="false" outlineLevel="0" collapsed="false">
      <c r="A202" s="5" t="s">
        <v>493</v>
      </c>
      <c r="B202" s="0" t="s">
        <v>347</v>
      </c>
      <c r="C202" s="11" t="n">
        <f aca="false">a25_ni</f>
        <v>375.4</v>
      </c>
      <c r="D202" s="11" t="n">
        <f aca="false">D200*nioi</f>
        <v>609.422288133487</v>
      </c>
      <c r="E202" s="11" t="n">
        <f aca="false">E200*nioi</f>
        <v>805.77973873372</v>
      </c>
      <c r="F202" s="11" t="n">
        <f aca="false">F200*nioi</f>
        <v>910.301584786341</v>
      </c>
      <c r="G202" s="11" t="n">
        <f aca="false">G200*nioi</f>
        <v>999.108704259603</v>
      </c>
    </row>
    <row r="203" customFormat="false" ht="15" hidden="false" customHeight="false" outlineLevel="0" collapsed="false">
      <c r="A203" s="0" t="s">
        <v>562</v>
      </c>
      <c r="B203" s="0" t="s">
        <v>396</v>
      </c>
      <c r="C203" s="11" t="n">
        <f aca="false">a25_eps</f>
        <v>515.15</v>
      </c>
      <c r="D203" s="11" t="n">
        <f aca="false">D202*1000/shares</f>
        <v>841.778385990927</v>
      </c>
      <c r="E203" s="11" t="n">
        <f aca="false">E202*1000/shares</f>
        <v>1113.00157730183</v>
      </c>
      <c r="F203" s="11" t="n">
        <f aca="false">F202*1000/shares</f>
        <v>1257.37475265852</v>
      </c>
      <c r="G203" s="11" t="n">
        <f aca="false">G202*1000/shares</f>
        <v>1380.04160477458</v>
      </c>
    </row>
    <row r="204" customFormat="false" ht="17.15" hidden="false" customHeight="false" outlineLevel="0" collapsed="false">
      <c r="A204" s="5" t="s">
        <v>598</v>
      </c>
      <c r="B204" s="0" t="s">
        <v>148</v>
      </c>
      <c r="C204" s="12" t="n">
        <f aca="false">C195/fx</f>
        <v>7.524</v>
      </c>
      <c r="D204" s="12" t="n">
        <f aca="false">D195/fx</f>
        <v>11.0825664615395</v>
      </c>
      <c r="E204" s="12" t="n">
        <f aca="false">E195/fx</f>
        <v>14.2202094824093</v>
      </c>
      <c r="F204" s="12" t="n">
        <f aca="false">F195/fx</f>
        <v>16.1676145845651</v>
      </c>
      <c r="G204" s="12" t="n">
        <f aca="false">G195/fx</f>
        <v>17.8253583557632</v>
      </c>
      <c r="H204" s="8" t="s">
        <v>599</v>
      </c>
    </row>
    <row r="210" customFormat="false" ht="17.15" hidden="false" customHeight="false" outlineLevel="0" collapsed="false">
      <c r="A210" s="4" t="s">
        <v>817</v>
      </c>
    </row>
    <row r="211" customFormat="false" ht="17.15" hidden="false" customHeight="false" outlineLevel="0" collapsed="false">
      <c r="A211" s="6" t="s">
        <v>16</v>
      </c>
      <c r="B211" s="6" t="s">
        <v>17</v>
      </c>
      <c r="C211" s="9" t="s">
        <v>567</v>
      </c>
      <c r="D211" s="9" t="s">
        <v>568</v>
      </c>
      <c r="E211" s="9" t="s">
        <v>569</v>
      </c>
      <c r="F211" s="9" t="s">
        <v>570</v>
      </c>
      <c r="G211" s="9" t="s">
        <v>571</v>
      </c>
      <c r="H211" s="6" t="s">
        <v>508</v>
      </c>
    </row>
    <row r="212" customFormat="false" ht="17.15" hidden="false" customHeight="false" outlineLevel="0" collapsed="false">
      <c r="A212" s="1" t="s">
        <v>572</v>
      </c>
    </row>
    <row r="213" customFormat="false" ht="17.15" hidden="false" customHeight="false" outlineLevel="0" collapsed="false">
      <c r="A213" s="5" t="s">
        <v>573</v>
      </c>
      <c r="B213" s="5" t="s">
        <v>27</v>
      </c>
      <c r="C213" s="15" t="n">
        <f aca="false">u_bw_26*tt_bw_hi+u_rb_26*tt_rb_hi+u_ru_26*tt_ru_hi+u_hp_26*tt_hp_hi+u_amd_26*tt_amd_hi+u_tpu_26*tt_tpu_hi+u_trn_26*tt_trn_hi+u_oth_26*tt_oth_hi</f>
        <v>18.315</v>
      </c>
      <c r="D213" s="15" t="n">
        <f aca="false">u_bw_27*tt_bw_hi+u_rb_27*tt_rb_hi+u_ru_27*tt_ru_hi+u_hp_27*tt_hp_hi+u_amd_27*tt_amd_hi+u_tpu_27*tt_tpu_hi+u_trn_27*tt_trn_hi+u_oth_27*tt_oth_hi</f>
        <v>31</v>
      </c>
      <c r="E213" s="15" t="n">
        <f aca="false">u_bw_28*um28_A*tt_bw_hi+u_rb_28*um28_A*tt_rb_hi+u_ru_28*um28_A*tt_ru_hi+u_hp_28*um28_A*tt_hp_hi+u_amd_28*um28_A*tt_amd_hi+u_tpu_28*um28_A*tt_tpu_hi+u_trn_28*um28_A*tt_trn_hi+u_oth_28*um28_A*tt_oth_hi</f>
        <v>36.35</v>
      </c>
      <c r="F213" s="15" t="n">
        <f aca="false">u_bw_28*(1+g29_bw)*um29_A*tt_bw_hi+u_rb_28*(1+g29_rb)*um29_A*tt_rb_hi+u_ru_28*(1+g29_ru)*um29_A*tt_ru_hi+u_hp_28*(1+g29_hp)*um29_A*tt_hp_hi+u_amd_28*(1+g29_amd)*um29_A*tt_amd_hi+u_tpu_28*(1+g29_tpu)*um29_A*tt_tpu_hi+u_trn_28*(1+g29_trn)*um29_A*tt_trn_hi+u_oth_28*(1+g29_oth)*um29_A*tt_oth_hi</f>
        <v>41.445</v>
      </c>
      <c r="G213" s="15" t="n">
        <f aca="false">F213*(1+cy30g)</f>
        <v>41.445</v>
      </c>
      <c r="H213" s="8" t="s">
        <v>574</v>
      </c>
    </row>
    <row r="214" customFormat="false" ht="17.15" hidden="false" customHeight="false" outlineLevel="0" collapsed="false">
      <c r="A214" s="5" t="s">
        <v>575</v>
      </c>
      <c r="B214" s="0" t="s">
        <v>576</v>
      </c>
      <c r="C214" s="18" t="n">
        <f aca="false">(mk_soc26-nonai26)/C213</f>
        <v>0.365820365820366</v>
      </c>
      <c r="H214" s="5" t="s">
        <v>577</v>
      </c>
    </row>
    <row r="215" customFormat="false" ht="17.15" hidden="false" customHeight="false" outlineLevel="0" collapsed="false">
      <c r="A215" s="0" t="s">
        <v>578</v>
      </c>
      <c r="B215" s="0" t="s">
        <v>148</v>
      </c>
      <c r="C215" s="15" t="n">
        <f aca="false">$C$214*C213*(1-0)^0</f>
        <v>6.7</v>
      </c>
      <c r="D215" s="15" t="n">
        <f aca="false">$C$214*D213*(1-0)^1</f>
        <v>11.3404313404313</v>
      </c>
      <c r="E215" s="15" t="n">
        <f aca="false">$C$214*E213*(1-0)^2</f>
        <v>13.2975702975703</v>
      </c>
      <c r="F215" s="15" t="n">
        <f aca="false">$C$214*F213*(1-0)^3</f>
        <v>15.1614250614251</v>
      </c>
      <c r="G215" s="15" t="n">
        <f aca="false">$C$214*G213*(1-0)^4</f>
        <v>15.1614250614251</v>
      </c>
    </row>
    <row r="216" customFormat="false" ht="17.15" hidden="false" customHeight="false" outlineLevel="0" collapsed="false">
      <c r="A216" s="5" t="s">
        <v>579</v>
      </c>
      <c r="B216" s="0" t="s">
        <v>148</v>
      </c>
      <c r="C216" s="15" t="n">
        <f aca="false">nonai26*(1+g_nonai)^0</f>
        <v>4.3</v>
      </c>
      <c r="D216" s="15" t="n">
        <f aca="false">nonai26*(1+g_nonai)^1</f>
        <v>4.472</v>
      </c>
      <c r="E216" s="15" t="n">
        <f aca="false">nonai26*(1+g_nonai)^2</f>
        <v>4.65088</v>
      </c>
      <c r="F216" s="15" t="n">
        <f aca="false">nonai26*(1+g_nonai)^3</f>
        <v>4.8369152</v>
      </c>
      <c r="G216" s="15" t="n">
        <f aca="false">nonai26*(1+g_nonai)^4</f>
        <v>5.030391808</v>
      </c>
    </row>
    <row r="217" customFormat="false" ht="17.15" hidden="false" customHeight="false" outlineLevel="0" collapsed="false">
      <c r="A217" s="0" t="s">
        <v>580</v>
      </c>
      <c r="B217" s="0" t="s">
        <v>148</v>
      </c>
      <c r="C217" s="15" t="n">
        <f aca="false">C215+C216</f>
        <v>11</v>
      </c>
      <c r="D217" s="15" t="n">
        <f aca="false">D215+D216</f>
        <v>15.8124313404313</v>
      </c>
      <c r="E217" s="15" t="n">
        <f aca="false">E215+E216</f>
        <v>17.9484502975703</v>
      </c>
      <c r="F217" s="15" t="n">
        <f aca="false">F215+F216</f>
        <v>19.9983402614251</v>
      </c>
      <c r="G217" s="15" t="n">
        <f aca="false">G215+G216</f>
        <v>20.1918168694251</v>
      </c>
      <c r="H217" s="8" t="s">
        <v>581</v>
      </c>
    </row>
    <row r="218" customFormat="false" ht="17.15" hidden="false" customHeight="false" outlineLevel="0" collapsed="false">
      <c r="A218" s="5" t="s">
        <v>582</v>
      </c>
      <c r="B218" s="0" t="s">
        <v>148</v>
      </c>
      <c r="C218" s="15" t="n">
        <f aca="false">mk_mem26*(w_hbm*hsA_26/hsA_26+(1-w_hbm)*drA_26/drA_26)</f>
        <v>2.75</v>
      </c>
      <c r="D218" s="15" t="n">
        <f aca="false">mk_mem26*(w_hbm*hsA_27/hsA_26+(1-w_hbm)*drA_27/drA_26)</f>
        <v>3.99150647980462</v>
      </c>
      <c r="E218" s="15" t="n">
        <f aca="false">mk_mem26*(w_hbm*hsA_28/hsA_26+(1-w_hbm)*drA_28/drA_26)</f>
        <v>5.17069526557172</v>
      </c>
      <c r="F218" s="15" t="n">
        <f aca="false">mk_mem26*(w_hbm*hsA_29/hsA_26+(1-w_hbm)*drA_29/drA_26)</f>
        <v>6.33160644779016</v>
      </c>
      <c r="G218" s="15" t="n">
        <f aca="false">F218*(1+cy30g)</f>
        <v>6.33160644779016</v>
      </c>
      <c r="H218" s="8" t="s">
        <v>583</v>
      </c>
    </row>
    <row r="219" customFormat="false" ht="17.15" hidden="false" customHeight="false" outlineLevel="0" collapsed="false">
      <c r="A219" s="1" t="s">
        <v>584</v>
      </c>
    </row>
    <row r="220" customFormat="false" ht="17.15" hidden="false" customHeight="false" outlineLevel="0" collapsed="false">
      <c r="A220" s="0" t="s">
        <v>585</v>
      </c>
      <c r="B220" s="0" t="s">
        <v>148</v>
      </c>
      <c r="C220" s="15" t="n">
        <f aca="false">fmk_soc25</f>
        <v>7.925</v>
      </c>
      <c r="D220" s="15" t="n">
        <f aca="false">0.75*C217+0.25*D217</f>
        <v>12.2031078351078</v>
      </c>
      <c r="E220" s="15" t="n">
        <f aca="false">0.75*D217+0.25*E217</f>
        <v>16.3464360797161</v>
      </c>
      <c r="F220" s="15" t="n">
        <f aca="false">0.75*E217+0.25*F217</f>
        <v>18.460922788534</v>
      </c>
      <c r="G220" s="15" t="n">
        <f aca="false">0.75*F217+0.25*G217</f>
        <v>20.0467094134251</v>
      </c>
    </row>
    <row r="221" customFormat="false" ht="17.15" hidden="false" customHeight="false" outlineLevel="0" collapsed="false">
      <c r="A221" s="5" t="s">
        <v>586</v>
      </c>
      <c r="B221" s="0" t="s">
        <v>148</v>
      </c>
      <c r="C221" s="15" t="n">
        <f aca="false">fmk_mem25</f>
        <v>2.2625</v>
      </c>
      <c r="D221" s="15" t="n">
        <f aca="false">0.75*C218+0.25*D218</f>
        <v>3.06037661995115</v>
      </c>
      <c r="E221" s="15" t="n">
        <f aca="false">0.75*D218+0.25*E218</f>
        <v>4.28630367624639</v>
      </c>
      <c r="F221" s="15" t="n">
        <f aca="false">0.75*E218+0.25*F218</f>
        <v>5.46092306112633</v>
      </c>
      <c r="G221" s="15" t="n">
        <f aca="false">0.75*F218+0.25*G218</f>
        <v>6.33160644779016</v>
      </c>
    </row>
    <row r="222" customFormat="false" ht="17.15" hidden="false" customHeight="false" outlineLevel="0" collapsed="false">
      <c r="A222" s="0" t="s">
        <v>587</v>
      </c>
      <c r="B222" s="0" t="s">
        <v>38</v>
      </c>
      <c r="C222" s="14" t="n">
        <f aca="false">a25_soc/(C220*fx)</f>
        <v>0.645552050473186</v>
      </c>
      <c r="D222" s="14" t="n">
        <f aca="false">sh_soc</f>
        <v>0.66</v>
      </c>
      <c r="E222" s="14" t="n">
        <f aca="false">sh_soc</f>
        <v>0.66</v>
      </c>
      <c r="F222" s="14" t="n">
        <f aca="false">sh_soc</f>
        <v>0.66</v>
      </c>
      <c r="G222" s="14" t="n">
        <f aca="false">sh_soc</f>
        <v>0.66</v>
      </c>
      <c r="H222" s="8" t="s">
        <v>588</v>
      </c>
    </row>
    <row r="223" customFormat="false" ht="17.15" hidden="false" customHeight="false" outlineLevel="0" collapsed="false">
      <c r="A223" s="0" t="s">
        <v>589</v>
      </c>
      <c r="B223" s="0" t="s">
        <v>347</v>
      </c>
      <c r="C223" s="11" t="n">
        <f aca="false">a25_soc</f>
        <v>767.4</v>
      </c>
      <c r="D223" s="11" t="n">
        <f aca="false">D220*D222*fx</f>
        <v>1208.10767567568</v>
      </c>
      <c r="E223" s="11" t="n">
        <f aca="false">E220*E222*fx</f>
        <v>1618.29717189189</v>
      </c>
      <c r="F223" s="11" t="n">
        <f aca="false">F220*F222*fx</f>
        <v>1827.63135606487</v>
      </c>
      <c r="G223" s="11" t="n">
        <f aca="false">G220*G222*fx</f>
        <v>1984.62423192908</v>
      </c>
      <c r="H223" s="5" t="s">
        <v>590</v>
      </c>
    </row>
    <row r="224" customFormat="false" ht="15" hidden="false" customHeight="false" outlineLevel="0" collapsed="false">
      <c r="A224" s="5" t="s">
        <v>591</v>
      </c>
      <c r="B224" s="0" t="s">
        <v>347</v>
      </c>
      <c r="C224" s="11" t="n">
        <f aca="false">a25_mem</f>
        <v>171.5</v>
      </c>
      <c r="D224" s="11" t="n">
        <f aca="false">D221*sh_mem*fx</f>
        <v>231.979929423922</v>
      </c>
      <c r="E224" s="11" t="n">
        <f aca="false">E221*sh_mem*fx</f>
        <v>324.906554906633</v>
      </c>
      <c r="F224" s="11" t="n">
        <f aca="false">F221*sh_mem*fx</f>
        <v>413.944002202504</v>
      </c>
      <c r="G224" s="11" t="n">
        <f aca="false">G221*sh_mem*fx</f>
        <v>479.942764992713</v>
      </c>
    </row>
    <row r="225" customFormat="false" ht="15" hidden="false" customHeight="false" outlineLevel="0" collapsed="false">
      <c r="A225" s="5" t="s">
        <v>592</v>
      </c>
      <c r="B225" s="0" t="s">
        <v>347</v>
      </c>
      <c r="C225" s="11" t="n">
        <f aca="false">a25_oth</f>
        <v>80.5</v>
      </c>
      <c r="D225" s="11" t="n">
        <f aca="false">C225*(1+g_oth_26)</f>
        <v>104</v>
      </c>
      <c r="E225" s="11" t="n">
        <f aca="false">D225*(1+g_oth_A)</f>
        <v>119.6</v>
      </c>
      <c r="F225" s="11" t="n">
        <f aca="false">E225*(1+g_oth_A)</f>
        <v>137.54</v>
      </c>
      <c r="G225" s="11" t="n">
        <f aca="false">F225*(1+g_oth_A)</f>
        <v>158.171</v>
      </c>
    </row>
    <row r="226" customFormat="false" ht="15" hidden="false" customHeight="false" outlineLevel="0" collapsed="false">
      <c r="A226" s="5" t="s">
        <v>593</v>
      </c>
      <c r="B226" s="0" t="s">
        <v>347</v>
      </c>
      <c r="C226" s="11" t="n">
        <f aca="false">a25_svc</f>
        <v>109.2</v>
      </c>
      <c r="D226" s="11" t="n">
        <f aca="false">C226*(1+g_svc_26)</f>
        <v>135.6</v>
      </c>
      <c r="E226" s="11" t="n">
        <f aca="false">D226*(1+g_svc_A)</f>
        <v>151.872</v>
      </c>
      <c r="F226" s="11" t="n">
        <f aca="false">E226*(1+g_svc_A)</f>
        <v>170.09664</v>
      </c>
      <c r="G226" s="11" t="n">
        <f aca="false">F226*(1+g_svc_A)</f>
        <v>190.5082368</v>
      </c>
    </row>
    <row r="227" customFormat="false" ht="15" hidden="false" customHeight="false" outlineLevel="0" collapsed="false">
      <c r="A227" s="5" t="s">
        <v>459</v>
      </c>
      <c r="B227" s="0" t="s">
        <v>347</v>
      </c>
      <c r="C227" s="11" t="n">
        <f aca="false">C223+C224+C225+C226</f>
        <v>1128.6</v>
      </c>
      <c r="D227" s="11" t="n">
        <f aca="false">D223+D224+D225+D226</f>
        <v>1679.6876050996</v>
      </c>
      <c r="E227" s="11" t="n">
        <f aca="false">E223+E224+E225+E226</f>
        <v>2214.67572679853</v>
      </c>
      <c r="F227" s="11" t="n">
        <f aca="false">F223+F224+F225+F226</f>
        <v>2549.21199826737</v>
      </c>
      <c r="G227" s="11" t="n">
        <f aca="false">G223+G224+G225+G226</f>
        <v>2813.24623372179</v>
      </c>
    </row>
    <row r="228" customFormat="false" ht="17.15" hidden="false" customHeight="false" outlineLevel="0" collapsed="false">
      <c r="A228" s="0" t="s">
        <v>594</v>
      </c>
      <c r="B228" s="0" t="s">
        <v>38</v>
      </c>
      <c r="C228" s="14" t="n">
        <f aca="false">C223/C227</f>
        <v>0.679957469431154</v>
      </c>
      <c r="D228" s="14" t="n">
        <f aca="false">D223/D227</f>
        <v>0.719245454933294</v>
      </c>
      <c r="E228" s="14" t="n">
        <f aca="false">E223/E227</f>
        <v>0.730715179793504</v>
      </c>
      <c r="F228" s="14" t="n">
        <f aca="false">F223/F227</f>
        <v>0.716939727769623</v>
      </c>
      <c r="G228" s="14" t="n">
        <f aca="false">G223/G227</f>
        <v>0.705456994179822</v>
      </c>
    </row>
    <row r="229" customFormat="false" ht="17.15" hidden="false" customHeight="false" outlineLevel="0" collapsed="false">
      <c r="A229" s="5" t="s">
        <v>463</v>
      </c>
      <c r="B229" s="0" t="s">
        <v>38</v>
      </c>
      <c r="C229" s="14" t="n">
        <f aca="false">a25_gp/a25_rev</f>
        <v>0.643</v>
      </c>
      <c r="D229" s="14" t="n">
        <f aca="false">gm_a+gm_b*D228+0</f>
        <v>0.661980350592463</v>
      </c>
      <c r="E229" s="14" t="n">
        <f aca="false">gm_a+gm_b*E228+0</f>
        <v>0.667521469493406</v>
      </c>
      <c r="F229" s="14" t="n">
        <f aca="false">gm_a+gm_b*F228+0</f>
        <v>0.660866434738095</v>
      </c>
      <c r="G229" s="14" t="n">
        <f aca="false">gm_a+gm_b*G228+0</f>
        <v>0.655319031212342</v>
      </c>
      <c r="H229" s="5" t="s">
        <v>595</v>
      </c>
    </row>
    <row r="230" customFormat="false" ht="15" hidden="false" customHeight="false" outlineLevel="0" collapsed="false">
      <c r="A230" s="5" t="s">
        <v>467</v>
      </c>
      <c r="B230" s="0" t="s">
        <v>347</v>
      </c>
      <c r="C230" s="11" t="n">
        <f aca="false">C227*C229</f>
        <v>725.6898</v>
      </c>
      <c r="D230" s="11" t="n">
        <f aca="false">D227*D229</f>
        <v>1111.92018970965</v>
      </c>
      <c r="E230" s="11" t="n">
        <f aca="false">E227*E229</f>
        <v>1478.34359560393</v>
      </c>
      <c r="F230" s="11" t="n">
        <f aca="false">F227*F229</f>
        <v>1684.68864468653</v>
      </c>
      <c r="G230" s="11" t="n">
        <f aca="false">G227*G229</f>
        <v>1843.57379644434</v>
      </c>
    </row>
    <row r="231" customFormat="false" ht="17.15" hidden="false" customHeight="false" outlineLevel="0" collapsed="false">
      <c r="A231" s="5" t="s">
        <v>596</v>
      </c>
      <c r="B231" s="0" t="s">
        <v>347</v>
      </c>
      <c r="C231" s="11" t="n">
        <f aca="false">opex25</f>
        <v>226.5898</v>
      </c>
      <c r="D231" s="11" t="n">
        <f aca="false">opex_fix+opex_var*D227</f>
        <v>289.869982836208</v>
      </c>
      <c r="E231" s="11" t="n">
        <f aca="false">opex_fix+opex_var*E227</f>
        <v>351.30149725067</v>
      </c>
      <c r="F231" s="11" t="n">
        <f aca="false">opex_fix+opex_var*F227</f>
        <v>389.715564683861</v>
      </c>
      <c r="G231" s="11" t="n">
        <f aca="false">opex_fix+opex_var*G227</f>
        <v>420.034037717844</v>
      </c>
      <c r="H231" s="5" t="s">
        <v>597</v>
      </c>
    </row>
    <row r="232" customFormat="false" ht="15" hidden="false" customHeight="false" outlineLevel="0" collapsed="false">
      <c r="A232" s="5" t="s">
        <v>470</v>
      </c>
      <c r="B232" s="0" t="s">
        <v>347</v>
      </c>
      <c r="C232" s="11" t="n">
        <f aca="false">C230-C231</f>
        <v>499.1</v>
      </c>
      <c r="D232" s="11" t="n">
        <f aca="false">D230-D231</f>
        <v>822.050206873439</v>
      </c>
      <c r="E232" s="11" t="n">
        <f aca="false">E230-E231</f>
        <v>1127.04209835326</v>
      </c>
      <c r="F232" s="11" t="n">
        <f aca="false">F230-F231</f>
        <v>1294.97308000267</v>
      </c>
      <c r="G232" s="11" t="n">
        <f aca="false">G230-G231</f>
        <v>1423.53975872649</v>
      </c>
    </row>
    <row r="233" customFormat="false" ht="15" hidden="false" customHeight="false" outlineLevel="0" collapsed="false">
      <c r="A233" s="5" t="s">
        <v>473</v>
      </c>
      <c r="B233" s="0" t="s">
        <v>38</v>
      </c>
      <c r="C233" s="14" t="n">
        <f aca="false">C232/C227</f>
        <v>0.442229310650363</v>
      </c>
      <c r="D233" s="14" t="n">
        <f aca="false">D232/D227</f>
        <v>0.489406604167145</v>
      </c>
      <c r="E233" s="14" t="n">
        <f aca="false">E232/E227</f>
        <v>0.508897119662064</v>
      </c>
      <c r="F233" s="14" t="n">
        <f aca="false">F232/F227</f>
        <v>0.50798955947282</v>
      </c>
      <c r="G233" s="14" t="n">
        <f aca="false">G232/G227</f>
        <v>0.506013210526267</v>
      </c>
    </row>
    <row r="234" customFormat="false" ht="15" hidden="false" customHeight="false" outlineLevel="0" collapsed="false">
      <c r="A234" s="5" t="s">
        <v>493</v>
      </c>
      <c r="B234" s="0" t="s">
        <v>347</v>
      </c>
      <c r="C234" s="11" t="n">
        <f aca="false">a25_ni</f>
        <v>375.4</v>
      </c>
      <c r="D234" s="11" t="n">
        <f aca="false">D232*nioi</f>
        <v>618.308250170885</v>
      </c>
      <c r="E234" s="11" t="n">
        <f aca="false">E232*nioi</f>
        <v>847.709083794456</v>
      </c>
      <c r="F234" s="11" t="n">
        <f aca="false">F232*nioi</f>
        <v>974.019022706876</v>
      </c>
      <c r="G234" s="11" t="n">
        <f aca="false">G232*nioi</f>
        <v>1070.72094855926</v>
      </c>
    </row>
    <row r="235" customFormat="false" ht="15" hidden="false" customHeight="false" outlineLevel="0" collapsed="false">
      <c r="A235" s="0" t="s">
        <v>562</v>
      </c>
      <c r="B235" s="0" t="s">
        <v>396</v>
      </c>
      <c r="C235" s="11" t="n">
        <f aca="false">a25_eps</f>
        <v>515.15</v>
      </c>
      <c r="D235" s="11" t="n">
        <f aca="false">D234*1000/shares</f>
        <v>854.052323008767</v>
      </c>
      <c r="E235" s="11" t="n">
        <f aca="false">E234*1000/shares</f>
        <v>1170.91743810663</v>
      </c>
      <c r="F235" s="11" t="n">
        <f aca="false">F234*1000/shares</f>
        <v>1345.38591190984</v>
      </c>
      <c r="G235" s="11" t="n">
        <f aca="false">G234*1000/shares</f>
        <v>1478.95764476449</v>
      </c>
    </row>
    <row r="236" customFormat="false" ht="17.15" hidden="false" customHeight="false" outlineLevel="0" collapsed="false">
      <c r="A236" s="5" t="s">
        <v>598</v>
      </c>
      <c r="B236" s="0" t="s">
        <v>148</v>
      </c>
      <c r="C236" s="12" t="n">
        <f aca="false">C227/fx</f>
        <v>7.524</v>
      </c>
      <c r="D236" s="12" t="n">
        <f aca="false">D227/fx</f>
        <v>11.1979173673306</v>
      </c>
      <c r="E236" s="12" t="n">
        <f aca="false">E227/fx</f>
        <v>14.7645048453235</v>
      </c>
      <c r="F236" s="12" t="n">
        <f aca="false">F227/fx</f>
        <v>16.9947466551158</v>
      </c>
      <c r="G236" s="12" t="n">
        <f aca="false">G227/fx</f>
        <v>18.7549748914786</v>
      </c>
      <c r="H236" s="8" t="s">
        <v>599</v>
      </c>
    </row>
    <row r="242" customFormat="false" ht="17.15" hidden="false" customHeight="false" outlineLevel="0" collapsed="false">
      <c r="A242" s="4" t="s">
        <v>818</v>
      </c>
    </row>
    <row r="243" customFormat="false" ht="17.15" hidden="false" customHeight="false" outlineLevel="0" collapsed="false">
      <c r="A243" s="6" t="s">
        <v>16</v>
      </c>
      <c r="B243" s="6" t="s">
        <v>17</v>
      </c>
      <c r="C243" s="9" t="s">
        <v>567</v>
      </c>
      <c r="D243" s="9" t="s">
        <v>568</v>
      </c>
      <c r="E243" s="9" t="s">
        <v>569</v>
      </c>
      <c r="F243" s="9" t="s">
        <v>570</v>
      </c>
      <c r="G243" s="9" t="s">
        <v>571</v>
      </c>
      <c r="H243" s="6" t="s">
        <v>508</v>
      </c>
    </row>
    <row r="244" customFormat="false" ht="17.15" hidden="false" customHeight="false" outlineLevel="0" collapsed="false">
      <c r="A244" s="1" t="s">
        <v>572</v>
      </c>
    </row>
    <row r="245" customFormat="false" ht="17.15" hidden="false" customHeight="false" outlineLevel="0" collapsed="false">
      <c r="A245" s="5" t="s">
        <v>573</v>
      </c>
      <c r="B245" s="5" t="s">
        <v>27</v>
      </c>
      <c r="C245" s="15" t="n">
        <f aca="false">u_bw_26*tt_bw+u_rb_26*tt_rb+u_ru_26*tt_ru+u_hp_26*tt_hp+u_amd_26*tt_amd+u_tpu_26*tt_tpu+u_trn_26*tt_trn+u_oth_26*tt_oth</f>
        <v>14.885</v>
      </c>
      <c r="D245" s="15" t="n">
        <f aca="false">u_bw_27*tt_bw+u_rb_27*tt_rb+u_ru_27*tt_ru+u_hp_27*tt_hp+u_amd_27*tt_amd+u_tpu_27*tt_tpu+u_trn_27*tt_trn+u_oth_27*tt_oth</f>
        <v>24.31</v>
      </c>
      <c r="E245" s="15" t="n">
        <f aca="false">u_bw_28*um28_A*tt_bw+u_rb_28*um28_A*tt_rb+u_ru_28*um28_A*tt_ru+u_hp_28*um28_A*tt_hp+u_amd_28*um28_A*tt_amd+u_tpu_28*um28_A*tt_tpu+u_trn_28*um28_A*tt_trn+u_oth_28*um28_A*tt_oth</f>
        <v>28.1</v>
      </c>
      <c r="F24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45" s="15" t="n">
        <f aca="false">F245*(1+cy30g)</f>
        <v>31.99</v>
      </c>
      <c r="H245" s="8" t="s">
        <v>574</v>
      </c>
    </row>
    <row r="246" customFormat="false" ht="17.15" hidden="false" customHeight="false" outlineLevel="0" collapsed="false">
      <c r="A246" s="5" t="s">
        <v>575</v>
      </c>
      <c r="B246" s="0" t="s">
        <v>576</v>
      </c>
      <c r="C246" s="18" t="n">
        <f aca="false">(mk_soc26-nonai26)/C245</f>
        <v>0.450117568021498</v>
      </c>
      <c r="H246" s="5" t="s">
        <v>577</v>
      </c>
    </row>
    <row r="247" customFormat="false" ht="17.15" hidden="false" customHeight="false" outlineLevel="0" collapsed="false">
      <c r="A247" s="0" t="s">
        <v>578</v>
      </c>
      <c r="B247" s="0" t="s">
        <v>148</v>
      </c>
      <c r="C247" s="15" t="n">
        <f aca="false">$C$246*C245*(1-0)^0</f>
        <v>6.7</v>
      </c>
      <c r="D247" s="15" t="n">
        <f aca="false">$C$246*D245*(1-0)^1</f>
        <v>10.9423580786026</v>
      </c>
      <c r="E247" s="15" t="n">
        <f aca="false">$C$246*E245*(1-0)^2</f>
        <v>12.6483036614041</v>
      </c>
      <c r="F247" s="15" t="n">
        <f aca="false">$C$246*F245*(1-0)^3</f>
        <v>14.3992610010077</v>
      </c>
      <c r="G247" s="15" t="n">
        <f aca="false">$C$246*G245*(1-0)^4</f>
        <v>14.3992610010077</v>
      </c>
    </row>
    <row r="248" customFormat="false" ht="17.15" hidden="false" customHeight="false" outlineLevel="0" collapsed="false">
      <c r="A248" s="5" t="s">
        <v>579</v>
      </c>
      <c r="B248" s="0" t="s">
        <v>148</v>
      </c>
      <c r="C248" s="15" t="n">
        <f aca="false">nonai26*(1+g_nonai)^0</f>
        <v>4.3</v>
      </c>
      <c r="D248" s="15" t="n">
        <f aca="false">nonai26*(1+g_nonai)^1</f>
        <v>4.472</v>
      </c>
      <c r="E248" s="15" t="n">
        <f aca="false">nonai26*(1+g_nonai)^2</f>
        <v>4.65088</v>
      </c>
      <c r="F248" s="15" t="n">
        <f aca="false">nonai26*(1+g_nonai)^3</f>
        <v>4.8369152</v>
      </c>
      <c r="G248" s="15" t="n">
        <f aca="false">nonai26*(1+g_nonai)^4</f>
        <v>5.030391808</v>
      </c>
    </row>
    <row r="249" customFormat="false" ht="17.15" hidden="false" customHeight="false" outlineLevel="0" collapsed="false">
      <c r="A249" s="0" t="s">
        <v>580</v>
      </c>
      <c r="B249" s="0" t="s">
        <v>148</v>
      </c>
      <c r="C249" s="15" t="n">
        <f aca="false">C247+C248</f>
        <v>11</v>
      </c>
      <c r="D249" s="15" t="n">
        <f aca="false">D247+D248</f>
        <v>15.4143580786026</v>
      </c>
      <c r="E249" s="15" t="n">
        <f aca="false">E247+E248</f>
        <v>17.2991836614041</v>
      </c>
      <c r="F249" s="15" t="n">
        <f aca="false">F247+F248</f>
        <v>19.2361762010077</v>
      </c>
      <c r="G249" s="15" t="n">
        <f aca="false">G247+G248</f>
        <v>19.4296528090077</v>
      </c>
      <c r="H249" s="8" t="s">
        <v>581</v>
      </c>
    </row>
    <row r="250" customFormat="false" ht="17.15" hidden="false" customHeight="false" outlineLevel="0" collapsed="false">
      <c r="A250" s="5" t="s">
        <v>582</v>
      </c>
      <c r="B250" s="0" t="s">
        <v>148</v>
      </c>
      <c r="C250" s="15" t="n">
        <f aca="false">mk_mem26*(w_hbm*hsA_26/hsA_26+(1-w_hbm)*drA_26/drA_26)</f>
        <v>2.75</v>
      </c>
      <c r="D250" s="15" t="n">
        <f aca="false">mk_mem26*(w_hbm*hsA_27/hsA_26+(1-w_hbm)*drA_27/drA_26)</f>
        <v>3.99150647980462</v>
      </c>
      <c r="E250" s="15" t="n">
        <f aca="false">mk_mem26*(w_hbm*hsA_28/hsA_26+(1-w_hbm)*drA_28/drA_26)</f>
        <v>5.17069526557172</v>
      </c>
      <c r="F250" s="15" t="n">
        <f aca="false">mk_mem26*(w_hbm*hsA_29/hsA_26+(1-w_hbm)*drA_29/drA_26)</f>
        <v>6.33160644779016</v>
      </c>
      <c r="G250" s="15" t="n">
        <f aca="false">F250*(1+cy30g)</f>
        <v>6.33160644779016</v>
      </c>
      <c r="H250" s="8" t="s">
        <v>583</v>
      </c>
    </row>
    <row r="251" customFormat="false" ht="17.15" hidden="false" customHeight="false" outlineLevel="0" collapsed="false">
      <c r="A251" s="1" t="s">
        <v>584</v>
      </c>
    </row>
    <row r="252" customFormat="false" ht="17.15" hidden="false" customHeight="false" outlineLevel="0" collapsed="false">
      <c r="A252" s="0" t="s">
        <v>585</v>
      </c>
      <c r="B252" s="0" t="s">
        <v>148</v>
      </c>
      <c r="C252" s="15" t="n">
        <f aca="false">fmk_soc25</f>
        <v>7.925</v>
      </c>
      <c r="D252" s="15" t="n">
        <f aca="false">0.75*C249+0.25*D249</f>
        <v>12.1035895196507</v>
      </c>
      <c r="E252" s="15" t="n">
        <f aca="false">0.75*D249+0.25*E249</f>
        <v>15.885564474303</v>
      </c>
      <c r="F252" s="15" t="n">
        <f aca="false">0.75*E249+0.25*F249</f>
        <v>17.783431796305</v>
      </c>
      <c r="G252" s="15" t="n">
        <f aca="false">0.75*F249+0.25*G249</f>
        <v>19.2845453530077</v>
      </c>
    </row>
    <row r="253" customFormat="false" ht="17.15" hidden="false" customHeight="false" outlineLevel="0" collapsed="false">
      <c r="A253" s="5" t="s">
        <v>586</v>
      </c>
      <c r="B253" s="0" t="s">
        <v>148</v>
      </c>
      <c r="C253" s="15" t="n">
        <f aca="false">fmk_mem25</f>
        <v>2.2625</v>
      </c>
      <c r="D253" s="15" t="n">
        <f aca="false">0.75*C250+0.25*D250</f>
        <v>3.06037661995115</v>
      </c>
      <c r="E253" s="15" t="n">
        <f aca="false">0.75*D250+0.25*E250</f>
        <v>4.28630367624639</v>
      </c>
      <c r="F253" s="15" t="n">
        <f aca="false">0.75*E250+0.25*F250</f>
        <v>5.46092306112633</v>
      </c>
      <c r="G253" s="15" t="n">
        <f aca="false">0.75*F250+0.25*G250</f>
        <v>6.33160644779016</v>
      </c>
    </row>
    <row r="254" customFormat="false" ht="17.15" hidden="false" customHeight="false" outlineLevel="0" collapsed="false">
      <c r="A254" s="0" t="s">
        <v>587</v>
      </c>
      <c r="B254" s="0" t="s">
        <v>38</v>
      </c>
      <c r="C254" s="14" t="n">
        <f aca="false">a25_soc/(C252*fx)</f>
        <v>0.645552050473186</v>
      </c>
      <c r="D254" s="14" t="n">
        <f aca="false">sh_soc</f>
        <v>0.66</v>
      </c>
      <c r="E254" s="14" t="n">
        <f aca="false">sh_soc</f>
        <v>0.66</v>
      </c>
      <c r="F254" s="14" t="n">
        <f aca="false">sh_soc</f>
        <v>0.66</v>
      </c>
      <c r="G254" s="14" t="n">
        <f aca="false">sh_soc</f>
        <v>0.66</v>
      </c>
      <c r="H254" s="8" t="s">
        <v>588</v>
      </c>
    </row>
    <row r="255" customFormat="false" ht="17.15" hidden="false" customHeight="false" outlineLevel="0" collapsed="false">
      <c r="A255" s="0" t="s">
        <v>589</v>
      </c>
      <c r="B255" s="0" t="s">
        <v>347</v>
      </c>
      <c r="C255" s="11" t="n">
        <f aca="false">a25_soc</f>
        <v>767.4</v>
      </c>
      <c r="D255" s="11" t="n">
        <f aca="false">D252*D254*fx</f>
        <v>1198.25536244542</v>
      </c>
      <c r="E255" s="11" t="n">
        <f aca="false">E252*E254*fx</f>
        <v>1572.670882956</v>
      </c>
      <c r="F255" s="11" t="n">
        <f aca="false">F252*F254*fx</f>
        <v>1760.5597478342</v>
      </c>
      <c r="G255" s="11" t="n">
        <f aca="false">G252*G254*fx</f>
        <v>1909.16998994777</v>
      </c>
      <c r="H255" s="5" t="s">
        <v>590</v>
      </c>
    </row>
    <row r="256" customFormat="false" ht="15" hidden="false" customHeight="false" outlineLevel="0" collapsed="false">
      <c r="A256" s="5" t="s">
        <v>591</v>
      </c>
      <c r="B256" s="0" t="s">
        <v>347</v>
      </c>
      <c r="C256" s="11" t="n">
        <f aca="false">a25_mem</f>
        <v>171.5</v>
      </c>
      <c r="D256" s="11" t="n">
        <f aca="false">D253*sh_mem*fx</f>
        <v>231.979929423922</v>
      </c>
      <c r="E256" s="11" t="n">
        <f aca="false">E253*sh_mem*fx</f>
        <v>324.906554906633</v>
      </c>
      <c r="F256" s="11" t="n">
        <f aca="false">F253*sh_mem*fx</f>
        <v>413.944002202504</v>
      </c>
      <c r="G256" s="11" t="n">
        <f aca="false">G253*sh_mem*fx</f>
        <v>479.942764992713</v>
      </c>
    </row>
    <row r="257" customFormat="false" ht="15" hidden="false" customHeight="false" outlineLevel="0" collapsed="false">
      <c r="A257" s="5" t="s">
        <v>592</v>
      </c>
      <c r="B257" s="0" t="s">
        <v>347</v>
      </c>
      <c r="C257" s="11" t="n">
        <f aca="false">a25_oth</f>
        <v>80.5</v>
      </c>
      <c r="D257" s="11" t="n">
        <f aca="false">C257*(1+g_oth_26)</f>
        <v>104</v>
      </c>
      <c r="E257" s="11" t="n">
        <f aca="false">D257*(1+g_oth_A)</f>
        <v>119.6</v>
      </c>
      <c r="F257" s="11" t="n">
        <f aca="false">E257*(1+g_oth_A)</f>
        <v>137.54</v>
      </c>
      <c r="G257" s="11" t="n">
        <f aca="false">F257*(1+g_oth_A)</f>
        <v>158.171</v>
      </c>
    </row>
    <row r="258" customFormat="false" ht="15" hidden="false" customHeight="false" outlineLevel="0" collapsed="false">
      <c r="A258" s="5" t="s">
        <v>593</v>
      </c>
      <c r="B258" s="0" t="s">
        <v>347</v>
      </c>
      <c r="C258" s="11" t="n">
        <f aca="false">a25_svc</f>
        <v>109.2</v>
      </c>
      <c r="D258" s="11" t="n">
        <f aca="false">C258*(1+g_svc_26)</f>
        <v>135.6</v>
      </c>
      <c r="E258" s="11" t="n">
        <f aca="false">D258*(1+g_svc_A)</f>
        <v>151.872</v>
      </c>
      <c r="F258" s="11" t="n">
        <f aca="false">E258*(1+g_svc_A)</f>
        <v>170.09664</v>
      </c>
      <c r="G258" s="11" t="n">
        <f aca="false">F258*(1+g_svc_A)</f>
        <v>190.5082368</v>
      </c>
    </row>
    <row r="259" customFormat="false" ht="15" hidden="false" customHeight="false" outlineLevel="0" collapsed="false">
      <c r="A259" s="5" t="s">
        <v>459</v>
      </c>
      <c r="B259" s="0" t="s">
        <v>347</v>
      </c>
      <c r="C259" s="11" t="n">
        <f aca="false">C255+C256+C257+C258</f>
        <v>1128.6</v>
      </c>
      <c r="D259" s="11" t="n">
        <f aca="false">D255+D256+D257+D258</f>
        <v>1669.83529186934</v>
      </c>
      <c r="E259" s="11" t="n">
        <f aca="false">E255+E256+E257+E258</f>
        <v>2169.04943786263</v>
      </c>
      <c r="F259" s="11" t="n">
        <f aca="false">F255+F256+F257+F258</f>
        <v>2482.1403900367</v>
      </c>
      <c r="G259" s="11" t="n">
        <f aca="false">G255+G256+G257+G258</f>
        <v>2737.79199174048</v>
      </c>
    </row>
    <row r="260" customFormat="false" ht="17.15" hidden="false" customHeight="false" outlineLevel="0" collapsed="false">
      <c r="A260" s="0" t="s">
        <v>594</v>
      </c>
      <c r="B260" s="0" t="s">
        <v>38</v>
      </c>
      <c r="C260" s="14" t="n">
        <f aca="false">C255/C259</f>
        <v>0.679957469431154</v>
      </c>
      <c r="D260" s="14" t="n">
        <f aca="false">D255/D259</f>
        <v>0.71758895519809</v>
      </c>
      <c r="E260" s="14" t="n">
        <f aca="false">E255/E259</f>
        <v>0.725050732133473</v>
      </c>
      <c r="F260" s="14" t="n">
        <f aca="false">F255/F259</f>
        <v>0.709290963114365</v>
      </c>
      <c r="G260" s="14" t="n">
        <f aca="false">G255/G259</f>
        <v>0.697339314201902</v>
      </c>
    </row>
    <row r="261" customFormat="false" ht="17.15" hidden="false" customHeight="false" outlineLevel="0" collapsed="false">
      <c r="A261" s="5" t="s">
        <v>463</v>
      </c>
      <c r="B261" s="0" t="s">
        <v>38</v>
      </c>
      <c r="C261" s="14" t="n">
        <f aca="false">a25_gp/a25_rev</f>
        <v>0.643</v>
      </c>
      <c r="D261" s="14" t="n">
        <f aca="false">gm_a+gm_b*D260+0</f>
        <v>0.661180081875993</v>
      </c>
      <c r="E261" s="14" t="n">
        <f aca="false">gm_a+gm_b*E260+0</f>
        <v>0.664784928000481</v>
      </c>
      <c r="F261" s="14" t="n">
        <f aca="false">gm_a+gm_b*F260+0</f>
        <v>0.657171253300295</v>
      </c>
      <c r="G261" s="14" t="n">
        <f aca="false">gm_a+gm_b*G260+0</f>
        <v>0.651397312905611</v>
      </c>
      <c r="H261" s="5" t="s">
        <v>595</v>
      </c>
    </row>
    <row r="262" customFormat="false" ht="15" hidden="false" customHeight="false" outlineLevel="0" collapsed="false">
      <c r="A262" s="5" t="s">
        <v>467</v>
      </c>
      <c r="B262" s="0" t="s">
        <v>347</v>
      </c>
      <c r="C262" s="11" t="n">
        <f aca="false">C259*C261</f>
        <v>725.6898</v>
      </c>
      <c r="D262" s="11" t="n">
        <f aca="false">D259*D261</f>
        <v>1104.06183499759</v>
      </c>
      <c r="E262" s="11" t="n">
        <f aca="false">E259*E261</f>
        <v>1441.95137437899</v>
      </c>
      <c r="F262" s="11" t="n">
        <f aca="false">F259*F261</f>
        <v>1631.1913109877</v>
      </c>
      <c r="G262" s="11" t="n">
        <f aca="false">G259*G261</f>
        <v>1783.39034671425</v>
      </c>
    </row>
    <row r="263" customFormat="false" ht="17.15" hidden="false" customHeight="false" outlineLevel="0" collapsed="false">
      <c r="A263" s="5" t="s">
        <v>596</v>
      </c>
      <c r="B263" s="0" t="s">
        <v>347</v>
      </c>
      <c r="C263" s="11" t="n">
        <f aca="false">opex25</f>
        <v>226.5898</v>
      </c>
      <c r="D263" s="11" t="n">
        <f aca="false">(1-phi_lo)*opex25+phi_lo*opex25/a25_rev*D259</f>
        <v>264.622263927135</v>
      </c>
      <c r="E263" s="11" t="n">
        <f aca="false">(1-phi_lo)*opex25+phi_lo*opex25/a25_rev*E259</f>
        <v>299.701912805593</v>
      </c>
      <c r="F263" s="11" t="n">
        <f aca="false">(1-phi_lo)*opex25+phi_lo*opex25/a25_rev*F259</f>
        <v>321.702733009586</v>
      </c>
      <c r="G263" s="11" t="n">
        <f aca="false">(1-phi_lo)*opex25+phi_lo*opex25/a25_rev*G259</f>
        <v>339.667304917178</v>
      </c>
      <c r="H263" s="5" t="s">
        <v>597</v>
      </c>
    </row>
    <row r="264" customFormat="false" ht="15" hidden="false" customHeight="false" outlineLevel="0" collapsed="false">
      <c r="A264" s="5" t="s">
        <v>470</v>
      </c>
      <c r="B264" s="0" t="s">
        <v>347</v>
      </c>
      <c r="C264" s="11" t="n">
        <f aca="false">C262-C263</f>
        <v>499.1</v>
      </c>
      <c r="D264" s="11" t="n">
        <f aca="false">D262-D263</f>
        <v>839.439571070456</v>
      </c>
      <c r="E264" s="11" t="n">
        <f aca="false">E262-E263</f>
        <v>1142.2494615734</v>
      </c>
      <c r="F264" s="11" t="n">
        <f aca="false">F262-F263</f>
        <v>1309.48857797812</v>
      </c>
      <c r="G264" s="11" t="n">
        <f aca="false">G262-G263</f>
        <v>1443.72304179707</v>
      </c>
    </row>
    <row r="265" customFormat="false" ht="15" hidden="false" customHeight="false" outlineLevel="0" collapsed="false">
      <c r="A265" s="5" t="s">
        <v>473</v>
      </c>
      <c r="B265" s="0" t="s">
        <v>38</v>
      </c>
      <c r="C265" s="14" t="n">
        <f aca="false">C264/C259</f>
        <v>0.442229310650363</v>
      </c>
      <c r="D265" s="14" t="n">
        <f aca="false">D264/D259</f>
        <v>0.502708006686531</v>
      </c>
      <c r="E265" s="14" t="n">
        <f aca="false">E264/E259</f>
        <v>0.526612921602638</v>
      </c>
      <c r="F265" s="14" t="n">
        <f aca="false">F264/F259</f>
        <v>0.527564268014169</v>
      </c>
      <c r="G265" s="14" t="n">
        <f aca="false">G264/G259</f>
        <v>0.527331165462013</v>
      </c>
    </row>
    <row r="266" customFormat="false" ht="15" hidden="false" customHeight="false" outlineLevel="0" collapsed="false">
      <c r="A266" s="5" t="s">
        <v>493</v>
      </c>
      <c r="B266" s="0" t="s">
        <v>347</v>
      </c>
      <c r="C266" s="11" t="n">
        <f aca="false">a25_ni</f>
        <v>375.4</v>
      </c>
      <c r="D266" s="11" t="n">
        <f aca="false">D264*nioi</f>
        <v>631.387727869864</v>
      </c>
      <c r="E266" s="11" t="n">
        <f aca="false">E264*nioi</f>
        <v>859.147360999106</v>
      </c>
      <c r="F266" s="11" t="n">
        <f aca="false">F264*nioi</f>
        <v>984.936910785383</v>
      </c>
      <c r="G266" s="11" t="n">
        <f aca="false">G264*nioi</f>
        <v>1085.90188317095</v>
      </c>
    </row>
    <row r="267" customFormat="false" ht="15" hidden="false" customHeight="false" outlineLevel="0" collapsed="false">
      <c r="A267" s="0" t="s">
        <v>562</v>
      </c>
      <c r="B267" s="0" t="s">
        <v>396</v>
      </c>
      <c r="C267" s="11" t="n">
        <f aca="false">a25_eps</f>
        <v>515.15</v>
      </c>
      <c r="D267" s="11" t="n">
        <f aca="false">D266*1000/shares</f>
        <v>872.118648841337</v>
      </c>
      <c r="E267" s="11" t="n">
        <f aca="false">E266*1000/shares</f>
        <v>1186.7168184564</v>
      </c>
      <c r="F267" s="11" t="n">
        <f aca="false">F266*1000/shares</f>
        <v>1360.4664929521</v>
      </c>
      <c r="G267" s="11" t="n">
        <f aca="false">G266*1000/shares</f>
        <v>1499.92665571813</v>
      </c>
    </row>
    <row r="268" customFormat="false" ht="17.15" hidden="false" customHeight="false" outlineLevel="0" collapsed="false">
      <c r="A268" s="5" t="s">
        <v>598</v>
      </c>
      <c r="B268" s="0" t="s">
        <v>148</v>
      </c>
      <c r="C268" s="12" t="n">
        <f aca="false">C259/fx</f>
        <v>7.524</v>
      </c>
      <c r="D268" s="12" t="n">
        <f aca="false">D259/fx</f>
        <v>11.1322352791289</v>
      </c>
      <c r="E268" s="12" t="n">
        <f aca="false">E259/fx</f>
        <v>14.4603295857509</v>
      </c>
      <c r="F268" s="12" t="n">
        <f aca="false">F259/fx</f>
        <v>16.5476026002447</v>
      </c>
      <c r="G268" s="12" t="n">
        <f aca="false">G259/fx</f>
        <v>18.2519466116032</v>
      </c>
      <c r="H268" s="8" t="s">
        <v>599</v>
      </c>
    </row>
    <row r="274" customFormat="false" ht="17.15" hidden="false" customHeight="false" outlineLevel="0" collapsed="false">
      <c r="A274" s="4" t="s">
        <v>819</v>
      </c>
    </row>
    <row r="275" customFormat="false" ht="17.15" hidden="false" customHeight="false" outlineLevel="0" collapsed="false">
      <c r="A275" s="6" t="s">
        <v>16</v>
      </c>
      <c r="B275" s="6" t="s">
        <v>17</v>
      </c>
      <c r="C275" s="9" t="s">
        <v>567</v>
      </c>
      <c r="D275" s="9" t="s">
        <v>568</v>
      </c>
      <c r="E275" s="9" t="s">
        <v>569</v>
      </c>
      <c r="F275" s="9" t="s">
        <v>570</v>
      </c>
      <c r="G275" s="9" t="s">
        <v>571</v>
      </c>
      <c r="H275" s="6" t="s">
        <v>508</v>
      </c>
    </row>
    <row r="276" customFormat="false" ht="17.15" hidden="false" customHeight="false" outlineLevel="0" collapsed="false">
      <c r="A276" s="1" t="s">
        <v>572</v>
      </c>
    </row>
    <row r="277" customFormat="false" ht="17.15" hidden="false" customHeight="false" outlineLevel="0" collapsed="false">
      <c r="A277" s="5" t="s">
        <v>573</v>
      </c>
      <c r="B277" s="5" t="s">
        <v>27</v>
      </c>
      <c r="C277" s="15" t="n">
        <f aca="false">u_bw_26*tt_bw+u_rb_26*tt_rb+u_ru_26*tt_ru+u_hp_26*tt_hp+u_amd_26*tt_amd+u_tpu_26*tt_tpu+u_trn_26*tt_trn+u_oth_26*tt_oth</f>
        <v>14.885</v>
      </c>
      <c r="D277" s="15" t="n">
        <f aca="false">u_bw_27*tt_bw+u_rb_27*tt_rb+u_ru_27*tt_ru+u_hp_27*tt_hp+u_amd_27*tt_amd+u_tpu_27*tt_tpu+u_trn_27*tt_trn+u_oth_27*tt_oth</f>
        <v>24.31</v>
      </c>
      <c r="E277" s="15" t="n">
        <f aca="false">u_bw_28*um28_A*tt_bw+u_rb_28*um28_A*tt_rb+u_ru_28*um28_A*tt_ru+u_hp_28*um28_A*tt_hp+u_amd_28*um28_A*tt_amd+u_tpu_28*um28_A*tt_tpu+u_trn_28*um28_A*tt_trn+u_oth_28*um28_A*tt_oth</f>
        <v>28.1</v>
      </c>
      <c r="F27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77" s="15" t="n">
        <f aca="false">F277*(1+cy30g)</f>
        <v>31.99</v>
      </c>
      <c r="H277" s="8" t="s">
        <v>574</v>
      </c>
    </row>
    <row r="278" customFormat="false" ht="17.15" hidden="false" customHeight="false" outlineLevel="0" collapsed="false">
      <c r="A278" s="5" t="s">
        <v>575</v>
      </c>
      <c r="B278" s="0" t="s">
        <v>576</v>
      </c>
      <c r="C278" s="18" t="n">
        <f aca="false">(mk_soc26-nonai26)/C277</f>
        <v>0.450117568021498</v>
      </c>
      <c r="H278" s="5" t="s">
        <v>577</v>
      </c>
    </row>
    <row r="279" customFormat="false" ht="17.15" hidden="false" customHeight="false" outlineLevel="0" collapsed="false">
      <c r="A279" s="0" t="s">
        <v>578</v>
      </c>
      <c r="B279" s="0" t="s">
        <v>148</v>
      </c>
      <c r="C279" s="15" t="n">
        <f aca="false">$C$278*C277*(1-0)^0</f>
        <v>6.7</v>
      </c>
      <c r="D279" s="15" t="n">
        <f aca="false">$C$278*D277*(1-0)^1</f>
        <v>10.9423580786026</v>
      </c>
      <c r="E279" s="15" t="n">
        <f aca="false">$C$278*E277*(1-0)^2</f>
        <v>12.6483036614041</v>
      </c>
      <c r="F279" s="15" t="n">
        <f aca="false">$C$278*F277*(1-0)^3</f>
        <v>14.3992610010077</v>
      </c>
      <c r="G279" s="15" t="n">
        <f aca="false">$C$278*G277*(1-0)^4</f>
        <v>14.3992610010077</v>
      </c>
    </row>
    <row r="280" customFormat="false" ht="17.15" hidden="false" customHeight="false" outlineLevel="0" collapsed="false">
      <c r="A280" s="5" t="s">
        <v>579</v>
      </c>
      <c r="B280" s="0" t="s">
        <v>148</v>
      </c>
      <c r="C280" s="15" t="n">
        <f aca="false">nonai26*(1+g_nonai)^0</f>
        <v>4.3</v>
      </c>
      <c r="D280" s="15" t="n">
        <f aca="false">nonai26*(1+g_nonai)^1</f>
        <v>4.472</v>
      </c>
      <c r="E280" s="15" t="n">
        <f aca="false">nonai26*(1+g_nonai)^2</f>
        <v>4.65088</v>
      </c>
      <c r="F280" s="15" t="n">
        <f aca="false">nonai26*(1+g_nonai)^3</f>
        <v>4.8369152</v>
      </c>
      <c r="G280" s="15" t="n">
        <f aca="false">nonai26*(1+g_nonai)^4</f>
        <v>5.030391808</v>
      </c>
    </row>
    <row r="281" customFormat="false" ht="17.15" hidden="false" customHeight="false" outlineLevel="0" collapsed="false">
      <c r="A281" s="0" t="s">
        <v>580</v>
      </c>
      <c r="B281" s="0" t="s">
        <v>148</v>
      </c>
      <c r="C281" s="15" t="n">
        <f aca="false">C279+C280</f>
        <v>11</v>
      </c>
      <c r="D281" s="15" t="n">
        <f aca="false">D279+D280</f>
        <v>15.4143580786026</v>
      </c>
      <c r="E281" s="15" t="n">
        <f aca="false">E279+E280</f>
        <v>17.2991836614041</v>
      </c>
      <c r="F281" s="15" t="n">
        <f aca="false">F279+F280</f>
        <v>19.2361762010077</v>
      </c>
      <c r="G281" s="15" t="n">
        <f aca="false">G279+G280</f>
        <v>19.4296528090077</v>
      </c>
      <c r="H281" s="8" t="s">
        <v>581</v>
      </c>
    </row>
    <row r="282" customFormat="false" ht="17.15" hidden="false" customHeight="false" outlineLevel="0" collapsed="false">
      <c r="A282" s="5" t="s">
        <v>582</v>
      </c>
      <c r="B282" s="0" t="s">
        <v>148</v>
      </c>
      <c r="C282" s="15" t="n">
        <f aca="false">mk_mem26*(w_hbm*hsA_26/hsA_26+(1-w_hbm)*drA_26/drA_26)</f>
        <v>2.75</v>
      </c>
      <c r="D282" s="15" t="n">
        <f aca="false">mk_mem26*(w_hbm*hsA_27/hsA_26+(1-w_hbm)*drA_27/drA_26)</f>
        <v>3.99150647980462</v>
      </c>
      <c r="E282" s="15" t="n">
        <f aca="false">mk_mem26*(w_hbm*hsA_28/hsA_26+(1-w_hbm)*drA_28/drA_26)</f>
        <v>5.17069526557172</v>
      </c>
      <c r="F282" s="15" t="n">
        <f aca="false">mk_mem26*(w_hbm*hsA_29/hsA_26+(1-w_hbm)*drA_29/drA_26)</f>
        <v>6.33160644779016</v>
      </c>
      <c r="G282" s="15" t="n">
        <f aca="false">F282*(1+cy30g)</f>
        <v>6.33160644779016</v>
      </c>
      <c r="H282" s="8" t="s">
        <v>583</v>
      </c>
    </row>
    <row r="283" customFormat="false" ht="17.15" hidden="false" customHeight="false" outlineLevel="0" collapsed="false">
      <c r="A283" s="1" t="s">
        <v>584</v>
      </c>
    </row>
    <row r="284" customFormat="false" ht="17.15" hidden="false" customHeight="false" outlineLevel="0" collapsed="false">
      <c r="A284" s="0" t="s">
        <v>585</v>
      </c>
      <c r="B284" s="0" t="s">
        <v>148</v>
      </c>
      <c r="C284" s="15" t="n">
        <f aca="false">fmk_soc25</f>
        <v>7.925</v>
      </c>
      <c r="D284" s="15" t="n">
        <f aca="false">0.75*C281+0.25*D281</f>
        <v>12.1035895196507</v>
      </c>
      <c r="E284" s="15" t="n">
        <f aca="false">0.75*D281+0.25*E281</f>
        <v>15.885564474303</v>
      </c>
      <c r="F284" s="15" t="n">
        <f aca="false">0.75*E281+0.25*F281</f>
        <v>17.783431796305</v>
      </c>
      <c r="G284" s="15" t="n">
        <f aca="false">0.75*F281+0.25*G281</f>
        <v>19.2845453530077</v>
      </c>
    </row>
    <row r="285" customFormat="false" ht="17.15" hidden="false" customHeight="false" outlineLevel="0" collapsed="false">
      <c r="A285" s="5" t="s">
        <v>586</v>
      </c>
      <c r="B285" s="0" t="s">
        <v>148</v>
      </c>
      <c r="C285" s="15" t="n">
        <f aca="false">fmk_mem25</f>
        <v>2.2625</v>
      </c>
      <c r="D285" s="15" t="n">
        <f aca="false">0.75*C282+0.25*D282</f>
        <v>3.06037661995115</v>
      </c>
      <c r="E285" s="15" t="n">
        <f aca="false">0.75*D282+0.25*E282</f>
        <v>4.28630367624639</v>
      </c>
      <c r="F285" s="15" t="n">
        <f aca="false">0.75*E282+0.25*F282</f>
        <v>5.46092306112633</v>
      </c>
      <c r="G285" s="15" t="n">
        <f aca="false">0.75*F282+0.25*G282</f>
        <v>6.33160644779016</v>
      </c>
    </row>
    <row r="286" customFormat="false" ht="17.15" hidden="false" customHeight="false" outlineLevel="0" collapsed="false">
      <c r="A286" s="0" t="s">
        <v>587</v>
      </c>
      <c r="B286" s="0" t="s">
        <v>38</v>
      </c>
      <c r="C286" s="14" t="n">
        <f aca="false">a25_soc/(C284*fx)</f>
        <v>0.645552050473186</v>
      </c>
      <c r="D286" s="14" t="n">
        <f aca="false">sh_soc</f>
        <v>0.66</v>
      </c>
      <c r="E286" s="14" t="n">
        <f aca="false">sh_soc</f>
        <v>0.66</v>
      </c>
      <c r="F286" s="14" t="n">
        <f aca="false">sh_soc</f>
        <v>0.66</v>
      </c>
      <c r="G286" s="14" t="n">
        <f aca="false">sh_soc</f>
        <v>0.66</v>
      </c>
      <c r="H286" s="8" t="s">
        <v>588</v>
      </c>
    </row>
    <row r="287" customFormat="false" ht="17.15" hidden="false" customHeight="false" outlineLevel="0" collapsed="false">
      <c r="A287" s="0" t="s">
        <v>589</v>
      </c>
      <c r="B287" s="0" t="s">
        <v>347</v>
      </c>
      <c r="C287" s="11" t="n">
        <f aca="false">a25_soc</f>
        <v>767.4</v>
      </c>
      <c r="D287" s="11" t="n">
        <f aca="false">D284*D286*fx</f>
        <v>1198.25536244542</v>
      </c>
      <c r="E287" s="11" t="n">
        <f aca="false">E284*E286*fx</f>
        <v>1572.670882956</v>
      </c>
      <c r="F287" s="11" t="n">
        <f aca="false">F284*F286*fx</f>
        <v>1760.5597478342</v>
      </c>
      <c r="G287" s="11" t="n">
        <f aca="false">G284*G286*fx</f>
        <v>1909.16998994777</v>
      </c>
      <c r="H287" s="5" t="s">
        <v>590</v>
      </c>
    </row>
    <row r="288" customFormat="false" ht="15" hidden="false" customHeight="false" outlineLevel="0" collapsed="false">
      <c r="A288" s="5" t="s">
        <v>591</v>
      </c>
      <c r="B288" s="0" t="s">
        <v>347</v>
      </c>
      <c r="C288" s="11" t="n">
        <f aca="false">a25_mem</f>
        <v>171.5</v>
      </c>
      <c r="D288" s="11" t="n">
        <f aca="false">D285*sh_mem*fx</f>
        <v>231.979929423922</v>
      </c>
      <c r="E288" s="11" t="n">
        <f aca="false">E285*sh_mem*fx</f>
        <v>324.906554906633</v>
      </c>
      <c r="F288" s="11" t="n">
        <f aca="false">F285*sh_mem*fx</f>
        <v>413.944002202504</v>
      </c>
      <c r="G288" s="11" t="n">
        <f aca="false">G285*sh_mem*fx</f>
        <v>479.942764992713</v>
      </c>
    </row>
    <row r="289" customFormat="false" ht="15" hidden="false" customHeight="false" outlineLevel="0" collapsed="false">
      <c r="A289" s="5" t="s">
        <v>592</v>
      </c>
      <c r="B289" s="0" t="s">
        <v>347</v>
      </c>
      <c r="C289" s="11" t="n">
        <f aca="false">a25_oth</f>
        <v>80.5</v>
      </c>
      <c r="D289" s="11" t="n">
        <f aca="false">C289*(1+g_oth_26)</f>
        <v>104</v>
      </c>
      <c r="E289" s="11" t="n">
        <f aca="false">D289*(1+g_oth_A)</f>
        <v>119.6</v>
      </c>
      <c r="F289" s="11" t="n">
        <f aca="false">E289*(1+g_oth_A)</f>
        <v>137.54</v>
      </c>
      <c r="G289" s="11" t="n">
        <f aca="false">F289*(1+g_oth_A)</f>
        <v>158.171</v>
      </c>
    </row>
    <row r="290" customFormat="false" ht="15" hidden="false" customHeight="false" outlineLevel="0" collapsed="false">
      <c r="A290" s="5" t="s">
        <v>593</v>
      </c>
      <c r="B290" s="0" t="s">
        <v>347</v>
      </c>
      <c r="C290" s="11" t="n">
        <f aca="false">a25_svc</f>
        <v>109.2</v>
      </c>
      <c r="D290" s="11" t="n">
        <f aca="false">C290*(1+g_svc_26)</f>
        <v>135.6</v>
      </c>
      <c r="E290" s="11" t="n">
        <f aca="false">D290*(1+g_svc_A)</f>
        <v>151.872</v>
      </c>
      <c r="F290" s="11" t="n">
        <f aca="false">E290*(1+g_svc_A)</f>
        <v>170.09664</v>
      </c>
      <c r="G290" s="11" t="n">
        <f aca="false">F290*(1+g_svc_A)</f>
        <v>190.5082368</v>
      </c>
    </row>
    <row r="291" customFormat="false" ht="15" hidden="false" customHeight="false" outlineLevel="0" collapsed="false">
      <c r="A291" s="5" t="s">
        <v>459</v>
      </c>
      <c r="B291" s="0" t="s">
        <v>347</v>
      </c>
      <c r="C291" s="11" t="n">
        <f aca="false">C287+C288+C289+C290</f>
        <v>1128.6</v>
      </c>
      <c r="D291" s="11" t="n">
        <f aca="false">D287+D288+D289+D290</f>
        <v>1669.83529186934</v>
      </c>
      <c r="E291" s="11" t="n">
        <f aca="false">E287+E288+E289+E290</f>
        <v>2169.04943786263</v>
      </c>
      <c r="F291" s="11" t="n">
        <f aca="false">F287+F288+F289+F290</f>
        <v>2482.1403900367</v>
      </c>
      <c r="G291" s="11" t="n">
        <f aca="false">G287+G288+G289+G290</f>
        <v>2737.79199174048</v>
      </c>
    </row>
    <row r="292" customFormat="false" ht="17.15" hidden="false" customHeight="false" outlineLevel="0" collapsed="false">
      <c r="A292" s="0" t="s">
        <v>594</v>
      </c>
      <c r="B292" s="0" t="s">
        <v>38</v>
      </c>
      <c r="C292" s="14" t="n">
        <f aca="false">C287/C291</f>
        <v>0.679957469431154</v>
      </c>
      <c r="D292" s="14" t="n">
        <f aca="false">D287/D291</f>
        <v>0.71758895519809</v>
      </c>
      <c r="E292" s="14" t="n">
        <f aca="false">E287/E291</f>
        <v>0.725050732133473</v>
      </c>
      <c r="F292" s="14" t="n">
        <f aca="false">F287/F291</f>
        <v>0.709290963114365</v>
      </c>
      <c r="G292" s="14" t="n">
        <f aca="false">G287/G291</f>
        <v>0.697339314201902</v>
      </c>
    </row>
    <row r="293" customFormat="false" ht="17.15" hidden="false" customHeight="false" outlineLevel="0" collapsed="false">
      <c r="A293" s="5" t="s">
        <v>463</v>
      </c>
      <c r="B293" s="0" t="s">
        <v>38</v>
      </c>
      <c r="C293" s="14" t="n">
        <f aca="false">a25_gp/a25_rev</f>
        <v>0.643</v>
      </c>
      <c r="D293" s="14" t="n">
        <f aca="false">gm_a+gm_b*D292+0</f>
        <v>0.661180081875993</v>
      </c>
      <c r="E293" s="14" t="n">
        <f aca="false">gm_a+gm_b*E292+0</f>
        <v>0.664784928000481</v>
      </c>
      <c r="F293" s="14" t="n">
        <f aca="false">gm_a+gm_b*F292+0</f>
        <v>0.657171253300295</v>
      </c>
      <c r="G293" s="14" t="n">
        <f aca="false">gm_a+gm_b*G292+0</f>
        <v>0.651397312905611</v>
      </c>
      <c r="H293" s="5" t="s">
        <v>595</v>
      </c>
    </row>
    <row r="294" customFormat="false" ht="15" hidden="false" customHeight="false" outlineLevel="0" collapsed="false">
      <c r="A294" s="5" t="s">
        <v>467</v>
      </c>
      <c r="B294" s="0" t="s">
        <v>347</v>
      </c>
      <c r="C294" s="11" t="n">
        <f aca="false">C291*C293</f>
        <v>725.6898</v>
      </c>
      <c r="D294" s="11" t="n">
        <f aca="false">D291*D293</f>
        <v>1104.06183499759</v>
      </c>
      <c r="E294" s="11" t="n">
        <f aca="false">E291*E293</f>
        <v>1441.95137437899</v>
      </c>
      <c r="F294" s="11" t="n">
        <f aca="false">F291*F293</f>
        <v>1631.1913109877</v>
      </c>
      <c r="G294" s="11" t="n">
        <f aca="false">G291*G293</f>
        <v>1783.39034671425</v>
      </c>
    </row>
    <row r="295" customFormat="false" ht="17.15" hidden="false" customHeight="false" outlineLevel="0" collapsed="false">
      <c r="A295" s="5" t="s">
        <v>596</v>
      </c>
      <c r="B295" s="0" t="s">
        <v>347</v>
      </c>
      <c r="C295" s="11" t="n">
        <f aca="false">opex25</f>
        <v>226.5898</v>
      </c>
      <c r="D295" s="11" t="n">
        <f aca="false">(1-phi_hi)*opex25+phi_hi*opex25/a25_rev*D291</f>
        <v>308.087936986719</v>
      </c>
      <c r="E295" s="11" t="n">
        <f aca="false">(1-phi_hi)*opex25+phi_hi*opex25/a25_rev*E291</f>
        <v>383.258613154841</v>
      </c>
      <c r="F295" s="11" t="n">
        <f aca="false">(1-phi_hi)*opex25+phi_hi*opex25/a25_rev*F291</f>
        <v>430.403227877683</v>
      </c>
      <c r="G295" s="11" t="n">
        <f aca="false">(1-phi_hi)*opex25+phi_hi*opex25/a25_rev*G291</f>
        <v>468.898739108238</v>
      </c>
      <c r="H295" s="5" t="s">
        <v>597</v>
      </c>
    </row>
    <row r="296" customFormat="false" ht="15" hidden="false" customHeight="false" outlineLevel="0" collapsed="false">
      <c r="A296" s="5" t="s">
        <v>470</v>
      </c>
      <c r="B296" s="0" t="s">
        <v>347</v>
      </c>
      <c r="C296" s="11" t="n">
        <f aca="false">C294-C295</f>
        <v>499.1</v>
      </c>
      <c r="D296" s="11" t="n">
        <f aca="false">D294-D295</f>
        <v>795.973898010872</v>
      </c>
      <c r="E296" s="11" t="n">
        <f aca="false">E294-E295</f>
        <v>1058.69276122415</v>
      </c>
      <c r="F296" s="11" t="n">
        <f aca="false">F294-F295</f>
        <v>1200.78808311002</v>
      </c>
      <c r="G296" s="11" t="n">
        <f aca="false">G294-G295</f>
        <v>1314.49160760601</v>
      </c>
    </row>
    <row r="297" customFormat="false" ht="15" hidden="false" customHeight="false" outlineLevel="0" collapsed="false">
      <c r="A297" s="5" t="s">
        <v>473</v>
      </c>
      <c r="B297" s="0" t="s">
        <v>38</v>
      </c>
      <c r="C297" s="14" t="n">
        <f aca="false">C296/C291</f>
        <v>0.442229310650363</v>
      </c>
      <c r="D297" s="14" t="n">
        <f aca="false">D296/D291</f>
        <v>0.47667809028027</v>
      </c>
      <c r="E297" s="14" t="n">
        <f aca="false">E296/E291</f>
        <v>0.488090655170765</v>
      </c>
      <c r="F297" s="14" t="n">
        <f aca="false">F296/F291</f>
        <v>0.483771219359701</v>
      </c>
      <c r="G297" s="14" t="n">
        <f aca="false">G296/G291</f>
        <v>0.480128370442912</v>
      </c>
    </row>
    <row r="298" customFormat="false" ht="15" hidden="false" customHeight="false" outlineLevel="0" collapsed="false">
      <c r="A298" s="5" t="s">
        <v>493</v>
      </c>
      <c r="B298" s="0" t="s">
        <v>347</v>
      </c>
      <c r="C298" s="11" t="n">
        <f aca="false">a25_ni</f>
        <v>375.4</v>
      </c>
      <c r="D298" s="11" t="n">
        <f aca="false">D296*nioi</f>
        <v>598.694853362615</v>
      </c>
      <c r="E298" s="11" t="n">
        <f aca="false">E296*nioi</f>
        <v>796.299864883882</v>
      </c>
      <c r="F298" s="11" t="n">
        <f aca="false">F296*nioi</f>
        <v>903.177412140855</v>
      </c>
      <c r="G298" s="11" t="n">
        <f aca="false">G296*nioi</f>
        <v>988.699958916642</v>
      </c>
    </row>
    <row r="299" customFormat="false" ht="15" hidden="false" customHeight="false" outlineLevel="0" collapsed="false">
      <c r="A299" s="0" t="s">
        <v>562</v>
      </c>
      <c r="B299" s="0" t="s">
        <v>396</v>
      </c>
      <c r="C299" s="11" t="n">
        <f aca="false">a25_eps</f>
        <v>515.15</v>
      </c>
      <c r="D299" s="11" t="n">
        <f aca="false">D298*1000/shares</f>
        <v>826.960872908325</v>
      </c>
      <c r="E299" s="11" t="n">
        <f aca="false">E298*1000/shares</f>
        <v>1099.90728609506</v>
      </c>
      <c r="F299" s="11" t="n">
        <f aca="false">F298*1000/shares</f>
        <v>1247.53432727892</v>
      </c>
      <c r="G299" s="11" t="n">
        <f aca="false">G298*1000/shares</f>
        <v>1365.66428870722</v>
      </c>
    </row>
    <row r="300" customFormat="false" ht="17.15" hidden="false" customHeight="false" outlineLevel="0" collapsed="false">
      <c r="A300" s="5" t="s">
        <v>598</v>
      </c>
      <c r="B300" s="0" t="s">
        <v>148</v>
      </c>
      <c r="C300" s="12" t="n">
        <f aca="false">C291/fx</f>
        <v>7.524</v>
      </c>
      <c r="D300" s="12" t="n">
        <f aca="false">D291/fx</f>
        <v>11.1322352791289</v>
      </c>
      <c r="E300" s="12" t="n">
        <f aca="false">E291/fx</f>
        <v>14.4603295857509</v>
      </c>
      <c r="F300" s="12" t="n">
        <f aca="false">F291/fx</f>
        <v>16.5476026002447</v>
      </c>
      <c r="G300" s="12" t="n">
        <f aca="false">G291/fx</f>
        <v>18.2519466116032</v>
      </c>
      <c r="H300" s="8" t="s">
        <v>599</v>
      </c>
    </row>
    <row r="306" customFormat="false" ht="17.15" hidden="false" customHeight="false" outlineLevel="0" collapsed="false">
      <c r="A306" s="4" t="s">
        <v>820</v>
      </c>
    </row>
    <row r="307" customFormat="false" ht="17.15" hidden="false" customHeight="false" outlineLevel="0" collapsed="false">
      <c r="A307" s="6" t="s">
        <v>16</v>
      </c>
      <c r="B307" s="6" t="s">
        <v>17</v>
      </c>
      <c r="C307" s="9" t="s">
        <v>567</v>
      </c>
      <c r="D307" s="9" t="s">
        <v>568</v>
      </c>
      <c r="E307" s="9" t="s">
        <v>569</v>
      </c>
      <c r="F307" s="9" t="s">
        <v>570</v>
      </c>
      <c r="G307" s="9" t="s">
        <v>571</v>
      </c>
      <c r="H307" s="6" t="s">
        <v>508</v>
      </c>
    </row>
    <row r="308" customFormat="false" ht="17.15" hidden="false" customHeight="false" outlineLevel="0" collapsed="false">
      <c r="A308" s="1" t="s">
        <v>572</v>
      </c>
    </row>
    <row r="309" customFormat="false" ht="17.15" hidden="false" customHeight="false" outlineLevel="0" collapsed="false">
      <c r="A309" s="5" t="s">
        <v>573</v>
      </c>
      <c r="B309" s="5" t="s">
        <v>27</v>
      </c>
      <c r="C309" s="15" t="n">
        <f aca="false">u_bw_26*tt_bw+u_rb_26*tt_rb+u_ru_26*tt_ru+u_hp_26*tt_hp+u_amd_26*tt_amd+u_tpu_26*tt_tpu+u_trn_26*tt_trn+u_oth_26*tt_oth</f>
        <v>14.885</v>
      </c>
      <c r="D309" s="15" t="n">
        <f aca="false">u_bw_27*tt_bw+u_rb_27*tt_rb+u_ru_27*tt_ru+u_hp_27*tt_hp+u_amd_27*tt_amd+u_tpu_27*tt_tpu+u_trn_27*tt_trn+u_oth_27*tt_oth</f>
        <v>24.31</v>
      </c>
      <c r="E309" s="15" t="n">
        <f aca="false">u_bw_28*um28_A*tt_bw+u_rb_28*um28_A*tt_rb+u_ru_28*um28_A*tt_ru+u_hp_28*um28_A*tt_hp+u_amd_28*um28_A*tt_amd+u_tpu_28*um28_A*tt_tpu+u_trn_28*um28_A*tt_trn+u_oth_28*um28_A*tt_oth</f>
        <v>28.1</v>
      </c>
      <c r="F30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09" s="15" t="n">
        <f aca="false">F309*(1+cy30g)</f>
        <v>31.99</v>
      </c>
      <c r="H309" s="8" t="s">
        <v>574</v>
      </c>
    </row>
    <row r="310" customFormat="false" ht="17.15" hidden="false" customHeight="false" outlineLevel="0" collapsed="false">
      <c r="A310" s="5" t="s">
        <v>575</v>
      </c>
      <c r="B310" s="0" t="s">
        <v>576</v>
      </c>
      <c r="C310" s="18" t="n">
        <f aca="false">(mk_soc26_lo-nonai26)/C309</f>
        <v>0.416526704736312</v>
      </c>
      <c r="H310" s="5" t="s">
        <v>577</v>
      </c>
    </row>
    <row r="311" customFormat="false" ht="17.15" hidden="false" customHeight="false" outlineLevel="0" collapsed="false">
      <c r="A311" s="0" t="s">
        <v>578</v>
      </c>
      <c r="B311" s="0" t="s">
        <v>148</v>
      </c>
      <c r="C311" s="15" t="n">
        <f aca="false">$C$310*C309*(1-0)^0</f>
        <v>6.2</v>
      </c>
      <c r="D311" s="15" t="n">
        <f aca="false">$C$310*D309*(1-0)^1</f>
        <v>10.1257641921397</v>
      </c>
      <c r="E311" s="15" t="n">
        <f aca="false">$C$310*E309*(1-0)^2</f>
        <v>11.7044004030904</v>
      </c>
      <c r="F311" s="15" t="n">
        <f aca="false">$C$310*F309*(1-0)^3</f>
        <v>13.3246892845146</v>
      </c>
      <c r="G311" s="15" t="n">
        <f aca="false">$C$310*G309*(1-0)^4</f>
        <v>13.3246892845146</v>
      </c>
    </row>
    <row r="312" customFormat="false" ht="17.15" hidden="false" customHeight="false" outlineLevel="0" collapsed="false">
      <c r="A312" s="5" t="s">
        <v>579</v>
      </c>
      <c r="B312" s="0" t="s">
        <v>148</v>
      </c>
      <c r="C312" s="15" t="n">
        <f aca="false">nonai26*(1+g_nonai)^0</f>
        <v>4.3</v>
      </c>
      <c r="D312" s="15" t="n">
        <f aca="false">nonai26*(1+g_nonai)^1</f>
        <v>4.472</v>
      </c>
      <c r="E312" s="15" t="n">
        <f aca="false">nonai26*(1+g_nonai)^2</f>
        <v>4.65088</v>
      </c>
      <c r="F312" s="15" t="n">
        <f aca="false">nonai26*(1+g_nonai)^3</f>
        <v>4.8369152</v>
      </c>
      <c r="G312" s="15" t="n">
        <f aca="false">nonai26*(1+g_nonai)^4</f>
        <v>5.030391808</v>
      </c>
    </row>
    <row r="313" customFormat="false" ht="17.15" hidden="false" customHeight="false" outlineLevel="0" collapsed="false">
      <c r="A313" s="0" t="s">
        <v>580</v>
      </c>
      <c r="B313" s="0" t="s">
        <v>148</v>
      </c>
      <c r="C313" s="15" t="n">
        <f aca="false">C311+C312</f>
        <v>10.5</v>
      </c>
      <c r="D313" s="15" t="n">
        <f aca="false">D311+D312</f>
        <v>14.5977641921397</v>
      </c>
      <c r="E313" s="15" t="n">
        <f aca="false">E311+E312</f>
        <v>16.3552804030904</v>
      </c>
      <c r="F313" s="15" t="n">
        <f aca="false">F311+F312</f>
        <v>18.1616044845146</v>
      </c>
      <c r="G313" s="15" t="n">
        <f aca="false">G311+G312</f>
        <v>18.3550810925146</v>
      </c>
      <c r="H313" s="8" t="s">
        <v>581</v>
      </c>
    </row>
    <row r="314" customFormat="false" ht="17.15" hidden="false" customHeight="false" outlineLevel="0" collapsed="false">
      <c r="A314" s="5" t="s">
        <v>582</v>
      </c>
      <c r="B314" s="0" t="s">
        <v>148</v>
      </c>
      <c r="C314" s="15" t="n">
        <f aca="false">mk_mem26*(w_hbm*hsA_26/hsA_26+(1-w_hbm)*drA_26/drA_26)</f>
        <v>2.75</v>
      </c>
      <c r="D314" s="15" t="n">
        <f aca="false">mk_mem26*(w_hbm*hsA_27/hsA_26+(1-w_hbm)*drA_27/drA_26)</f>
        <v>3.99150647980462</v>
      </c>
      <c r="E314" s="15" t="n">
        <f aca="false">mk_mem26*(w_hbm*hsA_28/hsA_26+(1-w_hbm)*drA_28/drA_26)</f>
        <v>5.17069526557172</v>
      </c>
      <c r="F314" s="15" t="n">
        <f aca="false">mk_mem26*(w_hbm*hsA_29/hsA_26+(1-w_hbm)*drA_29/drA_26)</f>
        <v>6.33160644779016</v>
      </c>
      <c r="G314" s="15" t="n">
        <f aca="false">F314*(1+cy30g)</f>
        <v>6.33160644779016</v>
      </c>
      <c r="H314" s="8" t="s">
        <v>583</v>
      </c>
    </row>
    <row r="315" customFormat="false" ht="17.15" hidden="false" customHeight="false" outlineLevel="0" collapsed="false">
      <c r="A315" s="1" t="s">
        <v>584</v>
      </c>
    </row>
    <row r="316" customFormat="false" ht="17.15" hidden="false" customHeight="false" outlineLevel="0" collapsed="false">
      <c r="A316" s="0" t="s">
        <v>585</v>
      </c>
      <c r="B316" s="0" t="s">
        <v>148</v>
      </c>
      <c r="C316" s="15" t="n">
        <f aca="false">fmk_soc25</f>
        <v>7.925</v>
      </c>
      <c r="D316" s="15" t="n">
        <f aca="false">0.75*C313+0.25*D313</f>
        <v>11.5244410480349</v>
      </c>
      <c r="E316" s="15" t="n">
        <f aca="false">0.75*D313+0.25*E313</f>
        <v>15.0371432448774</v>
      </c>
      <c r="F316" s="15" t="n">
        <f aca="false">0.75*E313+0.25*F313</f>
        <v>16.8068614234464</v>
      </c>
      <c r="G316" s="15" t="n">
        <f aca="false">0.75*F313+0.25*G313</f>
        <v>18.2099736365146</v>
      </c>
    </row>
    <row r="317" customFormat="false" ht="17.15" hidden="false" customHeight="false" outlineLevel="0" collapsed="false">
      <c r="A317" s="5" t="s">
        <v>586</v>
      </c>
      <c r="B317" s="0" t="s">
        <v>148</v>
      </c>
      <c r="C317" s="15" t="n">
        <f aca="false">fmk_mem25</f>
        <v>2.2625</v>
      </c>
      <c r="D317" s="15" t="n">
        <f aca="false">0.75*C314+0.25*D314</f>
        <v>3.06037661995115</v>
      </c>
      <c r="E317" s="15" t="n">
        <f aca="false">0.75*D314+0.25*E314</f>
        <v>4.28630367624639</v>
      </c>
      <c r="F317" s="15" t="n">
        <f aca="false">0.75*E314+0.25*F314</f>
        <v>5.46092306112633</v>
      </c>
      <c r="G317" s="15" t="n">
        <f aca="false">0.75*F314+0.25*G314</f>
        <v>6.33160644779016</v>
      </c>
    </row>
    <row r="318" customFormat="false" ht="17.15" hidden="false" customHeight="false" outlineLevel="0" collapsed="false">
      <c r="A318" s="0" t="s">
        <v>587</v>
      </c>
      <c r="B318" s="0" t="s">
        <v>38</v>
      </c>
      <c r="C318" s="14" t="n">
        <f aca="false">a25_soc/(C316*fx)</f>
        <v>0.645552050473186</v>
      </c>
      <c r="D318" s="14" t="n">
        <f aca="false">sh_soc</f>
        <v>0.66</v>
      </c>
      <c r="E318" s="14" t="n">
        <f aca="false">sh_soc</f>
        <v>0.66</v>
      </c>
      <c r="F318" s="14" t="n">
        <f aca="false">sh_soc</f>
        <v>0.66</v>
      </c>
      <c r="G318" s="14" t="n">
        <f aca="false">sh_soc</f>
        <v>0.66</v>
      </c>
      <c r="H318" s="8" t="s">
        <v>588</v>
      </c>
    </row>
    <row r="319" customFormat="false" ht="17.15" hidden="false" customHeight="false" outlineLevel="0" collapsed="false">
      <c r="A319" s="0" t="s">
        <v>589</v>
      </c>
      <c r="B319" s="0" t="s">
        <v>347</v>
      </c>
      <c r="C319" s="11" t="n">
        <f aca="false">a25_soc</f>
        <v>767.4</v>
      </c>
      <c r="D319" s="11" t="n">
        <f aca="false">D316*D318*fx</f>
        <v>1140.91966375546</v>
      </c>
      <c r="E319" s="11" t="n">
        <f aca="false">E316*E318*fx</f>
        <v>1488.67718124286</v>
      </c>
      <c r="F319" s="11" t="n">
        <f aca="false">F316*F318*fx</f>
        <v>1663.8792809212</v>
      </c>
      <c r="G319" s="11" t="n">
        <f aca="false">G316*G318*fx</f>
        <v>1802.78739001495</v>
      </c>
      <c r="H319" s="5" t="s">
        <v>590</v>
      </c>
    </row>
    <row r="320" customFormat="false" ht="15" hidden="false" customHeight="false" outlineLevel="0" collapsed="false">
      <c r="A320" s="5" t="s">
        <v>591</v>
      </c>
      <c r="B320" s="0" t="s">
        <v>347</v>
      </c>
      <c r="C320" s="11" t="n">
        <f aca="false">a25_mem</f>
        <v>171.5</v>
      </c>
      <c r="D320" s="11" t="n">
        <f aca="false">D317*sh_mem*fx</f>
        <v>231.979929423922</v>
      </c>
      <c r="E320" s="11" t="n">
        <f aca="false">E317*sh_mem*fx</f>
        <v>324.906554906633</v>
      </c>
      <c r="F320" s="11" t="n">
        <f aca="false">F317*sh_mem*fx</f>
        <v>413.944002202504</v>
      </c>
      <c r="G320" s="11" t="n">
        <f aca="false">G317*sh_mem*fx</f>
        <v>479.942764992713</v>
      </c>
    </row>
    <row r="321" customFormat="false" ht="15" hidden="false" customHeight="false" outlineLevel="0" collapsed="false">
      <c r="A321" s="5" t="s">
        <v>592</v>
      </c>
      <c r="B321" s="0" t="s">
        <v>347</v>
      </c>
      <c r="C321" s="11" t="n">
        <f aca="false">a25_oth</f>
        <v>80.5</v>
      </c>
      <c r="D321" s="11" t="n">
        <f aca="false">C321*(1+g_oth_26)</f>
        <v>104</v>
      </c>
      <c r="E321" s="11" t="n">
        <f aca="false">D321*(1+g_oth_A)</f>
        <v>119.6</v>
      </c>
      <c r="F321" s="11" t="n">
        <f aca="false">E321*(1+g_oth_A)</f>
        <v>137.54</v>
      </c>
      <c r="G321" s="11" t="n">
        <f aca="false">F321*(1+g_oth_A)</f>
        <v>158.171</v>
      </c>
    </row>
    <row r="322" customFormat="false" ht="15" hidden="false" customHeight="false" outlineLevel="0" collapsed="false">
      <c r="A322" s="5" t="s">
        <v>593</v>
      </c>
      <c r="B322" s="0" t="s">
        <v>347</v>
      </c>
      <c r="C322" s="11" t="n">
        <f aca="false">a25_svc</f>
        <v>109.2</v>
      </c>
      <c r="D322" s="11" t="n">
        <f aca="false">C322*(1+g_svc_26)</f>
        <v>135.6</v>
      </c>
      <c r="E322" s="11" t="n">
        <f aca="false">D322*(1+g_svc_A)</f>
        <v>151.872</v>
      </c>
      <c r="F322" s="11" t="n">
        <f aca="false">E322*(1+g_svc_A)</f>
        <v>170.09664</v>
      </c>
      <c r="G322" s="11" t="n">
        <f aca="false">F322*(1+g_svc_A)</f>
        <v>190.5082368</v>
      </c>
    </row>
    <row r="323" customFormat="false" ht="15" hidden="false" customHeight="false" outlineLevel="0" collapsed="false">
      <c r="A323" s="5" t="s">
        <v>459</v>
      </c>
      <c r="B323" s="0" t="s">
        <v>347</v>
      </c>
      <c r="C323" s="11" t="n">
        <f aca="false">C319+C320+C321+C322</f>
        <v>1128.6</v>
      </c>
      <c r="D323" s="11" t="n">
        <f aca="false">D319+D320+D321+D322</f>
        <v>1612.49959317938</v>
      </c>
      <c r="E323" s="11" t="n">
        <f aca="false">E319+E320+E321+E322</f>
        <v>2085.0557361495</v>
      </c>
      <c r="F323" s="11" t="n">
        <f aca="false">F319+F320+F321+F322</f>
        <v>2385.4599231237</v>
      </c>
      <c r="G323" s="11" t="n">
        <f aca="false">G319+G320+G321+G322</f>
        <v>2631.40939180766</v>
      </c>
    </row>
    <row r="324" customFormat="false" ht="17.15" hidden="false" customHeight="false" outlineLevel="0" collapsed="false">
      <c r="A324" s="0" t="s">
        <v>594</v>
      </c>
      <c r="B324" s="0" t="s">
        <v>38</v>
      </c>
      <c r="C324" s="14" t="n">
        <f aca="false">C319/C323</f>
        <v>0.679957469431154</v>
      </c>
      <c r="D324" s="14" t="n">
        <f aca="false">D319/D323</f>
        <v>0.70754725680637</v>
      </c>
      <c r="E324" s="14" t="n">
        <f aca="false">E319/E323</f>
        <v>0.713974765965741</v>
      </c>
      <c r="F324" s="14" t="n">
        <f aca="false">F319/F323</f>
        <v>0.697508796853895</v>
      </c>
      <c r="G324" s="14" t="n">
        <f aca="false">G319/G323</f>
        <v>0.685103350177113</v>
      </c>
    </row>
    <row r="325" customFormat="false" ht="17.15" hidden="false" customHeight="false" outlineLevel="0" collapsed="false">
      <c r="A325" s="5" t="s">
        <v>463</v>
      </c>
      <c r="B325" s="0" t="s">
        <v>38</v>
      </c>
      <c r="C325" s="14" t="n">
        <f aca="false">a25_gp/a25_rev</f>
        <v>0.643</v>
      </c>
      <c r="D325" s="14" t="n">
        <f aca="false">gm_a+gm_b*D324+0</f>
        <v>0.656328854367567</v>
      </c>
      <c r="E325" s="14" t="n">
        <f aca="false">gm_a+gm_b*E324+0</f>
        <v>0.659434037179104</v>
      </c>
      <c r="F325" s="14" t="n">
        <f aca="false">gm_a+gm_b*F324+0</f>
        <v>0.651479191375913</v>
      </c>
      <c r="G325" s="14" t="n">
        <f aca="false">gm_a+gm_b*G324+0</f>
        <v>0.64548601752971</v>
      </c>
      <c r="H325" s="5" t="s">
        <v>595</v>
      </c>
    </row>
    <row r="326" customFormat="false" ht="15" hidden="false" customHeight="false" outlineLevel="0" collapsed="false">
      <c r="A326" s="5" t="s">
        <v>467</v>
      </c>
      <c r="B326" s="0" t="s">
        <v>347</v>
      </c>
      <c r="C326" s="11" t="n">
        <f aca="false">C323*C325</f>
        <v>725.6898</v>
      </c>
      <c r="D326" s="11" t="n">
        <f aca="false">D323*D325</f>
        <v>1058.33001065959</v>
      </c>
      <c r="E326" s="11" t="n">
        <f aca="false">E323*E325</f>
        <v>1374.95672183251</v>
      </c>
      <c r="F326" s="11" t="n">
        <f aca="false">F323*F325</f>
        <v>1554.07750177628</v>
      </c>
      <c r="G326" s="11" t="n">
        <f aca="false">G323*G325</f>
        <v>1698.5379688082</v>
      </c>
    </row>
    <row r="327" customFormat="false" ht="17.15" hidden="false" customHeight="false" outlineLevel="0" collapsed="false">
      <c r="A327" s="5" t="s">
        <v>596</v>
      </c>
      <c r="B327" s="0" t="s">
        <v>347</v>
      </c>
      <c r="C327" s="11" t="n">
        <f aca="false">opex25</f>
        <v>226.5898</v>
      </c>
      <c r="D327" s="11" t="n">
        <f aca="false">opex_fix+opex_var*D323</f>
        <v>282.154930566171</v>
      </c>
      <c r="E327" s="11" t="n">
        <f aca="false">opex_fix+opex_var*E323</f>
        <v>336.417517586465</v>
      </c>
      <c r="F327" s="11" t="n">
        <f aca="false">opex_fix+opex_var*F323</f>
        <v>370.912272504886</v>
      </c>
      <c r="G327" s="11" t="n">
        <f aca="false">opex_fix+opex_var*G323</f>
        <v>399.154111375452</v>
      </c>
      <c r="H327" s="5" t="s">
        <v>597</v>
      </c>
    </row>
    <row r="328" customFormat="false" ht="15" hidden="false" customHeight="false" outlineLevel="0" collapsed="false">
      <c r="A328" s="5" t="s">
        <v>470</v>
      </c>
      <c r="B328" s="0" t="s">
        <v>347</v>
      </c>
      <c r="C328" s="11" t="n">
        <f aca="false">C326-C327</f>
        <v>499.1</v>
      </c>
      <c r="D328" s="11" t="n">
        <f aca="false">D326-D327</f>
        <v>776.17508009342</v>
      </c>
      <c r="E328" s="11" t="n">
        <f aca="false">E326-E327</f>
        <v>1038.53920424604</v>
      </c>
      <c r="F328" s="11" t="n">
        <f aca="false">F326-F327</f>
        <v>1183.16522927139</v>
      </c>
      <c r="G328" s="11" t="n">
        <f aca="false">G326-G327</f>
        <v>1299.38385743275</v>
      </c>
    </row>
    <row r="329" customFormat="false" ht="15" hidden="false" customHeight="false" outlineLevel="0" collapsed="false">
      <c r="A329" s="5" t="s">
        <v>473</v>
      </c>
      <c r="B329" s="0" t="s">
        <v>38</v>
      </c>
      <c r="C329" s="14" t="n">
        <f aca="false">C328/C323</f>
        <v>0.442229310650363</v>
      </c>
      <c r="D329" s="14" t="n">
        <f aca="false">D328/D323</f>
        <v>0.481349008320075</v>
      </c>
      <c r="E329" s="14" t="n">
        <f aca="false">E328/E323</f>
        <v>0.498087022922433</v>
      </c>
      <c r="F329" s="14" t="n">
        <f aca="false">F328/F323</f>
        <v>0.49599040327706</v>
      </c>
      <c r="G329" s="14" t="n">
        <f aca="false">G328/G323</f>
        <v>0.493797681758722</v>
      </c>
    </row>
    <row r="330" customFormat="false" ht="15" hidden="false" customHeight="false" outlineLevel="0" collapsed="false">
      <c r="A330" s="5" t="s">
        <v>493</v>
      </c>
      <c r="B330" s="0" t="s">
        <v>347</v>
      </c>
      <c r="C330" s="11" t="n">
        <f aca="false">a25_ni</f>
        <v>375.4</v>
      </c>
      <c r="D330" s="11" t="n">
        <f aca="false">D328*nioi</f>
        <v>583.803095706411</v>
      </c>
      <c r="E330" s="11" t="n">
        <f aca="false">E328*nioi</f>
        <v>781.141288867892</v>
      </c>
      <c r="F330" s="11" t="n">
        <f aca="false">F328*nioi</f>
        <v>889.922314302704</v>
      </c>
      <c r="G330" s="11" t="n">
        <f aca="false">G328*nioi</f>
        <v>977.336606051402</v>
      </c>
    </row>
    <row r="331" customFormat="false" ht="15" hidden="false" customHeight="false" outlineLevel="0" collapsed="false">
      <c r="A331" s="0" t="s">
        <v>562</v>
      </c>
      <c r="B331" s="0" t="s">
        <v>396</v>
      </c>
      <c r="C331" s="11" t="n">
        <f aca="false">a25_eps</f>
        <v>515.15</v>
      </c>
      <c r="D331" s="11" t="n">
        <f aca="false">D330*1000/shares</f>
        <v>806.391294196655</v>
      </c>
      <c r="E331" s="11" t="n">
        <f aca="false">E330*1000/shares</f>
        <v>1078.96915845989</v>
      </c>
      <c r="F331" s="11" t="n">
        <f aca="false">F330*1000/shares</f>
        <v>1229.22542213775</v>
      </c>
      <c r="G331" s="11" t="n">
        <f aca="false">G330*1000/shares</f>
        <v>1349.96839930409</v>
      </c>
    </row>
    <row r="332" customFormat="false" ht="17.15" hidden="false" customHeight="false" outlineLevel="0" collapsed="false">
      <c r="A332" s="5" t="s">
        <v>598</v>
      </c>
      <c r="B332" s="0" t="s">
        <v>148</v>
      </c>
      <c r="C332" s="12" t="n">
        <f aca="false">C323/fx</f>
        <v>7.524</v>
      </c>
      <c r="D332" s="12" t="n">
        <f aca="false">D323/fx</f>
        <v>10.7499972878625</v>
      </c>
      <c r="E332" s="12" t="n">
        <f aca="false">E323/fx</f>
        <v>13.90037157433</v>
      </c>
      <c r="F332" s="12" t="n">
        <f aca="false">F323/fx</f>
        <v>15.903066154158</v>
      </c>
      <c r="G332" s="12" t="n">
        <f aca="false">G323/fx</f>
        <v>17.5427292787177</v>
      </c>
      <c r="H332" s="8" t="s">
        <v>599</v>
      </c>
    </row>
    <row r="338" customFormat="false" ht="17.15" hidden="false" customHeight="false" outlineLevel="0" collapsed="false">
      <c r="A338" s="4" t="s">
        <v>821</v>
      </c>
    </row>
    <row r="339" customFormat="false" ht="17.15" hidden="false" customHeight="false" outlineLevel="0" collapsed="false">
      <c r="A339" s="6" t="s">
        <v>16</v>
      </c>
      <c r="B339" s="6" t="s">
        <v>17</v>
      </c>
      <c r="C339" s="9" t="s">
        <v>567</v>
      </c>
      <c r="D339" s="9" t="s">
        <v>568</v>
      </c>
      <c r="E339" s="9" t="s">
        <v>569</v>
      </c>
      <c r="F339" s="9" t="s">
        <v>570</v>
      </c>
      <c r="G339" s="9" t="s">
        <v>571</v>
      </c>
      <c r="H339" s="6" t="s">
        <v>508</v>
      </c>
    </row>
    <row r="340" customFormat="false" ht="17.15" hidden="false" customHeight="false" outlineLevel="0" collapsed="false">
      <c r="A340" s="1" t="s">
        <v>572</v>
      </c>
    </row>
    <row r="341" customFormat="false" ht="17.15" hidden="false" customHeight="false" outlineLevel="0" collapsed="false">
      <c r="A341" s="5" t="s">
        <v>573</v>
      </c>
      <c r="B341" s="5" t="s">
        <v>27</v>
      </c>
      <c r="C341" s="15" t="n">
        <f aca="false">u_bw_26*tt_bw+u_rb_26*tt_rb+u_ru_26*tt_ru+u_hp_26*tt_hp+u_amd_26*tt_amd+u_tpu_26*tt_tpu+u_trn_26*tt_trn+u_oth_26*tt_oth</f>
        <v>14.885</v>
      </c>
      <c r="D341" s="15" t="n">
        <f aca="false">u_bw_27*tt_bw+u_rb_27*tt_rb+u_ru_27*tt_ru+u_hp_27*tt_hp+u_amd_27*tt_amd+u_tpu_27*tt_tpu+u_trn_27*tt_trn+u_oth_27*tt_oth</f>
        <v>24.31</v>
      </c>
      <c r="E341" s="15" t="n">
        <f aca="false">u_bw_28*um28_A*tt_bw+u_rb_28*um28_A*tt_rb+u_ru_28*um28_A*tt_ru+u_hp_28*um28_A*tt_hp+u_amd_28*um28_A*tt_amd+u_tpu_28*um28_A*tt_tpu+u_trn_28*um28_A*tt_trn+u_oth_28*um28_A*tt_oth</f>
        <v>28.1</v>
      </c>
      <c r="F34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41" s="15" t="n">
        <f aca="false">F341*(1+cy30g)</f>
        <v>31.99</v>
      </c>
      <c r="H341" s="8" t="s">
        <v>574</v>
      </c>
    </row>
    <row r="342" customFormat="false" ht="17.15" hidden="false" customHeight="false" outlineLevel="0" collapsed="false">
      <c r="A342" s="5" t="s">
        <v>575</v>
      </c>
      <c r="B342" s="0" t="s">
        <v>576</v>
      </c>
      <c r="C342" s="18" t="n">
        <f aca="false">(mk_soc26_hi-nonai26)/C341</f>
        <v>0.483708431306685</v>
      </c>
      <c r="H342" s="5" t="s">
        <v>577</v>
      </c>
    </row>
    <row r="343" customFormat="false" ht="17.15" hidden="false" customHeight="false" outlineLevel="0" collapsed="false">
      <c r="A343" s="0" t="s">
        <v>578</v>
      </c>
      <c r="B343" s="0" t="s">
        <v>148</v>
      </c>
      <c r="C343" s="15" t="n">
        <f aca="false">$C$342*C341*(1-0)^0</f>
        <v>7.2</v>
      </c>
      <c r="D343" s="15" t="n">
        <f aca="false">$C$342*D341*(1-0)^1</f>
        <v>11.7589519650655</v>
      </c>
      <c r="E343" s="15" t="n">
        <f aca="false">$C$342*E341*(1-0)^2</f>
        <v>13.5922069197178</v>
      </c>
      <c r="F343" s="15" t="n">
        <f aca="false">$C$342*F341*(1-0)^3</f>
        <v>15.4738327175008</v>
      </c>
      <c r="G343" s="15" t="n">
        <f aca="false">$C$342*G341*(1-0)^4</f>
        <v>15.4738327175008</v>
      </c>
    </row>
    <row r="344" customFormat="false" ht="17.15" hidden="false" customHeight="false" outlineLevel="0" collapsed="false">
      <c r="A344" s="5" t="s">
        <v>579</v>
      </c>
      <c r="B344" s="0" t="s">
        <v>148</v>
      </c>
      <c r="C344" s="15" t="n">
        <f aca="false">nonai26*(1+g_nonai)^0</f>
        <v>4.3</v>
      </c>
      <c r="D344" s="15" t="n">
        <f aca="false">nonai26*(1+g_nonai)^1</f>
        <v>4.472</v>
      </c>
      <c r="E344" s="15" t="n">
        <f aca="false">nonai26*(1+g_nonai)^2</f>
        <v>4.65088</v>
      </c>
      <c r="F344" s="15" t="n">
        <f aca="false">nonai26*(1+g_nonai)^3</f>
        <v>4.8369152</v>
      </c>
      <c r="G344" s="15" t="n">
        <f aca="false">nonai26*(1+g_nonai)^4</f>
        <v>5.030391808</v>
      </c>
    </row>
    <row r="345" customFormat="false" ht="17.15" hidden="false" customHeight="false" outlineLevel="0" collapsed="false">
      <c r="A345" s="0" t="s">
        <v>580</v>
      </c>
      <c r="B345" s="0" t="s">
        <v>148</v>
      </c>
      <c r="C345" s="15" t="n">
        <f aca="false">C343+C344</f>
        <v>11.5</v>
      </c>
      <c r="D345" s="15" t="n">
        <f aca="false">D343+D344</f>
        <v>16.2309519650655</v>
      </c>
      <c r="E345" s="15" t="n">
        <f aca="false">E343+E344</f>
        <v>18.2430869197178</v>
      </c>
      <c r="F345" s="15" t="n">
        <f aca="false">F343+F344</f>
        <v>20.3107479175008</v>
      </c>
      <c r="G345" s="15" t="n">
        <f aca="false">G343+G344</f>
        <v>20.5042245255008</v>
      </c>
      <c r="H345" s="8" t="s">
        <v>581</v>
      </c>
    </row>
    <row r="346" customFormat="false" ht="17.15" hidden="false" customHeight="false" outlineLevel="0" collapsed="false">
      <c r="A346" s="5" t="s">
        <v>582</v>
      </c>
      <c r="B346" s="0" t="s">
        <v>148</v>
      </c>
      <c r="C346" s="15" t="n">
        <f aca="false">mk_mem26*(w_hbm*hsA_26/hsA_26+(1-w_hbm)*drA_26/drA_26)</f>
        <v>2.75</v>
      </c>
      <c r="D346" s="15" t="n">
        <f aca="false">mk_mem26*(w_hbm*hsA_27/hsA_26+(1-w_hbm)*drA_27/drA_26)</f>
        <v>3.99150647980462</v>
      </c>
      <c r="E346" s="15" t="n">
        <f aca="false">mk_mem26*(w_hbm*hsA_28/hsA_26+(1-w_hbm)*drA_28/drA_26)</f>
        <v>5.17069526557172</v>
      </c>
      <c r="F346" s="15" t="n">
        <f aca="false">mk_mem26*(w_hbm*hsA_29/hsA_26+(1-w_hbm)*drA_29/drA_26)</f>
        <v>6.33160644779016</v>
      </c>
      <c r="G346" s="15" t="n">
        <f aca="false">F346*(1+cy30g)</f>
        <v>6.33160644779016</v>
      </c>
      <c r="H346" s="8" t="s">
        <v>583</v>
      </c>
    </row>
    <row r="347" customFormat="false" ht="17.15" hidden="false" customHeight="false" outlineLevel="0" collapsed="false">
      <c r="A347" s="1" t="s">
        <v>584</v>
      </c>
    </row>
    <row r="348" customFormat="false" ht="17.15" hidden="false" customHeight="false" outlineLevel="0" collapsed="false">
      <c r="A348" s="0" t="s">
        <v>585</v>
      </c>
      <c r="B348" s="0" t="s">
        <v>148</v>
      </c>
      <c r="C348" s="15" t="n">
        <f aca="false">fmk_soc25</f>
        <v>7.925</v>
      </c>
      <c r="D348" s="15" t="n">
        <f aca="false">0.75*C345+0.25*D345</f>
        <v>12.6827379912664</v>
      </c>
      <c r="E348" s="15" t="n">
        <f aca="false">0.75*D345+0.25*E345</f>
        <v>16.7339857037286</v>
      </c>
      <c r="F348" s="15" t="n">
        <f aca="false">0.75*E345+0.25*F345</f>
        <v>18.7600021691636</v>
      </c>
      <c r="G348" s="15" t="n">
        <f aca="false">0.75*F345+0.25*G345</f>
        <v>20.3591170695008</v>
      </c>
    </row>
    <row r="349" customFormat="false" ht="17.15" hidden="false" customHeight="false" outlineLevel="0" collapsed="false">
      <c r="A349" s="5" t="s">
        <v>586</v>
      </c>
      <c r="B349" s="0" t="s">
        <v>148</v>
      </c>
      <c r="C349" s="15" t="n">
        <f aca="false">fmk_mem25</f>
        <v>2.2625</v>
      </c>
      <c r="D349" s="15" t="n">
        <f aca="false">0.75*C346+0.25*D346</f>
        <v>3.06037661995115</v>
      </c>
      <c r="E349" s="15" t="n">
        <f aca="false">0.75*D346+0.25*E346</f>
        <v>4.28630367624639</v>
      </c>
      <c r="F349" s="15" t="n">
        <f aca="false">0.75*E346+0.25*F346</f>
        <v>5.46092306112633</v>
      </c>
      <c r="G349" s="15" t="n">
        <f aca="false">0.75*F346+0.25*G346</f>
        <v>6.33160644779016</v>
      </c>
    </row>
    <row r="350" customFormat="false" ht="17.15" hidden="false" customHeight="false" outlineLevel="0" collapsed="false">
      <c r="A350" s="0" t="s">
        <v>587</v>
      </c>
      <c r="B350" s="0" t="s">
        <v>38</v>
      </c>
      <c r="C350" s="14" t="n">
        <f aca="false">a25_soc/(C348*fx)</f>
        <v>0.645552050473186</v>
      </c>
      <c r="D350" s="14" t="n">
        <f aca="false">sh_soc</f>
        <v>0.66</v>
      </c>
      <c r="E350" s="14" t="n">
        <f aca="false">sh_soc</f>
        <v>0.66</v>
      </c>
      <c r="F350" s="14" t="n">
        <f aca="false">sh_soc</f>
        <v>0.66</v>
      </c>
      <c r="G350" s="14" t="n">
        <f aca="false">sh_soc</f>
        <v>0.66</v>
      </c>
      <c r="H350" s="8" t="s">
        <v>588</v>
      </c>
    </row>
    <row r="351" customFormat="false" ht="17.15" hidden="false" customHeight="false" outlineLevel="0" collapsed="false">
      <c r="A351" s="0" t="s">
        <v>589</v>
      </c>
      <c r="B351" s="0" t="s">
        <v>347</v>
      </c>
      <c r="C351" s="11" t="n">
        <f aca="false">a25_soc</f>
        <v>767.4</v>
      </c>
      <c r="D351" s="11" t="n">
        <f aca="false">D348*D350*fx</f>
        <v>1255.59106113537</v>
      </c>
      <c r="E351" s="11" t="n">
        <f aca="false">E348*E350*fx</f>
        <v>1656.66458466913</v>
      </c>
      <c r="F351" s="11" t="n">
        <f aca="false">F348*F350*fx</f>
        <v>1857.2402147472</v>
      </c>
      <c r="G351" s="11" t="n">
        <f aca="false">G348*G350*fx</f>
        <v>2015.55258988058</v>
      </c>
      <c r="H351" s="5" t="s">
        <v>590</v>
      </c>
    </row>
    <row r="352" customFormat="false" ht="15" hidden="false" customHeight="false" outlineLevel="0" collapsed="false">
      <c r="A352" s="5" t="s">
        <v>591</v>
      </c>
      <c r="B352" s="0" t="s">
        <v>347</v>
      </c>
      <c r="C352" s="11" t="n">
        <f aca="false">a25_mem</f>
        <v>171.5</v>
      </c>
      <c r="D352" s="11" t="n">
        <f aca="false">D349*sh_mem*fx</f>
        <v>231.979929423922</v>
      </c>
      <c r="E352" s="11" t="n">
        <f aca="false">E349*sh_mem*fx</f>
        <v>324.906554906633</v>
      </c>
      <c r="F352" s="11" t="n">
        <f aca="false">F349*sh_mem*fx</f>
        <v>413.944002202504</v>
      </c>
      <c r="G352" s="11" t="n">
        <f aca="false">G349*sh_mem*fx</f>
        <v>479.942764992713</v>
      </c>
    </row>
    <row r="353" customFormat="false" ht="15" hidden="false" customHeight="false" outlineLevel="0" collapsed="false">
      <c r="A353" s="5" t="s">
        <v>592</v>
      </c>
      <c r="B353" s="0" t="s">
        <v>347</v>
      </c>
      <c r="C353" s="11" t="n">
        <f aca="false">a25_oth</f>
        <v>80.5</v>
      </c>
      <c r="D353" s="11" t="n">
        <f aca="false">C353*(1+g_oth_26)</f>
        <v>104</v>
      </c>
      <c r="E353" s="11" t="n">
        <f aca="false">D353*(1+g_oth_A)</f>
        <v>119.6</v>
      </c>
      <c r="F353" s="11" t="n">
        <f aca="false">E353*(1+g_oth_A)</f>
        <v>137.54</v>
      </c>
      <c r="G353" s="11" t="n">
        <f aca="false">F353*(1+g_oth_A)</f>
        <v>158.171</v>
      </c>
    </row>
    <row r="354" customFormat="false" ht="15" hidden="false" customHeight="false" outlineLevel="0" collapsed="false">
      <c r="A354" s="5" t="s">
        <v>593</v>
      </c>
      <c r="B354" s="0" t="s">
        <v>347</v>
      </c>
      <c r="C354" s="11" t="n">
        <f aca="false">a25_svc</f>
        <v>109.2</v>
      </c>
      <c r="D354" s="11" t="n">
        <f aca="false">C354*(1+g_svc_26)</f>
        <v>135.6</v>
      </c>
      <c r="E354" s="11" t="n">
        <f aca="false">D354*(1+g_svc_A)</f>
        <v>151.872</v>
      </c>
      <c r="F354" s="11" t="n">
        <f aca="false">E354*(1+g_svc_A)</f>
        <v>170.09664</v>
      </c>
      <c r="G354" s="11" t="n">
        <f aca="false">F354*(1+g_svc_A)</f>
        <v>190.5082368</v>
      </c>
    </row>
    <row r="355" customFormat="false" ht="15" hidden="false" customHeight="false" outlineLevel="0" collapsed="false">
      <c r="A355" s="5" t="s">
        <v>459</v>
      </c>
      <c r="B355" s="0" t="s">
        <v>347</v>
      </c>
      <c r="C355" s="11" t="n">
        <f aca="false">C351+C352+C353+C354</f>
        <v>1128.6</v>
      </c>
      <c r="D355" s="11" t="n">
        <f aca="false">D351+D352+D353+D354</f>
        <v>1727.17099055929</v>
      </c>
      <c r="E355" s="11" t="n">
        <f aca="false">E351+E352+E353+E354</f>
        <v>2253.04313957576</v>
      </c>
      <c r="F355" s="11" t="n">
        <f aca="false">F351+F352+F353+F354</f>
        <v>2578.8208569497</v>
      </c>
      <c r="G355" s="11" t="n">
        <f aca="false">G351+G352+G353+G354</f>
        <v>2844.1745916733</v>
      </c>
    </row>
    <row r="356" customFormat="false" ht="17.15" hidden="false" customHeight="false" outlineLevel="0" collapsed="false">
      <c r="A356" s="0" t="s">
        <v>594</v>
      </c>
      <c r="B356" s="0" t="s">
        <v>38</v>
      </c>
      <c r="C356" s="14" t="n">
        <f aca="false">C351/C355</f>
        <v>0.679957469431154</v>
      </c>
      <c r="D356" s="14" t="n">
        <f aca="false">D351/D355</f>
        <v>0.726963958981725</v>
      </c>
      <c r="E356" s="14" t="n">
        <f aca="false">E351/E355</f>
        <v>0.735300871771622</v>
      </c>
      <c r="F356" s="14" t="n">
        <f aca="false">F351/F355</f>
        <v>0.72018969822665</v>
      </c>
      <c r="G356" s="14" t="n">
        <f aca="false">G351/G355</f>
        <v>0.708659938029608</v>
      </c>
    </row>
    <row r="357" customFormat="false" ht="17.15" hidden="false" customHeight="false" outlineLevel="0" collapsed="false">
      <c r="A357" s="5" t="s">
        <v>463</v>
      </c>
      <c r="B357" s="0" t="s">
        <v>38</v>
      </c>
      <c r="C357" s="14" t="n">
        <f aca="false">a25_gp/a25_rev</f>
        <v>0.643</v>
      </c>
      <c r="D357" s="14" t="n">
        <f aca="false">gm_a+gm_b*D356+0</f>
        <v>0.665709223707645</v>
      </c>
      <c r="E357" s="14" t="n">
        <f aca="false">gm_a+gm_b*E356+0</f>
        <v>0.669736855198254</v>
      </c>
      <c r="F357" s="14" t="n">
        <f aca="false">gm_a+gm_b*F356+0</f>
        <v>0.662436522333605</v>
      </c>
      <c r="G357" s="14" t="n">
        <f aca="false">gm_a+gm_b*G356+0</f>
        <v>0.656866399865123</v>
      </c>
      <c r="H357" s="5" t="s">
        <v>595</v>
      </c>
    </row>
    <row r="358" customFormat="false" ht="15" hidden="false" customHeight="false" outlineLevel="0" collapsed="false">
      <c r="A358" s="5" t="s">
        <v>467</v>
      </c>
      <c r="B358" s="0" t="s">
        <v>347</v>
      </c>
      <c r="C358" s="11" t="n">
        <f aca="false">C355*C357</f>
        <v>725.6898</v>
      </c>
      <c r="D358" s="11" t="n">
        <f aca="false">D355*D357</f>
        <v>1149.79365933559</v>
      </c>
      <c r="E358" s="11" t="n">
        <f aca="false">E355*E357</f>
        <v>1508.94602692547</v>
      </c>
      <c r="F358" s="11" t="n">
        <f aca="false">F355*F357</f>
        <v>1708.30512019913</v>
      </c>
      <c r="G358" s="11" t="n">
        <f aca="false">G355*G357</f>
        <v>1868.24272462029</v>
      </c>
    </row>
    <row r="359" customFormat="false" ht="17.15" hidden="false" customHeight="false" outlineLevel="0" collapsed="false">
      <c r="A359" s="5" t="s">
        <v>596</v>
      </c>
      <c r="B359" s="0" t="s">
        <v>347</v>
      </c>
      <c r="C359" s="11" t="n">
        <f aca="false">opex25</f>
        <v>226.5898</v>
      </c>
      <c r="D359" s="11" t="n">
        <f aca="false">opex_fix+opex_var*D355</f>
        <v>295.322396002039</v>
      </c>
      <c r="E359" s="11" t="n">
        <f aca="false">opex_fix+opex_var*E355</f>
        <v>355.707143236951</v>
      </c>
      <c r="F359" s="11" t="n">
        <f aca="false">opex_fix+opex_var*F355</f>
        <v>393.115485084268</v>
      </c>
      <c r="G359" s="11" t="n">
        <f aca="false">opex_fix+opex_var*G355</f>
        <v>423.585473329685</v>
      </c>
      <c r="H359" s="5" t="s">
        <v>597</v>
      </c>
    </row>
    <row r="360" customFormat="false" ht="15" hidden="false" customHeight="false" outlineLevel="0" collapsed="false">
      <c r="A360" s="5" t="s">
        <v>470</v>
      </c>
      <c r="B360" s="0" t="s">
        <v>347</v>
      </c>
      <c r="C360" s="11" t="n">
        <f aca="false">C358-C359</f>
        <v>499.1</v>
      </c>
      <c r="D360" s="11" t="n">
        <f aca="false">D358-D359</f>
        <v>854.471263333551</v>
      </c>
      <c r="E360" s="11" t="n">
        <f aca="false">E358-E359</f>
        <v>1153.23888368852</v>
      </c>
      <c r="F360" s="11" t="n">
        <f aca="false">F358-F359</f>
        <v>1315.18963511486</v>
      </c>
      <c r="G360" s="11" t="n">
        <f aca="false">G358-G359</f>
        <v>1444.65725129061</v>
      </c>
    </row>
    <row r="361" customFormat="false" ht="15" hidden="false" customHeight="false" outlineLevel="0" collapsed="false">
      <c r="A361" s="5" t="s">
        <v>473</v>
      </c>
      <c r="B361" s="0" t="s">
        <v>38</v>
      </c>
      <c r="C361" s="14" t="n">
        <f aca="false">C360/C355</f>
        <v>0.442229310650363</v>
      </c>
      <c r="D361" s="14" t="n">
        <f aca="false">D360/D355</f>
        <v>0.494723028584944</v>
      </c>
      <c r="E361" s="14" t="n">
        <f aca="false">E360/E355</f>
        <v>0.511858323274569</v>
      </c>
      <c r="F361" s="14" t="n">
        <f aca="false">F360/F355</f>
        <v>0.509996509284674</v>
      </c>
      <c r="G361" s="14" t="n">
        <f aca="false">G360/G355</f>
        <v>0.507935502806346</v>
      </c>
    </row>
    <row r="362" customFormat="false" ht="15" hidden="false" customHeight="false" outlineLevel="0" collapsed="false">
      <c r="A362" s="5" t="s">
        <v>493</v>
      </c>
      <c r="B362" s="0" t="s">
        <v>347</v>
      </c>
      <c r="C362" s="11" t="n">
        <f aca="false">a25_ni</f>
        <v>375.4</v>
      </c>
      <c r="D362" s="11" t="n">
        <f aca="false">D360*nioi</f>
        <v>642.6938734831</v>
      </c>
      <c r="E362" s="11" t="n">
        <f aca="false">E360*nioi</f>
        <v>867.41309744875</v>
      </c>
      <c r="F362" s="11" t="n">
        <f aca="false">F360*nioi</f>
        <v>989.224983013661</v>
      </c>
      <c r="G362" s="11" t="n">
        <f aca="false">G360*nioi</f>
        <v>1086.60455246342</v>
      </c>
    </row>
    <row r="363" customFormat="false" ht="15" hidden="false" customHeight="false" outlineLevel="0" collapsed="false">
      <c r="A363" s="0" t="s">
        <v>562</v>
      </c>
      <c r="B363" s="0" t="s">
        <v>396</v>
      </c>
      <c r="C363" s="11" t="n">
        <f aca="false">a25_eps</f>
        <v>515.15</v>
      </c>
      <c r="D363" s="11" t="n">
        <f aca="false">D362*1000/shares</f>
        <v>887.735519427474</v>
      </c>
      <c r="E363" s="11" t="n">
        <f aca="false">E362*1000/shares</f>
        <v>1198.13405478512</v>
      </c>
      <c r="F363" s="11" t="n">
        <f aca="false">F362*1000/shares</f>
        <v>1366.3894901736</v>
      </c>
      <c r="G363" s="11" t="n">
        <f aca="false">G362*1000/shares</f>
        <v>1500.89723364811</v>
      </c>
    </row>
    <row r="364" customFormat="false" ht="17.15" hidden="false" customHeight="false" outlineLevel="0" collapsed="false">
      <c r="A364" s="5" t="s">
        <v>598</v>
      </c>
      <c r="B364" s="0" t="s">
        <v>148</v>
      </c>
      <c r="C364" s="12" t="n">
        <f aca="false">C355/fx</f>
        <v>7.524</v>
      </c>
      <c r="D364" s="12" t="n">
        <f aca="false">D355/fx</f>
        <v>11.5144732703953</v>
      </c>
      <c r="E364" s="12" t="n">
        <f aca="false">E355/fx</f>
        <v>15.0202875971718</v>
      </c>
      <c r="F364" s="12" t="n">
        <f aca="false">F355/fx</f>
        <v>17.1921390463313</v>
      </c>
      <c r="G364" s="12" t="n">
        <f aca="false">G355/fx</f>
        <v>18.9611639444886</v>
      </c>
      <c r="H364" s="8" t="s">
        <v>599</v>
      </c>
    </row>
    <row r="370" customFormat="false" ht="17.15" hidden="false" customHeight="false" outlineLevel="0" collapsed="false">
      <c r="A370" s="4" t="s">
        <v>822</v>
      </c>
    </row>
    <row r="371" customFormat="false" ht="17.15" hidden="false" customHeight="false" outlineLevel="0" collapsed="false">
      <c r="A371" s="6" t="s">
        <v>16</v>
      </c>
      <c r="B371" s="6" t="s">
        <v>17</v>
      </c>
      <c r="C371" s="9" t="s">
        <v>567</v>
      </c>
      <c r="D371" s="9" t="s">
        <v>568</v>
      </c>
      <c r="E371" s="9" t="s">
        <v>569</v>
      </c>
      <c r="F371" s="9" t="s">
        <v>570</v>
      </c>
      <c r="G371" s="9" t="s">
        <v>571</v>
      </c>
      <c r="H371" s="6" t="s">
        <v>508</v>
      </c>
    </row>
    <row r="372" customFormat="false" ht="17.15" hidden="false" customHeight="false" outlineLevel="0" collapsed="false">
      <c r="A372" s="1" t="s">
        <v>572</v>
      </c>
    </row>
    <row r="373" customFormat="false" ht="17.15" hidden="false" customHeight="false" outlineLevel="0" collapsed="false">
      <c r="A373" s="5" t="s">
        <v>573</v>
      </c>
      <c r="B373" s="5" t="s">
        <v>27</v>
      </c>
      <c r="C373" s="15" t="n">
        <f aca="false">u_bw_26*tt_bw+u_rb_26*tt_rb+u_ru_26*tt_ru+u_hp_26*tt_hp+u_amd_26*tt_amd+u_tpu_26*tt_tpu+u_trn_26*tt_trn+u_oth_26*tt_oth</f>
        <v>14.885</v>
      </c>
      <c r="D373" s="15" t="n">
        <f aca="false">u_bw_27*tt_bw+u_rb_27*tt_rb+u_ru_27*tt_ru+u_hp_27*tt_hp+u_amd_27*tt_amd+u_tpu_27*tt_tpu+u_trn_27*tt_trn+u_oth_27*tt_oth</f>
        <v>24.31</v>
      </c>
      <c r="E373" s="15" t="n">
        <f aca="false">u_bw_28*um28_A*tt_bw+u_rb_28*um28_A*tt_rb+u_ru_28*um28_A*tt_ru+u_hp_28*um28_A*tt_hp+u_amd_28*um28_A*tt_amd+u_tpu_28*um28_A*tt_tpu+u_trn_28*um28_A*tt_trn+u_oth_28*um28_A*tt_oth</f>
        <v>28.1</v>
      </c>
      <c r="F37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73" s="15" t="n">
        <f aca="false">F373*(1+cy30g)</f>
        <v>31.99</v>
      </c>
      <c r="H373" s="8" t="s">
        <v>574</v>
      </c>
    </row>
    <row r="374" customFormat="false" ht="17.15" hidden="false" customHeight="false" outlineLevel="0" collapsed="false">
      <c r="A374" s="5" t="s">
        <v>575</v>
      </c>
      <c r="B374" s="0" t="s">
        <v>576</v>
      </c>
      <c r="C374" s="18" t="n">
        <f aca="false">(mk_soc26-nonai26_lo)/C373</f>
        <v>0.490426603963722</v>
      </c>
      <c r="H374" s="5" t="s">
        <v>577</v>
      </c>
    </row>
    <row r="375" customFormat="false" ht="17.15" hidden="false" customHeight="false" outlineLevel="0" collapsed="false">
      <c r="A375" s="0" t="s">
        <v>578</v>
      </c>
      <c r="B375" s="0" t="s">
        <v>148</v>
      </c>
      <c r="C375" s="15" t="n">
        <f aca="false">$C$374*C373*(1-0)^0</f>
        <v>7.3</v>
      </c>
      <c r="D375" s="15" t="n">
        <f aca="false">$C$374*D373*(1-0)^1</f>
        <v>11.9222707423581</v>
      </c>
      <c r="E375" s="15" t="n">
        <f aca="false">$C$374*E373*(1-0)^2</f>
        <v>13.7809875713806</v>
      </c>
      <c r="F375" s="15" t="n">
        <f aca="false">$C$374*F373*(1-0)^3</f>
        <v>15.6887470607995</v>
      </c>
      <c r="G375" s="15" t="n">
        <f aca="false">$C$374*G373*(1-0)^4</f>
        <v>15.6887470607995</v>
      </c>
    </row>
    <row r="376" customFormat="false" ht="17.15" hidden="false" customHeight="false" outlineLevel="0" collapsed="false">
      <c r="A376" s="5" t="s">
        <v>579</v>
      </c>
      <c r="B376" s="0" t="s">
        <v>148</v>
      </c>
      <c r="C376" s="15" t="n">
        <f aca="false">nonai26_lo*(1+g_nonai)^0</f>
        <v>3.7</v>
      </c>
      <c r="D376" s="15" t="n">
        <f aca="false">nonai26_lo*(1+g_nonai)^1</f>
        <v>3.848</v>
      </c>
      <c r="E376" s="15" t="n">
        <f aca="false">nonai26_lo*(1+g_nonai)^2</f>
        <v>4.00192</v>
      </c>
      <c r="F376" s="15" t="n">
        <f aca="false">nonai26_lo*(1+g_nonai)^3</f>
        <v>4.1619968</v>
      </c>
      <c r="G376" s="15" t="n">
        <f aca="false">nonai26_lo*(1+g_nonai)^4</f>
        <v>4.328476672</v>
      </c>
    </row>
    <row r="377" customFormat="false" ht="17.15" hidden="false" customHeight="false" outlineLevel="0" collapsed="false">
      <c r="A377" s="0" t="s">
        <v>580</v>
      </c>
      <c r="B377" s="0" t="s">
        <v>148</v>
      </c>
      <c r="C377" s="15" t="n">
        <f aca="false">C375+C376</f>
        <v>11</v>
      </c>
      <c r="D377" s="15" t="n">
        <f aca="false">D375+D376</f>
        <v>15.7702707423581</v>
      </c>
      <c r="E377" s="15" t="n">
        <f aca="false">E375+E376</f>
        <v>17.7829075713806</v>
      </c>
      <c r="F377" s="15" t="n">
        <f aca="false">F375+F376</f>
        <v>19.8507438607995</v>
      </c>
      <c r="G377" s="15" t="n">
        <f aca="false">G375+G376</f>
        <v>20.0172237327995</v>
      </c>
      <c r="H377" s="8" t="s">
        <v>581</v>
      </c>
    </row>
    <row r="378" customFormat="false" ht="17.15" hidden="false" customHeight="false" outlineLevel="0" collapsed="false">
      <c r="A378" s="5" t="s">
        <v>582</v>
      </c>
      <c r="B378" s="0" t="s">
        <v>148</v>
      </c>
      <c r="C378" s="15" t="n">
        <f aca="false">mk_mem26*(w_hbm*hsA_26/hsA_26+(1-w_hbm)*drA_26/drA_26)</f>
        <v>2.75</v>
      </c>
      <c r="D378" s="15" t="n">
        <f aca="false">mk_mem26*(w_hbm*hsA_27/hsA_26+(1-w_hbm)*drA_27/drA_26)</f>
        <v>3.99150647980462</v>
      </c>
      <c r="E378" s="15" t="n">
        <f aca="false">mk_mem26*(w_hbm*hsA_28/hsA_26+(1-w_hbm)*drA_28/drA_26)</f>
        <v>5.17069526557172</v>
      </c>
      <c r="F378" s="15" t="n">
        <f aca="false">mk_mem26*(w_hbm*hsA_29/hsA_26+(1-w_hbm)*drA_29/drA_26)</f>
        <v>6.33160644779016</v>
      </c>
      <c r="G378" s="15" t="n">
        <f aca="false">F378*(1+cy30g)</f>
        <v>6.33160644779016</v>
      </c>
      <c r="H378" s="8" t="s">
        <v>583</v>
      </c>
    </row>
    <row r="379" customFormat="false" ht="17.15" hidden="false" customHeight="false" outlineLevel="0" collapsed="false">
      <c r="A379" s="1" t="s">
        <v>584</v>
      </c>
    </row>
    <row r="380" customFormat="false" ht="17.15" hidden="false" customHeight="false" outlineLevel="0" collapsed="false">
      <c r="A380" s="0" t="s">
        <v>585</v>
      </c>
      <c r="B380" s="0" t="s">
        <v>148</v>
      </c>
      <c r="C380" s="15" t="n">
        <f aca="false">fmk_soc25</f>
        <v>7.925</v>
      </c>
      <c r="D380" s="15" t="n">
        <f aca="false">0.75*C377+0.25*D377</f>
        <v>12.1925676855895</v>
      </c>
      <c r="E380" s="15" t="n">
        <f aca="false">0.75*D377+0.25*E377</f>
        <v>16.2734299496137</v>
      </c>
      <c r="F380" s="15" t="n">
        <f aca="false">0.75*E377+0.25*F377</f>
        <v>18.2998666437353</v>
      </c>
      <c r="G380" s="15" t="n">
        <f aca="false">0.75*F377+0.25*G377</f>
        <v>19.8923638287995</v>
      </c>
    </row>
    <row r="381" customFormat="false" ht="17.15" hidden="false" customHeight="false" outlineLevel="0" collapsed="false">
      <c r="A381" s="5" t="s">
        <v>586</v>
      </c>
      <c r="B381" s="0" t="s">
        <v>148</v>
      </c>
      <c r="C381" s="15" t="n">
        <f aca="false">fmk_mem25</f>
        <v>2.2625</v>
      </c>
      <c r="D381" s="15" t="n">
        <f aca="false">0.75*C378+0.25*D378</f>
        <v>3.06037661995115</v>
      </c>
      <c r="E381" s="15" t="n">
        <f aca="false">0.75*D378+0.25*E378</f>
        <v>4.28630367624639</v>
      </c>
      <c r="F381" s="15" t="n">
        <f aca="false">0.75*E378+0.25*F378</f>
        <v>5.46092306112633</v>
      </c>
      <c r="G381" s="15" t="n">
        <f aca="false">0.75*F378+0.25*G378</f>
        <v>6.33160644779016</v>
      </c>
    </row>
    <row r="382" customFormat="false" ht="17.15" hidden="false" customHeight="false" outlineLevel="0" collapsed="false">
      <c r="A382" s="0" t="s">
        <v>587</v>
      </c>
      <c r="B382" s="0" t="s">
        <v>38</v>
      </c>
      <c r="C382" s="14" t="n">
        <f aca="false">a25_soc/(C380*fx)</f>
        <v>0.645552050473186</v>
      </c>
      <c r="D382" s="14" t="n">
        <f aca="false">sh_soc</f>
        <v>0.66</v>
      </c>
      <c r="E382" s="14" t="n">
        <f aca="false">sh_soc</f>
        <v>0.66</v>
      </c>
      <c r="F382" s="14" t="n">
        <f aca="false">sh_soc</f>
        <v>0.66</v>
      </c>
      <c r="G382" s="14" t="n">
        <f aca="false">sh_soc</f>
        <v>0.66</v>
      </c>
      <c r="H382" s="8" t="s">
        <v>588</v>
      </c>
    </row>
    <row r="383" customFormat="false" ht="17.15" hidden="false" customHeight="false" outlineLevel="0" collapsed="false">
      <c r="A383" s="0" t="s">
        <v>589</v>
      </c>
      <c r="B383" s="0" t="s">
        <v>347</v>
      </c>
      <c r="C383" s="11" t="n">
        <f aca="false">a25_soc</f>
        <v>767.4</v>
      </c>
      <c r="D383" s="11" t="n">
        <f aca="false">D380*D382*fx</f>
        <v>1207.06420087336</v>
      </c>
      <c r="E383" s="11" t="n">
        <f aca="false">E380*E382*fx</f>
        <v>1611.06956501176</v>
      </c>
      <c r="F383" s="11" t="n">
        <f aca="false">F380*F382*fx</f>
        <v>1811.6867977298</v>
      </c>
      <c r="G383" s="11" t="n">
        <f aca="false">G380*G382*fx</f>
        <v>1969.34401905115</v>
      </c>
      <c r="H383" s="5" t="s">
        <v>590</v>
      </c>
    </row>
    <row r="384" customFormat="false" ht="15" hidden="false" customHeight="false" outlineLevel="0" collapsed="false">
      <c r="A384" s="5" t="s">
        <v>591</v>
      </c>
      <c r="B384" s="0" t="s">
        <v>347</v>
      </c>
      <c r="C384" s="11" t="n">
        <f aca="false">a25_mem</f>
        <v>171.5</v>
      </c>
      <c r="D384" s="11" t="n">
        <f aca="false">D381*sh_mem*fx</f>
        <v>231.979929423922</v>
      </c>
      <c r="E384" s="11" t="n">
        <f aca="false">E381*sh_mem*fx</f>
        <v>324.906554906633</v>
      </c>
      <c r="F384" s="11" t="n">
        <f aca="false">F381*sh_mem*fx</f>
        <v>413.944002202504</v>
      </c>
      <c r="G384" s="11" t="n">
        <f aca="false">G381*sh_mem*fx</f>
        <v>479.942764992713</v>
      </c>
    </row>
    <row r="385" customFormat="false" ht="15" hidden="false" customHeight="false" outlineLevel="0" collapsed="false">
      <c r="A385" s="5" t="s">
        <v>592</v>
      </c>
      <c r="B385" s="0" t="s">
        <v>347</v>
      </c>
      <c r="C385" s="11" t="n">
        <f aca="false">a25_oth</f>
        <v>80.5</v>
      </c>
      <c r="D385" s="11" t="n">
        <f aca="false">C385*(1+g_oth_26)</f>
        <v>104</v>
      </c>
      <c r="E385" s="11" t="n">
        <f aca="false">D385*(1+g_oth_A)</f>
        <v>119.6</v>
      </c>
      <c r="F385" s="11" t="n">
        <f aca="false">E385*(1+g_oth_A)</f>
        <v>137.54</v>
      </c>
      <c r="G385" s="11" t="n">
        <f aca="false">F385*(1+g_oth_A)</f>
        <v>158.171</v>
      </c>
    </row>
    <row r="386" customFormat="false" ht="15" hidden="false" customHeight="false" outlineLevel="0" collapsed="false">
      <c r="A386" s="5" t="s">
        <v>593</v>
      </c>
      <c r="B386" s="0" t="s">
        <v>347</v>
      </c>
      <c r="C386" s="11" t="n">
        <f aca="false">a25_svc</f>
        <v>109.2</v>
      </c>
      <c r="D386" s="11" t="n">
        <f aca="false">C386*(1+g_svc_26)</f>
        <v>135.6</v>
      </c>
      <c r="E386" s="11" t="n">
        <f aca="false">D386*(1+g_svc_A)</f>
        <v>151.872</v>
      </c>
      <c r="F386" s="11" t="n">
        <f aca="false">E386*(1+g_svc_A)</f>
        <v>170.09664</v>
      </c>
      <c r="G386" s="11" t="n">
        <f aca="false">F386*(1+g_svc_A)</f>
        <v>190.5082368</v>
      </c>
    </row>
    <row r="387" customFormat="false" ht="15" hidden="false" customHeight="false" outlineLevel="0" collapsed="false">
      <c r="A387" s="5" t="s">
        <v>459</v>
      </c>
      <c r="B387" s="0" t="s">
        <v>347</v>
      </c>
      <c r="C387" s="11" t="n">
        <f aca="false">C383+C384+C385+C386</f>
        <v>1128.6</v>
      </c>
      <c r="D387" s="11" t="n">
        <f aca="false">D383+D384+D385+D386</f>
        <v>1678.64413029728</v>
      </c>
      <c r="E387" s="11" t="n">
        <f aca="false">E383+E384+E385+E386</f>
        <v>2207.44811991839</v>
      </c>
      <c r="F387" s="11" t="n">
        <f aca="false">F383+F384+F385+F386</f>
        <v>2533.2674399323</v>
      </c>
      <c r="G387" s="11" t="n">
        <f aca="false">G383+G384+G385+G386</f>
        <v>2797.96602084386</v>
      </c>
    </row>
    <row r="388" customFormat="false" ht="17.15" hidden="false" customHeight="false" outlineLevel="0" collapsed="false">
      <c r="A388" s="0" t="s">
        <v>594</v>
      </c>
      <c r="B388" s="0" t="s">
        <v>38</v>
      </c>
      <c r="C388" s="14" t="n">
        <f aca="false">C383/C387</f>
        <v>0.679957469431154</v>
      </c>
      <c r="D388" s="14" t="n">
        <f aca="false">D383/D387</f>
        <v>0.719070932955631</v>
      </c>
      <c r="E388" s="14" t="n">
        <f aca="false">E383/E387</f>
        <v>0.72983348984497</v>
      </c>
      <c r="F388" s="14" t="n">
        <f aca="false">F383/F387</f>
        <v>0.715158127078052</v>
      </c>
      <c r="G388" s="14" t="n">
        <f aca="false">G383/G387</f>
        <v>0.70384844003831</v>
      </c>
    </row>
    <row r="389" customFormat="false" ht="17.15" hidden="false" customHeight="false" outlineLevel="0" collapsed="false">
      <c r="A389" s="5" t="s">
        <v>463</v>
      </c>
      <c r="B389" s="0" t="s">
        <v>38</v>
      </c>
      <c r="C389" s="14" t="n">
        <f aca="false">a25_gp/a25_rev</f>
        <v>0.643</v>
      </c>
      <c r="D389" s="14" t="n">
        <f aca="false">gm_a+gm_b*D388+0</f>
        <v>0.66189603758227</v>
      </c>
      <c r="E389" s="14" t="n">
        <f aca="false">gm_a+gm_b*E388+0</f>
        <v>0.66709551779028</v>
      </c>
      <c r="F389" s="14" t="n">
        <f aca="false">gm_a+gm_b*F388+0</f>
        <v>0.660005728715386</v>
      </c>
      <c r="G389" s="14" t="n">
        <f aca="false">gm_a+gm_b*G388+0</f>
        <v>0.654541925408554</v>
      </c>
      <c r="H389" s="5" t="s">
        <v>595</v>
      </c>
    </row>
    <row r="390" customFormat="false" ht="15" hidden="false" customHeight="false" outlineLevel="0" collapsed="false">
      <c r="A390" s="5" t="s">
        <v>467</v>
      </c>
      <c r="B390" s="0" t="s">
        <v>347</v>
      </c>
      <c r="C390" s="11" t="n">
        <f aca="false">C387*C389</f>
        <v>725.6898</v>
      </c>
      <c r="D390" s="11" t="n">
        <f aca="false">D387*D389</f>
        <v>1111.08789835451</v>
      </c>
      <c r="E390" s="11" t="n">
        <f aca="false">E387*E389</f>
        <v>1472.57874655214</v>
      </c>
      <c r="F390" s="11" t="n">
        <f aca="false">F387*F389</f>
        <v>1671.97102272348</v>
      </c>
      <c r="G390" s="11" t="n">
        <f aca="false">G387*G389</f>
        <v>1831.38606651085</v>
      </c>
    </row>
    <row r="391" customFormat="false" ht="17.15" hidden="false" customHeight="false" outlineLevel="0" collapsed="false">
      <c r="A391" s="5" t="s">
        <v>596</v>
      </c>
      <c r="B391" s="0" t="s">
        <v>347</v>
      </c>
      <c r="C391" s="11" t="n">
        <f aca="false">opex25</f>
        <v>226.5898</v>
      </c>
      <c r="D391" s="11" t="n">
        <f aca="false">opex_fix+opex_var*D387</f>
        <v>289.750162909822</v>
      </c>
      <c r="E391" s="11" t="n">
        <f aca="false">opex_fix+opex_var*E387</f>
        <v>350.471566980762</v>
      </c>
      <c r="F391" s="11" t="n">
        <f aca="false">opex_fix+opex_var*F387</f>
        <v>387.88468596812</v>
      </c>
      <c r="G391" s="11" t="n">
        <f aca="false">opex_fix+opex_var*G387</f>
        <v>418.279444336059</v>
      </c>
      <c r="H391" s="5" t="s">
        <v>597</v>
      </c>
    </row>
    <row r="392" customFormat="false" ht="15" hidden="false" customHeight="false" outlineLevel="0" collapsed="false">
      <c r="A392" s="5" t="s">
        <v>470</v>
      </c>
      <c r="B392" s="0" t="s">
        <v>347</v>
      </c>
      <c r="C392" s="11" t="n">
        <f aca="false">C390-C391</f>
        <v>499.1</v>
      </c>
      <c r="D392" s="11" t="n">
        <f aca="false">D390-D391</f>
        <v>821.337735444686</v>
      </c>
      <c r="E392" s="11" t="n">
        <f aca="false">E390-E391</f>
        <v>1122.10717957138</v>
      </c>
      <c r="F392" s="11" t="n">
        <f aca="false">F390-F391</f>
        <v>1284.08633675536</v>
      </c>
      <c r="G392" s="11" t="n">
        <f aca="false">G390-G391</f>
        <v>1413.10662217479</v>
      </c>
    </row>
    <row r="393" customFormat="false" ht="15" hidden="false" customHeight="false" outlineLevel="0" collapsed="false">
      <c r="A393" s="5" t="s">
        <v>473</v>
      </c>
      <c r="B393" s="0" t="s">
        <v>38</v>
      </c>
      <c r="C393" s="14" t="n">
        <f aca="false">C392/C387</f>
        <v>0.442229310650363</v>
      </c>
      <c r="D393" s="14" t="n">
        <f aca="false">D392/D387</f>
        <v>0.489286395264271</v>
      </c>
      <c r="E393" s="14" t="n">
        <f aca="false">E392/E387</f>
        <v>0.508327769720296</v>
      </c>
      <c r="F393" s="14" t="n">
        <f aca="false">F392/F387</f>
        <v>0.50688937003417</v>
      </c>
      <c r="G393" s="14" t="n">
        <f aca="false">G392/G387</f>
        <v>0.505047813893252</v>
      </c>
    </row>
    <row r="394" customFormat="false" ht="15" hidden="false" customHeight="false" outlineLevel="0" collapsed="false">
      <c r="A394" s="5" t="s">
        <v>493</v>
      </c>
      <c r="B394" s="0" t="s">
        <v>347</v>
      </c>
      <c r="C394" s="11" t="n">
        <f aca="false">a25_ni</f>
        <v>375.4</v>
      </c>
      <c r="D394" s="11" t="n">
        <f aca="false">D392*nioi</f>
        <v>617.772362023512</v>
      </c>
      <c r="E394" s="11" t="n">
        <f aca="false">E392*nioi</f>
        <v>843.997265500089</v>
      </c>
      <c r="F394" s="11" t="n">
        <f aca="false">F392*nioi</f>
        <v>965.83051656574</v>
      </c>
      <c r="G394" s="11" t="n">
        <f aca="false">G392*nioi</f>
        <v>1062.87362445285</v>
      </c>
    </row>
    <row r="395" customFormat="false" ht="15" hidden="false" customHeight="false" outlineLevel="0" collapsed="false">
      <c r="A395" s="0" t="s">
        <v>562</v>
      </c>
      <c r="B395" s="0" t="s">
        <v>396</v>
      </c>
      <c r="C395" s="11" t="n">
        <f aca="false">a25_eps</f>
        <v>515.15</v>
      </c>
      <c r="D395" s="11" t="n">
        <f aca="false">D394*1000/shares</f>
        <v>853.312115325931</v>
      </c>
      <c r="E395" s="11" t="n">
        <f aca="false">E394*1000/shares</f>
        <v>1165.79040472803</v>
      </c>
      <c r="F395" s="11" t="n">
        <f aca="false">F394*1000/shares</f>
        <v>1334.07535169999</v>
      </c>
      <c r="G395" s="11" t="n">
        <f aca="false">G394*1000/shares</f>
        <v>1468.11834999423</v>
      </c>
    </row>
    <row r="396" customFormat="false" ht="17.15" hidden="false" customHeight="false" outlineLevel="0" collapsed="false">
      <c r="A396" s="5" t="s">
        <v>598</v>
      </c>
      <c r="B396" s="0" t="s">
        <v>148</v>
      </c>
      <c r="C396" s="12" t="n">
        <f aca="false">C387/fx</f>
        <v>7.524</v>
      </c>
      <c r="D396" s="12" t="n">
        <f aca="false">D387/fx</f>
        <v>11.1909608686486</v>
      </c>
      <c r="E396" s="12" t="n">
        <f aca="false">E387/fx</f>
        <v>14.7163207994559</v>
      </c>
      <c r="F396" s="12" t="n">
        <f aca="false">F387/fx</f>
        <v>16.8884495995487</v>
      </c>
      <c r="G396" s="12" t="n">
        <f aca="false">G387/fx</f>
        <v>18.6531068056257</v>
      </c>
      <c r="H396" s="8" t="s">
        <v>599</v>
      </c>
    </row>
    <row r="402" customFormat="false" ht="17.15" hidden="false" customHeight="false" outlineLevel="0" collapsed="false">
      <c r="A402" s="4" t="s">
        <v>823</v>
      </c>
    </row>
    <row r="403" customFormat="false" ht="17.15" hidden="false" customHeight="false" outlineLevel="0" collapsed="false">
      <c r="A403" s="6" t="s">
        <v>16</v>
      </c>
      <c r="B403" s="6" t="s">
        <v>17</v>
      </c>
      <c r="C403" s="9" t="s">
        <v>567</v>
      </c>
      <c r="D403" s="9" t="s">
        <v>568</v>
      </c>
      <c r="E403" s="9" t="s">
        <v>569</v>
      </c>
      <c r="F403" s="9" t="s">
        <v>570</v>
      </c>
      <c r="G403" s="9" t="s">
        <v>571</v>
      </c>
      <c r="H403" s="6" t="s">
        <v>508</v>
      </c>
    </row>
    <row r="404" customFormat="false" ht="17.15" hidden="false" customHeight="false" outlineLevel="0" collapsed="false">
      <c r="A404" s="1" t="s">
        <v>572</v>
      </c>
    </row>
    <row r="405" customFormat="false" ht="17.15" hidden="false" customHeight="false" outlineLevel="0" collapsed="false">
      <c r="A405" s="5" t="s">
        <v>573</v>
      </c>
      <c r="B405" s="5" t="s">
        <v>27</v>
      </c>
      <c r="C405" s="15" t="n">
        <f aca="false">u_bw_26*tt_bw+u_rb_26*tt_rb+u_ru_26*tt_ru+u_hp_26*tt_hp+u_amd_26*tt_amd+u_tpu_26*tt_tpu+u_trn_26*tt_trn+u_oth_26*tt_oth</f>
        <v>14.885</v>
      </c>
      <c r="D405" s="15" t="n">
        <f aca="false">u_bw_27*tt_bw+u_rb_27*tt_rb+u_ru_27*tt_ru+u_hp_27*tt_hp+u_amd_27*tt_amd+u_tpu_27*tt_tpu+u_trn_27*tt_trn+u_oth_27*tt_oth</f>
        <v>24.31</v>
      </c>
      <c r="E405" s="15" t="n">
        <f aca="false">u_bw_28*um28_A*tt_bw+u_rb_28*um28_A*tt_rb+u_ru_28*um28_A*tt_ru+u_hp_28*um28_A*tt_hp+u_amd_28*um28_A*tt_amd+u_tpu_28*um28_A*tt_tpu+u_trn_28*um28_A*tt_trn+u_oth_28*um28_A*tt_oth</f>
        <v>28.1</v>
      </c>
      <c r="F40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05" s="15" t="n">
        <f aca="false">F405*(1+cy30g)</f>
        <v>31.99</v>
      </c>
      <c r="H405" s="8" t="s">
        <v>574</v>
      </c>
    </row>
    <row r="406" customFormat="false" ht="17.15" hidden="false" customHeight="false" outlineLevel="0" collapsed="false">
      <c r="A406" s="5" t="s">
        <v>575</v>
      </c>
      <c r="B406" s="0" t="s">
        <v>576</v>
      </c>
      <c r="C406" s="18" t="n">
        <f aca="false">(mk_soc26-nonai26_hi)/C405</f>
        <v>0.409808532079275</v>
      </c>
      <c r="H406" s="5" t="s">
        <v>577</v>
      </c>
    </row>
    <row r="407" customFormat="false" ht="17.15" hidden="false" customHeight="false" outlineLevel="0" collapsed="false">
      <c r="A407" s="0" t="s">
        <v>578</v>
      </c>
      <c r="B407" s="0" t="s">
        <v>148</v>
      </c>
      <c r="C407" s="15" t="n">
        <f aca="false">$C$406*C405*(1-0)^0</f>
        <v>6.1</v>
      </c>
      <c r="D407" s="15" t="n">
        <f aca="false">$C$406*D405*(1-0)^1</f>
        <v>9.96244541484716</v>
      </c>
      <c r="E407" s="15" t="n">
        <f aca="false">$C$406*E405*(1-0)^2</f>
        <v>11.5156197514276</v>
      </c>
      <c r="F407" s="15" t="n">
        <f aca="false">$C$406*F405*(1-0)^3</f>
        <v>13.109774941216</v>
      </c>
      <c r="G407" s="15" t="n">
        <f aca="false">$C$406*G405*(1-0)^4</f>
        <v>13.109774941216</v>
      </c>
    </row>
    <row r="408" customFormat="false" ht="17.15" hidden="false" customHeight="false" outlineLevel="0" collapsed="false">
      <c r="A408" s="5" t="s">
        <v>579</v>
      </c>
      <c r="B408" s="0" t="s">
        <v>148</v>
      </c>
      <c r="C408" s="15" t="n">
        <f aca="false">nonai26_hi*(1+g_nonai)^0</f>
        <v>4.9</v>
      </c>
      <c r="D408" s="15" t="n">
        <f aca="false">nonai26_hi*(1+g_nonai)^1</f>
        <v>5.096</v>
      </c>
      <c r="E408" s="15" t="n">
        <f aca="false">nonai26_hi*(1+g_nonai)^2</f>
        <v>5.29984</v>
      </c>
      <c r="F408" s="15" t="n">
        <f aca="false">nonai26_hi*(1+g_nonai)^3</f>
        <v>5.5118336</v>
      </c>
      <c r="G408" s="15" t="n">
        <f aca="false">nonai26_hi*(1+g_nonai)^4</f>
        <v>5.732306944</v>
      </c>
    </row>
    <row r="409" customFormat="false" ht="17.15" hidden="false" customHeight="false" outlineLevel="0" collapsed="false">
      <c r="A409" s="0" t="s">
        <v>580</v>
      </c>
      <c r="B409" s="0" t="s">
        <v>148</v>
      </c>
      <c r="C409" s="15" t="n">
        <f aca="false">C407+C408</f>
        <v>11</v>
      </c>
      <c r="D409" s="15" t="n">
        <f aca="false">D407+D408</f>
        <v>15.0584454148472</v>
      </c>
      <c r="E409" s="15" t="n">
        <f aca="false">E407+E408</f>
        <v>16.8154597514276</v>
      </c>
      <c r="F409" s="15" t="n">
        <f aca="false">F407+F408</f>
        <v>18.621608541216</v>
      </c>
      <c r="G409" s="15" t="n">
        <f aca="false">G407+G408</f>
        <v>18.842081885216</v>
      </c>
      <c r="H409" s="8" t="s">
        <v>581</v>
      </c>
    </row>
    <row r="410" customFormat="false" ht="17.15" hidden="false" customHeight="false" outlineLevel="0" collapsed="false">
      <c r="A410" s="5" t="s">
        <v>582</v>
      </c>
      <c r="B410" s="0" t="s">
        <v>148</v>
      </c>
      <c r="C410" s="15" t="n">
        <f aca="false">mk_mem26*(w_hbm*hsA_26/hsA_26+(1-w_hbm)*drA_26/drA_26)</f>
        <v>2.75</v>
      </c>
      <c r="D410" s="15" t="n">
        <f aca="false">mk_mem26*(w_hbm*hsA_27/hsA_26+(1-w_hbm)*drA_27/drA_26)</f>
        <v>3.99150647980462</v>
      </c>
      <c r="E410" s="15" t="n">
        <f aca="false">mk_mem26*(w_hbm*hsA_28/hsA_26+(1-w_hbm)*drA_28/drA_26)</f>
        <v>5.17069526557172</v>
      </c>
      <c r="F410" s="15" t="n">
        <f aca="false">mk_mem26*(w_hbm*hsA_29/hsA_26+(1-w_hbm)*drA_29/drA_26)</f>
        <v>6.33160644779016</v>
      </c>
      <c r="G410" s="15" t="n">
        <f aca="false">F410*(1+cy30g)</f>
        <v>6.33160644779016</v>
      </c>
      <c r="H410" s="8" t="s">
        <v>583</v>
      </c>
    </row>
    <row r="411" customFormat="false" ht="17.15" hidden="false" customHeight="false" outlineLevel="0" collapsed="false">
      <c r="A411" s="1" t="s">
        <v>584</v>
      </c>
    </row>
    <row r="412" customFormat="false" ht="17.15" hidden="false" customHeight="false" outlineLevel="0" collapsed="false">
      <c r="A412" s="0" t="s">
        <v>585</v>
      </c>
      <c r="B412" s="0" t="s">
        <v>148</v>
      </c>
      <c r="C412" s="15" t="n">
        <f aca="false">fmk_soc25</f>
        <v>7.925</v>
      </c>
      <c r="D412" s="15" t="n">
        <f aca="false">0.75*C409+0.25*D409</f>
        <v>12.0146113537118</v>
      </c>
      <c r="E412" s="15" t="n">
        <f aca="false">0.75*D409+0.25*E409</f>
        <v>15.4976989989923</v>
      </c>
      <c r="F412" s="15" t="n">
        <f aca="false">0.75*E409+0.25*F409</f>
        <v>17.2669969488747</v>
      </c>
      <c r="G412" s="15" t="n">
        <f aca="false">0.75*F409+0.25*G409</f>
        <v>18.676726877216</v>
      </c>
    </row>
    <row r="413" customFormat="false" ht="17.15" hidden="false" customHeight="false" outlineLevel="0" collapsed="false">
      <c r="A413" s="5" t="s">
        <v>586</v>
      </c>
      <c r="B413" s="0" t="s">
        <v>148</v>
      </c>
      <c r="C413" s="15" t="n">
        <f aca="false">fmk_mem25</f>
        <v>2.2625</v>
      </c>
      <c r="D413" s="15" t="n">
        <f aca="false">0.75*C410+0.25*D410</f>
        <v>3.06037661995115</v>
      </c>
      <c r="E413" s="15" t="n">
        <f aca="false">0.75*D410+0.25*E410</f>
        <v>4.28630367624639</v>
      </c>
      <c r="F413" s="15" t="n">
        <f aca="false">0.75*E410+0.25*F410</f>
        <v>5.46092306112633</v>
      </c>
      <c r="G413" s="15" t="n">
        <f aca="false">0.75*F410+0.25*G410</f>
        <v>6.33160644779016</v>
      </c>
    </row>
    <row r="414" customFormat="false" ht="17.15" hidden="false" customHeight="false" outlineLevel="0" collapsed="false">
      <c r="A414" s="0" t="s">
        <v>587</v>
      </c>
      <c r="B414" s="0" t="s">
        <v>38</v>
      </c>
      <c r="C414" s="14" t="n">
        <f aca="false">a25_soc/(C412*fx)</f>
        <v>0.645552050473186</v>
      </c>
      <c r="D414" s="14" t="n">
        <f aca="false">sh_soc</f>
        <v>0.66</v>
      </c>
      <c r="E414" s="14" t="n">
        <f aca="false">sh_soc</f>
        <v>0.66</v>
      </c>
      <c r="F414" s="14" t="n">
        <f aca="false">sh_soc</f>
        <v>0.66</v>
      </c>
      <c r="G414" s="14" t="n">
        <f aca="false">sh_soc</f>
        <v>0.66</v>
      </c>
      <c r="H414" s="8" t="s">
        <v>588</v>
      </c>
    </row>
    <row r="415" customFormat="false" ht="17.15" hidden="false" customHeight="false" outlineLevel="0" collapsed="false">
      <c r="A415" s="0" t="s">
        <v>589</v>
      </c>
      <c r="B415" s="0" t="s">
        <v>347</v>
      </c>
      <c r="C415" s="11" t="n">
        <f aca="false">a25_soc</f>
        <v>767.4</v>
      </c>
      <c r="D415" s="11" t="n">
        <f aca="false">D412*D414*fx</f>
        <v>1189.44652401747</v>
      </c>
      <c r="E415" s="11" t="n">
        <f aca="false">E412*E414*fx</f>
        <v>1534.27220090024</v>
      </c>
      <c r="F415" s="11" t="n">
        <f aca="false">F412*F414*fx</f>
        <v>1709.4326979386</v>
      </c>
      <c r="G415" s="11" t="n">
        <f aca="false">G412*G414*fx</f>
        <v>1848.99596084438</v>
      </c>
      <c r="H415" s="5" t="s">
        <v>590</v>
      </c>
    </row>
    <row r="416" customFormat="false" ht="15" hidden="false" customHeight="false" outlineLevel="0" collapsed="false">
      <c r="A416" s="5" t="s">
        <v>591</v>
      </c>
      <c r="B416" s="0" t="s">
        <v>347</v>
      </c>
      <c r="C416" s="11" t="n">
        <f aca="false">a25_mem</f>
        <v>171.5</v>
      </c>
      <c r="D416" s="11" t="n">
        <f aca="false">D413*sh_mem*fx</f>
        <v>231.979929423922</v>
      </c>
      <c r="E416" s="11" t="n">
        <f aca="false">E413*sh_mem*fx</f>
        <v>324.906554906633</v>
      </c>
      <c r="F416" s="11" t="n">
        <f aca="false">F413*sh_mem*fx</f>
        <v>413.944002202504</v>
      </c>
      <c r="G416" s="11" t="n">
        <f aca="false">G413*sh_mem*fx</f>
        <v>479.942764992713</v>
      </c>
    </row>
    <row r="417" customFormat="false" ht="15" hidden="false" customHeight="false" outlineLevel="0" collapsed="false">
      <c r="A417" s="5" t="s">
        <v>592</v>
      </c>
      <c r="B417" s="0" t="s">
        <v>347</v>
      </c>
      <c r="C417" s="11" t="n">
        <f aca="false">a25_oth</f>
        <v>80.5</v>
      </c>
      <c r="D417" s="11" t="n">
        <f aca="false">C417*(1+g_oth_26)</f>
        <v>104</v>
      </c>
      <c r="E417" s="11" t="n">
        <f aca="false">D417*(1+g_oth_A)</f>
        <v>119.6</v>
      </c>
      <c r="F417" s="11" t="n">
        <f aca="false">E417*(1+g_oth_A)</f>
        <v>137.54</v>
      </c>
      <c r="G417" s="11" t="n">
        <f aca="false">F417*(1+g_oth_A)</f>
        <v>158.171</v>
      </c>
    </row>
    <row r="418" customFormat="false" ht="15" hidden="false" customHeight="false" outlineLevel="0" collapsed="false">
      <c r="A418" s="5" t="s">
        <v>593</v>
      </c>
      <c r="B418" s="0" t="s">
        <v>347</v>
      </c>
      <c r="C418" s="11" t="n">
        <f aca="false">a25_svc</f>
        <v>109.2</v>
      </c>
      <c r="D418" s="11" t="n">
        <f aca="false">C418*(1+g_svc_26)</f>
        <v>135.6</v>
      </c>
      <c r="E418" s="11" t="n">
        <f aca="false">D418*(1+g_svc_A)</f>
        <v>151.872</v>
      </c>
      <c r="F418" s="11" t="n">
        <f aca="false">E418*(1+g_svc_A)</f>
        <v>170.09664</v>
      </c>
      <c r="G418" s="11" t="n">
        <f aca="false">F418*(1+g_svc_A)</f>
        <v>190.5082368</v>
      </c>
    </row>
    <row r="419" customFormat="false" ht="15" hidden="false" customHeight="false" outlineLevel="0" collapsed="false">
      <c r="A419" s="5" t="s">
        <v>459</v>
      </c>
      <c r="B419" s="0" t="s">
        <v>347</v>
      </c>
      <c r="C419" s="11" t="n">
        <f aca="false">C415+C416+C417+C418</f>
        <v>1128.6</v>
      </c>
      <c r="D419" s="11" t="n">
        <f aca="false">D415+D416+D417+D418</f>
        <v>1661.02645344139</v>
      </c>
      <c r="E419" s="11" t="n">
        <f aca="false">E415+E416+E417+E418</f>
        <v>2130.65075580687</v>
      </c>
      <c r="F419" s="11" t="n">
        <f aca="false">F415+F416+F417+F418</f>
        <v>2431.0133401411</v>
      </c>
      <c r="G419" s="11" t="n">
        <f aca="false">G415+G416+G417+G418</f>
        <v>2677.6179626371</v>
      </c>
    </row>
    <row r="420" customFormat="false" ht="17.15" hidden="false" customHeight="false" outlineLevel="0" collapsed="false">
      <c r="A420" s="0" t="s">
        <v>594</v>
      </c>
      <c r="B420" s="0" t="s">
        <v>38</v>
      </c>
      <c r="C420" s="14" t="n">
        <f aca="false">C415/C419</f>
        <v>0.679957469431154</v>
      </c>
      <c r="D420" s="14" t="n">
        <f aca="false">D415/D419</f>
        <v>0.716091258843662</v>
      </c>
      <c r="E420" s="14" t="n">
        <f aca="false">E415/E419</f>
        <v>0.720095584280406</v>
      </c>
      <c r="F420" s="14" t="n">
        <f aca="false">F415/F419</f>
        <v>0.703177012529013</v>
      </c>
      <c r="G420" s="14" t="n">
        <f aca="false">G415/G419</f>
        <v>0.690537629581544</v>
      </c>
    </row>
    <row r="421" customFormat="false" ht="17.15" hidden="false" customHeight="false" outlineLevel="0" collapsed="false">
      <c r="A421" s="5" t="s">
        <v>463</v>
      </c>
      <c r="B421" s="0" t="s">
        <v>38</v>
      </c>
      <c r="C421" s="14" t="n">
        <f aca="false">a25_gp/a25_rev</f>
        <v>0.643</v>
      </c>
      <c r="D421" s="14" t="n">
        <f aca="false">gm_a+gm_b*D420+0</f>
        <v>0.660456532385614</v>
      </c>
      <c r="E421" s="14" t="n">
        <f aca="false">gm_a+gm_b*E420+0</f>
        <v>0.662391055108129</v>
      </c>
      <c r="F421" s="14" t="n">
        <f aca="false">gm_a+gm_b*F420+0</f>
        <v>0.654217553228077</v>
      </c>
      <c r="G421" s="14" t="n">
        <f aca="false">gm_a+gm_b*G420+0</f>
        <v>0.648111362835539</v>
      </c>
      <c r="H421" s="5" t="s">
        <v>595</v>
      </c>
    </row>
    <row r="422" customFormat="false" ht="15" hidden="false" customHeight="false" outlineLevel="0" collapsed="false">
      <c r="A422" s="5" t="s">
        <v>467</v>
      </c>
      <c r="B422" s="0" t="s">
        <v>347</v>
      </c>
      <c r="C422" s="11" t="n">
        <f aca="false">C419*C421</f>
        <v>725.6898</v>
      </c>
      <c r="D422" s="11" t="n">
        <f aca="false">D419*D421</f>
        <v>1097.03577164067</v>
      </c>
      <c r="E422" s="11" t="n">
        <f aca="false">E419*E421</f>
        <v>1411.32400220584</v>
      </c>
      <c r="F422" s="11" t="n">
        <f aca="false">F419*F421</f>
        <v>1590.41159925193</v>
      </c>
      <c r="G422" s="11" t="n">
        <f aca="false">G419*G421</f>
        <v>1735.39462691765</v>
      </c>
    </row>
    <row r="423" customFormat="false" ht="17.15" hidden="false" customHeight="false" outlineLevel="0" collapsed="false">
      <c r="A423" s="5" t="s">
        <v>596</v>
      </c>
      <c r="B423" s="0" t="s">
        <v>347</v>
      </c>
      <c r="C423" s="11" t="n">
        <f aca="false">opex25</f>
        <v>226.5898</v>
      </c>
      <c r="D423" s="11" t="n">
        <f aca="false">opex_fix+opex_var*D419</f>
        <v>287.727163658389</v>
      </c>
      <c r="E423" s="11" t="n">
        <f aca="false">opex_fix+opex_var*E419</f>
        <v>341.653093842653</v>
      </c>
      <c r="F423" s="11" t="n">
        <f aca="false">opex_fix+opex_var*F419</f>
        <v>376.143071621034</v>
      </c>
      <c r="G423" s="11" t="n">
        <f aca="false">opex_fix+opex_var*G419</f>
        <v>404.460140369078</v>
      </c>
      <c r="H423" s="5" t="s">
        <v>597</v>
      </c>
    </row>
    <row r="424" customFormat="false" ht="15" hidden="false" customHeight="false" outlineLevel="0" collapsed="false">
      <c r="A424" s="5" t="s">
        <v>470</v>
      </c>
      <c r="B424" s="0" t="s">
        <v>347</v>
      </c>
      <c r="C424" s="11" t="n">
        <f aca="false">C422-C423</f>
        <v>499.1</v>
      </c>
      <c r="D424" s="11" t="n">
        <f aca="false">D422-D423</f>
        <v>809.308607982285</v>
      </c>
      <c r="E424" s="11" t="n">
        <f aca="false">E422-E423</f>
        <v>1069.67090836319</v>
      </c>
      <c r="F424" s="11" t="n">
        <f aca="false">F422-F423</f>
        <v>1214.26852763089</v>
      </c>
      <c r="G424" s="11" t="n">
        <f aca="false">G422-G423</f>
        <v>1330.93448654857</v>
      </c>
    </row>
    <row r="425" customFormat="false" ht="15" hidden="false" customHeight="false" outlineLevel="0" collapsed="false">
      <c r="A425" s="5" t="s">
        <v>473</v>
      </c>
      <c r="B425" s="0" t="s">
        <v>38</v>
      </c>
      <c r="C425" s="14" t="n">
        <f aca="false">C424/C419</f>
        <v>0.442229310650363</v>
      </c>
      <c r="D425" s="14" t="n">
        <f aca="false">D424/D419</f>
        <v>0.487234027071347</v>
      </c>
      <c r="E425" s="14" t="n">
        <f aca="false">E424/E419</f>
        <v>0.502039532029317</v>
      </c>
      <c r="F425" s="14" t="n">
        <f aca="false">F424/F419</f>
        <v>0.499490688751389</v>
      </c>
      <c r="G425" s="14" t="n">
        <f aca="false">G424/G419</f>
        <v>0.497059141789509</v>
      </c>
    </row>
    <row r="426" customFormat="false" ht="15" hidden="false" customHeight="false" outlineLevel="0" collapsed="false">
      <c r="A426" s="5" t="s">
        <v>493</v>
      </c>
      <c r="B426" s="0" t="s">
        <v>347</v>
      </c>
      <c r="C426" s="11" t="n">
        <f aca="false">a25_ni</f>
        <v>375.4</v>
      </c>
      <c r="D426" s="11" t="n">
        <f aca="false">D424*nioi</f>
        <v>608.724607165998</v>
      </c>
      <c r="E426" s="11" t="n">
        <f aca="false">E424*nioi</f>
        <v>804.557120816553</v>
      </c>
      <c r="F426" s="11" t="n">
        <f aca="false">F424*nioi</f>
        <v>913.316780750625</v>
      </c>
      <c r="G426" s="11" t="n">
        <f aca="false">G424*nioi</f>
        <v>1001.06753406198</v>
      </c>
    </row>
    <row r="427" customFormat="false" ht="15" hidden="false" customHeight="false" outlineLevel="0" collapsed="false">
      <c r="A427" s="0" t="s">
        <v>562</v>
      </c>
      <c r="B427" s="0" t="s">
        <v>396</v>
      </c>
      <c r="C427" s="11" t="n">
        <f aca="false">a25_eps</f>
        <v>515.15</v>
      </c>
      <c r="D427" s="11" t="n">
        <f aca="false">D426*1000/shares</f>
        <v>840.814698298198</v>
      </c>
      <c r="E427" s="11" t="n">
        <f aca="false">E426*1000/shares</f>
        <v>1111.31280851697</v>
      </c>
      <c r="F427" s="11" t="n">
        <f aca="false">F426*1000/shares</f>
        <v>1261.53956061136</v>
      </c>
      <c r="G427" s="11" t="n">
        <f aca="false">G426*1000/shares</f>
        <v>1382.74728295797</v>
      </c>
    </row>
    <row r="428" customFormat="false" ht="17.15" hidden="false" customHeight="false" outlineLevel="0" collapsed="false">
      <c r="A428" s="5" t="s">
        <v>598</v>
      </c>
      <c r="B428" s="0" t="s">
        <v>148</v>
      </c>
      <c r="C428" s="12" t="n">
        <f aca="false">C419/fx</f>
        <v>7.524</v>
      </c>
      <c r="D428" s="12" t="n">
        <f aca="false">D419/fx</f>
        <v>11.0735096896093</v>
      </c>
      <c r="E428" s="12" t="n">
        <f aca="false">E419/fx</f>
        <v>14.2043383720458</v>
      </c>
      <c r="F428" s="12" t="n">
        <f aca="false">F419/fx</f>
        <v>16.2067556009407</v>
      </c>
      <c r="G428" s="12" t="n">
        <f aca="false">G419/fx</f>
        <v>17.8507864175806</v>
      </c>
      <c r="H428" s="8" t="s">
        <v>599</v>
      </c>
    </row>
    <row r="434" customFormat="false" ht="17.15" hidden="false" customHeight="false" outlineLevel="0" collapsed="false">
      <c r="A434" s="4" t="s">
        <v>824</v>
      </c>
    </row>
    <row r="435" customFormat="false" ht="17.15" hidden="false" customHeight="false" outlineLevel="0" collapsed="false">
      <c r="A435" s="6" t="s">
        <v>16</v>
      </c>
      <c r="B435" s="6" t="s">
        <v>17</v>
      </c>
      <c r="C435" s="9" t="s">
        <v>567</v>
      </c>
      <c r="D435" s="9" t="s">
        <v>568</v>
      </c>
      <c r="E435" s="9" t="s">
        <v>569</v>
      </c>
      <c r="F435" s="9" t="s">
        <v>570</v>
      </c>
      <c r="G435" s="9" t="s">
        <v>571</v>
      </c>
      <c r="H435" s="6" t="s">
        <v>508</v>
      </c>
    </row>
    <row r="436" customFormat="false" ht="17.15" hidden="false" customHeight="false" outlineLevel="0" collapsed="false">
      <c r="A436" s="1" t="s">
        <v>572</v>
      </c>
    </row>
    <row r="437" customFormat="false" ht="17.15" hidden="false" customHeight="false" outlineLevel="0" collapsed="false">
      <c r="A437" s="5" t="s">
        <v>573</v>
      </c>
      <c r="B437" s="5" t="s">
        <v>27</v>
      </c>
      <c r="C437" s="15" t="n">
        <f aca="false">u_bw_26*tt_bw+u_rb_26*tt_rb+u_ru_26*tt_ru+u_hp_26*tt_hp+u_amd_26*tt_amd+u_tpu_26*tt_tpu+u_trn_26*tt_trn+u_oth_26*tt_oth</f>
        <v>14.885</v>
      </c>
      <c r="D437" s="15" t="n">
        <f aca="false">u_bw_27*tt_bw+u_rb_27*tt_rb+u_ru_27*tt_ru+u_hp_27*tt_hp+u_amd_27*tt_amd+u_tpu_27*tt_tpu+u_trn_27*tt_trn+u_oth_27*tt_oth</f>
        <v>24.31</v>
      </c>
      <c r="E437" s="15" t="n">
        <f aca="false">u_bw_28*um28_A*tt_bw+u_rb_28*um28_A*tt_rb+u_ru_28*um28_A*tt_ru+u_hp_28*um28_A*tt_hp+u_amd_28*um28_A*tt_amd+u_tpu_28*um28_A*tt_tpu+u_trn_28*um28_A*tt_trn+u_oth_28*um28_A*tt_oth</f>
        <v>28.1</v>
      </c>
      <c r="F43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7" s="15" t="n">
        <f aca="false">F437*(1+cy30g)</f>
        <v>31.99</v>
      </c>
      <c r="H437" s="8" t="s">
        <v>574</v>
      </c>
    </row>
    <row r="438" customFormat="false" ht="17.15" hidden="false" customHeight="false" outlineLevel="0" collapsed="false">
      <c r="A438" s="5" t="s">
        <v>575</v>
      </c>
      <c r="B438" s="0" t="s">
        <v>576</v>
      </c>
      <c r="C438" s="18" t="n">
        <f aca="false">(mk_soc26-nonai26)/C437</f>
        <v>0.450117568021498</v>
      </c>
      <c r="H438" s="5" t="s">
        <v>577</v>
      </c>
    </row>
    <row r="439" customFormat="false" ht="17.15" hidden="false" customHeight="false" outlineLevel="0" collapsed="false">
      <c r="A439" s="0" t="s">
        <v>578</v>
      </c>
      <c r="B439" s="0" t="s">
        <v>148</v>
      </c>
      <c r="C439" s="15" t="n">
        <f aca="false">$C$438*C437*(1-0)^0</f>
        <v>6.7</v>
      </c>
      <c r="D439" s="15" t="n">
        <f aca="false">$C$438*D437*(1-0)^1</f>
        <v>10.9423580786026</v>
      </c>
      <c r="E439" s="15" t="n">
        <f aca="false">$C$438*E437*(1-0)^2</f>
        <v>12.6483036614041</v>
      </c>
      <c r="F439" s="15" t="n">
        <f aca="false">$C$438*F437*(1-0)^3</f>
        <v>14.3992610010077</v>
      </c>
      <c r="G439" s="15" t="n">
        <f aca="false">$C$438*G437*(1-0)^4</f>
        <v>14.3992610010077</v>
      </c>
    </row>
    <row r="440" customFormat="false" ht="17.15" hidden="false" customHeight="false" outlineLevel="0" collapsed="false">
      <c r="A440" s="5" t="s">
        <v>579</v>
      </c>
      <c r="B440" s="0" t="s">
        <v>148</v>
      </c>
      <c r="C440" s="15" t="n">
        <f aca="false">nonai26*(1+g_nonai)^0</f>
        <v>4.3</v>
      </c>
      <c r="D440" s="15" t="n">
        <f aca="false">nonai26*(1+g_nonai)^1</f>
        <v>4.472</v>
      </c>
      <c r="E440" s="15" t="n">
        <f aca="false">nonai26*(1+g_nonai)^2</f>
        <v>4.65088</v>
      </c>
      <c r="F440" s="15" t="n">
        <f aca="false">nonai26*(1+g_nonai)^3</f>
        <v>4.8369152</v>
      </c>
      <c r="G440" s="15" t="n">
        <f aca="false">nonai26*(1+g_nonai)^4</f>
        <v>5.030391808</v>
      </c>
    </row>
    <row r="441" customFormat="false" ht="17.15" hidden="false" customHeight="false" outlineLevel="0" collapsed="false">
      <c r="A441" s="0" t="s">
        <v>580</v>
      </c>
      <c r="B441" s="0" t="s">
        <v>148</v>
      </c>
      <c r="C441" s="15" t="n">
        <f aca="false">C439+C440</f>
        <v>11</v>
      </c>
      <c r="D441" s="15" t="n">
        <f aca="false">D439+D440</f>
        <v>15.4143580786026</v>
      </c>
      <c r="E441" s="15" t="n">
        <f aca="false">E439+E440</f>
        <v>17.2991836614041</v>
      </c>
      <c r="F441" s="15" t="n">
        <f aca="false">F439+F440</f>
        <v>19.2361762010077</v>
      </c>
      <c r="G441" s="15" t="n">
        <f aca="false">G439+G440</f>
        <v>19.4296528090077</v>
      </c>
      <c r="H441" s="8" t="s">
        <v>581</v>
      </c>
    </row>
    <row r="442" customFormat="false" ht="17.15" hidden="false" customHeight="false" outlineLevel="0" collapsed="false">
      <c r="A442" s="5" t="s">
        <v>582</v>
      </c>
      <c r="B442" s="0" t="s">
        <v>148</v>
      </c>
      <c r="C442" s="15" t="n">
        <f aca="false">mk_mem26*(w_hbm*hsA_26/hsA_26+(1-w_hbm)*drA_26/drA_26)</f>
        <v>2.75</v>
      </c>
      <c r="D442" s="15" t="n">
        <f aca="false">mk_mem26*(w_hbm*hsA_27/hsA_26+(1-w_hbm)*drA_27/drA_26)</f>
        <v>3.99150647980462</v>
      </c>
      <c r="E442" s="15" t="n">
        <f aca="false">mk_mem26*(w_hbm*hsA_28/hsA_26+(1-w_hbm)*drA_28/drA_26)</f>
        <v>5.17069526557172</v>
      </c>
      <c r="F442" s="15" t="n">
        <f aca="false">mk_mem26*(w_hbm*hsA_29/hsA_26+(1-w_hbm)*drA_29/drA_26)</f>
        <v>6.33160644779016</v>
      </c>
      <c r="G442" s="15" t="n">
        <f aca="false">F442*(1+cy30g)</f>
        <v>6.33160644779016</v>
      </c>
      <c r="H442" s="8" t="s">
        <v>583</v>
      </c>
    </row>
    <row r="443" customFormat="false" ht="17.15" hidden="false" customHeight="false" outlineLevel="0" collapsed="false">
      <c r="A443" s="1" t="s">
        <v>584</v>
      </c>
    </row>
    <row r="444" customFormat="false" ht="17.15" hidden="false" customHeight="false" outlineLevel="0" collapsed="false">
      <c r="A444" s="0" t="s">
        <v>585</v>
      </c>
      <c r="B444" s="0" t="s">
        <v>148</v>
      </c>
      <c r="C444" s="15" t="n">
        <f aca="false">fmk_soc25</f>
        <v>7.925</v>
      </c>
      <c r="D444" s="15" t="n">
        <f aca="false">0.75*C441+0.25*D441</f>
        <v>12.1035895196507</v>
      </c>
      <c r="E444" s="15" t="n">
        <f aca="false">0.75*D441+0.25*E441</f>
        <v>15.885564474303</v>
      </c>
      <c r="F444" s="15" t="n">
        <f aca="false">0.75*E441+0.25*F441</f>
        <v>17.783431796305</v>
      </c>
      <c r="G444" s="15" t="n">
        <f aca="false">0.75*F441+0.25*G441</f>
        <v>19.2845453530077</v>
      </c>
    </row>
    <row r="445" customFormat="false" ht="17.15" hidden="false" customHeight="false" outlineLevel="0" collapsed="false">
      <c r="A445" s="5" t="s">
        <v>586</v>
      </c>
      <c r="B445" s="0" t="s">
        <v>148</v>
      </c>
      <c r="C445" s="15" t="n">
        <f aca="false">fmk_mem25</f>
        <v>2.2625</v>
      </c>
      <c r="D445" s="15" t="n">
        <f aca="false">0.75*C442+0.25*D442</f>
        <v>3.06037661995115</v>
      </c>
      <c r="E445" s="15" t="n">
        <f aca="false">0.75*D442+0.25*E442</f>
        <v>4.28630367624639</v>
      </c>
      <c r="F445" s="15" t="n">
        <f aca="false">0.75*E442+0.25*F442</f>
        <v>5.46092306112633</v>
      </c>
      <c r="G445" s="15" t="n">
        <f aca="false">0.75*F442+0.25*G442</f>
        <v>6.33160644779016</v>
      </c>
    </row>
    <row r="446" customFormat="false" ht="17.15" hidden="false" customHeight="false" outlineLevel="0" collapsed="false">
      <c r="A446" s="0" t="s">
        <v>587</v>
      </c>
      <c r="B446" s="0" t="s">
        <v>38</v>
      </c>
      <c r="C446" s="14" t="n">
        <f aca="false">a25_soc/(C444*fx)</f>
        <v>0.645552050473186</v>
      </c>
      <c r="D446" s="14" t="n">
        <f aca="false">sh_soc</f>
        <v>0.66</v>
      </c>
      <c r="E446" s="14" t="n">
        <f aca="false">sh_soc</f>
        <v>0.66</v>
      </c>
      <c r="F446" s="14" t="n">
        <f aca="false">sh_soc</f>
        <v>0.66</v>
      </c>
      <c r="G446" s="14" t="n">
        <f aca="false">sh_soc</f>
        <v>0.66</v>
      </c>
      <c r="H446" s="8" t="s">
        <v>588</v>
      </c>
    </row>
    <row r="447" customFormat="false" ht="17.15" hidden="false" customHeight="false" outlineLevel="0" collapsed="false">
      <c r="A447" s="0" t="s">
        <v>589</v>
      </c>
      <c r="B447" s="0" t="s">
        <v>347</v>
      </c>
      <c r="C447" s="11" t="n">
        <f aca="false">a25_soc</f>
        <v>767.4</v>
      </c>
      <c r="D447" s="11" t="n">
        <f aca="false">D444*D446*fx</f>
        <v>1198.25536244542</v>
      </c>
      <c r="E447" s="11" t="n">
        <f aca="false">E444*E446*fx</f>
        <v>1572.670882956</v>
      </c>
      <c r="F447" s="11" t="n">
        <f aca="false">F444*F446*fx</f>
        <v>1760.5597478342</v>
      </c>
      <c r="G447" s="11" t="n">
        <f aca="false">G444*G446*fx</f>
        <v>1909.16998994777</v>
      </c>
      <c r="H447" s="5" t="s">
        <v>590</v>
      </c>
    </row>
    <row r="448" customFormat="false" ht="15" hidden="false" customHeight="false" outlineLevel="0" collapsed="false">
      <c r="A448" s="5" t="s">
        <v>591</v>
      </c>
      <c r="B448" s="0" t="s">
        <v>347</v>
      </c>
      <c r="C448" s="11" t="n">
        <f aca="false">a25_mem</f>
        <v>171.5</v>
      </c>
      <c r="D448" s="11" t="n">
        <f aca="false">D445*sh_mem_lo*fx</f>
        <v>209.027104774288</v>
      </c>
      <c r="E448" s="11" t="n">
        <f aca="false">E445*sh_mem_lo*fx</f>
        <v>292.759277334785</v>
      </c>
      <c r="F448" s="11" t="n">
        <f aca="false">F445*sh_mem_lo*fx</f>
        <v>372.987079244057</v>
      </c>
      <c r="G448" s="11" t="n">
        <f aca="false">G445*sh_mem_lo*fx</f>
        <v>432.455716634287</v>
      </c>
    </row>
    <row r="449" customFormat="false" ht="15" hidden="false" customHeight="false" outlineLevel="0" collapsed="false">
      <c r="A449" s="5" t="s">
        <v>592</v>
      </c>
      <c r="B449" s="0" t="s">
        <v>347</v>
      </c>
      <c r="C449" s="11" t="n">
        <f aca="false">a25_oth</f>
        <v>80.5</v>
      </c>
      <c r="D449" s="11" t="n">
        <f aca="false">C449*(1+g_oth_26)</f>
        <v>104</v>
      </c>
      <c r="E449" s="11" t="n">
        <f aca="false">D449*(1+g_oth_A)</f>
        <v>119.6</v>
      </c>
      <c r="F449" s="11" t="n">
        <f aca="false">E449*(1+g_oth_A)</f>
        <v>137.54</v>
      </c>
      <c r="G449" s="11" t="n">
        <f aca="false">F449*(1+g_oth_A)</f>
        <v>158.171</v>
      </c>
    </row>
    <row r="450" customFormat="false" ht="15" hidden="false" customHeight="false" outlineLevel="0" collapsed="false">
      <c r="A450" s="5" t="s">
        <v>593</v>
      </c>
      <c r="B450" s="0" t="s">
        <v>347</v>
      </c>
      <c r="C450" s="11" t="n">
        <f aca="false">a25_svc</f>
        <v>109.2</v>
      </c>
      <c r="D450" s="11" t="n">
        <f aca="false">C450*(1+g_svc_26)</f>
        <v>135.6</v>
      </c>
      <c r="E450" s="11" t="n">
        <f aca="false">D450*(1+g_svc_A)</f>
        <v>151.872</v>
      </c>
      <c r="F450" s="11" t="n">
        <f aca="false">E450*(1+g_svc_A)</f>
        <v>170.09664</v>
      </c>
      <c r="G450" s="11" t="n">
        <f aca="false">F450*(1+g_svc_A)</f>
        <v>190.5082368</v>
      </c>
    </row>
    <row r="451" customFormat="false" ht="15" hidden="false" customHeight="false" outlineLevel="0" collapsed="false">
      <c r="A451" s="5" t="s">
        <v>459</v>
      </c>
      <c r="B451" s="0" t="s">
        <v>347</v>
      </c>
      <c r="C451" s="11" t="n">
        <f aca="false">C447+C448+C449+C450</f>
        <v>1128.6</v>
      </c>
      <c r="D451" s="11" t="n">
        <f aca="false">D447+D448+D449+D450</f>
        <v>1646.8824672197</v>
      </c>
      <c r="E451" s="11" t="n">
        <f aca="false">E447+E448+E449+E450</f>
        <v>2136.90216029078</v>
      </c>
      <c r="F451" s="11" t="n">
        <f aca="false">F447+F448+F449+F450</f>
        <v>2441.18346707825</v>
      </c>
      <c r="G451" s="11" t="n">
        <f aca="false">G447+G448+G449+G450</f>
        <v>2690.30494338205</v>
      </c>
    </row>
    <row r="452" customFormat="false" ht="17.15" hidden="false" customHeight="false" outlineLevel="0" collapsed="false">
      <c r="A452" s="0" t="s">
        <v>594</v>
      </c>
      <c r="B452" s="0" t="s">
        <v>38</v>
      </c>
      <c r="C452" s="14" t="n">
        <f aca="false">C447/C451</f>
        <v>0.679957469431154</v>
      </c>
      <c r="D452" s="14" t="n">
        <f aca="false">D447/D451</f>
        <v>0.727590089940256</v>
      </c>
      <c r="E452" s="14" t="n">
        <f aca="false">E447/E451</f>
        <v>0.735958300843308</v>
      </c>
      <c r="F452" s="14" t="n">
        <f aca="false">F447/F451</f>
        <v>0.721191082758452</v>
      </c>
      <c r="G452" s="14" t="n">
        <f aca="false">G447/G451</f>
        <v>0.709648173767134</v>
      </c>
    </row>
    <row r="453" customFormat="false" ht="17.15" hidden="false" customHeight="false" outlineLevel="0" collapsed="false">
      <c r="A453" s="5" t="s">
        <v>463</v>
      </c>
      <c r="B453" s="0" t="s">
        <v>38</v>
      </c>
      <c r="C453" s="14" t="n">
        <f aca="false">a25_gp/a25_rev</f>
        <v>0.643</v>
      </c>
      <c r="D453" s="14" t="n">
        <f aca="false">gm_a+gm_b*D452+0</f>
        <v>0.666011712749977</v>
      </c>
      <c r="E453" s="14" t="n">
        <f aca="false">gm_a+gm_b*E452+0</f>
        <v>0.670054464617795</v>
      </c>
      <c r="F453" s="14" t="n">
        <f aca="false">gm_a+gm_b*F452+0</f>
        <v>0.662920299479431</v>
      </c>
      <c r="G453" s="14" t="n">
        <f aca="false">gm_a+gm_b*G452+0</f>
        <v>0.657343824719732</v>
      </c>
      <c r="H453" s="5" t="s">
        <v>595</v>
      </c>
    </row>
    <row r="454" customFormat="false" ht="15" hidden="false" customHeight="false" outlineLevel="0" collapsed="false">
      <c r="A454" s="5" t="s">
        <v>467</v>
      </c>
      <c r="B454" s="0" t="s">
        <v>347</v>
      </c>
      <c r="C454" s="11" t="n">
        <f aca="false">C451*C453</f>
        <v>725.6898</v>
      </c>
      <c r="D454" s="11" t="n">
        <f aca="false">D451*D453</f>
        <v>1096.8430126909</v>
      </c>
      <c r="E454" s="11" t="n">
        <f aca="false">E451*E453</f>
        <v>1431.84083295425</v>
      </c>
      <c r="F454" s="11" t="n">
        <f aca="false">F451*F453</f>
        <v>1618.31007507975</v>
      </c>
      <c r="G454" s="11" t="n">
        <f aca="false">G451*G453</f>
        <v>1768.45534114516</v>
      </c>
    </row>
    <row r="455" customFormat="false" ht="17.15" hidden="false" customHeight="false" outlineLevel="0" collapsed="false">
      <c r="A455" s="5" t="s">
        <v>596</v>
      </c>
      <c r="B455" s="0" t="s">
        <v>347</v>
      </c>
      <c r="C455" s="11" t="n">
        <f aca="false">opex25</f>
        <v>226.5898</v>
      </c>
      <c r="D455" s="11" t="n">
        <f aca="false">opex_fix+opex_var*D451</f>
        <v>286.103040695254</v>
      </c>
      <c r="E455" s="11" t="n">
        <f aca="false">opex_fix+opex_var*E451</f>
        <v>342.370928929242</v>
      </c>
      <c r="F455" s="11" t="n">
        <f aca="false">opex_fix+opex_var*F451</f>
        <v>377.3108850251</v>
      </c>
      <c r="G455" s="11" t="n">
        <f aca="false">opex_fix+opex_var*G451</f>
        <v>405.916958584097</v>
      </c>
      <c r="H455" s="5" t="s">
        <v>597</v>
      </c>
    </row>
    <row r="456" customFormat="false" ht="15" hidden="false" customHeight="false" outlineLevel="0" collapsed="false">
      <c r="A456" s="5" t="s">
        <v>470</v>
      </c>
      <c r="B456" s="0" t="s">
        <v>347</v>
      </c>
      <c r="C456" s="11" t="n">
        <f aca="false">C454-C455</f>
        <v>499.1</v>
      </c>
      <c r="D456" s="11" t="n">
        <f aca="false">D454-D455</f>
        <v>810.739971995648</v>
      </c>
      <c r="E456" s="11" t="n">
        <f aca="false">E454-E455</f>
        <v>1089.46990402501</v>
      </c>
      <c r="F456" s="11" t="n">
        <f aca="false">F454-F455</f>
        <v>1240.99919005465</v>
      </c>
      <c r="G456" s="11" t="n">
        <f aca="false">G454-G455</f>
        <v>1362.53838256106</v>
      </c>
    </row>
    <row r="457" customFormat="false" ht="15" hidden="false" customHeight="false" outlineLevel="0" collapsed="false">
      <c r="A457" s="5" t="s">
        <v>473</v>
      </c>
      <c r="B457" s="0" t="s">
        <v>38</v>
      </c>
      <c r="C457" s="14" t="n">
        <f aca="false">C456/C451</f>
        <v>0.442229310650363</v>
      </c>
      <c r="D457" s="14" t="n">
        <f aca="false">D456/D451</f>
        <v>0.492287693950834</v>
      </c>
      <c r="E457" s="14" t="n">
        <f aca="false">E456/E451</f>
        <v>0.509836118971753</v>
      </c>
      <c r="F457" s="14" t="n">
        <f aca="false">F456/F451</f>
        <v>0.508359657023218</v>
      </c>
      <c r="G457" s="14" t="n">
        <f aca="false">G456/G451</f>
        <v>0.506462431299026</v>
      </c>
    </row>
    <row r="458" customFormat="false" ht="15" hidden="false" customHeight="false" outlineLevel="0" collapsed="false">
      <c r="A458" s="5" t="s">
        <v>493</v>
      </c>
      <c r="B458" s="0" t="s">
        <v>347</v>
      </c>
      <c r="C458" s="11" t="n">
        <f aca="false">a25_ni</f>
        <v>375.4</v>
      </c>
      <c r="D458" s="11" t="n">
        <f aca="false">D456*nioi</f>
        <v>609.801213158017</v>
      </c>
      <c r="E458" s="11" t="n">
        <f aca="false">E456*nioi</f>
        <v>819.44901216387</v>
      </c>
      <c r="F458" s="11" t="n">
        <f aca="false">F456*nioi</f>
        <v>933.42235212686</v>
      </c>
      <c r="G458" s="11" t="n">
        <f aca="false">G456*nioi</f>
        <v>1024.8385269754</v>
      </c>
    </row>
    <row r="459" customFormat="false" ht="15" hidden="false" customHeight="false" outlineLevel="0" collapsed="false">
      <c r="A459" s="0" t="s">
        <v>562</v>
      </c>
      <c r="B459" s="0" t="s">
        <v>396</v>
      </c>
      <c r="C459" s="11" t="n">
        <f aca="false">a25_eps</f>
        <v>515.15</v>
      </c>
      <c r="D459" s="11" t="n">
        <f aca="false">D458*1000/shares</f>
        <v>842.301784792992</v>
      </c>
      <c r="E459" s="11" t="n">
        <f aca="false">E458*1000/shares</f>
        <v>1131.88257189253</v>
      </c>
      <c r="F459" s="11" t="n">
        <f aca="false">F458*1000/shares</f>
        <v>1289.31083801959</v>
      </c>
      <c r="G459" s="11" t="n">
        <f aca="false">G458*1000/shares</f>
        <v>1415.58150716948</v>
      </c>
    </row>
    <row r="460" customFormat="false" ht="17.15" hidden="false" customHeight="false" outlineLevel="0" collapsed="false">
      <c r="A460" s="5" t="s">
        <v>598</v>
      </c>
      <c r="B460" s="0" t="s">
        <v>148</v>
      </c>
      <c r="C460" s="12" t="n">
        <f aca="false">C451/fx</f>
        <v>7.524</v>
      </c>
      <c r="D460" s="12" t="n">
        <f aca="false">D451/fx</f>
        <v>10.9792164481314</v>
      </c>
      <c r="E460" s="12" t="n">
        <f aca="false">E451/fx</f>
        <v>14.2460144019385</v>
      </c>
      <c r="F460" s="12" t="n">
        <f aca="false">F451/fx</f>
        <v>16.2745564471884</v>
      </c>
      <c r="G460" s="12" t="n">
        <f aca="false">G451/fx</f>
        <v>17.9353662892137</v>
      </c>
      <c r="H460" s="8" t="s">
        <v>599</v>
      </c>
    </row>
    <row r="466" customFormat="false" ht="17.15" hidden="false" customHeight="false" outlineLevel="0" collapsed="false">
      <c r="A466" s="4" t="s">
        <v>825</v>
      </c>
    </row>
    <row r="467" customFormat="false" ht="17.15" hidden="false" customHeight="false" outlineLevel="0" collapsed="false">
      <c r="A467" s="6" t="s">
        <v>16</v>
      </c>
      <c r="B467" s="6" t="s">
        <v>17</v>
      </c>
      <c r="C467" s="9" t="s">
        <v>567</v>
      </c>
      <c r="D467" s="9" t="s">
        <v>568</v>
      </c>
      <c r="E467" s="9" t="s">
        <v>569</v>
      </c>
      <c r="F467" s="9" t="s">
        <v>570</v>
      </c>
      <c r="G467" s="9" t="s">
        <v>571</v>
      </c>
      <c r="H467" s="6" t="s">
        <v>508</v>
      </c>
    </row>
    <row r="468" customFormat="false" ht="17.15" hidden="false" customHeight="false" outlineLevel="0" collapsed="false">
      <c r="A468" s="1" t="s">
        <v>572</v>
      </c>
    </row>
    <row r="469" customFormat="false" ht="17.15" hidden="false" customHeight="false" outlineLevel="0" collapsed="false">
      <c r="A469" s="5" t="s">
        <v>573</v>
      </c>
      <c r="B469" s="5" t="s">
        <v>27</v>
      </c>
      <c r="C469" s="15" t="n">
        <f aca="false">u_bw_26*tt_bw+u_rb_26*tt_rb+u_ru_26*tt_ru+u_hp_26*tt_hp+u_amd_26*tt_amd+u_tpu_26*tt_tpu+u_trn_26*tt_trn+u_oth_26*tt_oth</f>
        <v>14.885</v>
      </c>
      <c r="D469" s="15" t="n">
        <f aca="false">u_bw_27*tt_bw+u_rb_27*tt_rb+u_ru_27*tt_ru+u_hp_27*tt_hp+u_amd_27*tt_amd+u_tpu_27*tt_tpu+u_trn_27*tt_trn+u_oth_27*tt_oth</f>
        <v>24.31</v>
      </c>
      <c r="E469" s="15" t="n">
        <f aca="false">u_bw_28*um28_A*tt_bw+u_rb_28*um28_A*tt_rb+u_ru_28*um28_A*tt_ru+u_hp_28*um28_A*tt_hp+u_amd_28*um28_A*tt_amd+u_tpu_28*um28_A*tt_tpu+u_trn_28*um28_A*tt_trn+u_oth_28*um28_A*tt_oth</f>
        <v>28.1</v>
      </c>
      <c r="F46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69" s="15" t="n">
        <f aca="false">F469*(1+cy30g)</f>
        <v>31.99</v>
      </c>
      <c r="H469" s="8" t="s">
        <v>574</v>
      </c>
    </row>
    <row r="470" customFormat="false" ht="17.15" hidden="false" customHeight="false" outlineLevel="0" collapsed="false">
      <c r="A470" s="5" t="s">
        <v>575</v>
      </c>
      <c r="B470" s="0" t="s">
        <v>576</v>
      </c>
      <c r="C470" s="18" t="n">
        <f aca="false">(mk_soc26-nonai26)/C469</f>
        <v>0.450117568021498</v>
      </c>
      <c r="H470" s="5" t="s">
        <v>577</v>
      </c>
    </row>
    <row r="471" customFormat="false" ht="17.15" hidden="false" customHeight="false" outlineLevel="0" collapsed="false">
      <c r="A471" s="0" t="s">
        <v>578</v>
      </c>
      <c r="B471" s="0" t="s">
        <v>148</v>
      </c>
      <c r="C471" s="15" t="n">
        <f aca="false">$C$470*C469*(1-0)^0</f>
        <v>6.7</v>
      </c>
      <c r="D471" s="15" t="n">
        <f aca="false">$C$470*D469*(1-0)^1</f>
        <v>10.9423580786026</v>
      </c>
      <c r="E471" s="15" t="n">
        <f aca="false">$C$470*E469*(1-0)^2</f>
        <v>12.6483036614041</v>
      </c>
      <c r="F471" s="15" t="n">
        <f aca="false">$C$470*F469*(1-0)^3</f>
        <v>14.3992610010077</v>
      </c>
      <c r="G471" s="15" t="n">
        <f aca="false">$C$470*G469*(1-0)^4</f>
        <v>14.3992610010077</v>
      </c>
    </row>
    <row r="472" customFormat="false" ht="17.15" hidden="false" customHeight="false" outlineLevel="0" collapsed="false">
      <c r="A472" s="5" t="s">
        <v>579</v>
      </c>
      <c r="B472" s="0" t="s">
        <v>148</v>
      </c>
      <c r="C472" s="15" t="n">
        <f aca="false">nonai26*(1+g_nonai)^0</f>
        <v>4.3</v>
      </c>
      <c r="D472" s="15" t="n">
        <f aca="false">nonai26*(1+g_nonai)^1</f>
        <v>4.472</v>
      </c>
      <c r="E472" s="15" t="n">
        <f aca="false">nonai26*(1+g_nonai)^2</f>
        <v>4.65088</v>
      </c>
      <c r="F472" s="15" t="n">
        <f aca="false">nonai26*(1+g_nonai)^3</f>
        <v>4.8369152</v>
      </c>
      <c r="G472" s="15" t="n">
        <f aca="false">nonai26*(1+g_nonai)^4</f>
        <v>5.030391808</v>
      </c>
    </row>
    <row r="473" customFormat="false" ht="17.15" hidden="false" customHeight="false" outlineLevel="0" collapsed="false">
      <c r="A473" s="0" t="s">
        <v>580</v>
      </c>
      <c r="B473" s="0" t="s">
        <v>148</v>
      </c>
      <c r="C473" s="15" t="n">
        <f aca="false">C471+C472</f>
        <v>11</v>
      </c>
      <c r="D473" s="15" t="n">
        <f aca="false">D471+D472</f>
        <v>15.4143580786026</v>
      </c>
      <c r="E473" s="15" t="n">
        <f aca="false">E471+E472</f>
        <v>17.2991836614041</v>
      </c>
      <c r="F473" s="15" t="n">
        <f aca="false">F471+F472</f>
        <v>19.2361762010077</v>
      </c>
      <c r="G473" s="15" t="n">
        <f aca="false">G471+G472</f>
        <v>19.4296528090077</v>
      </c>
      <c r="H473" s="8" t="s">
        <v>581</v>
      </c>
    </row>
    <row r="474" customFormat="false" ht="17.15" hidden="false" customHeight="false" outlineLevel="0" collapsed="false">
      <c r="A474" s="5" t="s">
        <v>582</v>
      </c>
      <c r="B474" s="0" t="s">
        <v>148</v>
      </c>
      <c r="C474" s="15" t="n">
        <f aca="false">mk_mem26*(w_hbm*hsA_26/hsA_26+(1-w_hbm)*drA_26/drA_26)</f>
        <v>2.75</v>
      </c>
      <c r="D474" s="15" t="n">
        <f aca="false">mk_mem26*(w_hbm*hsA_27/hsA_26+(1-w_hbm)*drA_27/drA_26)</f>
        <v>3.99150647980462</v>
      </c>
      <c r="E474" s="15" t="n">
        <f aca="false">mk_mem26*(w_hbm*hsA_28/hsA_26+(1-w_hbm)*drA_28/drA_26)</f>
        <v>5.17069526557172</v>
      </c>
      <c r="F474" s="15" t="n">
        <f aca="false">mk_mem26*(w_hbm*hsA_29/hsA_26+(1-w_hbm)*drA_29/drA_26)</f>
        <v>6.33160644779016</v>
      </c>
      <c r="G474" s="15" t="n">
        <f aca="false">F474*(1+cy30g)</f>
        <v>6.33160644779016</v>
      </c>
      <c r="H474" s="8" t="s">
        <v>583</v>
      </c>
    </row>
    <row r="475" customFormat="false" ht="17.15" hidden="false" customHeight="false" outlineLevel="0" collapsed="false">
      <c r="A475" s="1" t="s">
        <v>584</v>
      </c>
    </row>
    <row r="476" customFormat="false" ht="17.15" hidden="false" customHeight="false" outlineLevel="0" collapsed="false">
      <c r="A476" s="0" t="s">
        <v>585</v>
      </c>
      <c r="B476" s="0" t="s">
        <v>148</v>
      </c>
      <c r="C476" s="15" t="n">
        <f aca="false">fmk_soc25</f>
        <v>7.925</v>
      </c>
      <c r="D476" s="15" t="n">
        <f aca="false">0.75*C473+0.25*D473</f>
        <v>12.1035895196507</v>
      </c>
      <c r="E476" s="15" t="n">
        <f aca="false">0.75*D473+0.25*E473</f>
        <v>15.885564474303</v>
      </c>
      <c r="F476" s="15" t="n">
        <f aca="false">0.75*E473+0.25*F473</f>
        <v>17.783431796305</v>
      </c>
      <c r="G476" s="15" t="n">
        <f aca="false">0.75*F473+0.25*G473</f>
        <v>19.2845453530077</v>
      </c>
    </row>
    <row r="477" customFormat="false" ht="17.15" hidden="false" customHeight="false" outlineLevel="0" collapsed="false">
      <c r="A477" s="5" t="s">
        <v>586</v>
      </c>
      <c r="B477" s="0" t="s">
        <v>148</v>
      </c>
      <c r="C477" s="15" t="n">
        <f aca="false">fmk_mem25</f>
        <v>2.2625</v>
      </c>
      <c r="D477" s="15" t="n">
        <f aca="false">0.75*C474+0.25*D474</f>
        <v>3.06037661995115</v>
      </c>
      <c r="E477" s="15" t="n">
        <f aca="false">0.75*D474+0.25*E474</f>
        <v>4.28630367624639</v>
      </c>
      <c r="F477" s="15" t="n">
        <f aca="false">0.75*E474+0.25*F474</f>
        <v>5.46092306112633</v>
      </c>
      <c r="G477" s="15" t="n">
        <f aca="false">0.75*F474+0.25*G474</f>
        <v>6.33160644779016</v>
      </c>
    </row>
    <row r="478" customFormat="false" ht="17.15" hidden="false" customHeight="false" outlineLevel="0" collapsed="false">
      <c r="A478" s="0" t="s">
        <v>587</v>
      </c>
      <c r="B478" s="0" t="s">
        <v>38</v>
      </c>
      <c r="C478" s="14" t="n">
        <f aca="false">a25_soc/(C476*fx)</f>
        <v>0.645552050473186</v>
      </c>
      <c r="D478" s="14" t="n">
        <f aca="false">sh_soc</f>
        <v>0.66</v>
      </c>
      <c r="E478" s="14" t="n">
        <f aca="false">sh_soc</f>
        <v>0.66</v>
      </c>
      <c r="F478" s="14" t="n">
        <f aca="false">sh_soc</f>
        <v>0.66</v>
      </c>
      <c r="G478" s="14" t="n">
        <f aca="false">sh_soc</f>
        <v>0.66</v>
      </c>
      <c r="H478" s="8" t="s">
        <v>588</v>
      </c>
    </row>
    <row r="479" customFormat="false" ht="17.15" hidden="false" customHeight="false" outlineLevel="0" collapsed="false">
      <c r="A479" s="0" t="s">
        <v>589</v>
      </c>
      <c r="B479" s="0" t="s">
        <v>347</v>
      </c>
      <c r="C479" s="11" t="n">
        <f aca="false">a25_soc</f>
        <v>767.4</v>
      </c>
      <c r="D479" s="11" t="n">
        <f aca="false">D476*D478*fx</f>
        <v>1198.25536244542</v>
      </c>
      <c r="E479" s="11" t="n">
        <f aca="false">E476*E478*fx</f>
        <v>1572.670882956</v>
      </c>
      <c r="F479" s="11" t="n">
        <f aca="false">F476*F478*fx</f>
        <v>1760.5597478342</v>
      </c>
      <c r="G479" s="11" t="n">
        <f aca="false">G476*G478*fx</f>
        <v>1909.16998994777</v>
      </c>
      <c r="H479" s="5" t="s">
        <v>590</v>
      </c>
    </row>
    <row r="480" customFormat="false" ht="15" hidden="false" customHeight="false" outlineLevel="0" collapsed="false">
      <c r="A480" s="5" t="s">
        <v>591</v>
      </c>
      <c r="B480" s="0" t="s">
        <v>347</v>
      </c>
      <c r="C480" s="11" t="n">
        <f aca="false">a25_mem</f>
        <v>171.5</v>
      </c>
      <c r="D480" s="11" t="n">
        <f aca="false">D477*sh_mem_hi*fx</f>
        <v>254.932754073556</v>
      </c>
      <c r="E480" s="11" t="n">
        <f aca="false">E477*sh_mem_hi*fx</f>
        <v>357.053832478481</v>
      </c>
      <c r="F480" s="11" t="n">
        <f aca="false">F477*sh_mem_hi*fx</f>
        <v>454.900925160951</v>
      </c>
      <c r="G480" s="11" t="n">
        <f aca="false">G477*sh_mem_hi*fx</f>
        <v>527.429813351139</v>
      </c>
    </row>
    <row r="481" customFormat="false" ht="15" hidden="false" customHeight="false" outlineLevel="0" collapsed="false">
      <c r="A481" s="5" t="s">
        <v>592</v>
      </c>
      <c r="B481" s="0" t="s">
        <v>347</v>
      </c>
      <c r="C481" s="11" t="n">
        <f aca="false">a25_oth</f>
        <v>80.5</v>
      </c>
      <c r="D481" s="11" t="n">
        <f aca="false">C481*(1+g_oth_26)</f>
        <v>104</v>
      </c>
      <c r="E481" s="11" t="n">
        <f aca="false">D481*(1+g_oth_A)</f>
        <v>119.6</v>
      </c>
      <c r="F481" s="11" t="n">
        <f aca="false">E481*(1+g_oth_A)</f>
        <v>137.54</v>
      </c>
      <c r="G481" s="11" t="n">
        <f aca="false">F481*(1+g_oth_A)</f>
        <v>158.171</v>
      </c>
    </row>
    <row r="482" customFormat="false" ht="15" hidden="false" customHeight="false" outlineLevel="0" collapsed="false">
      <c r="A482" s="5" t="s">
        <v>593</v>
      </c>
      <c r="B482" s="0" t="s">
        <v>347</v>
      </c>
      <c r="C482" s="11" t="n">
        <f aca="false">a25_svc</f>
        <v>109.2</v>
      </c>
      <c r="D482" s="11" t="n">
        <f aca="false">C482*(1+g_svc_26)</f>
        <v>135.6</v>
      </c>
      <c r="E482" s="11" t="n">
        <f aca="false">D482*(1+g_svc_A)</f>
        <v>151.872</v>
      </c>
      <c r="F482" s="11" t="n">
        <f aca="false">E482*(1+g_svc_A)</f>
        <v>170.09664</v>
      </c>
      <c r="G482" s="11" t="n">
        <f aca="false">F482*(1+g_svc_A)</f>
        <v>190.5082368</v>
      </c>
    </row>
    <row r="483" customFormat="false" ht="15" hidden="false" customHeight="false" outlineLevel="0" collapsed="false">
      <c r="A483" s="5" t="s">
        <v>459</v>
      </c>
      <c r="B483" s="0" t="s">
        <v>347</v>
      </c>
      <c r="C483" s="11" t="n">
        <f aca="false">C479+C480+C481+C482</f>
        <v>1128.6</v>
      </c>
      <c r="D483" s="11" t="n">
        <f aca="false">D479+D480+D481+D482</f>
        <v>1692.78811651897</v>
      </c>
      <c r="E483" s="11" t="n">
        <f aca="false">E479+E480+E481+E482</f>
        <v>2201.19671543448</v>
      </c>
      <c r="F483" s="11" t="n">
        <f aca="false">F479+F480+F481+F482</f>
        <v>2523.09731299515</v>
      </c>
      <c r="G483" s="11" t="n">
        <f aca="false">G479+G480+G481+G482</f>
        <v>2785.2790400989</v>
      </c>
    </row>
    <row r="484" customFormat="false" ht="17.15" hidden="false" customHeight="false" outlineLevel="0" collapsed="false">
      <c r="A484" s="0" t="s">
        <v>594</v>
      </c>
      <c r="B484" s="0" t="s">
        <v>38</v>
      </c>
      <c r="C484" s="14" t="n">
        <f aca="false">C479/C483</f>
        <v>0.679957469431154</v>
      </c>
      <c r="D484" s="14" t="n">
        <f aca="false">D479/D483</f>
        <v>0.707859034897701</v>
      </c>
      <c r="E484" s="14" t="n">
        <f aca="false">E479/E483</f>
        <v>0.714461761608425</v>
      </c>
      <c r="F484" s="14" t="n">
        <f aca="false">F479/F483</f>
        <v>0.697777187889852</v>
      </c>
      <c r="G484" s="14" t="n">
        <f aca="false">G479/G483</f>
        <v>0.68545016943077</v>
      </c>
    </row>
    <row r="485" customFormat="false" ht="17.15" hidden="false" customHeight="false" outlineLevel="0" collapsed="false">
      <c r="A485" s="5" t="s">
        <v>463</v>
      </c>
      <c r="B485" s="0" t="s">
        <v>38</v>
      </c>
      <c r="C485" s="14" t="n">
        <f aca="false">a25_gp/a25_rev</f>
        <v>0.643</v>
      </c>
      <c r="D485" s="14" t="n">
        <f aca="false">gm_a+gm_b*D484+0</f>
        <v>0.656479476940979</v>
      </c>
      <c r="E485" s="14" t="n">
        <f aca="false">gm_a+gm_b*E484+0</f>
        <v>0.65966930880011</v>
      </c>
      <c r="F485" s="14" t="n">
        <f aca="false">gm_a+gm_b*F484+0</f>
        <v>0.65160885330419</v>
      </c>
      <c r="G485" s="14" t="n">
        <f aca="false">gm_a+gm_b*G484+0</f>
        <v>0.645653568778329</v>
      </c>
      <c r="H485" s="5" t="s">
        <v>595</v>
      </c>
    </row>
    <row r="486" customFormat="false" ht="15" hidden="false" customHeight="false" outlineLevel="0" collapsed="false">
      <c r="A486" s="5" t="s">
        <v>467</v>
      </c>
      <c r="B486" s="0" t="s">
        <v>347</v>
      </c>
      <c r="C486" s="11" t="n">
        <f aca="false">C483*C485</f>
        <v>725.6898</v>
      </c>
      <c r="D486" s="11" t="n">
        <f aca="false">D483*D485</f>
        <v>1111.28065730428</v>
      </c>
      <c r="E486" s="11" t="n">
        <f aca="false">E483*E485</f>
        <v>1452.06191580373</v>
      </c>
      <c r="F486" s="11" t="n">
        <f aca="false">F483*F485</f>
        <v>1644.07254689565</v>
      </c>
      <c r="G486" s="11" t="n">
        <f aca="false">G483*G485</f>
        <v>1798.32535228334</v>
      </c>
    </row>
    <row r="487" customFormat="false" ht="17.15" hidden="false" customHeight="false" outlineLevel="0" collapsed="false">
      <c r="A487" s="5" t="s">
        <v>596</v>
      </c>
      <c r="B487" s="0" t="s">
        <v>347</v>
      </c>
      <c r="C487" s="11" t="n">
        <f aca="false">opex25</f>
        <v>226.5898</v>
      </c>
      <c r="D487" s="11" t="n">
        <f aca="false">opex_fix+opex_var*D483</f>
        <v>291.374285872956</v>
      </c>
      <c r="E487" s="11" t="n">
        <f aca="false">opex_fix+opex_var*E483</f>
        <v>349.753731894173</v>
      </c>
      <c r="F487" s="11" t="n">
        <f aca="false">opex_fix+opex_var*F483</f>
        <v>386.716872564053</v>
      </c>
      <c r="G487" s="11" t="n">
        <f aca="false">opex_fix+opex_var*G483</f>
        <v>416.82262612104</v>
      </c>
      <c r="H487" s="5" t="s">
        <v>597</v>
      </c>
    </row>
    <row r="488" customFormat="false" ht="15" hidden="false" customHeight="false" outlineLevel="0" collapsed="false">
      <c r="A488" s="5" t="s">
        <v>470</v>
      </c>
      <c r="B488" s="0" t="s">
        <v>347</v>
      </c>
      <c r="C488" s="11" t="n">
        <f aca="false">C486-C487</f>
        <v>499.1</v>
      </c>
      <c r="D488" s="11" t="n">
        <f aca="false">D486-D487</f>
        <v>819.906371431323</v>
      </c>
      <c r="E488" s="11" t="n">
        <f aca="false">E486-E487</f>
        <v>1102.30818390956</v>
      </c>
      <c r="F488" s="11" t="n">
        <f aca="false">F486-F487</f>
        <v>1257.3556743316</v>
      </c>
      <c r="G488" s="11" t="n">
        <f aca="false">G486-G487</f>
        <v>1381.5027261623</v>
      </c>
    </row>
    <row r="489" customFormat="false" ht="15" hidden="false" customHeight="false" outlineLevel="0" collapsed="false">
      <c r="A489" s="5" t="s">
        <v>473</v>
      </c>
      <c r="B489" s="0" t="s">
        <v>38</v>
      </c>
      <c r="C489" s="14" t="n">
        <f aca="false">C488/C483</f>
        <v>0.442229310650363</v>
      </c>
      <c r="D489" s="14" t="n">
        <f aca="false">D488/D483</f>
        <v>0.484352627142355</v>
      </c>
      <c r="E489" s="14" t="n">
        <f aca="false">E488/E483</f>
        <v>0.500776771190113</v>
      </c>
      <c r="F489" s="14" t="n">
        <f aca="false">F488/F483</f>
        <v>0.498338160742204</v>
      </c>
      <c r="G489" s="14" t="n">
        <f aca="false">G488/G483</f>
        <v>0.496001551827727</v>
      </c>
    </row>
    <row r="490" customFormat="false" ht="15" hidden="false" customHeight="false" outlineLevel="0" collapsed="false">
      <c r="A490" s="5" t="s">
        <v>493</v>
      </c>
      <c r="B490" s="0" t="s">
        <v>347</v>
      </c>
      <c r="C490" s="11" t="n">
        <f aca="false">a25_ni</f>
        <v>375.4</v>
      </c>
      <c r="D490" s="11" t="n">
        <f aca="false">D488*nioi</f>
        <v>616.695756031494</v>
      </c>
      <c r="E490" s="11" t="n">
        <f aca="false">E488*nioi</f>
        <v>829.105374152772</v>
      </c>
      <c r="F490" s="11" t="n">
        <f aca="false">F488*nioi</f>
        <v>945.724945189505</v>
      </c>
      <c r="G490" s="11" t="n">
        <f aca="false">G488*nioi</f>
        <v>1039.10263153942</v>
      </c>
    </row>
    <row r="491" customFormat="false" ht="15" hidden="false" customHeight="false" outlineLevel="0" collapsed="false">
      <c r="A491" s="0" t="s">
        <v>562</v>
      </c>
      <c r="B491" s="0" t="s">
        <v>396</v>
      </c>
      <c r="C491" s="11" t="n">
        <f aca="false">a25_eps</f>
        <v>515.15</v>
      </c>
      <c r="D491" s="11" t="n">
        <f aca="false">D490*1000/shares</f>
        <v>851.825028831138</v>
      </c>
      <c r="E491" s="11" t="n">
        <f aca="false">E490*1000/shares</f>
        <v>1145.22064135247</v>
      </c>
      <c r="F491" s="11" t="n">
        <f aca="false">F490*1000/shares</f>
        <v>1306.30407429176</v>
      </c>
      <c r="G491" s="11" t="n">
        <f aca="false">G490*1000/shares</f>
        <v>1435.28412578273</v>
      </c>
    </row>
    <row r="492" customFormat="false" ht="17.15" hidden="false" customHeight="false" outlineLevel="0" collapsed="false">
      <c r="A492" s="5" t="s">
        <v>598</v>
      </c>
      <c r="B492" s="0" t="s">
        <v>148</v>
      </c>
      <c r="C492" s="12" t="n">
        <f aca="false">C483/fx</f>
        <v>7.524</v>
      </c>
      <c r="D492" s="12" t="n">
        <f aca="false">D483/fx</f>
        <v>11.2852541101265</v>
      </c>
      <c r="E492" s="12" t="n">
        <f aca="false">E483/fx</f>
        <v>14.6746447695632</v>
      </c>
      <c r="F492" s="12" t="n">
        <f aca="false">F483/fx</f>
        <v>16.820648753301</v>
      </c>
      <c r="G492" s="12" t="n">
        <f aca="false">G483/fx</f>
        <v>18.5685269339927</v>
      </c>
      <c r="H492" s="8" t="s">
        <v>599</v>
      </c>
    </row>
    <row r="498" customFormat="false" ht="17.15" hidden="false" customHeight="false" outlineLevel="0" collapsed="false">
      <c r="A498" s="4" t="s">
        <v>826</v>
      </c>
    </row>
    <row r="499" customFormat="false" ht="17.15" hidden="false" customHeight="false" outlineLevel="0" collapsed="false">
      <c r="A499" s="6" t="s">
        <v>16</v>
      </c>
      <c r="B499" s="6" t="s">
        <v>17</v>
      </c>
      <c r="C499" s="9" t="s">
        <v>567</v>
      </c>
      <c r="D499" s="9" t="s">
        <v>568</v>
      </c>
      <c r="E499" s="9" t="s">
        <v>569</v>
      </c>
      <c r="F499" s="9" t="s">
        <v>570</v>
      </c>
      <c r="G499" s="9" t="s">
        <v>571</v>
      </c>
      <c r="H499" s="6" t="s">
        <v>508</v>
      </c>
    </row>
    <row r="500" customFormat="false" ht="17.15" hidden="false" customHeight="false" outlineLevel="0" collapsed="false">
      <c r="A500" s="1" t="s">
        <v>572</v>
      </c>
    </row>
    <row r="501" customFormat="false" ht="17.15" hidden="false" customHeight="false" outlineLevel="0" collapsed="false">
      <c r="A501" s="5" t="s">
        <v>573</v>
      </c>
      <c r="B501" s="5" t="s">
        <v>27</v>
      </c>
      <c r="C501" s="15" t="n">
        <f aca="false">u_bw_26*tt_bw+u_rb_26*tt_rb+u_ru_26*tt_ru+u_hp_26*tt_hp+u_amd_26*tt_amd+u_tpu_26*tt_tpu+u_trn_26*tt_trn+u_oth_26*tt_oth</f>
        <v>14.885</v>
      </c>
      <c r="D501" s="15" t="n">
        <f aca="false">u_bw_27*tt_bw+u_rb_27*tt_rb+u_ru_27*tt_ru+u_hp_27*tt_hp+u_amd_27*tt_amd+u_tpu_27*tt_tpu+u_trn_27*tt_trn+u_oth_27*tt_oth</f>
        <v>24.31</v>
      </c>
      <c r="E501" s="15" t="n">
        <f aca="false">u_bw_28*um28_A*tt_bw+u_rb_28*um28_A*tt_rb+u_ru_28*um28_A*tt_ru+u_hp_28*um28_A*tt_hp+u_amd_28*um28_A*tt_amd+u_tpu_28*um28_A*tt_tpu+u_trn_28*um28_A*tt_trn+u_oth_28*um28_A*tt_oth</f>
        <v>28.1</v>
      </c>
      <c r="F50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01" s="15" t="n">
        <f aca="false">F501*(1+cy30g)</f>
        <v>31.99</v>
      </c>
      <c r="H501" s="8" t="s">
        <v>574</v>
      </c>
    </row>
    <row r="502" customFormat="false" ht="17.15" hidden="false" customHeight="false" outlineLevel="0" collapsed="false">
      <c r="A502" s="5" t="s">
        <v>575</v>
      </c>
      <c r="B502" s="0" t="s">
        <v>576</v>
      </c>
      <c r="C502" s="18" t="n">
        <f aca="false">(mk_soc26-nonai26)/C501</f>
        <v>0.450117568021498</v>
      </c>
      <c r="H502" s="5" t="s">
        <v>577</v>
      </c>
    </row>
    <row r="503" customFormat="false" ht="17.15" hidden="false" customHeight="false" outlineLevel="0" collapsed="false">
      <c r="A503" s="0" t="s">
        <v>578</v>
      </c>
      <c r="B503" s="0" t="s">
        <v>148</v>
      </c>
      <c r="C503" s="15" t="n">
        <f aca="false">$C$502*C501*(1-0)^0</f>
        <v>6.7</v>
      </c>
      <c r="D503" s="15" t="n">
        <f aca="false">$C$502*D501*(1-0)^1</f>
        <v>10.9423580786026</v>
      </c>
      <c r="E503" s="15" t="n">
        <f aca="false">$C$502*E501*(1-0)^2</f>
        <v>12.6483036614041</v>
      </c>
      <c r="F503" s="15" t="n">
        <f aca="false">$C$502*F501*(1-0)^3</f>
        <v>14.3992610010077</v>
      </c>
      <c r="G503" s="15" t="n">
        <f aca="false">$C$502*G501*(1-0)^4</f>
        <v>14.3992610010077</v>
      </c>
    </row>
    <row r="504" customFormat="false" ht="17.15" hidden="false" customHeight="false" outlineLevel="0" collapsed="false">
      <c r="A504" s="5" t="s">
        <v>579</v>
      </c>
      <c r="B504" s="0" t="s">
        <v>148</v>
      </c>
      <c r="C504" s="15" t="n">
        <f aca="false">nonai26*(1+g_nonai)^0</f>
        <v>4.3</v>
      </c>
      <c r="D504" s="15" t="n">
        <f aca="false">nonai26*(1+g_nonai)^1</f>
        <v>4.472</v>
      </c>
      <c r="E504" s="15" t="n">
        <f aca="false">nonai26*(1+g_nonai)^2</f>
        <v>4.65088</v>
      </c>
      <c r="F504" s="15" t="n">
        <f aca="false">nonai26*(1+g_nonai)^3</f>
        <v>4.8369152</v>
      </c>
      <c r="G504" s="15" t="n">
        <f aca="false">nonai26*(1+g_nonai)^4</f>
        <v>5.030391808</v>
      </c>
    </row>
    <row r="505" customFormat="false" ht="17.15" hidden="false" customHeight="false" outlineLevel="0" collapsed="false">
      <c r="A505" s="0" t="s">
        <v>580</v>
      </c>
      <c r="B505" s="0" t="s">
        <v>148</v>
      </c>
      <c r="C505" s="15" t="n">
        <f aca="false">C503+C504</f>
        <v>11</v>
      </c>
      <c r="D505" s="15" t="n">
        <f aca="false">D503+D504</f>
        <v>15.4143580786026</v>
      </c>
      <c r="E505" s="15" t="n">
        <f aca="false">E503+E504</f>
        <v>17.2991836614041</v>
      </c>
      <c r="F505" s="15" t="n">
        <f aca="false">F503+F504</f>
        <v>19.2361762010077</v>
      </c>
      <c r="G505" s="15" t="n">
        <f aca="false">G503+G504</f>
        <v>19.4296528090077</v>
      </c>
      <c r="H505" s="8" t="s">
        <v>581</v>
      </c>
    </row>
    <row r="506" customFormat="false" ht="17.15" hidden="false" customHeight="false" outlineLevel="0" collapsed="false">
      <c r="A506" s="5" t="s">
        <v>582</v>
      </c>
      <c r="B506" s="0" t="s">
        <v>148</v>
      </c>
      <c r="C506" s="15" t="n">
        <f aca="false">mk_mem26*(w_hbm_lo*hsA_26/hsA_26+(1-w_hbm_lo)*drA_26/drA_26)</f>
        <v>2.75</v>
      </c>
      <c r="D506" s="15" t="n">
        <f aca="false">mk_mem26*(w_hbm_lo*hsA_27/hsA_26+(1-w_hbm_lo)*drA_27/drA_26)</f>
        <v>3.88310907172647</v>
      </c>
      <c r="E506" s="15" t="n">
        <f aca="false">mk_mem26*(w_hbm_lo*hsA_28/hsA_26+(1-w_hbm_lo)*drA_28/drA_26)</f>
        <v>4.7667233718004</v>
      </c>
      <c r="F506" s="15" t="n">
        <f aca="false">mk_mem26*(w_hbm_lo*hsA_29/hsA_26+(1-w_hbm_lo)*drA_29/drA_26)</f>
        <v>5.52671152690622</v>
      </c>
      <c r="G506" s="15" t="n">
        <f aca="false">F506*(1+cy30g)</f>
        <v>5.52671152690622</v>
      </c>
      <c r="H506" s="8" t="s">
        <v>583</v>
      </c>
    </row>
    <row r="507" customFormat="false" ht="17.15" hidden="false" customHeight="false" outlineLevel="0" collapsed="false">
      <c r="A507" s="1" t="s">
        <v>584</v>
      </c>
    </row>
    <row r="508" customFormat="false" ht="17.15" hidden="false" customHeight="false" outlineLevel="0" collapsed="false">
      <c r="A508" s="0" t="s">
        <v>585</v>
      </c>
      <c r="B508" s="0" t="s">
        <v>148</v>
      </c>
      <c r="C508" s="15" t="n">
        <f aca="false">fmk_soc25</f>
        <v>7.925</v>
      </c>
      <c r="D508" s="15" t="n">
        <f aca="false">0.75*C505+0.25*D505</f>
        <v>12.1035895196507</v>
      </c>
      <c r="E508" s="15" t="n">
        <f aca="false">0.75*D505+0.25*E505</f>
        <v>15.885564474303</v>
      </c>
      <c r="F508" s="15" t="n">
        <f aca="false">0.75*E505+0.25*F505</f>
        <v>17.783431796305</v>
      </c>
      <c r="G508" s="15" t="n">
        <f aca="false">0.75*F505+0.25*G505</f>
        <v>19.2845453530077</v>
      </c>
    </row>
    <row r="509" customFormat="false" ht="17.15" hidden="false" customHeight="false" outlineLevel="0" collapsed="false">
      <c r="A509" s="5" t="s">
        <v>586</v>
      </c>
      <c r="B509" s="0" t="s">
        <v>148</v>
      </c>
      <c r="C509" s="15" t="n">
        <f aca="false">fmk_mem25</f>
        <v>2.2625</v>
      </c>
      <c r="D509" s="15" t="n">
        <f aca="false">0.75*C506+0.25*D506</f>
        <v>3.03327726793162</v>
      </c>
      <c r="E509" s="15" t="n">
        <f aca="false">0.75*D506+0.25*E506</f>
        <v>4.10401264674495</v>
      </c>
      <c r="F509" s="15" t="n">
        <f aca="false">0.75*E506+0.25*F506</f>
        <v>4.95672041057686</v>
      </c>
      <c r="G509" s="15" t="n">
        <f aca="false">0.75*F506+0.25*G506</f>
        <v>5.52671152690622</v>
      </c>
    </row>
    <row r="510" customFormat="false" ht="17.15" hidden="false" customHeight="false" outlineLevel="0" collapsed="false">
      <c r="A510" s="0" t="s">
        <v>587</v>
      </c>
      <c r="B510" s="0" t="s">
        <v>38</v>
      </c>
      <c r="C510" s="14" t="n">
        <f aca="false">a25_soc/(C508*fx)</f>
        <v>0.645552050473186</v>
      </c>
      <c r="D510" s="14" t="n">
        <f aca="false">sh_soc</f>
        <v>0.66</v>
      </c>
      <c r="E510" s="14" t="n">
        <f aca="false">sh_soc</f>
        <v>0.66</v>
      </c>
      <c r="F510" s="14" t="n">
        <f aca="false">sh_soc</f>
        <v>0.66</v>
      </c>
      <c r="G510" s="14" t="n">
        <f aca="false">sh_soc</f>
        <v>0.66</v>
      </c>
      <c r="H510" s="8" t="s">
        <v>588</v>
      </c>
    </row>
    <row r="511" customFormat="false" ht="17.15" hidden="false" customHeight="false" outlineLevel="0" collapsed="false">
      <c r="A511" s="0" t="s">
        <v>589</v>
      </c>
      <c r="B511" s="0" t="s">
        <v>347</v>
      </c>
      <c r="C511" s="11" t="n">
        <f aca="false">a25_soc</f>
        <v>767.4</v>
      </c>
      <c r="D511" s="11" t="n">
        <f aca="false">D508*D510*fx</f>
        <v>1198.25536244542</v>
      </c>
      <c r="E511" s="11" t="n">
        <f aca="false">E508*E510*fx</f>
        <v>1572.670882956</v>
      </c>
      <c r="F511" s="11" t="n">
        <f aca="false">F508*F510*fx</f>
        <v>1760.5597478342</v>
      </c>
      <c r="G511" s="11" t="n">
        <f aca="false">G508*G510*fx</f>
        <v>1909.16998994777</v>
      </c>
      <c r="H511" s="5" t="s">
        <v>590</v>
      </c>
    </row>
    <row r="512" customFormat="false" ht="15" hidden="false" customHeight="false" outlineLevel="0" collapsed="false">
      <c r="A512" s="5" t="s">
        <v>591</v>
      </c>
      <c r="B512" s="0" t="s">
        <v>347</v>
      </c>
      <c r="C512" s="11" t="n">
        <f aca="false">a25_mem</f>
        <v>171.5</v>
      </c>
      <c r="D512" s="11" t="n">
        <f aca="false">D509*sh_mem*fx</f>
        <v>229.925768596805</v>
      </c>
      <c r="E512" s="11" t="n">
        <f aca="false">E509*sh_mem*fx</f>
        <v>311.088693443871</v>
      </c>
      <c r="F512" s="11" t="n">
        <f aca="false">F509*sh_mem*fx</f>
        <v>375.724884160854</v>
      </c>
      <c r="G512" s="11" t="n">
        <f aca="false">G509*sh_mem*fx</f>
        <v>418.930840603057</v>
      </c>
    </row>
    <row r="513" customFormat="false" ht="15" hidden="false" customHeight="false" outlineLevel="0" collapsed="false">
      <c r="A513" s="5" t="s">
        <v>592</v>
      </c>
      <c r="B513" s="0" t="s">
        <v>347</v>
      </c>
      <c r="C513" s="11" t="n">
        <f aca="false">a25_oth</f>
        <v>80.5</v>
      </c>
      <c r="D513" s="11" t="n">
        <f aca="false">C513*(1+g_oth_26)</f>
        <v>104</v>
      </c>
      <c r="E513" s="11" t="n">
        <f aca="false">D513*(1+g_oth_A)</f>
        <v>119.6</v>
      </c>
      <c r="F513" s="11" t="n">
        <f aca="false">E513*(1+g_oth_A)</f>
        <v>137.54</v>
      </c>
      <c r="G513" s="11" t="n">
        <f aca="false">F513*(1+g_oth_A)</f>
        <v>158.171</v>
      </c>
    </row>
    <row r="514" customFormat="false" ht="15" hidden="false" customHeight="false" outlineLevel="0" collapsed="false">
      <c r="A514" s="5" t="s">
        <v>593</v>
      </c>
      <c r="B514" s="0" t="s">
        <v>347</v>
      </c>
      <c r="C514" s="11" t="n">
        <f aca="false">a25_svc</f>
        <v>109.2</v>
      </c>
      <c r="D514" s="11" t="n">
        <f aca="false">C514*(1+g_svc_26)</f>
        <v>135.6</v>
      </c>
      <c r="E514" s="11" t="n">
        <f aca="false">D514*(1+g_svc_A)</f>
        <v>151.872</v>
      </c>
      <c r="F514" s="11" t="n">
        <f aca="false">E514*(1+g_svc_A)</f>
        <v>170.09664</v>
      </c>
      <c r="G514" s="11" t="n">
        <f aca="false">F514*(1+g_svc_A)</f>
        <v>190.5082368</v>
      </c>
    </row>
    <row r="515" customFormat="false" ht="15" hidden="false" customHeight="false" outlineLevel="0" collapsed="false">
      <c r="A515" s="5" t="s">
        <v>459</v>
      </c>
      <c r="B515" s="0" t="s">
        <v>347</v>
      </c>
      <c r="C515" s="11" t="n">
        <f aca="false">C511+C512+C513+C514</f>
        <v>1128.6</v>
      </c>
      <c r="D515" s="11" t="n">
        <f aca="false">D511+D512+D513+D514</f>
        <v>1667.78113104222</v>
      </c>
      <c r="E515" s="11" t="n">
        <f aca="false">E511+E512+E513+E514</f>
        <v>2155.23157639987</v>
      </c>
      <c r="F515" s="11" t="n">
        <f aca="false">F511+F512+F513+F514</f>
        <v>2443.92127199505</v>
      </c>
      <c r="G515" s="11" t="n">
        <f aca="false">G511+G512+G513+G514</f>
        <v>2676.78006735082</v>
      </c>
    </row>
    <row r="516" customFormat="false" ht="17.15" hidden="false" customHeight="false" outlineLevel="0" collapsed="false">
      <c r="A516" s="0" t="s">
        <v>594</v>
      </c>
      <c r="B516" s="0" t="s">
        <v>38</v>
      </c>
      <c r="C516" s="14" t="n">
        <f aca="false">C511/C515</f>
        <v>0.679957469431154</v>
      </c>
      <c r="D516" s="14" t="n">
        <f aca="false">D511/D515</f>
        <v>0.718472790069647</v>
      </c>
      <c r="E516" s="14" t="n">
        <f aca="false">E511/E515</f>
        <v>0.729699258389212</v>
      </c>
      <c r="F516" s="14" t="n">
        <f aca="false">F511/F515</f>
        <v>0.720383167824795</v>
      </c>
      <c r="G516" s="14" t="n">
        <f aca="false">G511/G515</f>
        <v>0.713233789071528</v>
      </c>
    </row>
    <row r="517" customFormat="false" ht="17.15" hidden="false" customHeight="false" outlineLevel="0" collapsed="false">
      <c r="A517" s="5" t="s">
        <v>463</v>
      </c>
      <c r="B517" s="0" t="s">
        <v>38</v>
      </c>
      <c r="C517" s="14" t="n">
        <f aca="false">a25_gp/a25_rev</f>
        <v>0.643</v>
      </c>
      <c r="D517" s="14" t="n">
        <f aca="false">gm_a+gm_b*D516+0</f>
        <v>0.661607069809164</v>
      </c>
      <c r="E517" s="14" t="n">
        <f aca="false">gm_a+gm_b*E516+0</f>
        <v>0.667030669464303</v>
      </c>
      <c r="F517" s="14" t="n">
        <f aca="false">gm_a+gm_b*F516+0</f>
        <v>0.662529989095895</v>
      </c>
      <c r="G517" s="14" t="n">
        <f aca="false">gm_a+gm_b*G516+0</f>
        <v>0.659076065115804</v>
      </c>
      <c r="H517" s="5" t="s">
        <v>595</v>
      </c>
    </row>
    <row r="518" customFormat="false" ht="15" hidden="false" customHeight="false" outlineLevel="0" collapsed="false">
      <c r="A518" s="5" t="s">
        <v>467</v>
      </c>
      <c r="B518" s="0" t="s">
        <v>347</v>
      </c>
      <c r="C518" s="11" t="n">
        <f aca="false">C515*C517</f>
        <v>725.6898</v>
      </c>
      <c r="D518" s="11" t="n">
        <f aca="false">D515*D517</f>
        <v>1103.41578719186</v>
      </c>
      <c r="E518" s="11" t="n">
        <f aca="false">E515*E517</f>
        <v>1437.60556125661</v>
      </c>
      <c r="F518" s="11" t="n">
        <f aca="false">F515*F517</f>
        <v>1619.17113368611</v>
      </c>
      <c r="G518" s="11" t="n">
        <f aca="false">G515*G517</f>
        <v>1764.20167397</v>
      </c>
    </row>
    <row r="519" customFormat="false" ht="17.15" hidden="false" customHeight="false" outlineLevel="0" collapsed="false">
      <c r="A519" s="5" t="s">
        <v>596</v>
      </c>
      <c r="B519" s="0" t="s">
        <v>347</v>
      </c>
      <c r="C519" s="11" t="n">
        <f aca="false">opex25</f>
        <v>226.5898</v>
      </c>
      <c r="D519" s="11" t="n">
        <f aca="false">opex_fix+opex_var*D515</f>
        <v>288.502788494849</v>
      </c>
      <c r="E519" s="11" t="n">
        <f aca="false">opex_fix+opex_var*E515</f>
        <v>344.475655640442</v>
      </c>
      <c r="F519" s="11" t="n">
        <f aca="false">opex_fix+opex_var*F515</f>
        <v>377.625261168025</v>
      </c>
      <c r="G519" s="11" t="n">
        <f aca="false">opex_fix+opex_var*G515</f>
        <v>404.363926688309</v>
      </c>
      <c r="H519" s="5" t="s">
        <v>597</v>
      </c>
    </row>
    <row r="520" customFormat="false" ht="15" hidden="false" customHeight="false" outlineLevel="0" collapsed="false">
      <c r="A520" s="5" t="s">
        <v>470</v>
      </c>
      <c r="B520" s="0" t="s">
        <v>347</v>
      </c>
      <c r="C520" s="11" t="n">
        <f aca="false">C518-C519</f>
        <v>499.1</v>
      </c>
      <c r="D520" s="11" t="n">
        <f aca="false">D518-D519</f>
        <v>814.912998697007</v>
      </c>
      <c r="E520" s="11" t="n">
        <f aca="false">E518-E519</f>
        <v>1093.12990561617</v>
      </c>
      <c r="F520" s="11" t="n">
        <f aca="false">F518-F519</f>
        <v>1241.54587251808</v>
      </c>
      <c r="G520" s="11" t="n">
        <f aca="false">G518-G519</f>
        <v>1359.83774728169</v>
      </c>
    </row>
    <row r="521" customFormat="false" ht="15" hidden="false" customHeight="false" outlineLevel="0" collapsed="false">
      <c r="A521" s="5" t="s">
        <v>473</v>
      </c>
      <c r="B521" s="0" t="s">
        <v>38</v>
      </c>
      <c r="C521" s="14" t="n">
        <f aca="false">C520/C515</f>
        <v>0.442229310650363</v>
      </c>
      <c r="D521" s="14" t="n">
        <f aca="false">D520/D515</f>
        <v>0.488621068753642</v>
      </c>
      <c r="E521" s="14" t="n">
        <f aca="false">E520/E515</f>
        <v>0.507198352875912</v>
      </c>
      <c r="F521" s="14" t="n">
        <f aca="false">F520/F515</f>
        <v>0.508013857379525</v>
      </c>
      <c r="G521" s="14" t="n">
        <f aca="false">G520/G515</f>
        <v>0.508012504974868</v>
      </c>
    </row>
    <row r="522" customFormat="false" ht="15" hidden="false" customHeight="false" outlineLevel="0" collapsed="false">
      <c r="A522" s="5" t="s">
        <v>493</v>
      </c>
      <c r="B522" s="0" t="s">
        <v>347</v>
      </c>
      <c r="C522" s="11" t="n">
        <f aca="false">a25_ni</f>
        <v>375.4</v>
      </c>
      <c r="D522" s="11" t="n">
        <f aca="false">D520*nioi</f>
        <v>612.939971370179</v>
      </c>
      <c r="E522" s="11" t="n">
        <f aca="false">E520*nioi</f>
        <v>822.201896550409</v>
      </c>
      <c r="F522" s="11" t="n">
        <f aca="false">F520*nioi</f>
        <v>933.833541461205</v>
      </c>
      <c r="G522" s="11" t="n">
        <f aca="false">G520*nioi</f>
        <v>1022.80723367971</v>
      </c>
    </row>
    <row r="523" customFormat="false" ht="15" hidden="false" customHeight="false" outlineLevel="0" collapsed="false">
      <c r="A523" s="0" t="s">
        <v>562</v>
      </c>
      <c r="B523" s="0" t="s">
        <v>396</v>
      </c>
      <c r="C523" s="11" t="n">
        <f aca="false">a25_eps</f>
        <v>515.15</v>
      </c>
      <c r="D523" s="11" t="n">
        <f aca="false">D522*1000/shares</f>
        <v>846.637265908955</v>
      </c>
      <c r="E523" s="11" t="n">
        <f aca="false">E522*1000/shares</f>
        <v>1135.68505601699</v>
      </c>
      <c r="F523" s="11" t="n">
        <f aca="false">F522*1000/shares</f>
        <v>1289.87880263287</v>
      </c>
      <c r="G523" s="11" t="n">
        <f aca="false">G522*1000/shares</f>
        <v>1412.77573713905</v>
      </c>
    </row>
    <row r="524" customFormat="false" ht="17.15" hidden="false" customHeight="false" outlineLevel="0" collapsed="false">
      <c r="A524" s="5" t="s">
        <v>598</v>
      </c>
      <c r="B524" s="0" t="s">
        <v>148</v>
      </c>
      <c r="C524" s="12" t="n">
        <f aca="false">C515/fx</f>
        <v>7.524</v>
      </c>
      <c r="D524" s="12" t="n">
        <f aca="false">D515/fx</f>
        <v>11.1185408736148</v>
      </c>
      <c r="E524" s="12" t="n">
        <f aca="false">E515/fx</f>
        <v>14.3682105093324</v>
      </c>
      <c r="F524" s="12" t="n">
        <f aca="false">F515/fx</f>
        <v>16.292808479967</v>
      </c>
      <c r="G524" s="12" t="n">
        <f aca="false">G515/fx</f>
        <v>17.8452004490055</v>
      </c>
      <c r="H524" s="8" t="s">
        <v>599</v>
      </c>
    </row>
    <row r="530" customFormat="false" ht="17.15" hidden="false" customHeight="false" outlineLevel="0" collapsed="false">
      <c r="A530" s="4" t="s">
        <v>827</v>
      </c>
    </row>
    <row r="531" customFormat="false" ht="17.15" hidden="false" customHeight="false" outlineLevel="0" collapsed="false">
      <c r="A531" s="6" t="s">
        <v>16</v>
      </c>
      <c r="B531" s="6" t="s">
        <v>17</v>
      </c>
      <c r="C531" s="9" t="s">
        <v>567</v>
      </c>
      <c r="D531" s="9" t="s">
        <v>568</v>
      </c>
      <c r="E531" s="9" t="s">
        <v>569</v>
      </c>
      <c r="F531" s="9" t="s">
        <v>570</v>
      </c>
      <c r="G531" s="9" t="s">
        <v>571</v>
      </c>
      <c r="H531" s="6" t="s">
        <v>508</v>
      </c>
    </row>
    <row r="532" customFormat="false" ht="17.15" hidden="false" customHeight="false" outlineLevel="0" collapsed="false">
      <c r="A532" s="1" t="s">
        <v>572</v>
      </c>
    </row>
    <row r="533" customFormat="false" ht="17.15" hidden="false" customHeight="false" outlineLevel="0" collapsed="false">
      <c r="A533" s="5" t="s">
        <v>573</v>
      </c>
      <c r="B533" s="5" t="s">
        <v>27</v>
      </c>
      <c r="C533" s="15" t="n">
        <f aca="false">u_bw_26*tt_bw+u_rb_26*tt_rb+u_ru_26*tt_ru+u_hp_26*tt_hp+u_amd_26*tt_amd+u_tpu_26*tt_tpu+u_trn_26*tt_trn+u_oth_26*tt_oth</f>
        <v>14.885</v>
      </c>
      <c r="D533" s="15" t="n">
        <f aca="false">u_bw_27*tt_bw+u_rb_27*tt_rb+u_ru_27*tt_ru+u_hp_27*tt_hp+u_amd_27*tt_amd+u_tpu_27*tt_tpu+u_trn_27*tt_trn+u_oth_27*tt_oth</f>
        <v>24.31</v>
      </c>
      <c r="E533" s="15" t="n">
        <f aca="false">u_bw_28*um28_A*tt_bw+u_rb_28*um28_A*tt_rb+u_ru_28*um28_A*tt_ru+u_hp_28*um28_A*tt_hp+u_amd_28*um28_A*tt_amd+u_tpu_28*um28_A*tt_tpu+u_trn_28*um28_A*tt_trn+u_oth_28*um28_A*tt_oth</f>
        <v>28.1</v>
      </c>
      <c r="F533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3" s="15" t="n">
        <f aca="false">F533*(1+cy30g)</f>
        <v>31.99</v>
      </c>
      <c r="H533" s="8" t="s">
        <v>574</v>
      </c>
    </row>
    <row r="534" customFormat="false" ht="17.15" hidden="false" customHeight="false" outlineLevel="0" collapsed="false">
      <c r="A534" s="5" t="s">
        <v>575</v>
      </c>
      <c r="B534" s="0" t="s">
        <v>576</v>
      </c>
      <c r="C534" s="18" t="n">
        <f aca="false">(mk_soc26-nonai26)/C533</f>
        <v>0.450117568021498</v>
      </c>
      <c r="H534" s="5" t="s">
        <v>577</v>
      </c>
    </row>
    <row r="535" customFormat="false" ht="17.15" hidden="false" customHeight="false" outlineLevel="0" collapsed="false">
      <c r="A535" s="0" t="s">
        <v>578</v>
      </c>
      <c r="B535" s="0" t="s">
        <v>148</v>
      </c>
      <c r="C535" s="15" t="n">
        <f aca="false">$C$534*C533*(1-0)^0</f>
        <v>6.7</v>
      </c>
      <c r="D535" s="15" t="n">
        <f aca="false">$C$534*D533*(1-0)^1</f>
        <v>10.9423580786026</v>
      </c>
      <c r="E535" s="15" t="n">
        <f aca="false">$C$534*E533*(1-0)^2</f>
        <v>12.6483036614041</v>
      </c>
      <c r="F535" s="15" t="n">
        <f aca="false">$C$534*F533*(1-0)^3</f>
        <v>14.3992610010077</v>
      </c>
      <c r="G535" s="15" t="n">
        <f aca="false">$C$534*G533*(1-0)^4</f>
        <v>14.3992610010077</v>
      </c>
    </row>
    <row r="536" customFormat="false" ht="17.15" hidden="false" customHeight="false" outlineLevel="0" collapsed="false">
      <c r="A536" s="5" t="s">
        <v>579</v>
      </c>
      <c r="B536" s="0" t="s">
        <v>148</v>
      </c>
      <c r="C536" s="15" t="n">
        <f aca="false">nonai26*(1+g_nonai)^0</f>
        <v>4.3</v>
      </c>
      <c r="D536" s="15" t="n">
        <f aca="false">nonai26*(1+g_nonai)^1</f>
        <v>4.472</v>
      </c>
      <c r="E536" s="15" t="n">
        <f aca="false">nonai26*(1+g_nonai)^2</f>
        <v>4.65088</v>
      </c>
      <c r="F536" s="15" t="n">
        <f aca="false">nonai26*(1+g_nonai)^3</f>
        <v>4.8369152</v>
      </c>
      <c r="G536" s="15" t="n">
        <f aca="false">nonai26*(1+g_nonai)^4</f>
        <v>5.030391808</v>
      </c>
    </row>
    <row r="537" customFormat="false" ht="17.15" hidden="false" customHeight="false" outlineLevel="0" collapsed="false">
      <c r="A537" s="0" t="s">
        <v>580</v>
      </c>
      <c r="B537" s="0" t="s">
        <v>148</v>
      </c>
      <c r="C537" s="15" t="n">
        <f aca="false">C535+C536</f>
        <v>11</v>
      </c>
      <c r="D537" s="15" t="n">
        <f aca="false">D535+D536</f>
        <v>15.4143580786026</v>
      </c>
      <c r="E537" s="15" t="n">
        <f aca="false">E535+E536</f>
        <v>17.2991836614041</v>
      </c>
      <c r="F537" s="15" t="n">
        <f aca="false">F535+F536</f>
        <v>19.2361762010077</v>
      </c>
      <c r="G537" s="15" t="n">
        <f aca="false">G535+G536</f>
        <v>19.4296528090077</v>
      </c>
      <c r="H537" s="8" t="s">
        <v>581</v>
      </c>
    </row>
    <row r="538" customFormat="false" ht="17.15" hidden="false" customHeight="false" outlineLevel="0" collapsed="false">
      <c r="A538" s="5" t="s">
        <v>582</v>
      </c>
      <c r="B538" s="0" t="s">
        <v>148</v>
      </c>
      <c r="C538" s="15" t="n">
        <f aca="false">mk_mem26*(w_hbm_hi*hsA_26/hsA_26+(1-w_hbm_hi)*drA_26/drA_26)</f>
        <v>2.75</v>
      </c>
      <c r="D538" s="15" t="n">
        <f aca="false">mk_mem26*(w_hbm_hi*hsA_27/hsA_26+(1-w_hbm_hi)*drA_27/drA_26)</f>
        <v>4.09990388788277</v>
      </c>
      <c r="E538" s="15" t="n">
        <f aca="false">mk_mem26*(w_hbm_hi*hsA_28/hsA_26+(1-w_hbm_hi)*drA_28/drA_26)</f>
        <v>5.57466715934303</v>
      </c>
      <c r="F538" s="15" t="n">
        <f aca="false">mk_mem26*(w_hbm_hi*hsA_29/hsA_26+(1-w_hbm_hi)*drA_29/drA_26)</f>
        <v>7.1365013686741</v>
      </c>
      <c r="G538" s="15" t="n">
        <f aca="false">F538*(1+cy30g)</f>
        <v>7.1365013686741</v>
      </c>
      <c r="H538" s="8" t="s">
        <v>583</v>
      </c>
    </row>
    <row r="539" customFormat="false" ht="17.15" hidden="false" customHeight="false" outlineLevel="0" collapsed="false">
      <c r="A539" s="1" t="s">
        <v>584</v>
      </c>
    </row>
    <row r="540" customFormat="false" ht="17.15" hidden="false" customHeight="false" outlineLevel="0" collapsed="false">
      <c r="A540" s="0" t="s">
        <v>585</v>
      </c>
      <c r="B540" s="0" t="s">
        <v>148</v>
      </c>
      <c r="C540" s="15" t="n">
        <f aca="false">fmk_soc25</f>
        <v>7.925</v>
      </c>
      <c r="D540" s="15" t="n">
        <f aca="false">0.75*C537+0.25*D537</f>
        <v>12.1035895196507</v>
      </c>
      <c r="E540" s="15" t="n">
        <f aca="false">0.75*D537+0.25*E537</f>
        <v>15.885564474303</v>
      </c>
      <c r="F540" s="15" t="n">
        <f aca="false">0.75*E537+0.25*F537</f>
        <v>17.783431796305</v>
      </c>
      <c r="G540" s="15" t="n">
        <f aca="false">0.75*F537+0.25*G537</f>
        <v>19.2845453530077</v>
      </c>
    </row>
    <row r="541" customFormat="false" ht="17.15" hidden="false" customHeight="false" outlineLevel="0" collapsed="false">
      <c r="A541" s="5" t="s">
        <v>586</v>
      </c>
      <c r="B541" s="0" t="s">
        <v>148</v>
      </c>
      <c r="C541" s="15" t="n">
        <f aca="false">fmk_mem25</f>
        <v>2.2625</v>
      </c>
      <c r="D541" s="15" t="n">
        <f aca="false">0.75*C538+0.25*D538</f>
        <v>3.08747597197069</v>
      </c>
      <c r="E541" s="15" t="n">
        <f aca="false">0.75*D538+0.25*E538</f>
        <v>4.46859470574784</v>
      </c>
      <c r="F541" s="15" t="n">
        <f aca="false">0.75*E538+0.25*F538</f>
        <v>5.9651257116758</v>
      </c>
      <c r="G541" s="15" t="n">
        <f aca="false">0.75*F538+0.25*G538</f>
        <v>7.1365013686741</v>
      </c>
    </row>
    <row r="542" customFormat="false" ht="17.15" hidden="false" customHeight="false" outlineLevel="0" collapsed="false">
      <c r="A542" s="0" t="s">
        <v>587</v>
      </c>
      <c r="B542" s="0" t="s">
        <v>38</v>
      </c>
      <c r="C542" s="14" t="n">
        <f aca="false">a25_soc/(C540*fx)</f>
        <v>0.645552050473186</v>
      </c>
      <c r="D542" s="14" t="n">
        <f aca="false">sh_soc</f>
        <v>0.66</v>
      </c>
      <c r="E542" s="14" t="n">
        <f aca="false">sh_soc</f>
        <v>0.66</v>
      </c>
      <c r="F542" s="14" t="n">
        <f aca="false">sh_soc</f>
        <v>0.66</v>
      </c>
      <c r="G542" s="14" t="n">
        <f aca="false">sh_soc</f>
        <v>0.66</v>
      </c>
      <c r="H542" s="8" t="s">
        <v>588</v>
      </c>
    </row>
    <row r="543" customFormat="false" ht="17.15" hidden="false" customHeight="false" outlineLevel="0" collapsed="false">
      <c r="A543" s="0" t="s">
        <v>589</v>
      </c>
      <c r="B543" s="0" t="s">
        <v>347</v>
      </c>
      <c r="C543" s="11" t="n">
        <f aca="false">a25_soc</f>
        <v>767.4</v>
      </c>
      <c r="D543" s="11" t="n">
        <f aca="false">D540*D542*fx</f>
        <v>1198.25536244542</v>
      </c>
      <c r="E543" s="11" t="n">
        <f aca="false">E540*E542*fx</f>
        <v>1572.670882956</v>
      </c>
      <c r="F543" s="11" t="n">
        <f aca="false">F540*F542*fx</f>
        <v>1760.5597478342</v>
      </c>
      <c r="G543" s="11" t="n">
        <f aca="false">G540*G542*fx</f>
        <v>1909.16998994777</v>
      </c>
      <c r="H543" s="5" t="s">
        <v>590</v>
      </c>
    </row>
    <row r="544" customFormat="false" ht="15" hidden="false" customHeight="false" outlineLevel="0" collapsed="false">
      <c r="A544" s="5" t="s">
        <v>591</v>
      </c>
      <c r="B544" s="0" t="s">
        <v>347</v>
      </c>
      <c r="C544" s="11" t="n">
        <f aca="false">a25_mem</f>
        <v>171.5</v>
      </c>
      <c r="D544" s="11" t="n">
        <f aca="false">D541*sh_mem*fx</f>
        <v>234.034090251038</v>
      </c>
      <c r="E544" s="11" t="n">
        <f aca="false">E541*sh_mem*fx</f>
        <v>338.724416369394</v>
      </c>
      <c r="F544" s="11" t="n">
        <f aca="false">F541*sh_mem*fx</f>
        <v>452.163120244154</v>
      </c>
      <c r="G544" s="11" t="n">
        <f aca="false">G541*sh_mem*fx</f>
        <v>540.954689382368</v>
      </c>
    </row>
    <row r="545" customFormat="false" ht="15" hidden="false" customHeight="false" outlineLevel="0" collapsed="false">
      <c r="A545" s="5" t="s">
        <v>592</v>
      </c>
      <c r="B545" s="0" t="s">
        <v>347</v>
      </c>
      <c r="C545" s="11" t="n">
        <f aca="false">a25_oth</f>
        <v>80.5</v>
      </c>
      <c r="D545" s="11" t="n">
        <f aca="false">C545*(1+g_oth_26)</f>
        <v>104</v>
      </c>
      <c r="E545" s="11" t="n">
        <f aca="false">D545*(1+g_oth_A)</f>
        <v>119.6</v>
      </c>
      <c r="F545" s="11" t="n">
        <f aca="false">E545*(1+g_oth_A)</f>
        <v>137.54</v>
      </c>
      <c r="G545" s="11" t="n">
        <f aca="false">F545*(1+g_oth_A)</f>
        <v>158.171</v>
      </c>
    </row>
    <row r="546" customFormat="false" ht="15" hidden="false" customHeight="false" outlineLevel="0" collapsed="false">
      <c r="A546" s="5" t="s">
        <v>593</v>
      </c>
      <c r="B546" s="0" t="s">
        <v>347</v>
      </c>
      <c r="C546" s="11" t="n">
        <f aca="false">a25_svc</f>
        <v>109.2</v>
      </c>
      <c r="D546" s="11" t="n">
        <f aca="false">C546*(1+g_svc_26)</f>
        <v>135.6</v>
      </c>
      <c r="E546" s="11" t="n">
        <f aca="false">D546*(1+g_svc_A)</f>
        <v>151.872</v>
      </c>
      <c r="F546" s="11" t="n">
        <f aca="false">E546*(1+g_svc_A)</f>
        <v>170.09664</v>
      </c>
      <c r="G546" s="11" t="n">
        <f aca="false">F546*(1+g_svc_A)</f>
        <v>190.5082368</v>
      </c>
    </row>
    <row r="547" customFormat="false" ht="15" hidden="false" customHeight="false" outlineLevel="0" collapsed="false">
      <c r="A547" s="5" t="s">
        <v>459</v>
      </c>
      <c r="B547" s="0" t="s">
        <v>347</v>
      </c>
      <c r="C547" s="11" t="n">
        <f aca="false">C543+C544+C545+C546</f>
        <v>1128.6</v>
      </c>
      <c r="D547" s="11" t="n">
        <f aca="false">D543+D544+D545+D546</f>
        <v>1671.88945269645</v>
      </c>
      <c r="E547" s="11" t="n">
        <f aca="false">E543+E544+E545+E546</f>
        <v>2182.86729932539</v>
      </c>
      <c r="F547" s="11" t="n">
        <f aca="false">F543+F544+F545+F546</f>
        <v>2520.35950807835</v>
      </c>
      <c r="G547" s="11" t="n">
        <f aca="false">G543+G544+G545+G546</f>
        <v>2798.80391613013</v>
      </c>
    </row>
    <row r="548" customFormat="false" ht="17.15" hidden="false" customHeight="false" outlineLevel="0" collapsed="false">
      <c r="A548" s="0" t="s">
        <v>594</v>
      </c>
      <c r="B548" s="0" t="s">
        <v>38</v>
      </c>
      <c r="C548" s="14" t="n">
        <f aca="false">C543/C547</f>
        <v>0.679957469431154</v>
      </c>
      <c r="D548" s="14" t="n">
        <f aca="false">D543/D547</f>
        <v>0.716707292167462</v>
      </c>
      <c r="E548" s="14" t="n">
        <f aca="false">E543/E547</f>
        <v>0.720461057546662</v>
      </c>
      <c r="F548" s="14" t="n">
        <f aca="false">F543/F547</f>
        <v>0.698535166190055</v>
      </c>
      <c r="G548" s="14" t="n">
        <f aca="false">G543/G547</f>
        <v>0.682137815709343</v>
      </c>
    </row>
    <row r="549" customFormat="false" ht="17.15" hidden="false" customHeight="false" outlineLevel="0" collapsed="false">
      <c r="A549" s="5" t="s">
        <v>463</v>
      </c>
      <c r="B549" s="0" t="s">
        <v>38</v>
      </c>
      <c r="C549" s="14" t="n">
        <f aca="false">a25_gp/a25_rev</f>
        <v>0.643</v>
      </c>
      <c r="D549" s="14" t="n">
        <f aca="false">gm_a+gm_b*D548+0</f>
        <v>0.66075414317713</v>
      </c>
      <c r="E549" s="14" t="n">
        <f aca="false">gm_a+gm_b*E548+0</f>
        <v>0.662567618264449</v>
      </c>
      <c r="F549" s="14" t="n">
        <f aca="false">gm_a+gm_b*F548+0</f>
        <v>0.651975038887275</v>
      </c>
      <c r="G549" s="14" t="n">
        <f aca="false">gm_a+gm_b*G548+0</f>
        <v>0.644053343312061</v>
      </c>
      <c r="H549" s="5" t="s">
        <v>595</v>
      </c>
    </row>
    <row r="550" customFormat="false" ht="15" hidden="false" customHeight="false" outlineLevel="0" collapsed="false">
      <c r="A550" s="5" t="s">
        <v>467</v>
      </c>
      <c r="B550" s="0" t="s">
        <v>347</v>
      </c>
      <c r="C550" s="11" t="n">
        <f aca="false">C547*C549</f>
        <v>725.6898</v>
      </c>
      <c r="D550" s="11" t="n">
        <f aca="false">D547*D549</f>
        <v>1104.70788280333</v>
      </c>
      <c r="E550" s="11" t="n">
        <f aca="false">E547*E549</f>
        <v>1446.29718750137</v>
      </c>
      <c r="F550" s="11" t="n">
        <f aca="false">F547*F549</f>
        <v>1643.2114882893</v>
      </c>
      <c r="G550" s="11" t="n">
        <f aca="false">G547*G549</f>
        <v>1802.5790194585</v>
      </c>
    </row>
    <row r="551" customFormat="false" ht="17.15" hidden="false" customHeight="false" outlineLevel="0" collapsed="false">
      <c r="A551" s="5" t="s">
        <v>596</v>
      </c>
      <c r="B551" s="0" t="s">
        <v>347</v>
      </c>
      <c r="C551" s="11" t="n">
        <f aca="false">opex25</f>
        <v>226.5898</v>
      </c>
      <c r="D551" s="11" t="n">
        <f aca="false">opex_fix+opex_var*D547</f>
        <v>288.974538073362</v>
      </c>
      <c r="E551" s="11" t="n">
        <f aca="false">opex_fix+opex_var*E547</f>
        <v>347.649005182974</v>
      </c>
      <c r="F551" s="11" t="n">
        <f aca="false">opex_fix+opex_var*F547</f>
        <v>386.402496421128</v>
      </c>
      <c r="G551" s="11" t="n">
        <f aca="false">opex_fix+opex_var*G547</f>
        <v>418.375658016828</v>
      </c>
      <c r="H551" s="5" t="s">
        <v>597</v>
      </c>
    </row>
    <row r="552" customFormat="false" ht="15" hidden="false" customHeight="false" outlineLevel="0" collapsed="false">
      <c r="A552" s="5" t="s">
        <v>470</v>
      </c>
      <c r="B552" s="0" t="s">
        <v>347</v>
      </c>
      <c r="C552" s="11" t="n">
        <f aca="false">C550-C551</f>
        <v>499.1</v>
      </c>
      <c r="D552" s="11" t="n">
        <f aca="false">D550-D551</f>
        <v>815.733344729964</v>
      </c>
      <c r="E552" s="11" t="n">
        <f aca="false">E550-E551</f>
        <v>1098.6481823184</v>
      </c>
      <c r="F552" s="11" t="n">
        <f aca="false">F550-F551</f>
        <v>1256.80899186817</v>
      </c>
      <c r="G552" s="11" t="n">
        <f aca="false">G550-G551</f>
        <v>1384.20336144167</v>
      </c>
    </row>
    <row r="553" customFormat="false" ht="15" hidden="false" customHeight="false" outlineLevel="0" collapsed="false">
      <c r="A553" s="5" t="s">
        <v>473</v>
      </c>
      <c r="B553" s="0" t="s">
        <v>38</v>
      </c>
      <c r="C553" s="14" t="n">
        <f aca="false">C552/C547</f>
        <v>0.442229310650363</v>
      </c>
      <c r="D553" s="14" t="n">
        <f aca="false">D552/D547</f>
        <v>0.487911053816587</v>
      </c>
      <c r="E553" s="14" t="n">
        <f aca="false">E552/E547</f>
        <v>0.503305071571659</v>
      </c>
      <c r="F553" s="14" t="n">
        <f aca="false">F552/F547</f>
        <v>0.498662586761848</v>
      </c>
      <c r="G553" s="14" t="n">
        <f aca="false">G552/G547</f>
        <v>0.494569610062427</v>
      </c>
    </row>
    <row r="554" customFormat="false" ht="15" hidden="false" customHeight="false" outlineLevel="0" collapsed="false">
      <c r="A554" s="5" t="s">
        <v>493</v>
      </c>
      <c r="B554" s="0" t="s">
        <v>347</v>
      </c>
      <c r="C554" s="11" t="n">
        <f aca="false">a25_ni</f>
        <v>375.4</v>
      </c>
      <c r="D554" s="11" t="n">
        <f aca="false">D552*nioi</f>
        <v>613.556997819331</v>
      </c>
      <c r="E554" s="11" t="n">
        <f aca="false">E552*nioi</f>
        <v>826.352489766233</v>
      </c>
      <c r="F554" s="11" t="n">
        <f aca="false">F552*nioi</f>
        <v>945.313755855159</v>
      </c>
      <c r="G554" s="11" t="n">
        <f aca="false">G552*nioi</f>
        <v>1041.13392483511</v>
      </c>
    </row>
    <row r="555" customFormat="false" ht="15" hidden="false" customHeight="false" outlineLevel="0" collapsed="false">
      <c r="A555" s="0" t="s">
        <v>562</v>
      </c>
      <c r="B555" s="0" t="s">
        <v>396</v>
      </c>
      <c r="C555" s="11" t="n">
        <f aca="false">a25_eps</f>
        <v>515.15</v>
      </c>
      <c r="D555" s="11" t="n">
        <f aca="false">D554*1000/shares</f>
        <v>847.489547715175</v>
      </c>
      <c r="E555" s="11" t="n">
        <f aca="false">E554*1000/shares</f>
        <v>1141.41815722801</v>
      </c>
      <c r="F555" s="11" t="n">
        <f aca="false">F554*1000/shares</f>
        <v>1305.73610967848</v>
      </c>
      <c r="G555" s="11" t="n">
        <f aca="false">G554*1000/shares</f>
        <v>1438.08989581315</v>
      </c>
    </row>
    <row r="556" customFormat="false" ht="17.15" hidden="false" customHeight="false" outlineLevel="0" collapsed="false">
      <c r="A556" s="5" t="s">
        <v>598</v>
      </c>
      <c r="B556" s="0" t="s">
        <v>148</v>
      </c>
      <c r="C556" s="12" t="n">
        <f aca="false">C547/fx</f>
        <v>7.524</v>
      </c>
      <c r="D556" s="12" t="n">
        <f aca="false">D547/fx</f>
        <v>11.145929684643</v>
      </c>
      <c r="E556" s="12" t="n">
        <f aca="false">E547/fx</f>
        <v>14.5524486621693</v>
      </c>
      <c r="F556" s="12" t="n">
        <f aca="false">F547/fx</f>
        <v>16.8023967205223</v>
      </c>
      <c r="G556" s="12" t="n">
        <f aca="false">G547/fx</f>
        <v>18.6586927742009</v>
      </c>
      <c r="H556" s="8" t="s">
        <v>599</v>
      </c>
    </row>
    <row r="562" customFormat="false" ht="17.15" hidden="false" customHeight="false" outlineLevel="0" collapsed="false">
      <c r="A562" s="4" t="s">
        <v>828</v>
      </c>
    </row>
    <row r="563" customFormat="false" ht="17.15" hidden="false" customHeight="false" outlineLevel="0" collapsed="false">
      <c r="A563" s="6" t="s">
        <v>16</v>
      </c>
      <c r="B563" s="6" t="s">
        <v>17</v>
      </c>
      <c r="C563" s="9" t="s">
        <v>567</v>
      </c>
      <c r="D563" s="9" t="s">
        <v>568</v>
      </c>
      <c r="E563" s="9" t="s">
        <v>569</v>
      </c>
      <c r="F563" s="9" t="s">
        <v>570</v>
      </c>
      <c r="G563" s="9" t="s">
        <v>571</v>
      </c>
      <c r="H563" s="6" t="s">
        <v>508</v>
      </c>
    </row>
    <row r="564" customFormat="false" ht="17.15" hidden="false" customHeight="false" outlineLevel="0" collapsed="false">
      <c r="A564" s="1" t="s">
        <v>572</v>
      </c>
    </row>
    <row r="565" customFormat="false" ht="17.15" hidden="false" customHeight="false" outlineLevel="0" collapsed="false">
      <c r="A565" s="5" t="s">
        <v>573</v>
      </c>
      <c r="B565" s="5" t="s">
        <v>27</v>
      </c>
      <c r="C565" s="15" t="n">
        <f aca="false">u_bw_26*tt_bw+u_rb_26*tt_rb+u_ru_26*tt_ru+u_hp_26*tt_hp+u_amd_26*tt_amd+u_tpu_26*tt_tpu+u_trn_26*tt_trn+u_oth_26*tt_oth</f>
        <v>14.885</v>
      </c>
      <c r="D565" s="15" t="n">
        <f aca="false">u_bw_27*tt_bw+u_rb_27*tt_rb+u_ru_27*tt_ru+u_hp_27*tt_hp+u_amd_27*tt_amd+u_tpu_27*tt_tpu+u_trn_27*tt_trn+u_oth_27*tt_oth</f>
        <v>24.31</v>
      </c>
      <c r="E565" s="15" t="n">
        <f aca="false">u_bw_28*um28_A*tt_bw+u_rb_28*um28_A*tt_rb+u_ru_28*um28_A*tt_ru+u_hp_28*um28_A*tt_hp+u_amd_28*um28_A*tt_amd+u_tpu_28*um28_A*tt_tpu+u_trn_28*um28_A*tt_trn+u_oth_28*um28_A*tt_oth</f>
        <v>28.1</v>
      </c>
      <c r="F565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65" s="15" t="n">
        <f aca="false">F565*(1+cy30g)</f>
        <v>31.99</v>
      </c>
      <c r="H565" s="8" t="s">
        <v>574</v>
      </c>
    </row>
    <row r="566" customFormat="false" ht="17.15" hidden="false" customHeight="false" outlineLevel="0" collapsed="false">
      <c r="A566" s="5" t="s">
        <v>575</v>
      </c>
      <c r="B566" s="0" t="s">
        <v>576</v>
      </c>
      <c r="C566" s="18" t="n">
        <f aca="false">(mk_soc26-nonai26)/C565</f>
        <v>0.450117568021498</v>
      </c>
      <c r="H566" s="5" t="s">
        <v>577</v>
      </c>
    </row>
    <row r="567" customFormat="false" ht="17.15" hidden="false" customHeight="false" outlineLevel="0" collapsed="false">
      <c r="A567" s="0" t="s">
        <v>578</v>
      </c>
      <c r="B567" s="0" t="s">
        <v>148</v>
      </c>
      <c r="C567" s="15" t="n">
        <f aca="false">$C$566*C565*(1-0)^0</f>
        <v>6.7</v>
      </c>
      <c r="D567" s="15" t="n">
        <f aca="false">$C$566*D565*(1-0)^1</f>
        <v>10.9423580786026</v>
      </c>
      <c r="E567" s="15" t="n">
        <f aca="false">$C$566*E565*(1-0)^2</f>
        <v>12.6483036614041</v>
      </c>
      <c r="F567" s="15" t="n">
        <f aca="false">$C$566*F565*(1-0)^3</f>
        <v>14.3992610010077</v>
      </c>
      <c r="G567" s="15" t="n">
        <f aca="false">$C$566*G565*(1-0)^4</f>
        <v>14.3992610010077</v>
      </c>
    </row>
    <row r="568" customFormat="false" ht="17.15" hidden="false" customHeight="false" outlineLevel="0" collapsed="false">
      <c r="A568" s="5" t="s">
        <v>579</v>
      </c>
      <c r="B568" s="0" t="s">
        <v>148</v>
      </c>
      <c r="C568" s="15" t="n">
        <f aca="false">nonai26*(1+g_nonai)^0</f>
        <v>4.3</v>
      </c>
      <c r="D568" s="15" t="n">
        <f aca="false">nonai26*(1+g_nonai)^1</f>
        <v>4.472</v>
      </c>
      <c r="E568" s="15" t="n">
        <f aca="false">nonai26*(1+g_nonai)^2</f>
        <v>4.65088</v>
      </c>
      <c r="F568" s="15" t="n">
        <f aca="false">nonai26*(1+g_nonai)^3</f>
        <v>4.8369152</v>
      </c>
      <c r="G568" s="15" t="n">
        <f aca="false">nonai26*(1+g_nonai)^4</f>
        <v>5.030391808</v>
      </c>
    </row>
    <row r="569" customFormat="false" ht="17.15" hidden="false" customHeight="false" outlineLevel="0" collapsed="false">
      <c r="A569" s="0" t="s">
        <v>580</v>
      </c>
      <c r="B569" s="0" t="s">
        <v>148</v>
      </c>
      <c r="C569" s="15" t="n">
        <f aca="false">C567+C568</f>
        <v>11</v>
      </c>
      <c r="D569" s="15" t="n">
        <f aca="false">D567+D568</f>
        <v>15.4143580786026</v>
      </c>
      <c r="E569" s="15" t="n">
        <f aca="false">E567+E568</f>
        <v>17.2991836614041</v>
      </c>
      <c r="F569" s="15" t="n">
        <f aca="false">F567+F568</f>
        <v>19.2361762010077</v>
      </c>
      <c r="G569" s="15" t="n">
        <f aca="false">G567+G568</f>
        <v>19.4296528090077</v>
      </c>
      <c r="H569" s="8" t="s">
        <v>581</v>
      </c>
    </row>
    <row r="570" customFormat="false" ht="17.15" hidden="false" customHeight="false" outlineLevel="0" collapsed="false">
      <c r="A570" s="5" t="s">
        <v>582</v>
      </c>
      <c r="B570" s="0" t="s">
        <v>148</v>
      </c>
      <c r="C570" s="15" t="n">
        <f aca="false">mk_mem26*(w_hbm*hsA_26/hsA_26+(1-w_hbm)*drA_26/drA_26)</f>
        <v>2.75</v>
      </c>
      <c r="D570" s="15" t="n">
        <f aca="false">mk_mem26*(w_hbm*hsA_27/hsA_26+(1-w_hbm)*drA_27/drA_26)</f>
        <v>3.99150647980462</v>
      </c>
      <c r="E570" s="15" t="n">
        <f aca="false">mk_mem26*(w_hbm*hsA_28/hsA_26+(1-w_hbm)*drA_28/drA_26)</f>
        <v>5.17069526557172</v>
      </c>
      <c r="F570" s="15" t="n">
        <f aca="false">mk_mem26*(w_hbm*hsA_29/hsA_26+(1-w_hbm)*drA_29/drA_26)</f>
        <v>6.33160644779016</v>
      </c>
      <c r="G570" s="15" t="n">
        <f aca="false">F570*(1+cy30g)</f>
        <v>6.33160644779016</v>
      </c>
      <c r="H570" s="8" t="s">
        <v>583</v>
      </c>
    </row>
    <row r="571" customFormat="false" ht="17.15" hidden="false" customHeight="false" outlineLevel="0" collapsed="false">
      <c r="A571" s="1" t="s">
        <v>584</v>
      </c>
    </row>
    <row r="572" customFormat="false" ht="17.15" hidden="false" customHeight="false" outlineLevel="0" collapsed="false">
      <c r="A572" s="0" t="s">
        <v>585</v>
      </c>
      <c r="B572" s="0" t="s">
        <v>148</v>
      </c>
      <c r="C572" s="15" t="n">
        <f aca="false">fmk_soc25</f>
        <v>7.925</v>
      </c>
      <c r="D572" s="15" t="n">
        <f aca="false">0.75*C569+0.25*D569</f>
        <v>12.1035895196507</v>
      </c>
      <c r="E572" s="15" t="n">
        <f aca="false">0.75*D569+0.25*E569</f>
        <v>15.885564474303</v>
      </c>
      <c r="F572" s="15" t="n">
        <f aca="false">0.75*E569+0.25*F569</f>
        <v>17.783431796305</v>
      </c>
      <c r="G572" s="15" t="n">
        <f aca="false">0.75*F569+0.25*G569</f>
        <v>19.2845453530077</v>
      </c>
    </row>
    <row r="573" customFormat="false" ht="17.15" hidden="false" customHeight="false" outlineLevel="0" collapsed="false">
      <c r="A573" s="5" t="s">
        <v>586</v>
      </c>
      <c r="B573" s="0" t="s">
        <v>148</v>
      </c>
      <c r="C573" s="15" t="n">
        <f aca="false">fmk_mem25</f>
        <v>2.2625</v>
      </c>
      <c r="D573" s="15" t="n">
        <f aca="false">0.75*C570+0.25*D570</f>
        <v>3.06037661995115</v>
      </c>
      <c r="E573" s="15" t="n">
        <f aca="false">0.75*D570+0.25*E570</f>
        <v>4.28630367624639</v>
      </c>
      <c r="F573" s="15" t="n">
        <f aca="false">0.75*E570+0.25*F570</f>
        <v>5.46092306112633</v>
      </c>
      <c r="G573" s="15" t="n">
        <f aca="false">0.75*F570+0.25*G570</f>
        <v>6.33160644779016</v>
      </c>
    </row>
    <row r="574" customFormat="false" ht="17.15" hidden="false" customHeight="false" outlineLevel="0" collapsed="false">
      <c r="A574" s="0" t="s">
        <v>587</v>
      </c>
      <c r="B574" s="0" t="s">
        <v>38</v>
      </c>
      <c r="C574" s="14" t="n">
        <f aca="false">a25_soc/(C572*fx_lo)</f>
        <v>0.691662911221271</v>
      </c>
      <c r="D574" s="14" t="n">
        <f aca="false">sh_soc</f>
        <v>0.66</v>
      </c>
      <c r="E574" s="14" t="n">
        <f aca="false">sh_soc</f>
        <v>0.66</v>
      </c>
      <c r="F574" s="14" t="n">
        <f aca="false">sh_soc</f>
        <v>0.66</v>
      </c>
      <c r="G574" s="14" t="n">
        <f aca="false">sh_soc</f>
        <v>0.66</v>
      </c>
      <c r="H574" s="8" t="s">
        <v>588</v>
      </c>
    </row>
    <row r="575" customFormat="false" ht="17.15" hidden="false" customHeight="false" outlineLevel="0" collapsed="false">
      <c r="A575" s="0" t="s">
        <v>589</v>
      </c>
      <c r="B575" s="0" t="s">
        <v>347</v>
      </c>
      <c r="C575" s="11" t="n">
        <f aca="false">a25_soc</f>
        <v>767.4</v>
      </c>
      <c r="D575" s="11" t="n">
        <f aca="false">D572*D574*fx_lo</f>
        <v>1118.37167161572</v>
      </c>
      <c r="E575" s="11" t="n">
        <f aca="false">E572*E574*fx_lo</f>
        <v>1467.8261574256</v>
      </c>
      <c r="F575" s="11" t="n">
        <f aca="false">F572*F574*fx_lo</f>
        <v>1643.18909797858</v>
      </c>
      <c r="G575" s="11" t="n">
        <f aca="false">G572*G574*fx_lo</f>
        <v>1781.89199061791</v>
      </c>
      <c r="H575" s="5" t="s">
        <v>590</v>
      </c>
    </row>
    <row r="576" customFormat="false" ht="15" hidden="false" customHeight="false" outlineLevel="0" collapsed="false">
      <c r="A576" s="5" t="s">
        <v>591</v>
      </c>
      <c r="B576" s="0" t="s">
        <v>347</v>
      </c>
      <c r="C576" s="11" t="n">
        <f aca="false">a25_mem</f>
        <v>171.5</v>
      </c>
      <c r="D576" s="11" t="n">
        <f aca="false">D573*sh_mem*fx_lo</f>
        <v>216.51460079566</v>
      </c>
      <c r="E576" s="11" t="n">
        <f aca="false">E573*sh_mem*fx_lo</f>
        <v>303.246117912857</v>
      </c>
      <c r="F576" s="11" t="n">
        <f aca="false">F573*sh_mem*fx_lo</f>
        <v>386.347735389004</v>
      </c>
      <c r="G576" s="11" t="n">
        <f aca="false">G573*sh_mem*fx_lo</f>
        <v>447.946580659865</v>
      </c>
    </row>
    <row r="577" customFormat="false" ht="15" hidden="false" customHeight="false" outlineLevel="0" collapsed="false">
      <c r="A577" s="5" t="s">
        <v>592</v>
      </c>
      <c r="B577" s="0" t="s">
        <v>347</v>
      </c>
      <c r="C577" s="11" t="n">
        <f aca="false">a25_oth</f>
        <v>80.5</v>
      </c>
      <c r="D577" s="11" t="n">
        <f aca="false">C577*(1+g_oth_26)</f>
        <v>104</v>
      </c>
      <c r="E577" s="11" t="n">
        <f aca="false">D577*(1+g_oth_A)</f>
        <v>119.6</v>
      </c>
      <c r="F577" s="11" t="n">
        <f aca="false">E577*(1+g_oth_A)</f>
        <v>137.54</v>
      </c>
      <c r="G577" s="11" t="n">
        <f aca="false">F577*(1+g_oth_A)</f>
        <v>158.171</v>
      </c>
    </row>
    <row r="578" customFormat="false" ht="15" hidden="false" customHeight="false" outlineLevel="0" collapsed="false">
      <c r="A578" s="5" t="s">
        <v>593</v>
      </c>
      <c r="B578" s="0" t="s">
        <v>347</v>
      </c>
      <c r="C578" s="11" t="n">
        <f aca="false">a25_svc</f>
        <v>109.2</v>
      </c>
      <c r="D578" s="11" t="n">
        <f aca="false">C578*(1+g_svc_26)</f>
        <v>135.6</v>
      </c>
      <c r="E578" s="11" t="n">
        <f aca="false">D578*(1+g_svc_A)</f>
        <v>151.872</v>
      </c>
      <c r="F578" s="11" t="n">
        <f aca="false">E578*(1+g_svc_A)</f>
        <v>170.09664</v>
      </c>
      <c r="G578" s="11" t="n">
        <f aca="false">F578*(1+g_svc_A)</f>
        <v>190.5082368</v>
      </c>
    </row>
    <row r="579" customFormat="false" ht="15" hidden="false" customHeight="false" outlineLevel="0" collapsed="false">
      <c r="A579" s="5" t="s">
        <v>459</v>
      </c>
      <c r="B579" s="0" t="s">
        <v>347</v>
      </c>
      <c r="C579" s="11" t="n">
        <f aca="false">C575+C576+C577+C578</f>
        <v>1128.6</v>
      </c>
      <c r="D579" s="11" t="n">
        <f aca="false">D575+D576+D577+D578</f>
        <v>1574.48627241138</v>
      </c>
      <c r="E579" s="11" t="n">
        <f aca="false">E575+E576+E577+E578</f>
        <v>2042.54427533845</v>
      </c>
      <c r="F579" s="11" t="n">
        <f aca="false">F575+F576+F577+F578</f>
        <v>2337.17347336759</v>
      </c>
      <c r="G579" s="11" t="n">
        <f aca="false">G575+G576+G577+G578</f>
        <v>2578.51780807778</v>
      </c>
    </row>
    <row r="580" customFormat="false" ht="17.15" hidden="false" customHeight="false" outlineLevel="0" collapsed="false">
      <c r="A580" s="0" t="s">
        <v>594</v>
      </c>
      <c r="B580" s="0" t="s">
        <v>38</v>
      </c>
      <c r="C580" s="14" t="n">
        <f aca="false">C575/C579</f>
        <v>0.679957469431154</v>
      </c>
      <c r="D580" s="14" t="n">
        <f aca="false">D575/D579</f>
        <v>0.710308937722839</v>
      </c>
      <c r="E580" s="14" t="n">
        <f aca="false">E575/E579</f>
        <v>0.718626359853264</v>
      </c>
      <c r="F580" s="14" t="n">
        <f aca="false">F575/F579</f>
        <v>0.703066809846573</v>
      </c>
      <c r="G580" s="14" t="n">
        <f aca="false">G575/G579</f>
        <v>0.691052815317289</v>
      </c>
    </row>
    <row r="581" customFormat="false" ht="17.15" hidden="false" customHeight="false" outlineLevel="0" collapsed="false">
      <c r="A581" s="5" t="s">
        <v>463</v>
      </c>
      <c r="B581" s="0" t="s">
        <v>38</v>
      </c>
      <c r="C581" s="14" t="n">
        <f aca="false">a25_gp/a25_rev</f>
        <v>0.643</v>
      </c>
      <c r="D581" s="14" t="n">
        <f aca="false">gm_a+gm_b*D580+0</f>
        <v>0.657663045249313</v>
      </c>
      <c r="E581" s="14" t="n">
        <f aca="false">gm_a+gm_b*E580+0</f>
        <v>0.661681260641201</v>
      </c>
      <c r="F581" s="14" t="n">
        <f aca="false">gm_a+gm_b*F580+0</f>
        <v>0.654164313401137</v>
      </c>
      <c r="G581" s="14" t="n">
        <f aca="false">gm_a+gm_b*G580+0</f>
        <v>0.648360253323552</v>
      </c>
      <c r="H581" s="5" t="s">
        <v>595</v>
      </c>
    </row>
    <row r="582" customFormat="false" ht="15" hidden="false" customHeight="false" outlineLevel="0" collapsed="false">
      <c r="A582" s="5" t="s">
        <v>467</v>
      </c>
      <c r="B582" s="0" t="s">
        <v>347</v>
      </c>
      <c r="C582" s="11" t="n">
        <f aca="false">C579*C581</f>
        <v>725.6898</v>
      </c>
      <c r="D582" s="11" t="n">
        <f aca="false">D579*D581</f>
        <v>1035.48143661731</v>
      </c>
      <c r="E582" s="11" t="n">
        <f aca="false">E579*E581</f>
        <v>1351.51327102142</v>
      </c>
      <c r="F582" s="11" t="n">
        <f aca="false">F579*F581</f>
        <v>1528.89548050486</v>
      </c>
      <c r="G582" s="11" t="n">
        <f aca="false">G579*G581</f>
        <v>1671.8084592446</v>
      </c>
    </row>
    <row r="583" customFormat="false" ht="17.15" hidden="false" customHeight="false" outlineLevel="0" collapsed="false">
      <c r="A583" s="5" t="s">
        <v>596</v>
      </c>
      <c r="B583" s="0" t="s">
        <v>347</v>
      </c>
      <c r="C583" s="11" t="n">
        <f aca="false">opex25</f>
        <v>226.5898</v>
      </c>
      <c r="D583" s="11" t="n">
        <f aca="false">opex_fix+opex_var*D579</f>
        <v>277.789944189866</v>
      </c>
      <c r="E583" s="11" t="n">
        <f aca="false">opex_fix+opex_var*E579</f>
        <v>331.536019639744</v>
      </c>
      <c r="F583" s="11" t="n">
        <f aca="false">opex_fix+opex_var*F579</f>
        <v>365.367645224571</v>
      </c>
      <c r="G583" s="11" t="n">
        <f aca="false">opex_fix+opex_var*G579</f>
        <v>393.080686645969</v>
      </c>
      <c r="H583" s="5" t="s">
        <v>597</v>
      </c>
    </row>
    <row r="584" customFormat="false" ht="15" hidden="false" customHeight="false" outlineLevel="0" collapsed="false">
      <c r="A584" s="5" t="s">
        <v>470</v>
      </c>
      <c r="B584" s="0" t="s">
        <v>347</v>
      </c>
      <c r="C584" s="11" t="n">
        <f aca="false">C582-C583</f>
        <v>499.1</v>
      </c>
      <c r="D584" s="11" t="n">
        <f aca="false">D582-D583</f>
        <v>757.691492427442</v>
      </c>
      <c r="E584" s="11" t="n">
        <f aca="false">E582-E583</f>
        <v>1019.97725138167</v>
      </c>
      <c r="F584" s="11" t="n">
        <f aca="false">F582-F583</f>
        <v>1163.52783528029</v>
      </c>
      <c r="G584" s="11" t="n">
        <f aca="false">G582-G583</f>
        <v>1278.72777259863</v>
      </c>
    </row>
    <row r="585" customFormat="false" ht="15" hidden="false" customHeight="false" outlineLevel="0" collapsed="false">
      <c r="A585" s="5" t="s">
        <v>473</v>
      </c>
      <c r="B585" s="0" t="s">
        <v>38</v>
      </c>
      <c r="C585" s="14" t="n">
        <f aca="false">C584/C579</f>
        <v>0.442229310650363</v>
      </c>
      <c r="D585" s="14" t="n">
        <f aca="false">D584/D579</f>
        <v>0.48123092954441</v>
      </c>
      <c r="E585" s="14" t="n">
        <f aca="false">E584/E579</f>
        <v>0.499366042487701</v>
      </c>
      <c r="F585" s="14" t="n">
        <f aca="false">F584/F579</f>
        <v>0.497835461739938</v>
      </c>
      <c r="G585" s="14" t="n">
        <f aca="false">G584/G579</f>
        <v>0.495915819775505</v>
      </c>
    </row>
    <row r="586" customFormat="false" ht="15" hidden="false" customHeight="false" outlineLevel="0" collapsed="false">
      <c r="A586" s="5" t="s">
        <v>493</v>
      </c>
      <c r="B586" s="0" t="s">
        <v>347</v>
      </c>
      <c r="C586" s="11" t="n">
        <f aca="false">a25_ni</f>
        <v>375.4</v>
      </c>
      <c r="D586" s="11" t="n">
        <f aca="false">D584*nioi</f>
        <v>569.900593582972</v>
      </c>
      <c r="E586" s="11" t="n">
        <f aca="false">E584*nioi</f>
        <v>767.179844056661</v>
      </c>
      <c r="F586" s="11" t="n">
        <f aca="false">F584*nioi</f>
        <v>875.151972278541</v>
      </c>
      <c r="G586" s="11" t="n">
        <f aca="false">G584*nioi</f>
        <v>961.800051760219</v>
      </c>
    </row>
    <row r="587" customFormat="false" ht="15" hidden="false" customHeight="false" outlineLevel="0" collapsed="false">
      <c r="A587" s="0" t="s">
        <v>562</v>
      </c>
      <c r="B587" s="0" t="s">
        <v>396</v>
      </c>
      <c r="C587" s="11" t="n">
        <f aca="false">a25_eps</f>
        <v>515.15</v>
      </c>
      <c r="D587" s="11" t="n">
        <f aca="false">D586*1000/shares</f>
        <v>787.188147172698</v>
      </c>
      <c r="E587" s="11" t="n">
        <f aca="false">E586*1000/shares</f>
        <v>1059.68459550881</v>
      </c>
      <c r="F587" s="11" t="n">
        <f aca="false">F586*1000/shares</f>
        <v>1208.82355152729</v>
      </c>
      <c r="G587" s="11" t="n">
        <f aca="false">G586*1000/shares</f>
        <v>1328.50818058589</v>
      </c>
    </row>
    <row r="588" customFormat="false" ht="17.15" hidden="false" customHeight="false" outlineLevel="0" collapsed="false">
      <c r="A588" s="5" t="s">
        <v>598</v>
      </c>
      <c r="B588" s="0" t="s">
        <v>148</v>
      </c>
      <c r="C588" s="12" t="n">
        <f aca="false">C579/fx_lo</f>
        <v>8.06142857142857</v>
      </c>
      <c r="D588" s="12" t="n">
        <f aca="false">D579/fx_lo</f>
        <v>11.2463305172241</v>
      </c>
      <c r="E588" s="12" t="n">
        <f aca="false">E579/fx_lo</f>
        <v>14.5896019667032</v>
      </c>
      <c r="F588" s="12" t="n">
        <f aca="false">F579/fx_lo</f>
        <v>16.6940962383399</v>
      </c>
      <c r="G588" s="12" t="n">
        <f aca="false">G579/fx_lo</f>
        <v>18.4179843434127</v>
      </c>
      <c r="H588" s="8" t="s">
        <v>599</v>
      </c>
    </row>
    <row r="594" customFormat="false" ht="17.15" hidden="false" customHeight="false" outlineLevel="0" collapsed="false">
      <c r="A594" s="4" t="s">
        <v>829</v>
      </c>
    </row>
    <row r="595" customFormat="false" ht="17.15" hidden="false" customHeight="false" outlineLevel="0" collapsed="false">
      <c r="A595" s="6" t="s">
        <v>16</v>
      </c>
      <c r="B595" s="6" t="s">
        <v>17</v>
      </c>
      <c r="C595" s="9" t="s">
        <v>567</v>
      </c>
      <c r="D595" s="9" t="s">
        <v>568</v>
      </c>
      <c r="E595" s="9" t="s">
        <v>569</v>
      </c>
      <c r="F595" s="9" t="s">
        <v>570</v>
      </c>
      <c r="G595" s="9" t="s">
        <v>571</v>
      </c>
      <c r="H595" s="6" t="s">
        <v>508</v>
      </c>
    </row>
    <row r="596" customFormat="false" ht="17.15" hidden="false" customHeight="false" outlineLevel="0" collapsed="false">
      <c r="A596" s="1" t="s">
        <v>572</v>
      </c>
    </row>
    <row r="597" customFormat="false" ht="17.15" hidden="false" customHeight="false" outlineLevel="0" collapsed="false">
      <c r="A597" s="5" t="s">
        <v>573</v>
      </c>
      <c r="B597" s="5" t="s">
        <v>27</v>
      </c>
      <c r="C597" s="15" t="n">
        <f aca="false">u_bw_26*tt_bw+u_rb_26*tt_rb+u_ru_26*tt_ru+u_hp_26*tt_hp+u_amd_26*tt_amd+u_tpu_26*tt_tpu+u_trn_26*tt_trn+u_oth_26*tt_oth</f>
        <v>14.885</v>
      </c>
      <c r="D597" s="15" t="n">
        <f aca="false">u_bw_27*tt_bw+u_rb_27*tt_rb+u_ru_27*tt_ru+u_hp_27*tt_hp+u_amd_27*tt_amd+u_tpu_27*tt_tpu+u_trn_27*tt_trn+u_oth_27*tt_oth</f>
        <v>24.31</v>
      </c>
      <c r="E597" s="15" t="n">
        <f aca="false">u_bw_28*um28_A*tt_bw+u_rb_28*um28_A*tt_rb+u_ru_28*um28_A*tt_ru+u_hp_28*um28_A*tt_hp+u_amd_28*um28_A*tt_amd+u_tpu_28*um28_A*tt_tpu+u_trn_28*um28_A*tt_trn+u_oth_28*um28_A*tt_oth</f>
        <v>28.1</v>
      </c>
      <c r="F597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97" s="15" t="n">
        <f aca="false">F597*(1+cy30g)</f>
        <v>31.99</v>
      </c>
      <c r="H597" s="8" t="s">
        <v>574</v>
      </c>
    </row>
    <row r="598" customFormat="false" ht="17.15" hidden="false" customHeight="false" outlineLevel="0" collapsed="false">
      <c r="A598" s="5" t="s">
        <v>575</v>
      </c>
      <c r="B598" s="0" t="s">
        <v>576</v>
      </c>
      <c r="C598" s="18" t="n">
        <f aca="false">(mk_soc26-nonai26)/C597</f>
        <v>0.450117568021498</v>
      </c>
      <c r="H598" s="5" t="s">
        <v>577</v>
      </c>
    </row>
    <row r="599" customFormat="false" ht="17.15" hidden="false" customHeight="false" outlineLevel="0" collapsed="false">
      <c r="A599" s="0" t="s">
        <v>578</v>
      </c>
      <c r="B599" s="0" t="s">
        <v>148</v>
      </c>
      <c r="C599" s="15" t="n">
        <f aca="false">$C$598*C597*(1-0)^0</f>
        <v>6.7</v>
      </c>
      <c r="D599" s="15" t="n">
        <f aca="false">$C$598*D597*(1-0)^1</f>
        <v>10.9423580786026</v>
      </c>
      <c r="E599" s="15" t="n">
        <f aca="false">$C$598*E597*(1-0)^2</f>
        <v>12.6483036614041</v>
      </c>
      <c r="F599" s="15" t="n">
        <f aca="false">$C$598*F597*(1-0)^3</f>
        <v>14.3992610010077</v>
      </c>
      <c r="G599" s="15" t="n">
        <f aca="false">$C$598*G597*(1-0)^4</f>
        <v>14.3992610010077</v>
      </c>
    </row>
    <row r="600" customFormat="false" ht="17.15" hidden="false" customHeight="false" outlineLevel="0" collapsed="false">
      <c r="A600" s="5" t="s">
        <v>579</v>
      </c>
      <c r="B600" s="0" t="s">
        <v>148</v>
      </c>
      <c r="C600" s="15" t="n">
        <f aca="false">nonai26*(1+g_nonai)^0</f>
        <v>4.3</v>
      </c>
      <c r="D600" s="15" t="n">
        <f aca="false">nonai26*(1+g_nonai)^1</f>
        <v>4.472</v>
      </c>
      <c r="E600" s="15" t="n">
        <f aca="false">nonai26*(1+g_nonai)^2</f>
        <v>4.65088</v>
      </c>
      <c r="F600" s="15" t="n">
        <f aca="false">nonai26*(1+g_nonai)^3</f>
        <v>4.8369152</v>
      </c>
      <c r="G600" s="15" t="n">
        <f aca="false">nonai26*(1+g_nonai)^4</f>
        <v>5.030391808</v>
      </c>
    </row>
    <row r="601" customFormat="false" ht="17.15" hidden="false" customHeight="false" outlineLevel="0" collapsed="false">
      <c r="A601" s="0" t="s">
        <v>580</v>
      </c>
      <c r="B601" s="0" t="s">
        <v>148</v>
      </c>
      <c r="C601" s="15" t="n">
        <f aca="false">C599+C600</f>
        <v>11</v>
      </c>
      <c r="D601" s="15" t="n">
        <f aca="false">D599+D600</f>
        <v>15.4143580786026</v>
      </c>
      <c r="E601" s="15" t="n">
        <f aca="false">E599+E600</f>
        <v>17.2991836614041</v>
      </c>
      <c r="F601" s="15" t="n">
        <f aca="false">F599+F600</f>
        <v>19.2361762010077</v>
      </c>
      <c r="G601" s="15" t="n">
        <f aca="false">G599+G600</f>
        <v>19.4296528090077</v>
      </c>
      <c r="H601" s="8" t="s">
        <v>581</v>
      </c>
    </row>
    <row r="602" customFormat="false" ht="17.15" hidden="false" customHeight="false" outlineLevel="0" collapsed="false">
      <c r="A602" s="5" t="s">
        <v>582</v>
      </c>
      <c r="B602" s="0" t="s">
        <v>148</v>
      </c>
      <c r="C602" s="15" t="n">
        <f aca="false">mk_mem26*(w_hbm*hsA_26/hsA_26+(1-w_hbm)*drA_26/drA_26)</f>
        <v>2.75</v>
      </c>
      <c r="D602" s="15" t="n">
        <f aca="false">mk_mem26*(w_hbm*hsA_27/hsA_26+(1-w_hbm)*drA_27/drA_26)</f>
        <v>3.99150647980462</v>
      </c>
      <c r="E602" s="15" t="n">
        <f aca="false">mk_mem26*(w_hbm*hsA_28/hsA_26+(1-w_hbm)*drA_28/drA_26)</f>
        <v>5.17069526557172</v>
      </c>
      <c r="F602" s="15" t="n">
        <f aca="false">mk_mem26*(w_hbm*hsA_29/hsA_26+(1-w_hbm)*drA_29/drA_26)</f>
        <v>6.33160644779016</v>
      </c>
      <c r="G602" s="15" t="n">
        <f aca="false">F602*(1+cy30g)</f>
        <v>6.33160644779016</v>
      </c>
      <c r="H602" s="8" t="s">
        <v>583</v>
      </c>
    </row>
    <row r="603" customFormat="false" ht="17.15" hidden="false" customHeight="false" outlineLevel="0" collapsed="false">
      <c r="A603" s="1" t="s">
        <v>584</v>
      </c>
    </row>
    <row r="604" customFormat="false" ht="17.15" hidden="false" customHeight="false" outlineLevel="0" collapsed="false">
      <c r="A604" s="0" t="s">
        <v>585</v>
      </c>
      <c r="B604" s="0" t="s">
        <v>148</v>
      </c>
      <c r="C604" s="15" t="n">
        <f aca="false">fmk_soc25</f>
        <v>7.925</v>
      </c>
      <c r="D604" s="15" t="n">
        <f aca="false">0.75*C601+0.25*D601</f>
        <v>12.1035895196507</v>
      </c>
      <c r="E604" s="15" t="n">
        <f aca="false">0.75*D601+0.25*E601</f>
        <v>15.885564474303</v>
      </c>
      <c r="F604" s="15" t="n">
        <f aca="false">0.75*E601+0.25*F601</f>
        <v>17.783431796305</v>
      </c>
      <c r="G604" s="15" t="n">
        <f aca="false">0.75*F601+0.25*G601</f>
        <v>19.2845453530077</v>
      </c>
    </row>
    <row r="605" customFormat="false" ht="17.15" hidden="false" customHeight="false" outlineLevel="0" collapsed="false">
      <c r="A605" s="5" t="s">
        <v>586</v>
      </c>
      <c r="B605" s="0" t="s">
        <v>148</v>
      </c>
      <c r="C605" s="15" t="n">
        <f aca="false">fmk_mem25</f>
        <v>2.2625</v>
      </c>
      <c r="D605" s="15" t="n">
        <f aca="false">0.75*C602+0.25*D602</f>
        <v>3.06037661995115</v>
      </c>
      <c r="E605" s="15" t="n">
        <f aca="false">0.75*D602+0.25*E602</f>
        <v>4.28630367624639</v>
      </c>
      <c r="F605" s="15" t="n">
        <f aca="false">0.75*E602+0.25*F602</f>
        <v>5.46092306112633</v>
      </c>
      <c r="G605" s="15" t="n">
        <f aca="false">0.75*F602+0.25*G602</f>
        <v>6.33160644779016</v>
      </c>
    </row>
    <row r="606" customFormat="false" ht="17.15" hidden="false" customHeight="false" outlineLevel="0" collapsed="false">
      <c r="A606" s="0" t="s">
        <v>587</v>
      </c>
      <c r="B606" s="0" t="s">
        <v>38</v>
      </c>
      <c r="C606" s="14" t="n">
        <f aca="false">a25_soc/(C604*fx_hi)</f>
        <v>0.605205047318612</v>
      </c>
      <c r="D606" s="14" t="n">
        <f aca="false">sh_soc</f>
        <v>0.66</v>
      </c>
      <c r="E606" s="14" t="n">
        <f aca="false">sh_soc</f>
        <v>0.66</v>
      </c>
      <c r="F606" s="14" t="n">
        <f aca="false">sh_soc</f>
        <v>0.66</v>
      </c>
      <c r="G606" s="14" t="n">
        <f aca="false">sh_soc</f>
        <v>0.66</v>
      </c>
      <c r="H606" s="8" t="s">
        <v>588</v>
      </c>
    </row>
    <row r="607" customFormat="false" ht="17.15" hidden="false" customHeight="false" outlineLevel="0" collapsed="false">
      <c r="A607" s="0" t="s">
        <v>589</v>
      </c>
      <c r="B607" s="0" t="s">
        <v>347</v>
      </c>
      <c r="C607" s="11" t="n">
        <f aca="false">a25_soc</f>
        <v>767.4</v>
      </c>
      <c r="D607" s="11" t="n">
        <f aca="false">D604*D606*fx_hi</f>
        <v>1278.13905327511</v>
      </c>
      <c r="E607" s="11" t="n">
        <f aca="false">E604*E606*fx_hi</f>
        <v>1677.5156084864</v>
      </c>
      <c r="F607" s="11" t="n">
        <f aca="false">F604*F606*fx_hi</f>
        <v>1877.93039768981</v>
      </c>
      <c r="G607" s="11" t="n">
        <f aca="false">G604*G606*fx_hi</f>
        <v>2036.44798927762</v>
      </c>
      <c r="H607" s="5" t="s">
        <v>590</v>
      </c>
    </row>
    <row r="608" customFormat="false" ht="15" hidden="false" customHeight="false" outlineLevel="0" collapsed="false">
      <c r="A608" s="5" t="s">
        <v>591</v>
      </c>
      <c r="B608" s="0" t="s">
        <v>347</v>
      </c>
      <c r="C608" s="11" t="n">
        <f aca="false">a25_mem</f>
        <v>171.5</v>
      </c>
      <c r="D608" s="11" t="n">
        <f aca="false">D605*sh_mem*fx_hi</f>
        <v>247.445258052183</v>
      </c>
      <c r="E608" s="11" t="n">
        <f aca="false">E605*sh_mem*fx_hi</f>
        <v>346.566991900408</v>
      </c>
      <c r="F608" s="11" t="n">
        <f aca="false">F605*sh_mem*fx_hi</f>
        <v>441.540269016004</v>
      </c>
      <c r="G608" s="11" t="n">
        <f aca="false">G605*sh_mem*fx_hi</f>
        <v>511.93894932556</v>
      </c>
    </row>
    <row r="609" customFormat="false" ht="15" hidden="false" customHeight="false" outlineLevel="0" collapsed="false">
      <c r="A609" s="5" t="s">
        <v>592</v>
      </c>
      <c r="B609" s="0" t="s">
        <v>347</v>
      </c>
      <c r="C609" s="11" t="n">
        <f aca="false">a25_oth</f>
        <v>80.5</v>
      </c>
      <c r="D609" s="11" t="n">
        <f aca="false">C609*(1+g_oth_26)</f>
        <v>104</v>
      </c>
      <c r="E609" s="11" t="n">
        <f aca="false">D609*(1+g_oth_A)</f>
        <v>119.6</v>
      </c>
      <c r="F609" s="11" t="n">
        <f aca="false">E609*(1+g_oth_A)</f>
        <v>137.54</v>
      </c>
      <c r="G609" s="11" t="n">
        <f aca="false">F609*(1+g_oth_A)</f>
        <v>158.171</v>
      </c>
    </row>
    <row r="610" customFormat="false" ht="15" hidden="false" customHeight="false" outlineLevel="0" collapsed="false">
      <c r="A610" s="5" t="s">
        <v>593</v>
      </c>
      <c r="B610" s="0" t="s">
        <v>347</v>
      </c>
      <c r="C610" s="11" t="n">
        <f aca="false">a25_svc</f>
        <v>109.2</v>
      </c>
      <c r="D610" s="11" t="n">
        <f aca="false">C610*(1+g_svc_26)</f>
        <v>135.6</v>
      </c>
      <c r="E610" s="11" t="n">
        <f aca="false">D610*(1+g_svc_A)</f>
        <v>151.872</v>
      </c>
      <c r="F610" s="11" t="n">
        <f aca="false">E610*(1+g_svc_A)</f>
        <v>170.09664</v>
      </c>
      <c r="G610" s="11" t="n">
        <f aca="false">F610*(1+g_svc_A)</f>
        <v>190.5082368</v>
      </c>
    </row>
    <row r="611" customFormat="false" ht="15" hidden="false" customHeight="false" outlineLevel="0" collapsed="false">
      <c r="A611" s="5" t="s">
        <v>459</v>
      </c>
      <c r="B611" s="0" t="s">
        <v>347</v>
      </c>
      <c r="C611" s="11" t="n">
        <f aca="false">C607+C608+C609+C610</f>
        <v>1128.6</v>
      </c>
      <c r="D611" s="11" t="n">
        <f aca="false">D607+D608+D609+D610</f>
        <v>1765.18431132729</v>
      </c>
      <c r="E611" s="11" t="n">
        <f aca="false">E607+E608+E609+E610</f>
        <v>2295.5546003868</v>
      </c>
      <c r="F611" s="11" t="n">
        <f aca="false">F607+F608+F609+F610</f>
        <v>2627.10730670581</v>
      </c>
      <c r="G611" s="11" t="n">
        <f aca="false">G607+G608+G609+G610</f>
        <v>2897.06617540318</v>
      </c>
    </row>
    <row r="612" customFormat="false" ht="17.15" hidden="false" customHeight="false" outlineLevel="0" collapsed="false">
      <c r="A612" s="0" t="s">
        <v>594</v>
      </c>
      <c r="B612" s="0" t="s">
        <v>38</v>
      </c>
      <c r="C612" s="14" t="n">
        <f aca="false">C607/C611</f>
        <v>0.679957469431154</v>
      </c>
      <c r="D612" s="14" t="n">
        <f aca="false">D607/D611</f>
        <v>0.724082491031228</v>
      </c>
      <c r="E612" s="14" t="n">
        <f aca="false">E607/E611</f>
        <v>0.730767026061472</v>
      </c>
      <c r="F612" s="14" t="n">
        <f aca="false">F607/F611</f>
        <v>0.714828203970315</v>
      </c>
      <c r="G612" s="14" t="n">
        <f aca="false">G607/G611</f>
        <v>0.702934577942187</v>
      </c>
    </row>
    <row r="613" customFormat="false" ht="17.15" hidden="false" customHeight="false" outlineLevel="0" collapsed="false">
      <c r="A613" s="5" t="s">
        <v>463</v>
      </c>
      <c r="B613" s="0" t="s">
        <v>38</v>
      </c>
      <c r="C613" s="14" t="n">
        <f aca="false">a25_gp/a25_rev</f>
        <v>0.643</v>
      </c>
      <c r="D613" s="14" t="n">
        <f aca="false">gm_a+gm_b*D612+0</f>
        <v>0.664317162719473</v>
      </c>
      <c r="E613" s="14" t="n">
        <f aca="false">gm_a+gm_b*E612+0</f>
        <v>0.667546516854078</v>
      </c>
      <c r="F613" s="14" t="n">
        <f aca="false">gm_a+gm_b*F612+0</f>
        <v>0.659846340134542</v>
      </c>
      <c r="G613" s="14" t="n">
        <f aca="false">gm_a+gm_b*G612+0</f>
        <v>0.654100431074958</v>
      </c>
      <c r="H613" s="5" t="s">
        <v>595</v>
      </c>
    </row>
    <row r="614" customFormat="false" ht="15" hidden="false" customHeight="false" outlineLevel="0" collapsed="false">
      <c r="A614" s="5" t="s">
        <v>467</v>
      </c>
      <c r="B614" s="0" t="s">
        <v>347</v>
      </c>
      <c r="C614" s="11" t="n">
        <f aca="false">C611*C613</f>
        <v>725.6898</v>
      </c>
      <c r="D614" s="11" t="n">
        <f aca="false">D611*D613</f>
        <v>1172.64223337787</v>
      </c>
      <c r="E614" s="11" t="n">
        <f aca="false">E611*E613</f>
        <v>1532.38947773657</v>
      </c>
      <c r="F614" s="11" t="n">
        <f aca="false">F611*F613</f>
        <v>1733.48714147054</v>
      </c>
      <c r="G614" s="11" t="n">
        <f aca="false">G611*G613</f>
        <v>1894.9722341839</v>
      </c>
    </row>
    <row r="615" customFormat="false" ht="17.15" hidden="false" customHeight="false" outlineLevel="0" collapsed="false">
      <c r="A615" s="5" t="s">
        <v>596</v>
      </c>
      <c r="B615" s="0" t="s">
        <v>347</v>
      </c>
      <c r="C615" s="11" t="n">
        <f aca="false">opex25</f>
        <v>226.5898</v>
      </c>
      <c r="D615" s="11" t="n">
        <f aca="false">opex_fix+opex_var*D611</f>
        <v>299.687382378345</v>
      </c>
      <c r="E615" s="11" t="n">
        <f aca="false">opex_fix+opex_var*E611</f>
        <v>360.588641183671</v>
      </c>
      <c r="F615" s="11" t="n">
        <f aca="false">opex_fix+opex_var*F611</f>
        <v>398.660112364582</v>
      </c>
      <c r="G615" s="11" t="n">
        <f aca="false">opex_fix+opex_var*G611</f>
        <v>429.658898059168</v>
      </c>
      <c r="H615" s="5" t="s">
        <v>597</v>
      </c>
    </row>
    <row r="616" customFormat="false" ht="15" hidden="false" customHeight="false" outlineLevel="0" collapsed="false">
      <c r="A616" s="5" t="s">
        <v>470</v>
      </c>
      <c r="B616" s="0" t="s">
        <v>347</v>
      </c>
      <c r="C616" s="11" t="n">
        <f aca="false">C614-C615</f>
        <v>499.1</v>
      </c>
      <c r="D616" s="11" t="n">
        <f aca="false">D614-D615</f>
        <v>872.95485099953</v>
      </c>
      <c r="E616" s="11" t="n">
        <f aca="false">E614-E615</f>
        <v>1171.80083655289</v>
      </c>
      <c r="F616" s="11" t="n">
        <f aca="false">F614-F615</f>
        <v>1334.82702910596</v>
      </c>
      <c r="G616" s="11" t="n">
        <f aca="false">G614-G615</f>
        <v>1465.31333612473</v>
      </c>
    </row>
    <row r="617" customFormat="false" ht="15" hidden="false" customHeight="false" outlineLevel="0" collapsed="false">
      <c r="A617" s="5" t="s">
        <v>473</v>
      </c>
      <c r="B617" s="0" t="s">
        <v>38</v>
      </c>
      <c r="C617" s="14" t="n">
        <f aca="false">C616/C611</f>
        <v>0.442229310650363</v>
      </c>
      <c r="D617" s="14" t="n">
        <f aca="false">D616/D611</f>
        <v>0.494540340857171</v>
      </c>
      <c r="E617" s="14" t="n">
        <f aca="false">E616/E611</f>
        <v>0.510465242846084</v>
      </c>
      <c r="F617" s="14" t="n">
        <f aca="false">F616/F611</f>
        <v>0.508097642490185</v>
      </c>
      <c r="G617" s="14" t="n">
        <f aca="false">G616/G611</f>
        <v>0.505792152269634</v>
      </c>
    </row>
    <row r="618" customFormat="false" ht="15" hidden="false" customHeight="false" outlineLevel="0" collapsed="false">
      <c r="A618" s="5" t="s">
        <v>493</v>
      </c>
      <c r="B618" s="0" t="s">
        <v>347</v>
      </c>
      <c r="C618" s="11" t="n">
        <f aca="false">a25_ni</f>
        <v>375.4</v>
      </c>
      <c r="D618" s="11" t="n">
        <f aca="false">D616*nioi</f>
        <v>656.596375606539</v>
      </c>
      <c r="E618" s="11" t="n">
        <f aca="false">E616*nioi</f>
        <v>881.374542259981</v>
      </c>
      <c r="F618" s="11" t="n">
        <f aca="false">F616*nioi</f>
        <v>1003.99532503782</v>
      </c>
      <c r="G618" s="11" t="n">
        <f aca="false">G616*nioi</f>
        <v>1102.14110675461</v>
      </c>
    </row>
    <row r="619" customFormat="false" ht="15" hidden="false" customHeight="false" outlineLevel="0" collapsed="false">
      <c r="A619" s="0" t="s">
        <v>562</v>
      </c>
      <c r="B619" s="0" t="s">
        <v>396</v>
      </c>
      <c r="C619" s="11" t="n">
        <f aca="false">a25_eps</f>
        <v>515.15</v>
      </c>
      <c r="D619" s="11" t="n">
        <f aca="false">D618*1000/shares</f>
        <v>906.938666451432</v>
      </c>
      <c r="E619" s="11" t="n">
        <f aca="false">E618*1000/shares</f>
        <v>1217.4186177362</v>
      </c>
      <c r="F619" s="11" t="n">
        <f aca="false">F618*1000/shares</f>
        <v>1386.79136078406</v>
      </c>
      <c r="G619" s="11" t="n">
        <f aca="false">G618*1000/shares</f>
        <v>1522.35745236632</v>
      </c>
    </row>
    <row r="620" customFormat="false" ht="17.15" hidden="false" customHeight="false" outlineLevel="0" collapsed="false">
      <c r="A620" s="5" t="s">
        <v>598</v>
      </c>
      <c r="B620" s="0" t="s">
        <v>148</v>
      </c>
      <c r="C620" s="12" t="n">
        <f aca="false">C611/fx_hi</f>
        <v>7.05375</v>
      </c>
      <c r="D620" s="12" t="n">
        <f aca="false">D611/fx_hi</f>
        <v>11.0324019457956</v>
      </c>
      <c r="E620" s="12" t="n">
        <f aca="false">E611/fx_hi</f>
        <v>14.3472162524175</v>
      </c>
      <c r="F620" s="12" t="n">
        <f aca="false">F611/fx_hi</f>
        <v>16.4194206669113</v>
      </c>
      <c r="G620" s="12" t="n">
        <f aca="false">G611/fx_hi</f>
        <v>18.1066635962699</v>
      </c>
      <c r="H620" s="8" t="s">
        <v>599</v>
      </c>
    </row>
    <row r="626" customFormat="false" ht="17.15" hidden="false" customHeight="false" outlineLevel="0" collapsed="false">
      <c r="A626" s="4" t="s">
        <v>830</v>
      </c>
    </row>
    <row r="627" customFormat="false" ht="17.15" hidden="false" customHeight="false" outlineLevel="0" collapsed="false">
      <c r="A627" s="6" t="s">
        <v>16</v>
      </c>
      <c r="B627" s="6" t="s">
        <v>17</v>
      </c>
      <c r="C627" s="9" t="s">
        <v>567</v>
      </c>
      <c r="D627" s="9" t="s">
        <v>568</v>
      </c>
      <c r="E627" s="9" t="s">
        <v>569</v>
      </c>
      <c r="F627" s="9" t="s">
        <v>570</v>
      </c>
      <c r="G627" s="9" t="s">
        <v>571</v>
      </c>
      <c r="H627" s="6" t="s">
        <v>508</v>
      </c>
    </row>
    <row r="628" customFormat="false" ht="17.15" hidden="false" customHeight="false" outlineLevel="0" collapsed="false">
      <c r="A628" s="1" t="s">
        <v>572</v>
      </c>
    </row>
    <row r="629" customFormat="false" ht="17.15" hidden="false" customHeight="false" outlineLevel="0" collapsed="false">
      <c r="A629" s="5" t="s">
        <v>573</v>
      </c>
      <c r="B629" s="5" t="s">
        <v>27</v>
      </c>
      <c r="C629" s="15" t="n">
        <f aca="false">u_bw_26*tt_bw+u_rb_26*tt_rb+u_ru_26*tt_ru+u_hp_26*tt_hp+u_amd_26*tt_amd+u_tpu_26*tt_tpu+u_trn_26*tt_trn+u_oth_26*tt_oth</f>
        <v>14.885</v>
      </c>
      <c r="D629" s="15" t="n">
        <f aca="false">u_bw_27*tt_bw+u_rb_27*tt_rb+u_ru_27*tt_ru+u_hp_27*tt_hp+u_amd_27*tt_amd+u_tpu_27*tt_tpu+u_trn_27*tt_trn+u_oth_27*tt_oth</f>
        <v>24.31</v>
      </c>
      <c r="E629" s="15" t="n">
        <f aca="false">u_bw_28*um28_A*tt_bw+u_rb_28*um28_A*tt_rb+u_ru_28*um28_A*tt_ru+u_hp_28*um28_A*tt_hp+u_amd_28*um28_A*tt_amd+u_tpu_28*um28_A*tt_tpu+u_trn_28*um28_A*tt_trn+u_oth_28*um28_A*tt_oth</f>
        <v>28.1</v>
      </c>
      <c r="F629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29" s="15" t="n">
        <f aca="false">F629*(1+cy30g)</f>
        <v>31.99</v>
      </c>
      <c r="H629" s="8" t="s">
        <v>574</v>
      </c>
    </row>
    <row r="630" customFormat="false" ht="17.15" hidden="false" customHeight="false" outlineLevel="0" collapsed="false">
      <c r="A630" s="5" t="s">
        <v>575</v>
      </c>
      <c r="B630" s="0" t="s">
        <v>576</v>
      </c>
      <c r="C630" s="18" t="n">
        <f aca="false">(mk_soc26-nonai26)/C629</f>
        <v>0.450117568021498</v>
      </c>
      <c r="H630" s="5" t="s">
        <v>577</v>
      </c>
    </row>
    <row r="631" customFormat="false" ht="17.15" hidden="false" customHeight="false" outlineLevel="0" collapsed="false">
      <c r="A631" s="0" t="s">
        <v>578</v>
      </c>
      <c r="B631" s="0" t="s">
        <v>148</v>
      </c>
      <c r="C631" s="15" t="n">
        <f aca="false">$C$630*C629*(1-0)^0</f>
        <v>6.7</v>
      </c>
      <c r="D631" s="15" t="n">
        <f aca="false">$C$630*D629*(1-0)^1</f>
        <v>10.9423580786026</v>
      </c>
      <c r="E631" s="15" t="n">
        <f aca="false">$C$630*E629*(1-0)^2</f>
        <v>12.6483036614041</v>
      </c>
      <c r="F631" s="15" t="n">
        <f aca="false">$C$630*F629*(1-0)^3</f>
        <v>14.3992610010077</v>
      </c>
      <c r="G631" s="15" t="n">
        <f aca="false">$C$630*G629*(1-0)^4</f>
        <v>14.3992610010077</v>
      </c>
    </row>
    <row r="632" customFormat="false" ht="17.15" hidden="false" customHeight="false" outlineLevel="0" collapsed="false">
      <c r="A632" s="5" t="s">
        <v>579</v>
      </c>
      <c r="B632" s="0" t="s">
        <v>148</v>
      </c>
      <c r="C632" s="15" t="n">
        <f aca="false">nonai26*(1+g_nonai)^0</f>
        <v>4.3</v>
      </c>
      <c r="D632" s="15" t="n">
        <f aca="false">nonai26*(1+g_nonai)^1</f>
        <v>4.472</v>
      </c>
      <c r="E632" s="15" t="n">
        <f aca="false">nonai26*(1+g_nonai)^2</f>
        <v>4.65088</v>
      </c>
      <c r="F632" s="15" t="n">
        <f aca="false">nonai26*(1+g_nonai)^3</f>
        <v>4.8369152</v>
      </c>
      <c r="G632" s="15" t="n">
        <f aca="false">nonai26*(1+g_nonai)^4</f>
        <v>5.030391808</v>
      </c>
    </row>
    <row r="633" customFormat="false" ht="17.15" hidden="false" customHeight="false" outlineLevel="0" collapsed="false">
      <c r="A633" s="0" t="s">
        <v>580</v>
      </c>
      <c r="B633" s="0" t="s">
        <v>148</v>
      </c>
      <c r="C633" s="15" t="n">
        <f aca="false">C631+C632</f>
        <v>11</v>
      </c>
      <c r="D633" s="15" t="n">
        <f aca="false">D631+D632</f>
        <v>15.4143580786026</v>
      </c>
      <c r="E633" s="15" t="n">
        <f aca="false">E631+E632</f>
        <v>17.2991836614041</v>
      </c>
      <c r="F633" s="15" t="n">
        <f aca="false">F631+F632</f>
        <v>19.2361762010077</v>
      </c>
      <c r="G633" s="15" t="n">
        <f aca="false">G631+G632</f>
        <v>19.4296528090077</v>
      </c>
      <c r="H633" s="8" t="s">
        <v>581</v>
      </c>
    </row>
    <row r="634" customFormat="false" ht="17.15" hidden="false" customHeight="false" outlineLevel="0" collapsed="false">
      <c r="A634" s="5" t="s">
        <v>582</v>
      </c>
      <c r="B634" s="0" t="s">
        <v>148</v>
      </c>
      <c r="C634" s="15" t="n">
        <f aca="false">mk_mem26*(w_hbm*hsA_26/hsA_26+(1-w_hbm)*drA_26/drA_26)</f>
        <v>2.75</v>
      </c>
      <c r="D634" s="15" t="n">
        <f aca="false">mk_mem26*(w_hbm*hsA_27/hsA_26+(1-w_hbm)*drA_27/drA_26)</f>
        <v>3.99150647980462</v>
      </c>
      <c r="E634" s="15" t="n">
        <f aca="false">mk_mem26*(w_hbm*hsA_28/hsA_26+(1-w_hbm)*drA_28/drA_26)</f>
        <v>5.17069526557172</v>
      </c>
      <c r="F634" s="15" t="n">
        <f aca="false">mk_mem26*(w_hbm*hsA_29/hsA_26+(1-w_hbm)*drA_29/drA_26)</f>
        <v>6.33160644779016</v>
      </c>
      <c r="G634" s="15" t="n">
        <f aca="false">F634*(1+cy30g)</f>
        <v>6.33160644779016</v>
      </c>
      <c r="H634" s="8" t="s">
        <v>583</v>
      </c>
    </row>
    <row r="635" customFormat="false" ht="17.15" hidden="false" customHeight="false" outlineLevel="0" collapsed="false">
      <c r="A635" s="1" t="s">
        <v>584</v>
      </c>
    </row>
    <row r="636" customFormat="false" ht="17.15" hidden="false" customHeight="false" outlineLevel="0" collapsed="false">
      <c r="A636" s="0" t="s">
        <v>585</v>
      </c>
      <c r="B636" s="0" t="s">
        <v>148</v>
      </c>
      <c r="C636" s="15" t="n">
        <f aca="false">fmk_soc25</f>
        <v>7.925</v>
      </c>
      <c r="D636" s="15" t="n">
        <f aca="false">0.75*C633+0.25*D633</f>
        <v>12.1035895196507</v>
      </c>
      <c r="E636" s="15" t="n">
        <f aca="false">0.75*D633+0.25*E633</f>
        <v>15.885564474303</v>
      </c>
      <c r="F636" s="15" t="n">
        <f aca="false">0.75*E633+0.25*F633</f>
        <v>17.783431796305</v>
      </c>
      <c r="G636" s="15" t="n">
        <f aca="false">0.75*F633+0.25*G633</f>
        <v>19.2845453530077</v>
      </c>
    </row>
    <row r="637" customFormat="false" ht="17.15" hidden="false" customHeight="false" outlineLevel="0" collapsed="false">
      <c r="A637" s="5" t="s">
        <v>586</v>
      </c>
      <c r="B637" s="0" t="s">
        <v>148</v>
      </c>
      <c r="C637" s="15" t="n">
        <f aca="false">fmk_mem25</f>
        <v>2.2625</v>
      </c>
      <c r="D637" s="15" t="n">
        <f aca="false">0.75*C634+0.25*D634</f>
        <v>3.06037661995115</v>
      </c>
      <c r="E637" s="15" t="n">
        <f aca="false">0.75*D634+0.25*E634</f>
        <v>4.28630367624639</v>
      </c>
      <c r="F637" s="15" t="n">
        <f aca="false">0.75*E634+0.25*F634</f>
        <v>5.46092306112633</v>
      </c>
      <c r="G637" s="15" t="n">
        <f aca="false">0.75*F634+0.25*G634</f>
        <v>6.33160644779016</v>
      </c>
    </row>
    <row r="638" customFormat="false" ht="17.15" hidden="false" customHeight="false" outlineLevel="0" collapsed="false">
      <c r="A638" s="0" t="s">
        <v>587</v>
      </c>
      <c r="B638" s="0" t="s">
        <v>38</v>
      </c>
      <c r="C638" s="14" t="n">
        <f aca="false">a25_soc/(C636*fx)</f>
        <v>0.645552050473186</v>
      </c>
      <c r="D638" s="14" t="n">
        <f aca="false">sh_soc</f>
        <v>0.66</v>
      </c>
      <c r="E638" s="14" t="n">
        <f aca="false">sh_soc</f>
        <v>0.66</v>
      </c>
      <c r="F638" s="14" t="n">
        <f aca="false">sh_soc</f>
        <v>0.66</v>
      </c>
      <c r="G638" s="14" t="n">
        <f aca="false">sh_soc</f>
        <v>0.66</v>
      </c>
      <c r="H638" s="8" t="s">
        <v>588</v>
      </c>
    </row>
    <row r="639" customFormat="false" ht="17.15" hidden="false" customHeight="false" outlineLevel="0" collapsed="false">
      <c r="A639" s="0" t="s">
        <v>589</v>
      </c>
      <c r="B639" s="0" t="s">
        <v>347</v>
      </c>
      <c r="C639" s="11" t="n">
        <f aca="false">a25_soc</f>
        <v>767.4</v>
      </c>
      <c r="D639" s="11" t="n">
        <f aca="false">D636*D638*fx</f>
        <v>1198.25536244542</v>
      </c>
      <c r="E639" s="11" t="n">
        <f aca="false">E636*E638*fx</f>
        <v>1572.670882956</v>
      </c>
      <c r="F639" s="11" t="n">
        <f aca="false">F636*F638*fx</f>
        <v>1760.5597478342</v>
      </c>
      <c r="G639" s="11" t="n">
        <f aca="false">G636*G638*fx</f>
        <v>1909.16998994777</v>
      </c>
      <c r="H639" s="5" t="s">
        <v>590</v>
      </c>
    </row>
    <row r="640" customFormat="false" ht="15" hidden="false" customHeight="false" outlineLevel="0" collapsed="false">
      <c r="A640" s="5" t="s">
        <v>591</v>
      </c>
      <c r="B640" s="0" t="s">
        <v>347</v>
      </c>
      <c r="C640" s="11" t="n">
        <f aca="false">a25_mem</f>
        <v>171.5</v>
      </c>
      <c r="D640" s="11" t="n">
        <f aca="false">D637*sh_mem*fx</f>
        <v>231.979929423922</v>
      </c>
      <c r="E640" s="11" t="n">
        <f aca="false">E637*sh_mem*fx</f>
        <v>324.906554906633</v>
      </c>
      <c r="F640" s="11" t="n">
        <f aca="false">F637*sh_mem*fx</f>
        <v>413.944002202504</v>
      </c>
      <c r="G640" s="11" t="n">
        <f aca="false">G637*sh_mem*fx</f>
        <v>479.942764992713</v>
      </c>
    </row>
    <row r="641" customFormat="false" ht="15" hidden="false" customHeight="false" outlineLevel="0" collapsed="false">
      <c r="A641" s="5" t="s">
        <v>592</v>
      </c>
      <c r="B641" s="0" t="s">
        <v>347</v>
      </c>
      <c r="C641" s="11" t="n">
        <f aca="false">a25_oth</f>
        <v>80.5</v>
      </c>
      <c r="D641" s="11" t="n">
        <f aca="false">C641*(1+g_oth_26)</f>
        <v>104</v>
      </c>
      <c r="E641" s="11" t="n">
        <f aca="false">D641*(1+g_oth_A)</f>
        <v>119.6</v>
      </c>
      <c r="F641" s="11" t="n">
        <f aca="false">E641*(1+g_oth_A)</f>
        <v>137.54</v>
      </c>
      <c r="G641" s="11" t="n">
        <f aca="false">F641*(1+g_oth_A)</f>
        <v>158.171</v>
      </c>
    </row>
    <row r="642" customFormat="false" ht="15" hidden="false" customHeight="false" outlineLevel="0" collapsed="false">
      <c r="A642" s="5" t="s">
        <v>593</v>
      </c>
      <c r="B642" s="0" t="s">
        <v>347</v>
      </c>
      <c r="C642" s="11" t="n">
        <f aca="false">a25_svc</f>
        <v>109.2</v>
      </c>
      <c r="D642" s="11" t="n">
        <f aca="false">C642*(1+g_svc_26)</f>
        <v>135.6</v>
      </c>
      <c r="E642" s="11" t="n">
        <f aca="false">D642*(1+g_svc_A)</f>
        <v>151.872</v>
      </c>
      <c r="F642" s="11" t="n">
        <f aca="false">E642*(1+g_svc_A)</f>
        <v>170.09664</v>
      </c>
      <c r="G642" s="11" t="n">
        <f aca="false">F642*(1+g_svc_A)</f>
        <v>190.5082368</v>
      </c>
    </row>
    <row r="643" customFormat="false" ht="15" hidden="false" customHeight="false" outlineLevel="0" collapsed="false">
      <c r="A643" s="5" t="s">
        <v>459</v>
      </c>
      <c r="B643" s="0" t="s">
        <v>347</v>
      </c>
      <c r="C643" s="11" t="n">
        <f aca="false">C639+C640+C641+C642</f>
        <v>1128.6</v>
      </c>
      <c r="D643" s="11" t="n">
        <f aca="false">D639+D640+D641+D642</f>
        <v>1669.83529186934</v>
      </c>
      <c r="E643" s="11" t="n">
        <f aca="false">E639+E640+E641+E642</f>
        <v>2169.04943786263</v>
      </c>
      <c r="F643" s="11" t="n">
        <f aca="false">F639+F640+F641+F642</f>
        <v>2482.1403900367</v>
      </c>
      <c r="G643" s="11" t="n">
        <f aca="false">G639+G640+G641+G642</f>
        <v>2737.79199174048</v>
      </c>
    </row>
    <row r="644" customFormat="false" ht="17.15" hidden="false" customHeight="false" outlineLevel="0" collapsed="false">
      <c r="A644" s="0" t="s">
        <v>594</v>
      </c>
      <c r="B644" s="0" t="s">
        <v>38</v>
      </c>
      <c r="C644" s="14" t="n">
        <f aca="false">C639/C643</f>
        <v>0.679957469431154</v>
      </c>
      <c r="D644" s="14" t="n">
        <f aca="false">D639/D643</f>
        <v>0.71758895519809</v>
      </c>
      <c r="E644" s="14" t="n">
        <f aca="false">E639/E643</f>
        <v>0.725050732133473</v>
      </c>
      <c r="F644" s="14" t="n">
        <f aca="false">F639/F643</f>
        <v>0.709290963114365</v>
      </c>
      <c r="G644" s="14" t="n">
        <f aca="false">G639/G643</f>
        <v>0.697339314201902</v>
      </c>
    </row>
    <row r="645" customFormat="false" ht="17.15" hidden="false" customHeight="false" outlineLevel="0" collapsed="false">
      <c r="A645" s="5" t="s">
        <v>463</v>
      </c>
      <c r="B645" s="0" t="s">
        <v>38</v>
      </c>
      <c r="C645" s="14" t="n">
        <f aca="false">a25_gp/a25_rev</f>
        <v>0.643</v>
      </c>
      <c r="D645" s="14" t="n">
        <f aca="false">gm_a+gm_b*D644+0</f>
        <v>0.661180081875993</v>
      </c>
      <c r="E645" s="14" t="n">
        <f aca="false">gm_a+gm_b*E644+0</f>
        <v>0.664784928000481</v>
      </c>
      <c r="F645" s="14" t="n">
        <f aca="false">gm_a+gm_b*F644+0</f>
        <v>0.657171253300295</v>
      </c>
      <c r="G645" s="14" t="n">
        <f aca="false">gm_a+gm_b*G644+0</f>
        <v>0.651397312905611</v>
      </c>
      <c r="H645" s="5" t="s">
        <v>595</v>
      </c>
    </row>
    <row r="646" customFormat="false" ht="15" hidden="false" customHeight="false" outlineLevel="0" collapsed="false">
      <c r="A646" s="5" t="s">
        <v>467</v>
      </c>
      <c r="B646" s="0" t="s">
        <v>347</v>
      </c>
      <c r="C646" s="11" t="n">
        <f aca="false">C643*C645</f>
        <v>725.6898</v>
      </c>
      <c r="D646" s="11" t="n">
        <f aca="false">D643*D645</f>
        <v>1104.06183499759</v>
      </c>
      <c r="E646" s="11" t="n">
        <f aca="false">E643*E645</f>
        <v>1441.95137437899</v>
      </c>
      <c r="F646" s="11" t="n">
        <f aca="false">F643*F645</f>
        <v>1631.1913109877</v>
      </c>
      <c r="G646" s="11" t="n">
        <f aca="false">G643*G645</f>
        <v>1783.39034671425</v>
      </c>
    </row>
    <row r="647" customFormat="false" ht="17.15" hidden="false" customHeight="false" outlineLevel="0" collapsed="false">
      <c r="A647" s="5" t="s">
        <v>596</v>
      </c>
      <c r="B647" s="0" t="s">
        <v>347</v>
      </c>
      <c r="C647" s="11" t="n">
        <f aca="false">opex25</f>
        <v>226.5898</v>
      </c>
      <c r="D647" s="11" t="n">
        <f aca="false">opex_fix+opex_var*D643</f>
        <v>288.738663284105</v>
      </c>
      <c r="E647" s="11" t="n">
        <f aca="false">opex_fix+opex_var*E643</f>
        <v>346.062330411708</v>
      </c>
      <c r="F647" s="11" t="n">
        <f aca="false">opex_fix+opex_var*F643</f>
        <v>382.013878794577</v>
      </c>
      <c r="G647" s="11" t="n">
        <f aca="false">opex_fix+opex_var*G643</f>
        <v>411.369792352569</v>
      </c>
      <c r="H647" s="5" t="s">
        <v>597</v>
      </c>
    </row>
    <row r="648" customFormat="false" ht="15" hidden="false" customHeight="false" outlineLevel="0" collapsed="false">
      <c r="A648" s="5" t="s">
        <v>470</v>
      </c>
      <c r="B648" s="0" t="s">
        <v>347</v>
      </c>
      <c r="C648" s="11" t="n">
        <f aca="false">C646-C647</f>
        <v>499.1</v>
      </c>
      <c r="D648" s="11" t="n">
        <f aca="false">D646-D647</f>
        <v>815.323171713486</v>
      </c>
      <c r="E648" s="11" t="n">
        <f aca="false">E646-E647</f>
        <v>1095.88904396728</v>
      </c>
      <c r="F648" s="11" t="n">
        <f aca="false">F646-F647</f>
        <v>1249.17743219312</v>
      </c>
      <c r="G648" s="11" t="n">
        <f aca="false">G646-G647</f>
        <v>1372.02055436168</v>
      </c>
    </row>
    <row r="649" customFormat="false" ht="15" hidden="false" customHeight="false" outlineLevel="0" collapsed="false">
      <c r="A649" s="5" t="s">
        <v>473</v>
      </c>
      <c r="B649" s="0" t="s">
        <v>38</v>
      </c>
      <c r="C649" s="14" t="n">
        <f aca="false">C648/C643</f>
        <v>0.442229310650363</v>
      </c>
      <c r="D649" s="14" t="n">
        <f aca="false">D648/D643</f>
        <v>0.488265624569926</v>
      </c>
      <c r="E649" s="14" t="n">
        <f aca="false">E648/E643</f>
        <v>0.505239311210522</v>
      </c>
      <c r="F649" s="14" t="n">
        <f aca="false">F648/F643</f>
        <v>0.503266228295272</v>
      </c>
      <c r="G649" s="14" t="n">
        <f aca="false">G648/G643</f>
        <v>0.50114126949778</v>
      </c>
    </row>
    <row r="650" customFormat="false" ht="15" hidden="false" customHeight="false" outlineLevel="0" collapsed="false">
      <c r="A650" s="5" t="s">
        <v>493</v>
      </c>
      <c r="B650" s="0" t="s">
        <v>347</v>
      </c>
      <c r="C650" s="11" t="n">
        <f aca="false">a25_ni</f>
        <v>375.4</v>
      </c>
      <c r="D650" s="11" t="n">
        <f aca="false">D648*nioi_lo</f>
        <v>587.03268363371</v>
      </c>
      <c r="E650" s="11" t="n">
        <f aca="false">E648*nioi_lo</f>
        <v>789.040111656444</v>
      </c>
      <c r="F650" s="11" t="n">
        <f aca="false">F648*nioi_lo</f>
        <v>899.40775117905</v>
      </c>
      <c r="G650" s="11" t="n">
        <f aca="false">G648*nioi_lo</f>
        <v>987.85479914041</v>
      </c>
    </row>
    <row r="651" customFormat="false" ht="15" hidden="false" customHeight="false" outlineLevel="0" collapsed="false">
      <c r="A651" s="0" t="s">
        <v>562</v>
      </c>
      <c r="B651" s="0" t="s">
        <v>396</v>
      </c>
      <c r="C651" s="11" t="n">
        <f aca="false">a25_eps</f>
        <v>515.15</v>
      </c>
      <c r="D651" s="11" t="n">
        <f aca="false">D650*1000/shares</f>
        <v>810.852235920962</v>
      </c>
      <c r="E651" s="11" t="n">
        <f aca="false">E650*1000/shares</f>
        <v>1089.87958695527</v>
      </c>
      <c r="F651" s="11" t="n">
        <f aca="false">F650*1000/shares</f>
        <v>1242.32739740132</v>
      </c>
      <c r="G651" s="11" t="n">
        <f aca="false">G650*1000/shares</f>
        <v>1364.49689255813</v>
      </c>
    </row>
    <row r="652" customFormat="false" ht="17.15" hidden="false" customHeight="false" outlineLevel="0" collapsed="false">
      <c r="A652" s="5" t="s">
        <v>598</v>
      </c>
      <c r="B652" s="0" t="s">
        <v>148</v>
      </c>
      <c r="C652" s="12" t="n">
        <f aca="false">C643/fx</f>
        <v>7.524</v>
      </c>
      <c r="D652" s="12" t="n">
        <f aca="false">D643/fx</f>
        <v>11.1322352791289</v>
      </c>
      <c r="E652" s="12" t="n">
        <f aca="false">E643/fx</f>
        <v>14.4603295857509</v>
      </c>
      <c r="F652" s="12" t="n">
        <f aca="false">F643/fx</f>
        <v>16.5476026002447</v>
      </c>
      <c r="G652" s="12" t="n">
        <f aca="false">G643/fx</f>
        <v>18.2519466116032</v>
      </c>
      <c r="H652" s="8" t="s">
        <v>599</v>
      </c>
    </row>
    <row r="658" customFormat="false" ht="17.15" hidden="false" customHeight="false" outlineLevel="0" collapsed="false">
      <c r="A658" s="4" t="s">
        <v>831</v>
      </c>
    </row>
    <row r="659" customFormat="false" ht="17.15" hidden="false" customHeight="false" outlineLevel="0" collapsed="false">
      <c r="A659" s="6" t="s">
        <v>16</v>
      </c>
      <c r="B659" s="6" t="s">
        <v>17</v>
      </c>
      <c r="C659" s="9" t="s">
        <v>567</v>
      </c>
      <c r="D659" s="9" t="s">
        <v>568</v>
      </c>
      <c r="E659" s="9" t="s">
        <v>569</v>
      </c>
      <c r="F659" s="9" t="s">
        <v>570</v>
      </c>
      <c r="G659" s="9" t="s">
        <v>571</v>
      </c>
      <c r="H659" s="6" t="s">
        <v>508</v>
      </c>
    </row>
    <row r="660" customFormat="false" ht="17.15" hidden="false" customHeight="false" outlineLevel="0" collapsed="false">
      <c r="A660" s="1" t="s">
        <v>572</v>
      </c>
    </row>
    <row r="661" customFormat="false" ht="17.15" hidden="false" customHeight="false" outlineLevel="0" collapsed="false">
      <c r="A661" s="5" t="s">
        <v>573</v>
      </c>
      <c r="B661" s="5" t="s">
        <v>27</v>
      </c>
      <c r="C661" s="15" t="n">
        <f aca="false">u_bw_26*tt_bw+u_rb_26*tt_rb+u_ru_26*tt_ru+u_hp_26*tt_hp+u_amd_26*tt_amd+u_tpu_26*tt_tpu+u_trn_26*tt_trn+u_oth_26*tt_oth</f>
        <v>14.885</v>
      </c>
      <c r="D661" s="15" t="n">
        <f aca="false">u_bw_27*tt_bw+u_rb_27*tt_rb+u_ru_27*tt_ru+u_hp_27*tt_hp+u_amd_27*tt_amd+u_tpu_27*tt_tpu+u_trn_27*tt_trn+u_oth_27*tt_oth</f>
        <v>24.31</v>
      </c>
      <c r="E661" s="15" t="n">
        <f aca="false">u_bw_28*um28_A*tt_bw+u_rb_28*um28_A*tt_rb+u_ru_28*um28_A*tt_ru+u_hp_28*um28_A*tt_hp+u_amd_28*um28_A*tt_amd+u_tpu_28*um28_A*tt_tpu+u_trn_28*um28_A*tt_trn+u_oth_28*um28_A*tt_oth</f>
        <v>28.1</v>
      </c>
      <c r="F661" s="15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61" s="15" t="n">
        <f aca="false">F661*(1+cy30g)</f>
        <v>31.99</v>
      </c>
      <c r="H661" s="8" t="s">
        <v>574</v>
      </c>
    </row>
    <row r="662" customFormat="false" ht="17.15" hidden="false" customHeight="false" outlineLevel="0" collapsed="false">
      <c r="A662" s="5" t="s">
        <v>575</v>
      </c>
      <c r="B662" s="0" t="s">
        <v>576</v>
      </c>
      <c r="C662" s="18" t="n">
        <f aca="false">(mk_soc26-nonai26)/C661</f>
        <v>0.450117568021498</v>
      </c>
      <c r="H662" s="5" t="s">
        <v>577</v>
      </c>
    </row>
    <row r="663" customFormat="false" ht="17.15" hidden="false" customHeight="false" outlineLevel="0" collapsed="false">
      <c r="A663" s="0" t="s">
        <v>578</v>
      </c>
      <c r="B663" s="0" t="s">
        <v>148</v>
      </c>
      <c r="C663" s="15" t="n">
        <f aca="false">$C$662*C661*(1-0)^0</f>
        <v>6.7</v>
      </c>
      <c r="D663" s="15" t="n">
        <f aca="false">$C$662*D661*(1-0)^1</f>
        <v>10.9423580786026</v>
      </c>
      <c r="E663" s="15" t="n">
        <f aca="false">$C$662*E661*(1-0)^2</f>
        <v>12.6483036614041</v>
      </c>
      <c r="F663" s="15" t="n">
        <f aca="false">$C$662*F661*(1-0)^3</f>
        <v>14.3992610010077</v>
      </c>
      <c r="G663" s="15" t="n">
        <f aca="false">$C$662*G661*(1-0)^4</f>
        <v>14.3992610010077</v>
      </c>
    </row>
    <row r="664" customFormat="false" ht="17.15" hidden="false" customHeight="false" outlineLevel="0" collapsed="false">
      <c r="A664" s="5" t="s">
        <v>579</v>
      </c>
      <c r="B664" s="0" t="s">
        <v>148</v>
      </c>
      <c r="C664" s="15" t="n">
        <f aca="false">nonai26*(1+g_nonai)^0</f>
        <v>4.3</v>
      </c>
      <c r="D664" s="15" t="n">
        <f aca="false">nonai26*(1+g_nonai)^1</f>
        <v>4.472</v>
      </c>
      <c r="E664" s="15" t="n">
        <f aca="false">nonai26*(1+g_nonai)^2</f>
        <v>4.65088</v>
      </c>
      <c r="F664" s="15" t="n">
        <f aca="false">nonai26*(1+g_nonai)^3</f>
        <v>4.8369152</v>
      </c>
      <c r="G664" s="15" t="n">
        <f aca="false">nonai26*(1+g_nonai)^4</f>
        <v>5.030391808</v>
      </c>
    </row>
    <row r="665" customFormat="false" ht="17.15" hidden="false" customHeight="false" outlineLevel="0" collapsed="false">
      <c r="A665" s="0" t="s">
        <v>580</v>
      </c>
      <c r="B665" s="0" t="s">
        <v>148</v>
      </c>
      <c r="C665" s="15" t="n">
        <f aca="false">C663+C664</f>
        <v>11</v>
      </c>
      <c r="D665" s="15" t="n">
        <f aca="false">D663+D664</f>
        <v>15.4143580786026</v>
      </c>
      <c r="E665" s="15" t="n">
        <f aca="false">E663+E664</f>
        <v>17.2991836614041</v>
      </c>
      <c r="F665" s="15" t="n">
        <f aca="false">F663+F664</f>
        <v>19.2361762010077</v>
      </c>
      <c r="G665" s="15" t="n">
        <f aca="false">G663+G664</f>
        <v>19.4296528090077</v>
      </c>
      <c r="H665" s="8" t="s">
        <v>581</v>
      </c>
    </row>
    <row r="666" customFormat="false" ht="17.15" hidden="false" customHeight="false" outlineLevel="0" collapsed="false">
      <c r="A666" s="5" t="s">
        <v>582</v>
      </c>
      <c r="B666" s="0" t="s">
        <v>148</v>
      </c>
      <c r="C666" s="15" t="n">
        <f aca="false">mk_mem26*(w_hbm*hsA_26/hsA_26+(1-w_hbm)*drA_26/drA_26)</f>
        <v>2.75</v>
      </c>
      <c r="D666" s="15" t="n">
        <f aca="false">mk_mem26*(w_hbm*hsA_27/hsA_26+(1-w_hbm)*drA_27/drA_26)</f>
        <v>3.99150647980462</v>
      </c>
      <c r="E666" s="15" t="n">
        <f aca="false">mk_mem26*(w_hbm*hsA_28/hsA_26+(1-w_hbm)*drA_28/drA_26)</f>
        <v>5.17069526557172</v>
      </c>
      <c r="F666" s="15" t="n">
        <f aca="false">mk_mem26*(w_hbm*hsA_29/hsA_26+(1-w_hbm)*drA_29/drA_26)</f>
        <v>6.33160644779016</v>
      </c>
      <c r="G666" s="15" t="n">
        <f aca="false">F666*(1+cy30g)</f>
        <v>6.33160644779016</v>
      </c>
      <c r="H666" s="8" t="s">
        <v>583</v>
      </c>
    </row>
    <row r="667" customFormat="false" ht="17.15" hidden="false" customHeight="false" outlineLevel="0" collapsed="false">
      <c r="A667" s="1" t="s">
        <v>584</v>
      </c>
    </row>
    <row r="668" customFormat="false" ht="17.15" hidden="false" customHeight="false" outlineLevel="0" collapsed="false">
      <c r="A668" s="0" t="s">
        <v>585</v>
      </c>
      <c r="B668" s="0" t="s">
        <v>148</v>
      </c>
      <c r="C668" s="15" t="n">
        <f aca="false">fmk_soc25</f>
        <v>7.925</v>
      </c>
      <c r="D668" s="15" t="n">
        <f aca="false">0.75*C665+0.25*D665</f>
        <v>12.1035895196507</v>
      </c>
      <c r="E668" s="15" t="n">
        <f aca="false">0.75*D665+0.25*E665</f>
        <v>15.885564474303</v>
      </c>
      <c r="F668" s="15" t="n">
        <f aca="false">0.75*E665+0.25*F665</f>
        <v>17.783431796305</v>
      </c>
      <c r="G668" s="15" t="n">
        <f aca="false">0.75*F665+0.25*G665</f>
        <v>19.2845453530077</v>
      </c>
    </row>
    <row r="669" customFormat="false" ht="17.15" hidden="false" customHeight="false" outlineLevel="0" collapsed="false">
      <c r="A669" s="5" t="s">
        <v>586</v>
      </c>
      <c r="B669" s="0" t="s">
        <v>148</v>
      </c>
      <c r="C669" s="15" t="n">
        <f aca="false">fmk_mem25</f>
        <v>2.2625</v>
      </c>
      <c r="D669" s="15" t="n">
        <f aca="false">0.75*C666+0.25*D666</f>
        <v>3.06037661995115</v>
      </c>
      <c r="E669" s="15" t="n">
        <f aca="false">0.75*D666+0.25*E666</f>
        <v>4.28630367624639</v>
      </c>
      <c r="F669" s="15" t="n">
        <f aca="false">0.75*E666+0.25*F666</f>
        <v>5.46092306112633</v>
      </c>
      <c r="G669" s="15" t="n">
        <f aca="false">0.75*F666+0.25*G666</f>
        <v>6.33160644779016</v>
      </c>
    </row>
    <row r="670" customFormat="false" ht="17.15" hidden="false" customHeight="false" outlineLevel="0" collapsed="false">
      <c r="A670" s="0" t="s">
        <v>587</v>
      </c>
      <c r="B670" s="0" t="s">
        <v>38</v>
      </c>
      <c r="C670" s="14" t="n">
        <f aca="false">a25_soc/(C668*fx)</f>
        <v>0.645552050473186</v>
      </c>
      <c r="D670" s="14" t="n">
        <f aca="false">sh_soc</f>
        <v>0.66</v>
      </c>
      <c r="E670" s="14" t="n">
        <f aca="false">sh_soc</f>
        <v>0.66</v>
      </c>
      <c r="F670" s="14" t="n">
        <f aca="false">sh_soc</f>
        <v>0.66</v>
      </c>
      <c r="G670" s="14" t="n">
        <f aca="false">sh_soc</f>
        <v>0.66</v>
      </c>
      <c r="H670" s="8" t="s">
        <v>588</v>
      </c>
    </row>
    <row r="671" customFormat="false" ht="17.15" hidden="false" customHeight="false" outlineLevel="0" collapsed="false">
      <c r="A671" s="0" t="s">
        <v>589</v>
      </c>
      <c r="B671" s="0" t="s">
        <v>347</v>
      </c>
      <c r="C671" s="11" t="n">
        <f aca="false">a25_soc</f>
        <v>767.4</v>
      </c>
      <c r="D671" s="11" t="n">
        <f aca="false">D668*D670*fx</f>
        <v>1198.25536244542</v>
      </c>
      <c r="E671" s="11" t="n">
        <f aca="false">E668*E670*fx</f>
        <v>1572.670882956</v>
      </c>
      <c r="F671" s="11" t="n">
        <f aca="false">F668*F670*fx</f>
        <v>1760.5597478342</v>
      </c>
      <c r="G671" s="11" t="n">
        <f aca="false">G668*G670*fx</f>
        <v>1909.16998994777</v>
      </c>
      <c r="H671" s="5" t="s">
        <v>590</v>
      </c>
    </row>
    <row r="672" customFormat="false" ht="15" hidden="false" customHeight="false" outlineLevel="0" collapsed="false">
      <c r="A672" s="5" t="s">
        <v>591</v>
      </c>
      <c r="B672" s="0" t="s">
        <v>347</v>
      </c>
      <c r="C672" s="11" t="n">
        <f aca="false">a25_mem</f>
        <v>171.5</v>
      </c>
      <c r="D672" s="11" t="n">
        <f aca="false">D669*sh_mem*fx</f>
        <v>231.979929423922</v>
      </c>
      <c r="E672" s="11" t="n">
        <f aca="false">E669*sh_mem*fx</f>
        <v>324.906554906633</v>
      </c>
      <c r="F672" s="11" t="n">
        <f aca="false">F669*sh_mem*fx</f>
        <v>413.944002202504</v>
      </c>
      <c r="G672" s="11" t="n">
        <f aca="false">G669*sh_mem*fx</f>
        <v>479.942764992713</v>
      </c>
    </row>
    <row r="673" customFormat="false" ht="15" hidden="false" customHeight="false" outlineLevel="0" collapsed="false">
      <c r="A673" s="5" t="s">
        <v>592</v>
      </c>
      <c r="B673" s="0" t="s">
        <v>347</v>
      </c>
      <c r="C673" s="11" t="n">
        <f aca="false">a25_oth</f>
        <v>80.5</v>
      </c>
      <c r="D673" s="11" t="n">
        <f aca="false">C673*(1+g_oth_26)</f>
        <v>104</v>
      </c>
      <c r="E673" s="11" t="n">
        <f aca="false">D673*(1+g_oth_A)</f>
        <v>119.6</v>
      </c>
      <c r="F673" s="11" t="n">
        <f aca="false">E673*(1+g_oth_A)</f>
        <v>137.54</v>
      </c>
      <c r="G673" s="11" t="n">
        <f aca="false">F673*(1+g_oth_A)</f>
        <v>158.171</v>
      </c>
    </row>
    <row r="674" customFormat="false" ht="15" hidden="false" customHeight="false" outlineLevel="0" collapsed="false">
      <c r="A674" s="5" t="s">
        <v>593</v>
      </c>
      <c r="B674" s="0" t="s">
        <v>347</v>
      </c>
      <c r="C674" s="11" t="n">
        <f aca="false">a25_svc</f>
        <v>109.2</v>
      </c>
      <c r="D674" s="11" t="n">
        <f aca="false">C674*(1+g_svc_26)</f>
        <v>135.6</v>
      </c>
      <c r="E674" s="11" t="n">
        <f aca="false">D674*(1+g_svc_A)</f>
        <v>151.872</v>
      </c>
      <c r="F674" s="11" t="n">
        <f aca="false">E674*(1+g_svc_A)</f>
        <v>170.09664</v>
      </c>
      <c r="G674" s="11" t="n">
        <f aca="false">F674*(1+g_svc_A)</f>
        <v>190.5082368</v>
      </c>
    </row>
    <row r="675" customFormat="false" ht="15" hidden="false" customHeight="false" outlineLevel="0" collapsed="false">
      <c r="A675" s="5" t="s">
        <v>459</v>
      </c>
      <c r="B675" s="0" t="s">
        <v>347</v>
      </c>
      <c r="C675" s="11" t="n">
        <f aca="false">C671+C672+C673+C674</f>
        <v>1128.6</v>
      </c>
      <c r="D675" s="11" t="n">
        <f aca="false">D671+D672+D673+D674</f>
        <v>1669.83529186934</v>
      </c>
      <c r="E675" s="11" t="n">
        <f aca="false">E671+E672+E673+E674</f>
        <v>2169.04943786263</v>
      </c>
      <c r="F675" s="11" t="n">
        <f aca="false">F671+F672+F673+F674</f>
        <v>2482.1403900367</v>
      </c>
      <c r="G675" s="11" t="n">
        <f aca="false">G671+G672+G673+G674</f>
        <v>2737.79199174048</v>
      </c>
    </row>
    <row r="676" customFormat="false" ht="17.15" hidden="false" customHeight="false" outlineLevel="0" collapsed="false">
      <c r="A676" s="0" t="s">
        <v>594</v>
      </c>
      <c r="B676" s="0" t="s">
        <v>38</v>
      </c>
      <c r="C676" s="14" t="n">
        <f aca="false">C671/C675</f>
        <v>0.679957469431154</v>
      </c>
      <c r="D676" s="14" t="n">
        <f aca="false">D671/D675</f>
        <v>0.71758895519809</v>
      </c>
      <c r="E676" s="14" t="n">
        <f aca="false">E671/E675</f>
        <v>0.725050732133473</v>
      </c>
      <c r="F676" s="14" t="n">
        <f aca="false">F671/F675</f>
        <v>0.709290963114365</v>
      </c>
      <c r="G676" s="14" t="n">
        <f aca="false">G671/G675</f>
        <v>0.697339314201902</v>
      </c>
    </row>
    <row r="677" customFormat="false" ht="17.15" hidden="false" customHeight="false" outlineLevel="0" collapsed="false">
      <c r="A677" s="5" t="s">
        <v>463</v>
      </c>
      <c r="B677" s="0" t="s">
        <v>38</v>
      </c>
      <c r="C677" s="14" t="n">
        <f aca="false">a25_gp/a25_rev</f>
        <v>0.643</v>
      </c>
      <c r="D677" s="14" t="n">
        <f aca="false">gm_a+gm_b*D676+0</f>
        <v>0.661180081875993</v>
      </c>
      <c r="E677" s="14" t="n">
        <f aca="false">gm_a+gm_b*E676+0</f>
        <v>0.664784928000481</v>
      </c>
      <c r="F677" s="14" t="n">
        <f aca="false">gm_a+gm_b*F676+0</f>
        <v>0.657171253300295</v>
      </c>
      <c r="G677" s="14" t="n">
        <f aca="false">gm_a+gm_b*G676+0</f>
        <v>0.651397312905611</v>
      </c>
      <c r="H677" s="5" t="s">
        <v>595</v>
      </c>
    </row>
    <row r="678" customFormat="false" ht="15" hidden="false" customHeight="false" outlineLevel="0" collapsed="false">
      <c r="A678" s="5" t="s">
        <v>467</v>
      </c>
      <c r="B678" s="0" t="s">
        <v>347</v>
      </c>
      <c r="C678" s="11" t="n">
        <f aca="false">C675*C677</f>
        <v>725.6898</v>
      </c>
      <c r="D678" s="11" t="n">
        <f aca="false">D675*D677</f>
        <v>1104.06183499759</v>
      </c>
      <c r="E678" s="11" t="n">
        <f aca="false">E675*E677</f>
        <v>1441.95137437899</v>
      </c>
      <c r="F678" s="11" t="n">
        <f aca="false">F675*F677</f>
        <v>1631.1913109877</v>
      </c>
      <c r="G678" s="11" t="n">
        <f aca="false">G675*G677</f>
        <v>1783.39034671425</v>
      </c>
    </row>
    <row r="679" customFormat="false" ht="17.15" hidden="false" customHeight="false" outlineLevel="0" collapsed="false">
      <c r="A679" s="5" t="s">
        <v>596</v>
      </c>
      <c r="B679" s="0" t="s">
        <v>347</v>
      </c>
      <c r="C679" s="11" t="n">
        <f aca="false">opex25</f>
        <v>226.5898</v>
      </c>
      <c r="D679" s="11" t="n">
        <f aca="false">opex_fix+opex_var*D675</f>
        <v>288.738663284105</v>
      </c>
      <c r="E679" s="11" t="n">
        <f aca="false">opex_fix+opex_var*E675</f>
        <v>346.062330411708</v>
      </c>
      <c r="F679" s="11" t="n">
        <f aca="false">opex_fix+opex_var*F675</f>
        <v>382.013878794577</v>
      </c>
      <c r="G679" s="11" t="n">
        <f aca="false">opex_fix+opex_var*G675</f>
        <v>411.369792352569</v>
      </c>
      <c r="H679" s="5" t="s">
        <v>597</v>
      </c>
    </row>
    <row r="680" customFormat="false" ht="15" hidden="false" customHeight="false" outlineLevel="0" collapsed="false">
      <c r="A680" s="5" t="s">
        <v>470</v>
      </c>
      <c r="B680" s="0" t="s">
        <v>347</v>
      </c>
      <c r="C680" s="11" t="n">
        <f aca="false">C678-C679</f>
        <v>499.1</v>
      </c>
      <c r="D680" s="11" t="n">
        <f aca="false">D678-D679</f>
        <v>815.323171713486</v>
      </c>
      <c r="E680" s="11" t="n">
        <f aca="false">E678-E679</f>
        <v>1095.88904396728</v>
      </c>
      <c r="F680" s="11" t="n">
        <f aca="false">F678-F679</f>
        <v>1249.17743219312</v>
      </c>
      <c r="G680" s="11" t="n">
        <f aca="false">G678-G679</f>
        <v>1372.02055436168</v>
      </c>
    </row>
    <row r="681" customFormat="false" ht="15" hidden="false" customHeight="false" outlineLevel="0" collapsed="false">
      <c r="A681" s="5" t="s">
        <v>473</v>
      </c>
      <c r="B681" s="0" t="s">
        <v>38</v>
      </c>
      <c r="C681" s="14" t="n">
        <f aca="false">C680/C675</f>
        <v>0.442229310650363</v>
      </c>
      <c r="D681" s="14" t="n">
        <f aca="false">D680/D675</f>
        <v>0.488265624569926</v>
      </c>
      <c r="E681" s="14" t="n">
        <f aca="false">E680/E675</f>
        <v>0.505239311210522</v>
      </c>
      <c r="F681" s="14" t="n">
        <f aca="false">F680/F675</f>
        <v>0.503266228295272</v>
      </c>
      <c r="G681" s="14" t="n">
        <f aca="false">G680/G675</f>
        <v>0.50114126949778</v>
      </c>
    </row>
    <row r="682" customFormat="false" ht="15" hidden="false" customHeight="false" outlineLevel="0" collapsed="false">
      <c r="A682" s="5" t="s">
        <v>493</v>
      </c>
      <c r="B682" s="0" t="s">
        <v>347</v>
      </c>
      <c r="C682" s="11" t="n">
        <f aca="false">a25_ni</f>
        <v>375.4</v>
      </c>
      <c r="D682" s="11" t="n">
        <f aca="false">D680*nioi_hi</f>
        <v>636.067722613358</v>
      </c>
      <c r="E682" s="11" t="n">
        <f aca="false">E680*nioi_hi</f>
        <v>854.948899548944</v>
      </c>
      <c r="F682" s="11" t="n">
        <f aca="false">F680*nioi_hi</f>
        <v>974.535585398891</v>
      </c>
      <c r="G682" s="11" t="n">
        <f aca="false">G680*nioi_hi</f>
        <v>1070.3706452467</v>
      </c>
    </row>
    <row r="683" customFormat="false" ht="15" hidden="false" customHeight="false" outlineLevel="0" collapsed="false">
      <c r="A683" s="0" t="s">
        <v>562</v>
      </c>
      <c r="B683" s="0" t="s">
        <v>396</v>
      </c>
      <c r="C683" s="11" t="n">
        <f aca="false">a25_eps</f>
        <v>515.15</v>
      </c>
      <c r="D683" s="11" t="n">
        <f aca="false">D682*1000/shares</f>
        <v>878.582997944305</v>
      </c>
      <c r="E683" s="11" t="n">
        <f aca="false">E682*1000/shares</f>
        <v>1180.91759815879</v>
      </c>
      <c r="F683" s="11" t="n">
        <f aca="false">F682*1000/shares</f>
        <v>1346.09942586825</v>
      </c>
      <c r="G683" s="11" t="n">
        <f aca="false">G682*1000/shares</f>
        <v>1478.47378035258</v>
      </c>
    </row>
    <row r="684" customFormat="false" ht="17.15" hidden="false" customHeight="false" outlineLevel="0" collapsed="false">
      <c r="A684" s="5" t="s">
        <v>598</v>
      </c>
      <c r="B684" s="0" t="s">
        <v>148</v>
      </c>
      <c r="C684" s="12" t="n">
        <f aca="false">C675/fx</f>
        <v>7.524</v>
      </c>
      <c r="D684" s="12" t="n">
        <f aca="false">D675/fx</f>
        <v>11.1322352791289</v>
      </c>
      <c r="E684" s="12" t="n">
        <f aca="false">E675/fx</f>
        <v>14.4603295857509</v>
      </c>
      <c r="F684" s="12" t="n">
        <f aca="false">F675/fx</f>
        <v>16.5476026002447</v>
      </c>
      <c r="G684" s="12" t="n">
        <f aca="false">G675/fx</f>
        <v>18.2519466116032</v>
      </c>
      <c r="H684" s="8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832</v>
      </c>
    </row>
    <row r="2" customFormat="false" ht="17.15" hidden="false" customHeight="false" outlineLevel="0" collapsed="false">
      <c r="A2" s="5" t="s">
        <v>833</v>
      </c>
      <c r="B2" s="0" t="s">
        <v>834</v>
      </c>
    </row>
    <row r="3" customFormat="false" ht="17.15" hidden="false" customHeight="false" outlineLevel="0" collapsed="false">
      <c r="A3" s="5" t="s">
        <v>835</v>
      </c>
      <c r="B3" s="0" t="s">
        <v>836</v>
      </c>
    </row>
    <row r="4" customFormat="false" ht="17.15" hidden="false" customHeight="false" outlineLevel="0" collapsed="false">
      <c r="A4" s="5" t="s">
        <v>837</v>
      </c>
      <c r="B4" s="0" t="s">
        <v>838</v>
      </c>
    </row>
    <row r="5" customFormat="false" ht="17.15" hidden="false" customHeight="false" outlineLevel="0" collapsed="false">
      <c r="A5" s="5" t="s">
        <v>839</v>
      </c>
      <c r="B5" s="0" t="s">
        <v>840</v>
      </c>
    </row>
    <row r="6" customFormat="false" ht="17.15" hidden="false" customHeight="false" outlineLevel="0" collapsed="false">
      <c r="A6" s="5" t="s">
        <v>841</v>
      </c>
      <c r="B6" s="0" t="s">
        <v>842</v>
      </c>
    </row>
    <row r="7" customFormat="false" ht="17.15" hidden="false" customHeight="false" outlineLevel="0" collapsed="false">
      <c r="A7" s="5" t="s">
        <v>843</v>
      </c>
      <c r="B7" s="0" t="s">
        <v>844</v>
      </c>
    </row>
    <row r="8" customFormat="false" ht="17.15" hidden="false" customHeight="false" outlineLevel="0" collapsed="false">
      <c r="A8" s="5" t="s">
        <v>845</v>
      </c>
      <c r="B8" s="0" t="s">
        <v>846</v>
      </c>
    </row>
    <row r="9" customFormat="false" ht="17.15" hidden="false" customHeight="false" outlineLevel="0" collapsed="false">
      <c r="A9" s="5" t="s">
        <v>847</v>
      </c>
      <c r="B9" s="0" t="s">
        <v>848</v>
      </c>
    </row>
    <row r="10" customFormat="false" ht="17.15" hidden="false" customHeight="false" outlineLevel="0" collapsed="false">
      <c r="A10" s="5" t="s">
        <v>849</v>
      </c>
      <c r="B10" s="0" t="s">
        <v>850</v>
      </c>
    </row>
    <row r="11" customFormat="false" ht="17.15" hidden="false" customHeight="false" outlineLevel="0" collapsed="false">
      <c r="A11" s="5" t="s">
        <v>851</v>
      </c>
      <c r="B11" s="0" t="s">
        <v>852</v>
      </c>
    </row>
    <row r="12" customFormat="false" ht="17.15" hidden="false" customHeight="false" outlineLevel="0" collapsed="false">
      <c r="A12" s="0" t="s">
        <v>853</v>
      </c>
      <c r="B12" s="0" t="s">
        <v>854</v>
      </c>
    </row>
    <row r="13" customFormat="false" ht="17.15" hidden="false" customHeight="false" outlineLevel="0" collapsed="false">
      <c r="A13" s="0" t="s">
        <v>855</v>
      </c>
      <c r="B13" s="0" t="s">
        <v>856</v>
      </c>
    </row>
    <row r="14" customFormat="false" ht="17.15" hidden="false" customHeight="false" outlineLevel="0" collapsed="false">
      <c r="A14" s="0" t="s">
        <v>857</v>
      </c>
      <c r="B14" s="0" t="s">
        <v>858</v>
      </c>
    </row>
    <row r="15" customFormat="false" ht="17.15" hidden="false" customHeight="false" outlineLevel="0" collapsed="false">
      <c r="A15" s="0" t="s">
        <v>859</v>
      </c>
      <c r="B15" s="0" t="s">
        <v>860</v>
      </c>
    </row>
    <row r="16" customFormat="false" ht="17.15" hidden="false" customHeight="false" outlineLevel="0" collapsed="false">
      <c r="A16" s="0" t="s">
        <v>861</v>
      </c>
      <c r="B16" s="0" t="s">
        <v>862</v>
      </c>
    </row>
    <row r="17" customFormat="false" ht="17.15" hidden="false" customHeight="false" outlineLevel="0" collapsed="false">
      <c r="A17" s="0" t="s">
        <v>863</v>
      </c>
      <c r="B17" s="0" t="s">
        <v>864</v>
      </c>
    </row>
    <row r="18" customFormat="false" ht="17.15" hidden="false" customHeight="false" outlineLevel="0" collapsed="false">
      <c r="A18" s="0" t="s">
        <v>865</v>
      </c>
      <c r="B18" s="0" t="s">
        <v>866</v>
      </c>
    </row>
    <row r="19" customFormat="false" ht="17.15" hidden="false" customHeight="false" outlineLevel="0" collapsed="false">
      <c r="A19" s="5" t="s">
        <v>867</v>
      </c>
      <c r="B19" s="0" t="s">
        <v>868</v>
      </c>
    </row>
    <row r="20" customFormat="false" ht="17.15" hidden="false" customHeight="false" outlineLevel="0" collapsed="false">
      <c r="A20" s="0" t="s">
        <v>869</v>
      </c>
      <c r="B20" s="0" t="s">
        <v>870</v>
      </c>
    </row>
    <row r="21" customFormat="false" ht="17.15" hidden="false" customHeight="false" outlineLevel="0" collapsed="false">
      <c r="A21" s="5" t="s">
        <v>871</v>
      </c>
      <c r="B21" s="0" t="s">
        <v>872</v>
      </c>
    </row>
    <row r="22" customFormat="false" ht="17.15" hidden="false" customHeight="false" outlineLevel="0" collapsed="false">
      <c r="A22" s="0" t="s">
        <v>873</v>
      </c>
      <c r="B22" s="0" t="s">
        <v>874</v>
      </c>
    </row>
    <row r="23" customFormat="false" ht="17.15" hidden="false" customHeight="false" outlineLevel="0" collapsed="false">
      <c r="A23" s="0" t="s">
        <v>875</v>
      </c>
      <c r="B23" s="0" t="s">
        <v>876</v>
      </c>
    </row>
    <row r="24" customFormat="false" ht="17.15" hidden="false" customHeight="false" outlineLevel="0" collapsed="false">
      <c r="A24" s="0" t="s">
        <v>877</v>
      </c>
      <c r="B24" s="0" t="s">
        <v>878</v>
      </c>
    </row>
    <row r="25" customFormat="false" ht="17.15" hidden="false" customHeight="false" outlineLevel="0" collapsed="false">
      <c r="A25" s="5" t="s">
        <v>879</v>
      </c>
      <c r="B25" s="0" t="s">
        <v>880</v>
      </c>
    </row>
    <row r="26" customFormat="false" ht="17.15" hidden="false" customHeight="false" outlineLevel="0" collapsed="false">
      <c r="A26" s="0" t="s">
        <v>881</v>
      </c>
      <c r="B26" s="0" t="s">
        <v>882</v>
      </c>
    </row>
    <row r="27" customFormat="false" ht="17.15" hidden="false" customHeight="false" outlineLevel="0" collapsed="false">
      <c r="A27" s="5" t="s">
        <v>883</v>
      </c>
    </row>
    <row r="28" customFormat="false" ht="15" hidden="false" customHeight="false" outlineLevel="0" collapsed="false">
      <c r="A28" s="0" t="s">
        <v>884</v>
      </c>
      <c r="B28" s="5" t="s">
        <v>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2026-10-25T03:24:21Z</dcterms:created>
  <dc:creator>openpyxl</dc:creator>
  <dc:description/>
  <dc:language>en-US</dc:language>
  <cp:lastModifiedBy/>
  <dcterms:modified xsi:type="dcterms:W3CDTF">2026-10-25T03:24:22Z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