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feps" vbProcedure="false">In!$E$151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ons_tp" vbProcedure="false">In!$E$150</definedName>
    <definedName function="false" hidden="false" name="cw_unit" vbProcedure="false">Units!$C$47</definedName>
    <definedName function="false" hidden="false" name="cx_rev" vbProcedure="false">In!$E$153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a_rev" vbProcedure="false">In!$E$152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m10" vbProcedure="false">In!$E$149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rm_factor" vbProcedure="false">Val!$B$177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comp_adj" vbProcedure="false">Val!$B$178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p_w_dcf" vbProcedure="false">In!$E$148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<sst xmlns="http://schemas.openxmlformats.org/spreadsheetml/2006/main" count="3549" uniqueCount="1167">
  <si>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</si>
  <si>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</si>
  <si>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</si>
  <si>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</si>
  <si>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</si>
  <si>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</si>
  <si>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</si>
  <si>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</si>
  <si>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</si>
  <si>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</si>
  <si>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</si>
  <si>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</si>
  <si>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</si>
  <si>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</si>
  <si>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</si>
  <si>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</si>
  <si>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是最大下行：</t>
    </r>
    <r>
      <rPr>
        <sz val="11"/>
        <color theme="1"/>
        <rFont val="Calibri"/>
        <family val="2"/>
        <charset val="1"/>
      </rPr>
      <t xml:space="preserve">FY2028 EPS A 1,298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811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搶回市占與價格壓力），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23,028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16,105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7,893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±5pt → ±7.4%</t>
    </r>
    <r>
      <rPr>
        <sz val="11"/>
        <color theme="1"/>
        <rFont val="Noto Sans CJK SC"/>
        <family val="2"/>
      </rPr>
      <t xml:space="preserve">）與匯率（</t>
    </r>
    <r>
      <rPr>
        <sz val="11"/>
        <color theme="1"/>
        <rFont val="Calibri"/>
        <family val="2"/>
        <charset val="1"/>
      </rPr>
      <t xml:space="preserve">¥140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¥160 → −6.9%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+6.9%</t>
    </r>
    <r>
      <rPr>
        <sz val="11"/>
        <color theme="1"/>
        <rFont val="Noto Sans CJK SC"/>
        <family val="2"/>
      </rPr>
      <t xml:space="preserve">）最敏感，平行測試效率每年 −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8.8%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</si>
  <si>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測試機訂單、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測試機市場規模（模型錨點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億美元 → </t>
    </r>
    <r>
      <rPr>
        <sz val="11"/>
        <color theme="1"/>
        <rFont val="Calibri"/>
        <family val="2"/>
        <charset val="1"/>
      </rPr>
      <t xml:space="preserve">FY2027 EPS ±5.2%</t>
    </r>
    <r>
      <rPr>
        <sz val="11"/>
        <color theme="1"/>
        <rFont val="Noto Sans CJK SC"/>
        <family val="2"/>
      </rPr>
      <t xml:space="preserve">）與全年指引是否上修。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</si>
  <si>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</si>
  <si>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</si>
  <si>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找不到者寫「未找到」）；公司原文算一個。【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</si>
  <si>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</si>
  <si>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</si>
  <si>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</si>
  <si>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</si>
  <si>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</si>
  <si>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</si>
  <si>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</si>
  <si>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</si>
  <si>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</si>
  <si>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</si>
  <si>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</si>
  <si>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</si>
  <si>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</si>
  <si>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</si>
  <si>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</si>
  <si>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</si>
  <si>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</si>
  <si>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</si>
  <si>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</si>
  <si>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</si>
  <si>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</si>
  <si>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</si>
  <si>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</si>
  <si>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</si>
  <si>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</si>
  <si>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</si>
  <si>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</si>
  <si>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</si>
  <si>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</si>
  <si>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</si>
  <si>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</si>
  <si>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</si>
  <si>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</si>
  <si>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</si>
  <si>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</si>
  <si>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</si>
  <si>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</si>
  <si>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</si>
  <si>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</si>
  <si>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</si>
  <si>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</si>
  <si>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</si>
  <si>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</si>
  <si>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</si>
  <si>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</si>
  <si>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</si>
  <si>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</si>
  <si>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</si>
  <si>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</si>
  <si>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</si>
  <si>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</si>
  <si>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</si>
  <si>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</si>
  <si>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</si>
  <si>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</si>
  <si>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</si>
  <si>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</si>
  <si>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</si>
  <si>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</si>
  <si>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</si>
  <si>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</si>
  <si>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</si>
  <si>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</si>
  <si>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</si>
  <si>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</si>
  <si>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</si>
  <si>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</si>
  <si>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</si>
  <si>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</si>
  <si>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</si>
  <si>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</si>
  <si>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</si>
  <si>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</si>
  <si>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</si>
  <si>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</si>
  <si>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</si>
  <si>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</si>
  <si>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</si>
  <si>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</si>
  <si>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</si>
  <si>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</si>
  <si>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</si>
  <si>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</si>
  <si>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</si>
  <si>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</si>
  <si>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</si>
  <si>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</si>
  <si>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</si>
  <si>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</si>
  <si>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</si>
  <si>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</si>
  <si>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</si>
  <si>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</si>
  <si>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</si>
  <si>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</si>
  <si>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</si>
  <si>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</si>
  <si>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</si>
  <si>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</si>
  <si>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</si>
  <si>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</si>
  <si>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</si>
  <si>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</si>
  <si>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</si>
  <si>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</si>
  <si>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</si>
  <si>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</si>
  <si>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</si>
  <si>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</si>
  <si>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</si>
  <si>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</si>
  <si>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</si>
  <si>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</si>
  <si>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</si>
  <si>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</si>
  <si>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</si>
  <si>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</si>
  <si>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</si>
  <si>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</si>
  <si>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</si>
  <si>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</si>
  <si>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</si>
  <si>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</si>
  <si>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</si>
  <si>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</si>
  <si>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</si>
  <si>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</si>
  <si>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</si>
  <si>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</si>
  <si>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</si>
  <si>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</si>
  <si>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</si>
  <si>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</si>
  <si>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</si>
  <si>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</si>
  <si>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</si>
  <si>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</si>
  <si>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</si>
  <si>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</si>
  <si>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</si>
  <si>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</si>
  <si>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</si>
  <si>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Q1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，公司原文 </t>
    </r>
    <r>
      <rPr>
        <sz val="11"/>
        <color theme="1"/>
        <rFont val="Calibri"/>
        <family val="2"/>
        <charset val="1"/>
      </rPr>
      <t xml:space="preserve">JE_BIZ_260729_note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測試機市場上修至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來源複核開啟原文）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</si>
  <si>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</si>
  <si>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</si>
  <si>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</si>
  <si>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</si>
  <si>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</si>
  <si>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</si>
  <si>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</si>
  <si>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</si>
  <si>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</si>
  <si>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</si>
  <si>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</si>
  <si>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</si>
  <si>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</si>
  <si>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</si>
  <si>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</si>
  <si>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</si>
  <si>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</si>
  <si>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</si>
  <si>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</si>
  <si>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</si>
  <si>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</si>
  <si>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</si>
  <si>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</si>
  <si>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</si>
  <si>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</si>
  <si>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</si>
  <si>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</si>
  <si>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</si>
  <si>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</si>
  <si>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</si>
  <si>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</si>
  <si>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</si>
  <si>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</si>
  <si>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</si>
  <si>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</si>
  <si>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</si>
  <si>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</si>
  <si>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</si>
  <si>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</si>
  <si>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</si>
  <si>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</si>
  <si>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</si>
  <si>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</si>
  <si>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</si>
  <si>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</si>
  <si>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</si>
  <si>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</si>
  <si>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</si>
  <si>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</si>
  <si>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</si>
  <si>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</si>
  <si>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</si>
  <si>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</si>
  <si>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</si>
  <si>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</si>
  <si>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</si>
  <si>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</si>
  <si>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</si>
  <si>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</si>
  <si>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</si>
  <si>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</si>
  <si>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</si>
  <si>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</si>
  <si>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</si>
  <si>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</si>
  <si>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</si>
  <si>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</si>
  <si>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</si>
  <si>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</si>
  <si>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</si>
  <si>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</si>
  <si>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</si>
  <si>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</si>
  <si>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</si>
  <si>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</si>
  <si>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</si>
  <si>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</si>
  <si>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</si>
  <si>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</si>
  <si>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</si>
  <si>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</si>
  <si>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</si>
  <si>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</si>
  <si>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</si>
  <si>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</si>
  <si>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</si>
  <si>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</si>
  <si>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</si>
  <si>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</si>
  <si>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</si>
  <si>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</si>
  <si>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</si>
  <si>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</si>
  <si>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</si>
  <si>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</si>
  <si>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</si>
  <si>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</si>
  <si>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</si>
  <si>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</si>
  <si>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</si>
  <si>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</si>
  <si>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</si>
  <si>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</si>
  <si>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</si>
  <si>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</si>
  <si>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</si>
  <si>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</si>
  <si>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</si>
  <si>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</si>
  <si>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</si>
  <si>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</si>
  <si>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</si>
  <si>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</si>
  <si>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</si>
  <si>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</si>
  <si>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</si>
  <si>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</si>
  <si>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</si>
  <si>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</si>
  <si>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</si>
  <si>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</si>
  <si>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</si>
  <si>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</si>
  <si>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</si>
  <si>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</si>
  <si>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</si>
  <si>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</si>
  <si>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</si>
  <si>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</si>
  <si>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</si>
  <si>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</si>
  <si>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</si>
  <si>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</si>
  <si>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</si>
  <si>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</si>
  <si>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</si>
  <si>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</si>
  <si>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</si>
  <si>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</si>
  <si>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</si>
  <si>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</si>
  <si>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</si>
  <si>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</si>
  <si>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</si>
  <si>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</si>
  <si>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</si>
  <si>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</si>
  <si>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</si>
  <si>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</si>
  <si>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</si>
  <si>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</si>
  <si>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</si>
  <si>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</si>
  <si>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</si>
  <si>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</si>
  <si>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</si>
  <si>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</si>
  <si>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</si>
  <si>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</si>
  <si>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</si>
  <si>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</si>
  <si>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</si>
  <si>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</si>
  <si>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</si>
  <si>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</si>
  <si>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</si>
  <si>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</si>
  <si>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</si>
  <si>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</si>
  <si>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</si>
  <si>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</si>
  <si>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</si>
  <si>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</si>
  <si>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</si>
  <si>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</si>
  <si>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逐字稿摘要）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</si>
  <si>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</si>
  <si>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</si>
  <si>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</si>
  <si>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</si>
  <si>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</si>
  <si>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</si>
  <si>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</si>
  <si>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</si>
  <si>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</si>
  <si>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</si>
  <si>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</si>
  <si>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</si>
  <si>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</si>
  <si>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</si>
  <si>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</si>
  <si>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</si>
  <si>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</si>
  <si>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</si>
  <si>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</si>
  <si>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</si>
  <si>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</si>
  <si>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</si>
  <si>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</si>
  <si>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</si>
  <si>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</si>
  <si>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</si>
  <si>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</si>
  <si>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</si>
  <si>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</si>
  <si>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</si>
  <si>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</si>
  <si>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</si>
  <si>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</si>
  <si>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</si>
  <si>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</si>
  <si>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</si>
  <si>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</si>
  <si>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</si>
  <si>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</si>
  <si>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</si>
  <si>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</si>
  <si>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</si>
  <si>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</si>
  <si>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</si>
  <si>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</si>
  <si>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</si>
  <si>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</si>
  <si>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</si>
  <si>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Noto Sans CJK SC"/>
        <family val="2"/>
      </rPr>
      <t xml:space="preserve">）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</si>
  <si>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</si>
  <si>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</si>
  <si>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Noto Sans CJK SC"/>
        <family val="2"/>
      </rPr>
      <t xml:space="preserve">）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</si>
  <si>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</si>
  <si>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</si>
  <si>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Noto Sans CJK SC"/>
        <family val="2"/>
      </rPr>
      <t xml:space="preserve">）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</si>
  <si>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</si>
  <si>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</si>
  <si>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Noto Sans CJK SC"/>
        <family val="2"/>
      </rPr>
      <t xml:space="preserve">上修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</si>
  <si>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</si>
  <si>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</si>
  <si>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，日經摘錄）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</si>
  <si>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</si>
  <si>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</si>
  <si>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</si>
  <si>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</si>
  <si>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，未解）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</si>
  <si>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</si>
  <si>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</si>
  <si>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</si>
  <si>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</si>
  <si>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</si>
  <si>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</si>
  <si>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</si>
  <si>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</si>
  <si>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</si>
  <si>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</si>
  <si>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</si>
  <si>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</si>
  <si>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</si>
  <si>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</si>
  <si>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</si>
  <si>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</si>
  <si>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</si>
  <si>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</si>
  <si>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</si>
  <si>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</si>
  <si>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</si>
  <si>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株探 日足（同值）；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</si>
  <si>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</si>
  <si>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</si>
  <si>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</si>
  <si>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</si>
  <si>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</si>
  <si>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</si>
  <si>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</si>
  <si>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</si>
  <si>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</si>
  <si>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</si>
  <si>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</si>
  <si>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</si>
  <si>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</si>
  <si>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</si>
  <si>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</si>
  <si>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</si>
  <si>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</si>
  <si>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</si>
  <si>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</si>
  <si>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</si>
  <si>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</si>
  <si>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</si>
  <si>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</si>
  <si>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15.57%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34.38%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57.65%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</si>
  <si>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</si>
  <si>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</si>
  <si>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</si>
  <si>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</si>
  <si>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</si>
  <si>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</si>
  <si>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finboard.jp </t>
    </r>
    <r>
      <rPr>
        <sz val="11"/>
        <color theme="1"/>
        <rFont val="Noto Sans CJK SC"/>
        <family val="2"/>
      </rPr>
      <t xml:space="preserve">損益計算書（百萬日圓；營收、純益；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</si>
  <si>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the-shashi.com </t>
    </r>
    <r>
      <rPr>
        <sz val="11"/>
        <color theme="1"/>
        <rFont val="Noto Sans CJK SC"/>
        <family val="2"/>
      </rPr>
      <t xml:space="preserve">營收逐年相同（純益未列）；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頁實績一致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</si>
  <si>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</si>
  <si>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</si>
  <si>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¥42,686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42,900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23,000–55,000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</si>
  <si>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</si>
  <si>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</si>
  <si>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</si>
  <si>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</si>
  <si>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</si>
  <si>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</si>
  <si>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24,330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1,128.6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，口徑差約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，採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</si>
  <si>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</si>
  <si>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</si>
  <si>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</si>
  <si>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實績：設備投資（有形固定資產取得）</t>
    </r>
    <r>
      <rPr>
        <sz val="11"/>
        <color theme="1"/>
        <rFont val="Calibri"/>
        <family val="2"/>
        <charset val="1"/>
      </rPr>
      <t xml:space="preserve">33,012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一致）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</si>
  <si>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</si>
  <si>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</si>
  <si>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</si>
  <si>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</si>
  <si>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</si>
  <si>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</si>
  <si>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</si>
  <si>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</si>
  <si>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</si>
  <si>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</si>
  <si>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</si>
  <si>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</si>
  <si>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</si>
  <si>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</si>
  <si>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</si>
  <si>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</si>
  <si>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</si>
  <si>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</si>
  <si>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</si>
  <si>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</si>
  <si>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</si>
  <si>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</si>
  <si>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</si>
  <si>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</si>
  <si>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</si>
  <si>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</si>
  <si>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</si>
  <si>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</si>
  <si>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</si>
  <si>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</si>
  <si>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</si>
  <si>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</si>
  <si>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</si>
  <si>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</si>
  <si>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</si>
  <si>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</si>
  <si>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</si>
  <si>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</si>
  <si>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</si>
  <si>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</si>
  <si>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</si>
  <si>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scn_g_oth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</si>
  <si>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</si>
  <si>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</si>
  <si>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scn_g_svc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</si>
  <si>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</si>
  <si>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g_svc_A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</si>
  <si>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</si>
  <si>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</si>
  <si>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</si>
  <si>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scn_shC_28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</si>
  <si>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</si>
  <si>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sh_soc</t>
    </r>
  </si>
  <si>
    <t xml:space="preserve">scn_shC_29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</si>
  <si>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</si>
  <si>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sh_soc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</si>
  <si>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</si>
  <si>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</si>
  <si>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</si>
  <si>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</si>
  <si>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</si>
  <si>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</si>
  <si>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</si>
  <si>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</si>
  <si>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</si>
  <si>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</si>
  <si>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Noto Sans CJK SC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</si>
  <si>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</si>
  <si>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</si>
  <si>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</si>
  <si>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</si>
  <si>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</si>
  <si>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</si>
  <si>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</si>
  <si>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</si>
  <si>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</si>
  <si>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，尚未公布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</si>
  <si>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</si>
  <si>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</si>
  <si>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</si>
  <si>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</si>
  <si>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</si>
  <si>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</si>
  <si>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</si>
  <si>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</si>
  <si>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</si>
  <si>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</si>
  <si>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</si>
  <si>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</si>
  <si>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</si>
  <si>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</si>
  <si>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</si>
  <si>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</si>
  <si>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</si>
  <si>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</si>
  <si>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</si>
  <si>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</si>
  <si>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</si>
  <si>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</si>
  <si>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</si>
  <si>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</si>
  <si>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</si>
  <si>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</si>
  <si>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</si>
  <si>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</si>
  <si>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</si>
  <si>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</si>
  <si>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</si>
  <si>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</si>
  <si>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</si>
  <si>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</si>
  <si>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</si>
  <si>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</si>
  <si>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</si>
  <si>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</si>
  <si>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</si>
  <si>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</si>
  <si>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</si>
  <si>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</si>
  <si>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</si>
  <si>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</si>
  <si>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</si>
  <si>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</si>
  <si>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</si>
  <si>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</si>
  <si>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</si>
  <si>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</si>
  <si>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</si>
  <si>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</si>
  <si>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</si>
  <si>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</si>
  <si>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</si>
  <si>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</si>
  <si>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</si>
  <si>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</si>
  <si>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</si>
  <si>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</si>
  <si>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</si>
  <si>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</si>
  <si>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</si>
  <si>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</si>
  <si>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</si>
  <si>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</si>
  <si>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</si>
  <si>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</si>
  <si>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</si>
  <si>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</si>
  <si>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</si>
  <si>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</si>
  <si>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</si>
  <si>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</si>
  <si>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</si>
  <si>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</si>
  <si>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</si>
  <si>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</si>
  <si>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</si>
  <si>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</si>
  <si>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</si>
  <si>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</si>
  <si>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</si>
  <si>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</si>
  <si>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</si>
  <si>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</si>
  <si>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</si>
  <si>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</si>
  <si>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</si>
  <si>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</si>
  <si>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</si>
  <si>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</si>
  <si>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</si>
  <si>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</si>
  <si>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</si>
  <si>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</si>
  <si>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</si>
  <si>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</si>
  <si>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低</t>
  </si>
  <si>
    <t xml:space="preserve">高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</si>
  <si>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</si>
  <si>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</si>
  <si>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</si>
  <si>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</si>
  <si>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</si>
  <si>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</si>
  <si>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</si>
  <si>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</si>
  <si>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</si>
  <si>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</si>
  <si>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</si>
  <si>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</si>
  <si>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</si>
  <si>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</si>
  <si>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</si>
  <si>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</si>
  <si>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</si>
  <si>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</si>
  <si>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</si>
  <si>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</si>
  <si>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</si>
  <si>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</si>
  <si>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</si>
  <si>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</si>
  <si>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</si>
  <si>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</si>
  <si>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</si>
  <si>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</si>
  <si>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</si>
  <si>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</si>
  <si>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</si>
  <si>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</si>
  <si>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</si>
  <si>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</si>
  <si>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</si>
  <si>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</si>
  <si>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</si>
  <si>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</si>
  <si>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</si>
  <si>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</si>
  <si>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</si>
  <si>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</si>
  <si>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</si>
  <si>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</si>
  <si>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</si>
  <si>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</si>
  <si>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</si>
  <si>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</si>
  <si>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</si>
  <si>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</si>
  <si>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</si>
  <si>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Noto Sans CJK SC"/>
        <family val="2"/>
      </rPr>
      <t xml:space="preserve">測試系統事業營收（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＋記憶體＋其他系統）</t>
    </r>
  </si>
  <si>
    <r>
      <rPr>
        <sz val="11"/>
        <color theme="1"/>
        <rFont val="Noto Sans CJK SC"/>
        <family val="2"/>
      </rPr>
      <t xml:space="preserve">官方分部 テストシステム（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起兩分部）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</si>
  <si>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</si>
  <si>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</si>
  <si>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</si>
  <si>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</si>
  <si>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</si>
  <si>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</si>
  <si>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</si>
  <si>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</si>
  <si>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</si>
  <si>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</si>
  <si>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</si>
  <si>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</si>
  <si>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</si>
  <si>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</si>
  <si>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</si>
  <si>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</si>
  <si>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</si>
  <si>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</si>
  <si>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</si>
  <si>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</si>
  <si>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</si>
  <si>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</si>
  <si>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</si>
  <si>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</si>
  <si>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</si>
  <si>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</si>
  <si>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</si>
  <si>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</si>
  <si>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</si>
  <si>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</si>
  <si>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</si>
  <si>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</si>
  <si>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</si>
  <si>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</si>
  <si>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</si>
  <si>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</si>
  <si>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</si>
  <si>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</si>
  <si>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</si>
  <si>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</si>
  <si>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</si>
  <si>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</si>
  <si>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</si>
  <si>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</si>
  <si>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</si>
  <si>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</si>
  <si>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</si>
  <si>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</si>
  <si>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</si>
  <si>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</si>
  <si>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</si>
  <si>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</si>
  <si>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</si>
  <si>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</si>
  <si>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</si>
  <si>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</si>
  <si>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</si>
  <si>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</si>
  <si>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</si>
  <si>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</si>
  <si>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</si>
  <si>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</si>
  <si>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</si>
  <si>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</si>
  <si>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</si>
  <si>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</si>
  <si>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</si>
  <si>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</si>
  <si>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</si>
  <si>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</si>
  <si>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</si>
  <si>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</si>
  <si>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</si>
  <si>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</si>
  <si>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</si>
  <si>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</si>
  <si>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</si>
  <si>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</si>
  <si>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</si>
  <si>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</si>
  <si>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</si>
  <si>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</si>
  <si>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</si>
  <si>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</si>
  <si>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</si>
  <si>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</si>
  <si>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</si>
  <si>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</si>
  <si>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</si>
  <si>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</si>
  <si>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</si>
  <si>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</si>
  <si>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</si>
  <si>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</si>
  <si>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</si>
  <si>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</si>
  <si>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</si>
  <si>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</si>
  <si>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</si>
  <si>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</si>
  <si>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</si>
  <si>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</si>
  <si>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</si>
  <si>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</si>
  <si>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</si>
  <si>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</si>
  <si>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</si>
  <si>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</si>
  <si>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</si>
  <si>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</si>
  <si>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</si>
  <si>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</si>
  <si>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</si>
  <si>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</si>
  <si>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</si>
  <si>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</si>
  <si>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</si>
  <si>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</si>
  <si>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</si>
  <si>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</si>
  <si>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</si>
  <si>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</si>
  <si>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</si>
  <si>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</si>
  <si>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</si>
  <si>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</si>
  <si>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</si>
  <si>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</si>
  <si>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</si>
  <si>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</si>
  <si>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</si>
  <si>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</si>
  <si>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</si>
  <si>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</si>
  <si>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</si>
  <si>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</si>
  <si>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</si>
  <si>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</si>
  <si>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</si>
  <si>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</si>
  <si>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</si>
  <si>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</si>
  <si>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</si>
  <si>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</si>
  <si>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</si>
  <si>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</si>
  <si>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</si>
  <si>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</si>
  <si>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</si>
  <si>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</si>
  <si>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</si>
  <si>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</si>
  <si>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</si>
  <si>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</si>
  <si>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</si>
  <si>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 </t>
    </r>
    <r>
      <rPr>
        <sz val="11"/>
        <color theme="1"/>
        <rFont val="Noto Sans CJK SC"/>
        <family val="2"/>
      </rPr>
      <t xml:space="preserve">所計，與現價日期不同；其遠期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</si>
  <si>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</si>
  <si>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</si>
  <si>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</si>
  <si>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</si>
  <si>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</si>
  <si>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</si>
  <si>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</si>
  <si>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</si>
  <si>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</si>
  <si>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</si>
  <si>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</si>
  <si>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</si>
  <si>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</si>
  <si>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</si>
  <si>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</si>
  <si>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</si>
  <si>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</si>
  <si>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</si>
  <si>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</si>
  <si>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</si>
  <si>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</si>
  <si>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</si>
  <si>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</si>
  <si>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</si>
  <si>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</si>
  <si>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</si>
  <si>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</si>
  <si>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</si>
  <si>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</si>
  <si>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</si>
  <si>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</si>
  <si>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</si>
  <si>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</si>
  <si>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</si>
  <si>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</si>
  <si>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</si>
  <si>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</si>
  <si>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</si>
  <si>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</si>
  <si>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</si>
  <si>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</si>
  <si>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</si>
  <si>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</si>
  <si>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</si>
  <si>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</si>
  <si>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</si>
  <si>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</si>
  <si>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</si>
  <si>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</si>
  <si>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</si>
  <si>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</si>
  <si>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</si>
  <si>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</si>
  <si>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</si>
  <si>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</si>
  <si>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</si>
  <si>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</si>
  <si>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測試與日本半導體設備同業：泰瑞達（直接對手）、東京威力科創、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</si>
  <si>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</si>
  <si>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</si>
  <si>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</si>
  <si>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</si>
  <si>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</si>
  <si>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</si>
  <si>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</si>
  <si>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</si>
  <si>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</si>
  <si>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</si>
  <si>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</si>
  <si>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</si>
  <si>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</si>
  <si>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</si>
  <si>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</si>
  <si>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</si>
  <si>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</si>
  <si>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</si>
  <si>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缺價格）的分位；只作檢查，不進目標價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</si>
  <si>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</si>
  <si>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：泰瑞達、東京威力科創、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的顆數係數只是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；十年平均淨利率（約一成九）遠低於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</si>
  <si>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</si>
  <si>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</si>
  <si>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</si>
  <si>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</si>
  <si>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</si>
  <si>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</si>
  <si>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</si>
  <si>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</si>
  <si>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</si>
  <si>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</si>
  <si>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</si>
  <si>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</si>
  <si>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</si>
  <si>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</si>
  <si>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</si>
  <si>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</si>
  <si>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</si>
  <si>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</si>
  <si>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</si>
  <si>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</si>
  <si>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</si>
  <si>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Advantest</t>
  </si>
  <si>
    <t xml:space="preserve">6857.T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</si>
  <si>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</si>
  <si>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</si>
  <si>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</si>
  <si>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</si>
  <si>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</si>
  <si>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</si>
  <si>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</si>
  <si>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</si>
  <si>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</si>
  <si>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</si>
  <si>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</si>
  <si>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</si>
  <si>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</si>
  <si>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</si>
  <si>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</si>
  <si>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</si>
  <si>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</si>
  <si>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</si>
  <si>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</si>
  <si>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</si>
  <si>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</si>
  <si>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</si>
  <si>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</si>
  <si>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</si>
  <si>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</si>
  <si>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</si>
  <si>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</si>
  <si>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</si>
  <si>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</si>
  <si>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</si>
  <si>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</si>
  <si>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</si>
  <si>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</si>
  <si>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</si>
  <si>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</si>
  <si>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</si>
  <si>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</si>
  <si>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</si>
  <si>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</si>
  <si>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</si>
  <si>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</si>
  <si>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</si>
  <si>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</si>
  <si>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</si>
  <si>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</si>
  <si>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</si>
  <si>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</si>
  <si>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</si>
  <si>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</si>
  <si>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</si>
  <si>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</si>
  <si>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</si>
  <si>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</si>
  <si>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</si>
  <si>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</si>
  <si>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</si>
  <si>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</si>
  <si>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</si>
  <si>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</si>
  <si>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</si>
  <si>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</si>
  <si>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</si>
  <si>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</si>
  <si>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</si>
  <si>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</si>
  <si>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</si>
  <si>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</si>
  <si>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</si>
  <si>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</si>
  <si>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</si>
  <si>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</si>
  <si>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</si>
  <si>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</si>
  <si>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</si>
  <si>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</si>
  <si>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</si>
  <si>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</si>
  <si>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</si>
  <si>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</si>
  <si>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</si>
  <si>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</si>
  <si>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</si>
  <si>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</si>
  <si>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</si>
  <si>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</si>
  <si>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</si>
  <si>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</si>
  <si>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</si>
  <si>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</si>
  <si>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</si>
  <si>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</si>
  <si>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</si>
  <si>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</si>
  <si>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</si>
  <si>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</si>
  <si>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</si>
  <si>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</si>
  <si>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</si>
  <si>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</si>
  <si>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</si>
  <si>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</si>
  <si>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</si>
  <si>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</si>
  <si>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</si>
  <si>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</si>
  <si>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</si>
  <si>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</si>
  <si>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</si>
  <si>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</si>
  <si>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</si>
  <si>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</si>
  <si>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</si>
  <si>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</si>
  <si>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</si>
  <si>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</si>
  <si>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</si>
  <si>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</si>
  <si>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</si>
  <si>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</si>
  <si>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</si>
  <si>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</si>
  <si>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</si>
  <si>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</si>
  <si>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</si>
  <si>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</si>
  <si>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</si>
  <si>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</si>
  <si>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</si>
  <si>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</si>
  <si>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</si>
  <si>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</si>
  <si>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</si>
  <si>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</si>
  <si>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</si>
  <si>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</si>
  <si>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</si>
  <si>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</si>
  <si>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</si>
  <si>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</si>
  <si>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</si>
  <si>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</si>
  <si>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</si>
  <si>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</si>
  <si>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</si>
  <si>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</si>
  <si>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</si>
  <si>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</si>
  <si>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</si>
  <si>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</si>
  <si>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</si>
  <si>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</si>
  <si>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</si>
  <si>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</si>
  <si>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</si>
  <si>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</si>
  <si>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</si>
  <si>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</si>
  <si>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</si>
  <si>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</si>
  <si>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</si>
  <si>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</si>
  <si>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</si>
  <si>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</si>
  <si>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</si>
  <si>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</si>
  <si>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</si>
  <si>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</si>
  <si>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</si>
  <si>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</si>
  <si>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</si>
  <si>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</si>
  <si>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</si>
  <si>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</si>
  <si>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</si>
  <si>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</si>
  <si>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</si>
  <si>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</si>
  <si>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</si>
  <si>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</si>
  <si>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</si>
  <si>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</si>
  <si>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</si>
  <si>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</si>
  <si>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</si>
  <si>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</si>
  <si>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</si>
  <si>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</si>
  <si>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</si>
  <si>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</si>
  <si>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</si>
  <si>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</si>
  <si>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</si>
  <si>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</si>
  <si>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</si>
  <si>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</si>
  <si>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</si>
  <si>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</si>
  <si>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</si>
  <si>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</si>
  <si>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Advantest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24,330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</si>
  <si>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</si>
  <si>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現金流量（折舊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）</t>
    </r>
  </si>
  <si>
    <t xml:space="preserve">https://finboard.net/companies/JP:6857/cash-flow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</si>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</sst>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0"/>
    <numFmt numFmtId="172" formatCode="0.0000"/>
    <numFmt numFmtId="173" formatCode="#,##0.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"投資建議："&amp;Val!B158&amp;"（依上檔空間固定規則）"</f>
        <v>投資建議：放空（依上檔空間固定規則）</v>
      </c>
    </row>
    <row r="21" customFormat="false" ht="17.15" hidden="false" customHeight="false" outlineLevel="0" collapsed="false">
      <c r="A21" s="0" t="str">
        <f aca="false">"重點觀察 1：目標價 ¥"&amp;TEXT(Val!$B$146,"#,##0")&amp;"（DCF "&amp;TEXT(Val!$B$131,"#,##0")&amp;"、Comparable（相對倍數調整後）"&amp;TEXT(tp_comp_adj,"#,##0")&amp;"；DCF 權重 "&amp;TEXT(tp_w_dcf,"0%")&amp;"），比現價 "&amp;TEXT(px,"#,##0")&amp;"（2026-10-23）"&amp;IF(Val!$B$149&gt;=0,"高 "&amp;TEXT(Val!$B$149,"0.0%"),"低 "&amp;TEXT(-Val!$B$149,"0.0%"))&amp;"，級距 "&amp;Val!$B$157&amp;"、投資建議 "&amp;Val!$B$158&amp;"。相對倍數調整係數 "&amp;TEXT(rm_factor,"0.00")&amp;"（本公司 10 年前瞻倍數中位數 ÷ 同業的中位數，夾在 0.5–2.0；Val 第 0.5 節），調整前加權上檔空間 "&amp;TEXT((tp_w_dcf*Val!$B$131+(1-tp_w_dcf)*Val!$B$142)/px-1,"+0.0%;−0.0%")&amp;"；Comparable 單獨（市場主流同業法、未調整）為 "&amp;TEXT(Val!$B$150,"+0.0%;−0.0%")&amp;"。"&amp;"以下為 2026-10-29 相對倍數調整前撰寫的說明，其中數字為調整前：主因是 DCF：DCF 目標價比現價低 48.9%（A 情境 23,028 也只有現價的 0.71 倍），r 10%、g 4% 下 FY2027 EPS 1,139 只值約 20 倍，而現價隱含 29.3 倍 12 個月後前瞻 EPS（1,104）；ROE 35.9% 高於折現率，DCF 偏低不是 ROE 造成。EPS 也不"&amp;"是主因：本模型前瞻 EPS 比共識 913.5 高 20.8%（共識期間早約一年半）；同業前瞻 P/E 中位數 27.1 倍，共識目標價 42,686 隱含 46.7 倍（比同業高 72%）。"</f>
        <v>重點觀察 1：目標價 ¥23,855（DCF 16,515、Comparable（相對倍數調整後）31,195；DCF 權重 50%），比現價 32,340（2026-10-23）低 26.2%，級距 −25%～−50%、投資建議 放空。相對倍數調整係數 1.04（本公司 10 年前瞻倍數中位數 ÷ 同業的中位數，夾在 0.5–2.0；Val 第 0.5 節），調整前加權上檔空間 −28.3%；Comparable 單獨（市場主流同業法、未調整）為 −7.7%。以下為 2026-10-29 相對倍數調整前撰寫的說明，其中數字為調整前：主因是 DCF：DCF 目標價比現價低 48.9%（A 情境 23,028 也只有現價的 0.71 倍），r 10%、g 4% 下 FY2027 EPS 1,139 只值約 20 倍，而現價隱含 29.3 倍 12 個月後前瞻 EPS（1,104）；ROE 35.9% 高於折現率，DCF 偏低不是 ROE 造成。EPS 也不是主因：本模型前瞻 EPS 比共識 913.5 高 20.8%（共識期間早約一年半）；同業前瞻 P/E 中位數 27.1 倍，共識目標價 42,686 隱含 46.7 倍（比同業高 72%）。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5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5" t="s">
        <v>40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5" t="s">
        <v>40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-0.5</v>
      </c>
      <c r="G8" s="8" t="s">
        <v>46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52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5" t="s">
        <v>34</v>
      </c>
      <c r="E10" s="7" t="n">
        <v>7</v>
      </c>
      <c r="G10" s="8" t="s">
        <v>35</v>
      </c>
      <c r="H10" s="5" t="s">
        <v>40</v>
      </c>
      <c r="I10" s="5" t="s">
        <v>40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5" t="s">
        <v>40</v>
      </c>
      <c r="I11" s="5" t="s">
        <v>40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7" t="n">
        <v>0.15</v>
      </c>
      <c r="G12" s="8" t="s">
        <v>46</v>
      </c>
      <c r="H12" s="8" t="s">
        <v>59</v>
      </c>
      <c r="I12" s="8" t="s">
        <v>48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5" t="s">
        <v>34</v>
      </c>
      <c r="E13" s="7" t="n">
        <v>0</v>
      </c>
      <c r="G13" s="8" t="s">
        <v>46</v>
      </c>
      <c r="H13" s="8" t="s">
        <v>62</v>
      </c>
      <c r="I13" s="5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46</v>
      </c>
      <c r="H14" s="5" t="s">
        <v>40</v>
      </c>
      <c r="I14" s="5" t="s">
        <v>40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5" t="s">
        <v>34</v>
      </c>
      <c r="E15" s="7" t="n">
        <v>2</v>
      </c>
      <c r="G15" s="8" t="s">
        <v>46</v>
      </c>
      <c r="H15" s="5" t="s">
        <v>40</v>
      </c>
      <c r="I15" s="5" t="s">
        <v>40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45</v>
      </c>
      <c r="E16" s="7" t="n">
        <v>0.15</v>
      </c>
      <c r="G16" s="8" t="s">
        <v>46</v>
      </c>
      <c r="H16" s="8" t="s">
        <v>70</v>
      </c>
      <c r="I16" s="8" t="s">
        <v>48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5" t="s">
        <v>34</v>
      </c>
      <c r="E17" s="7" t="n">
        <v>0.5</v>
      </c>
      <c r="G17" s="8" t="s">
        <v>35</v>
      </c>
      <c r="H17" s="8" t="s">
        <v>73</v>
      </c>
      <c r="I17" s="5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5" t="s">
        <v>34</v>
      </c>
      <c r="E18" s="7" t="n">
        <v>0</v>
      </c>
      <c r="G18" s="8" t="s">
        <v>35</v>
      </c>
      <c r="H18" s="5" t="s">
        <v>40</v>
      </c>
      <c r="I18" s="5" t="s">
        <v>40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5" t="s">
        <v>34</v>
      </c>
      <c r="E19" s="7" t="n">
        <v>0</v>
      </c>
      <c r="G19" s="8" t="s">
        <v>35</v>
      </c>
      <c r="H19" s="5" t="s">
        <v>40</v>
      </c>
      <c r="I19" s="5" t="s">
        <v>40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45</v>
      </c>
      <c r="E20" s="7" t="n">
        <v>0</v>
      </c>
      <c r="G20" s="8" t="s">
        <v>46</v>
      </c>
      <c r="H20" s="8" t="s">
        <v>81</v>
      </c>
      <c r="I20" s="8" t="s">
        <v>48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5" t="s">
        <v>34</v>
      </c>
      <c r="E21" s="7" t="n">
        <v>0.75</v>
      </c>
      <c r="G21" s="8" t="s">
        <v>84</v>
      </c>
      <c r="H21" s="8" t="s">
        <v>85</v>
      </c>
      <c r="I21" s="5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5" t="s">
        <v>34</v>
      </c>
      <c r="E22" s="7" t="n">
        <v>1.5</v>
      </c>
      <c r="G22" s="8" t="s">
        <v>84</v>
      </c>
      <c r="H22" s="5" t="s">
        <v>40</v>
      </c>
      <c r="I22" s="5" t="s">
        <v>40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5" t="s">
        <v>34</v>
      </c>
      <c r="E23" s="7" t="n">
        <v>2</v>
      </c>
      <c r="G23" s="8" t="s">
        <v>84</v>
      </c>
      <c r="H23" s="5" t="s">
        <v>40</v>
      </c>
      <c r="I23" s="5" t="s">
        <v>40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45</v>
      </c>
      <c r="E24" s="7" t="n">
        <v>0.15</v>
      </c>
      <c r="G24" s="8" t="s">
        <v>46</v>
      </c>
      <c r="H24" s="8" t="s">
        <v>93</v>
      </c>
      <c r="I24" s="8" t="s">
        <v>48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5" t="s">
        <v>34</v>
      </c>
      <c r="E25" s="7" t="n">
        <v>3.85</v>
      </c>
      <c r="G25" s="8" t="s">
        <v>35</v>
      </c>
      <c r="H25" s="8" t="s">
        <v>96</v>
      </c>
      <c r="I25" s="5" t="s">
        <v>97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5" t="s">
        <v>34</v>
      </c>
      <c r="E26" s="7" t="n">
        <v>5.5</v>
      </c>
      <c r="G26" s="8" t="s">
        <v>35</v>
      </c>
      <c r="H26" s="5" t="s">
        <v>40</v>
      </c>
      <c r="I26" s="5" t="s">
        <v>40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5" t="s">
        <v>34</v>
      </c>
      <c r="E27" s="7" t="n">
        <v>7</v>
      </c>
      <c r="G27" s="8" t="s">
        <v>35</v>
      </c>
      <c r="H27" s="5" t="s">
        <v>40</v>
      </c>
      <c r="I27" s="5" t="s">
        <v>40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45</v>
      </c>
      <c r="E28" s="7" t="n">
        <v>0.15</v>
      </c>
      <c r="G28" s="8" t="s">
        <v>46</v>
      </c>
      <c r="H28" s="8" t="s">
        <v>104</v>
      </c>
      <c r="I28" s="8" t="s">
        <v>48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5" t="s">
        <v>34</v>
      </c>
      <c r="E29" s="7" t="n">
        <v>2</v>
      </c>
      <c r="G29" s="8" t="s">
        <v>46</v>
      </c>
      <c r="H29" s="8" t="s">
        <v>107</v>
      </c>
      <c r="I29" s="5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5" t="s">
        <v>34</v>
      </c>
      <c r="E30" s="7" t="n">
        <v>2.5</v>
      </c>
      <c r="G30" s="8" t="s">
        <v>46</v>
      </c>
      <c r="H30" s="5" t="s">
        <v>40</v>
      </c>
      <c r="I30" s="5" t="s">
        <v>40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5" t="s">
        <v>34</v>
      </c>
      <c r="E31" s="7" t="n">
        <v>3</v>
      </c>
      <c r="G31" s="8" t="s">
        <v>46</v>
      </c>
      <c r="H31" s="5" t="s">
        <v>40</v>
      </c>
      <c r="I31" s="5" t="s">
        <v>40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45</v>
      </c>
      <c r="E32" s="7" t="n">
        <v>0.15</v>
      </c>
      <c r="G32" s="8" t="s">
        <v>46</v>
      </c>
      <c r="H32" s="8" t="s">
        <v>115</v>
      </c>
      <c r="I32" s="8" t="s">
        <v>48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5" t="s">
        <v>34</v>
      </c>
      <c r="E33" s="7" t="n">
        <v>1</v>
      </c>
      <c r="G33" s="8" t="s">
        <v>118</v>
      </c>
      <c r="H33" s="8" t="s">
        <v>119</v>
      </c>
      <c r="I33" s="5" t="s">
        <v>120</v>
      </c>
    </row>
    <row r="34" customFormat="false" ht="17.15" hidden="false" customHeight="false" outlineLevel="0" collapsed="false">
      <c r="A34" s="0" t="s">
        <v>121</v>
      </c>
      <c r="B34" s="5" t="s">
        <v>122</v>
      </c>
      <c r="C34" s="5" t="s">
        <v>34</v>
      </c>
      <c r="E34" s="7" t="n">
        <v>4.5</v>
      </c>
      <c r="G34" s="8" t="s">
        <v>118</v>
      </c>
      <c r="H34" s="5" t="s">
        <v>40</v>
      </c>
      <c r="I34" s="5" t="s">
        <v>40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5" t="s">
        <v>34</v>
      </c>
      <c r="E35" s="7" t="n">
        <v>5</v>
      </c>
      <c r="G35" s="8" t="s">
        <v>118</v>
      </c>
      <c r="H35" s="5" t="s">
        <v>40</v>
      </c>
      <c r="I35" s="5" t="s">
        <v>40</v>
      </c>
    </row>
    <row r="36" customFormat="false" ht="17.15" hidden="false" customHeight="false" outlineLevel="0" collapsed="false">
      <c r="A36" s="0" t="s">
        <v>125</v>
      </c>
      <c r="B36" s="5" t="s">
        <v>126</v>
      </c>
      <c r="C36" s="0" t="s">
        <v>45</v>
      </c>
      <c r="E36" s="7" t="n">
        <v>0.15</v>
      </c>
      <c r="G36" s="8" t="s">
        <v>46</v>
      </c>
      <c r="H36" s="8" t="s">
        <v>127</v>
      </c>
      <c r="I36" s="8" t="s">
        <v>48</v>
      </c>
    </row>
    <row r="37" customFormat="false" ht="17.15" hidden="false" customHeight="false" outlineLevel="0" collapsed="false">
      <c r="A37" s="0" t="s">
        <v>128</v>
      </c>
      <c r="B37" s="5" t="s">
        <v>129</v>
      </c>
      <c r="C37" s="0" t="s">
        <v>130</v>
      </c>
      <c r="E37" s="7" t="n">
        <v>1</v>
      </c>
      <c r="G37" s="8" t="s">
        <v>46</v>
      </c>
      <c r="H37" s="8" t="s">
        <v>131</v>
      </c>
      <c r="I37" s="8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0" t="s">
        <v>130</v>
      </c>
      <c r="E38" s="7" t="n">
        <v>1</v>
      </c>
      <c r="G38" s="8" t="s">
        <v>46</v>
      </c>
      <c r="H38" s="8" t="s">
        <v>135</v>
      </c>
      <c r="I38" s="5" t="s">
        <v>40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0" t="s">
        <v>130</v>
      </c>
      <c r="E39" s="7" t="n">
        <v>0.8</v>
      </c>
      <c r="G39" s="8" t="s">
        <v>46</v>
      </c>
      <c r="H39" s="8" t="s">
        <v>138</v>
      </c>
      <c r="I39" s="8" t="s">
        <v>132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130</v>
      </c>
      <c r="E40" s="7" t="n">
        <v>0.85</v>
      </c>
      <c r="G40" s="8" t="s">
        <v>46</v>
      </c>
      <c r="H40" s="8" t="s">
        <v>141</v>
      </c>
      <c r="I40" s="5" t="s">
        <v>40</v>
      </c>
    </row>
    <row r="41" customFormat="false" ht="17.15" hidden="false" customHeight="false" outlineLevel="0" collapsed="false">
      <c r="A41" s="0" t="s">
        <v>142</v>
      </c>
      <c r="B41" s="5" t="s">
        <v>143</v>
      </c>
      <c r="C41" s="0" t="s">
        <v>130</v>
      </c>
      <c r="E41" s="7" t="n">
        <v>0.6</v>
      </c>
      <c r="G41" s="8" t="s">
        <v>46</v>
      </c>
      <c r="H41" s="8" t="s">
        <v>144</v>
      </c>
      <c r="I41" s="8" t="s">
        <v>132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130</v>
      </c>
      <c r="E42" s="7" t="n">
        <v>0.6</v>
      </c>
      <c r="G42" s="8" t="s">
        <v>46</v>
      </c>
      <c r="H42" s="8" t="s">
        <v>147</v>
      </c>
      <c r="I42" s="5" t="s">
        <v>40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45</v>
      </c>
      <c r="D43" s="7" t="n">
        <v>-0.1</v>
      </c>
      <c r="E43" s="7" t="n">
        <v>0</v>
      </c>
      <c r="F43" s="7" t="n">
        <v>0.1</v>
      </c>
      <c r="G43" s="8" t="s">
        <v>46</v>
      </c>
      <c r="H43" s="5" t="s">
        <v>150</v>
      </c>
      <c r="I43" s="8" t="s">
        <v>151</v>
      </c>
    </row>
    <row r="44" customFormat="false" ht="17.15" hidden="false" customHeight="false" outlineLevel="0" collapsed="false">
      <c r="A44" s="1" t="s">
        <v>152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155</v>
      </c>
      <c r="E45" s="7" t="n">
        <v>6.9</v>
      </c>
      <c r="G45" s="8" t="s">
        <v>35</v>
      </c>
      <c r="H45" s="8" t="s">
        <v>156</v>
      </c>
      <c r="I45" s="5" t="s">
        <v>157</v>
      </c>
    </row>
    <row r="46" customFormat="false" ht="17.15" hidden="false" customHeight="false" outlineLevel="0" collapsed="false">
      <c r="A46" s="0" t="s">
        <v>158</v>
      </c>
      <c r="B46" s="5" t="s">
        <v>159</v>
      </c>
      <c r="C46" s="0" t="s">
        <v>155</v>
      </c>
      <c r="E46" s="7" t="n">
        <v>2.1</v>
      </c>
      <c r="G46" s="8" t="s">
        <v>35</v>
      </c>
      <c r="H46" s="5" t="s">
        <v>160</v>
      </c>
      <c r="I46" s="5" t="s">
        <v>157</v>
      </c>
    </row>
    <row r="47" customFormat="false" ht="17.15" hidden="false" customHeight="false" outlineLevel="0" collapsed="false">
      <c r="A47" s="0" t="s">
        <v>161</v>
      </c>
      <c r="B47" s="0" t="s">
        <v>162</v>
      </c>
      <c r="C47" s="0" t="s">
        <v>155</v>
      </c>
      <c r="D47" s="7" t="n">
        <v>10.5</v>
      </c>
      <c r="E47" s="7" t="n">
        <v>11</v>
      </c>
      <c r="F47" s="7" t="n">
        <v>11.5</v>
      </c>
      <c r="G47" s="8" t="s">
        <v>35</v>
      </c>
      <c r="H47" s="8" t="s">
        <v>163</v>
      </c>
      <c r="I47" s="5" t="s">
        <v>164</v>
      </c>
    </row>
    <row r="48" customFormat="false" ht="17.15" hidden="false" customHeight="false" outlineLevel="0" collapsed="false">
      <c r="A48" s="0" t="s">
        <v>165</v>
      </c>
      <c r="B48" s="5" t="s">
        <v>166</v>
      </c>
      <c r="C48" s="0" t="s">
        <v>155</v>
      </c>
      <c r="D48" s="7" t="n">
        <v>2.5</v>
      </c>
      <c r="E48" s="7" t="n">
        <v>2.75</v>
      </c>
      <c r="F48" s="7" t="n">
        <v>3</v>
      </c>
      <c r="G48" s="8" t="s">
        <v>35</v>
      </c>
      <c r="H48" s="5" t="s">
        <v>167</v>
      </c>
      <c r="I48" s="5" t="s">
        <v>168</v>
      </c>
    </row>
    <row r="49" customFormat="false" ht="17.15" hidden="false" customHeight="false" outlineLevel="0" collapsed="false">
      <c r="A49" s="0" t="s">
        <v>169</v>
      </c>
      <c r="B49" s="5" t="s">
        <v>170</v>
      </c>
      <c r="C49" s="0" t="s">
        <v>155</v>
      </c>
      <c r="D49" s="7" t="n">
        <v>3.7</v>
      </c>
      <c r="E49" s="7" t="n">
        <v>4.3</v>
      </c>
      <c r="F49" s="7" t="n">
        <v>4.9</v>
      </c>
      <c r="G49" s="8" t="s">
        <v>171</v>
      </c>
      <c r="H49" s="8" t="s">
        <v>172</v>
      </c>
      <c r="I49" s="5" t="s">
        <v>173</v>
      </c>
    </row>
    <row r="50" customFormat="false" ht="17.15" hidden="false" customHeight="false" outlineLevel="0" collapsed="false">
      <c r="A50" s="0" t="s">
        <v>174</v>
      </c>
      <c r="B50" s="5" t="s">
        <v>175</v>
      </c>
      <c r="C50" s="0" t="s">
        <v>45</v>
      </c>
      <c r="D50" s="7" t="n">
        <v>0</v>
      </c>
      <c r="E50" s="7" t="n">
        <v>0.04</v>
      </c>
      <c r="F50" s="7" t="n">
        <v>0.08</v>
      </c>
      <c r="G50" s="8" t="s">
        <v>46</v>
      </c>
      <c r="H50" s="5" t="s">
        <v>176</v>
      </c>
      <c r="I50" s="8" t="s">
        <v>177</v>
      </c>
    </row>
    <row r="51" customFormat="false" ht="17.15" hidden="false" customHeight="false" outlineLevel="0" collapsed="false">
      <c r="A51" s="0" t="s">
        <v>178</v>
      </c>
      <c r="B51" s="5" t="s">
        <v>179</v>
      </c>
      <c r="C51" s="0" t="s">
        <v>180</v>
      </c>
      <c r="D51" s="7" t="n">
        <v>0.05</v>
      </c>
      <c r="E51" s="7" t="n">
        <v>0</v>
      </c>
      <c r="F51" s="7" t="n">
        <v>0.1</v>
      </c>
      <c r="G51" s="8" t="s">
        <v>46</v>
      </c>
      <c r="H51" s="5" t="s">
        <v>181</v>
      </c>
      <c r="I51" s="5" t="s">
        <v>182</v>
      </c>
    </row>
    <row r="52" customFormat="false" ht="17.15" hidden="false" customHeight="false" outlineLevel="0" collapsed="false">
      <c r="A52" s="0" t="s">
        <v>183</v>
      </c>
      <c r="B52" s="5" t="s">
        <v>184</v>
      </c>
      <c r="C52" s="0" t="s">
        <v>185</v>
      </c>
      <c r="D52" s="7" t="n">
        <v>1</v>
      </c>
      <c r="E52" s="7" t="n">
        <v>1.5</v>
      </c>
      <c r="F52" s="7" t="n">
        <v>2.5</v>
      </c>
      <c r="G52" s="8" t="s">
        <v>46</v>
      </c>
      <c r="H52" s="5" t="s">
        <v>186</v>
      </c>
      <c r="I52" s="5" t="s">
        <v>187</v>
      </c>
    </row>
    <row r="53" customFormat="false" ht="17.15" hidden="false" customHeight="false" outlineLevel="0" collapsed="false">
      <c r="A53" s="0" t="s">
        <v>188</v>
      </c>
      <c r="B53" s="5" t="s">
        <v>189</v>
      </c>
      <c r="C53" s="0" t="s">
        <v>130</v>
      </c>
      <c r="D53" s="7" t="n">
        <v>0.9</v>
      </c>
      <c r="E53" s="7" t="n">
        <v>1</v>
      </c>
      <c r="F53" s="7" t="n">
        <v>1.1</v>
      </c>
      <c r="G53" s="8" t="s">
        <v>46</v>
      </c>
      <c r="H53" s="5" t="s">
        <v>190</v>
      </c>
      <c r="I53" s="5" t="s">
        <v>191</v>
      </c>
    </row>
    <row r="54" customFormat="false" ht="17.15" hidden="false" customHeight="false" outlineLevel="0" collapsed="false">
      <c r="A54" s="0" t="s">
        <v>192</v>
      </c>
      <c r="B54" s="5" t="s">
        <v>193</v>
      </c>
      <c r="C54" s="0" t="s">
        <v>130</v>
      </c>
      <c r="D54" s="7" t="n">
        <v>1.1</v>
      </c>
      <c r="E54" s="7" t="n">
        <v>1.3</v>
      </c>
      <c r="F54" s="7" t="n">
        <v>1.6</v>
      </c>
      <c r="G54" s="8" t="s">
        <v>46</v>
      </c>
      <c r="H54" s="5" t="s">
        <v>194</v>
      </c>
      <c r="I54" s="5" t="s">
        <v>191</v>
      </c>
    </row>
    <row r="55" customFormat="false" ht="17.15" hidden="false" customHeight="false" outlineLevel="0" collapsed="false">
      <c r="A55" s="0" t="s">
        <v>195</v>
      </c>
      <c r="B55" s="5" t="s">
        <v>196</v>
      </c>
      <c r="C55" s="0" t="s">
        <v>130</v>
      </c>
      <c r="D55" s="7" t="n">
        <v>1.3</v>
      </c>
      <c r="E55" s="7" t="n">
        <v>1.7</v>
      </c>
      <c r="F55" s="7" t="n">
        <v>2.2</v>
      </c>
      <c r="G55" s="8" t="s">
        <v>46</v>
      </c>
      <c r="H55" s="5" t="s">
        <v>197</v>
      </c>
      <c r="I55" s="5" t="s">
        <v>191</v>
      </c>
    </row>
    <row r="56" customFormat="false" ht="17.15" hidden="false" customHeight="false" outlineLevel="0" collapsed="false">
      <c r="A56" s="0" t="s">
        <v>198</v>
      </c>
      <c r="B56" s="5" t="s">
        <v>199</v>
      </c>
      <c r="C56" s="0" t="s">
        <v>130</v>
      </c>
      <c r="D56" s="7" t="n">
        <v>0.5</v>
      </c>
      <c r="E56" s="7" t="n">
        <v>0.6</v>
      </c>
      <c r="F56" s="7" t="n">
        <v>0.8</v>
      </c>
      <c r="G56" s="8" t="s">
        <v>46</v>
      </c>
      <c r="H56" s="5" t="s">
        <v>200</v>
      </c>
      <c r="I56" s="5" t="s">
        <v>191</v>
      </c>
    </row>
    <row r="57" customFormat="false" ht="17.15" hidden="false" customHeight="false" outlineLevel="0" collapsed="false">
      <c r="A57" s="0" t="s">
        <v>201</v>
      </c>
      <c r="B57" s="5" t="s">
        <v>202</v>
      </c>
      <c r="C57" s="0" t="s">
        <v>130</v>
      </c>
      <c r="D57" s="7" t="n">
        <v>0.9</v>
      </c>
      <c r="E57" s="7" t="n">
        <v>1.1</v>
      </c>
      <c r="F57" s="7" t="n">
        <v>1.4</v>
      </c>
      <c r="G57" s="8" t="s">
        <v>46</v>
      </c>
      <c r="H57" s="5" t="s">
        <v>203</v>
      </c>
      <c r="I57" s="5" t="s">
        <v>191</v>
      </c>
    </row>
    <row r="58" customFormat="false" ht="17.15" hidden="false" customHeight="false" outlineLevel="0" collapsed="false">
      <c r="A58" s="0" t="s">
        <v>204</v>
      </c>
      <c r="B58" s="5" t="s">
        <v>205</v>
      </c>
      <c r="C58" s="0" t="s">
        <v>130</v>
      </c>
      <c r="D58" s="7" t="n">
        <v>0.8</v>
      </c>
      <c r="E58" s="7" t="n">
        <v>1</v>
      </c>
      <c r="F58" s="7" t="n">
        <v>1.3</v>
      </c>
      <c r="G58" s="8" t="s">
        <v>46</v>
      </c>
      <c r="H58" s="5" t="s">
        <v>206</v>
      </c>
      <c r="I58" s="5" t="s">
        <v>191</v>
      </c>
    </row>
    <row r="59" customFormat="false" ht="17.15" hidden="false" customHeight="false" outlineLevel="0" collapsed="false">
      <c r="A59" s="0" t="s">
        <v>207</v>
      </c>
      <c r="B59" s="5" t="s">
        <v>208</v>
      </c>
      <c r="C59" s="0" t="s">
        <v>130</v>
      </c>
      <c r="D59" s="7" t="n">
        <v>0.6</v>
      </c>
      <c r="E59" s="7" t="n">
        <v>0.8</v>
      </c>
      <c r="F59" s="7" t="n">
        <v>1.1</v>
      </c>
      <c r="G59" s="8" t="s">
        <v>46</v>
      </c>
      <c r="H59" s="5" t="s">
        <v>209</v>
      </c>
      <c r="I59" s="5" t="s">
        <v>191</v>
      </c>
    </row>
    <row r="60" customFormat="false" ht="17.15" hidden="false" customHeight="false" outlineLevel="0" collapsed="false">
      <c r="A60" s="0" t="s">
        <v>210</v>
      </c>
      <c r="B60" s="5" t="s">
        <v>211</v>
      </c>
      <c r="C60" s="0" t="s">
        <v>130</v>
      </c>
      <c r="D60" s="7" t="n">
        <v>0.5</v>
      </c>
      <c r="E60" s="7" t="n">
        <v>0.7</v>
      </c>
      <c r="F60" s="7" t="n">
        <v>1</v>
      </c>
      <c r="G60" s="8" t="s">
        <v>46</v>
      </c>
      <c r="H60" s="5" t="s">
        <v>212</v>
      </c>
      <c r="I60" s="5" t="s">
        <v>191</v>
      </c>
    </row>
    <row r="61" customFormat="false" ht="17.15" hidden="false" customHeight="false" outlineLevel="0" collapsed="false">
      <c r="A61" s="1" t="s">
        <v>213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45</v>
      </c>
      <c r="D62" s="7" t="n">
        <v>0.61</v>
      </c>
      <c r="E62" s="7" t="n">
        <v>0.66</v>
      </c>
      <c r="F62" s="7" t="n">
        <v>0.71</v>
      </c>
      <c r="G62" s="8" t="s">
        <v>35</v>
      </c>
      <c r="H62" s="8" t="s">
        <v>216</v>
      </c>
      <c r="I62" s="5" t="s">
        <v>217</v>
      </c>
    </row>
    <row r="63" customFormat="false" ht="17.15" hidden="false" customHeight="false" outlineLevel="0" collapsed="false">
      <c r="A63" s="0" t="s">
        <v>218</v>
      </c>
      <c r="B63" s="5" t="s">
        <v>219</v>
      </c>
      <c r="C63" s="0" t="s">
        <v>45</v>
      </c>
      <c r="D63" s="7" t="n">
        <v>0.56</v>
      </c>
      <c r="E63" s="7" t="n">
        <v>0.61</v>
      </c>
      <c r="F63" s="7" t="n">
        <v>0.66</v>
      </c>
      <c r="G63" s="8" t="s">
        <v>46</v>
      </c>
      <c r="H63" s="5" t="s">
        <v>220</v>
      </c>
      <c r="I63" s="8" t="s">
        <v>221</v>
      </c>
    </row>
    <row r="64" customFormat="false" ht="17.15" hidden="false" customHeight="false" outlineLevel="0" collapsed="false">
      <c r="A64" s="0" t="s">
        <v>222</v>
      </c>
      <c r="B64" s="5" t="s">
        <v>223</v>
      </c>
      <c r="C64" s="0" t="s">
        <v>45</v>
      </c>
      <c r="D64" s="7" t="n">
        <v>0.51</v>
      </c>
      <c r="E64" s="7" t="n">
        <v>0.56</v>
      </c>
      <c r="F64" s="7" t="n">
        <v>0.61</v>
      </c>
      <c r="G64" s="8" t="s">
        <v>171</v>
      </c>
      <c r="H64" s="8" t="s">
        <v>224</v>
      </c>
      <c r="I64" s="5" t="s">
        <v>225</v>
      </c>
    </row>
    <row r="65" customFormat="false" ht="17.15" hidden="false" customHeight="false" outlineLevel="0" collapsed="false">
      <c r="A65" s="0" t="s">
        <v>226</v>
      </c>
      <c r="B65" s="0" t="s">
        <v>227</v>
      </c>
      <c r="C65" s="0" t="s">
        <v>45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228</v>
      </c>
      <c r="H65" s="0" t="s">
        <v>229</v>
      </c>
      <c r="I65" s="5" t="s">
        <v>230</v>
      </c>
    </row>
    <row r="66" customFormat="false" ht="17.15" hidden="false" customHeight="false" outlineLevel="0" collapsed="false">
      <c r="A66" s="0" t="s">
        <v>231</v>
      </c>
      <c r="B66" s="5" t="s">
        <v>232</v>
      </c>
      <c r="C66" s="0" t="s">
        <v>45</v>
      </c>
      <c r="D66" s="7" t="n">
        <v>0.3</v>
      </c>
      <c r="E66" s="7" t="n">
        <v>0.5</v>
      </c>
      <c r="F66" s="7" t="n">
        <v>0.7</v>
      </c>
      <c r="G66" s="8" t="s">
        <v>46</v>
      </c>
      <c r="H66" s="5" t="s">
        <v>233</v>
      </c>
      <c r="I66" s="5" t="s">
        <v>157</v>
      </c>
    </row>
    <row r="67" customFormat="false" ht="17.15" hidden="false" customHeight="false" outlineLevel="0" collapsed="false">
      <c r="A67" s="1" t="s">
        <v>234</v>
      </c>
    </row>
    <row r="68" customFormat="false" ht="17.15" hidden="false" customHeight="false" outlineLevel="0" collapsed="false">
      <c r="A68" s="0" t="s">
        <v>235</v>
      </c>
      <c r="B68" s="0" t="s">
        <v>236</v>
      </c>
      <c r="C68" s="0" t="s">
        <v>237</v>
      </c>
      <c r="E68" s="7" t="n">
        <v>2.22511470588235</v>
      </c>
      <c r="G68" s="8" t="s">
        <v>228</v>
      </c>
      <c r="H68" s="8" t="s">
        <v>238</v>
      </c>
      <c r="I68" s="8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237</v>
      </c>
      <c r="E69" s="7" t="n">
        <v>3.782695</v>
      </c>
      <c r="G69" s="8" t="s">
        <v>228</v>
      </c>
      <c r="H69" s="8" t="s">
        <v>238</v>
      </c>
      <c r="I69" s="8" t="s">
        <v>239</v>
      </c>
    </row>
    <row r="70" customFormat="false" ht="17.15" hidden="false" customHeight="false" outlineLevel="0" collapsed="false">
      <c r="A70" s="0" t="s">
        <v>242</v>
      </c>
      <c r="B70" s="0" t="s">
        <v>243</v>
      </c>
      <c r="C70" s="0" t="s">
        <v>237</v>
      </c>
      <c r="E70" s="7" t="n">
        <v>5.86317725</v>
      </c>
      <c r="G70" s="8" t="s">
        <v>228</v>
      </c>
      <c r="H70" s="8" t="s">
        <v>238</v>
      </c>
      <c r="I70" s="8" t="s">
        <v>239</v>
      </c>
    </row>
    <row r="71" customFormat="false" ht="17.15" hidden="false" customHeight="false" outlineLevel="0" collapsed="false">
      <c r="A71" s="0" t="s">
        <v>244</v>
      </c>
      <c r="B71" s="0" t="s">
        <v>245</v>
      </c>
      <c r="C71" s="0" t="s">
        <v>237</v>
      </c>
      <c r="E71" s="7" t="n">
        <v>8.5016070125</v>
      </c>
      <c r="G71" s="8" t="s">
        <v>228</v>
      </c>
      <c r="H71" s="8" t="s">
        <v>238</v>
      </c>
      <c r="I71" s="8" t="s">
        <v>239</v>
      </c>
    </row>
    <row r="72" customFormat="false" ht="17.15" hidden="false" customHeight="false" outlineLevel="0" collapsed="false">
      <c r="A72" s="0" t="s">
        <v>246</v>
      </c>
      <c r="B72" s="0" t="s">
        <v>247</v>
      </c>
      <c r="C72" s="0" t="s">
        <v>237</v>
      </c>
      <c r="E72" s="7" t="n">
        <v>11.477169466875</v>
      </c>
      <c r="G72" s="8" t="s">
        <v>228</v>
      </c>
      <c r="H72" s="8" t="s">
        <v>238</v>
      </c>
      <c r="I72" s="8" t="s">
        <v>239</v>
      </c>
    </row>
    <row r="73" customFormat="false" ht="17.15" hidden="false" customHeight="false" outlineLevel="0" collapsed="false">
      <c r="A73" s="0" t="s">
        <v>248</v>
      </c>
      <c r="B73" s="0" t="s">
        <v>249</v>
      </c>
      <c r="C73" s="0" t="s">
        <v>237</v>
      </c>
      <c r="E73" s="7" t="n">
        <v>2.22511470588235</v>
      </c>
      <c r="G73" s="8" t="s">
        <v>228</v>
      </c>
      <c r="H73" s="8" t="s">
        <v>250</v>
      </c>
      <c r="I73" s="8" t="s">
        <v>239</v>
      </c>
    </row>
    <row r="74" customFormat="false" ht="17.15" hidden="false" customHeight="false" outlineLevel="0" collapsed="false">
      <c r="A74" s="0" t="s">
        <v>251</v>
      </c>
      <c r="B74" s="0" t="s">
        <v>252</v>
      </c>
      <c r="C74" s="0" t="s">
        <v>237</v>
      </c>
      <c r="E74" s="7" t="n">
        <v>3.782695</v>
      </c>
      <c r="G74" s="8" t="s">
        <v>228</v>
      </c>
      <c r="H74" s="8" t="s">
        <v>250</v>
      </c>
      <c r="I74" s="8" t="s">
        <v>239</v>
      </c>
    </row>
    <row r="75" customFormat="false" ht="17.15" hidden="false" customHeight="false" outlineLevel="0" collapsed="false">
      <c r="A75" s="0" t="s">
        <v>253</v>
      </c>
      <c r="B75" s="0" t="s">
        <v>254</v>
      </c>
      <c r="C75" s="0" t="s">
        <v>237</v>
      </c>
      <c r="E75" s="7" t="n">
        <v>5.86317725</v>
      </c>
      <c r="G75" s="8" t="s">
        <v>228</v>
      </c>
      <c r="H75" s="8" t="s">
        <v>250</v>
      </c>
      <c r="I75" s="8" t="s">
        <v>239</v>
      </c>
    </row>
    <row r="76" customFormat="false" ht="17.15" hidden="false" customHeight="false" outlineLevel="0" collapsed="false">
      <c r="A76" s="0" t="s">
        <v>255</v>
      </c>
      <c r="B76" s="0" t="s">
        <v>256</v>
      </c>
      <c r="C76" s="0" t="s">
        <v>237</v>
      </c>
      <c r="E76" s="7" t="n">
        <v>8.22296</v>
      </c>
      <c r="G76" s="8" t="s">
        <v>228</v>
      </c>
      <c r="H76" s="8" t="s">
        <v>250</v>
      </c>
      <c r="I76" s="8" t="s">
        <v>239</v>
      </c>
    </row>
    <row r="77" customFormat="false" ht="17.15" hidden="false" customHeight="false" outlineLevel="0" collapsed="false">
      <c r="A77" s="0" t="s">
        <v>257</v>
      </c>
      <c r="B77" s="0" t="s">
        <v>258</v>
      </c>
      <c r="C77" s="0" t="s">
        <v>237</v>
      </c>
      <c r="E77" s="7" t="n">
        <v>11.3579635</v>
      </c>
      <c r="G77" s="8" t="s">
        <v>228</v>
      </c>
      <c r="H77" s="8" t="s">
        <v>250</v>
      </c>
      <c r="I77" s="8" t="s">
        <v>239</v>
      </c>
    </row>
    <row r="78" customFormat="false" ht="17.15" hidden="false" customHeight="false" outlineLevel="0" collapsed="false">
      <c r="A78" s="0" t="s">
        <v>259</v>
      </c>
      <c r="B78" s="0" t="s">
        <v>260</v>
      </c>
      <c r="C78" s="0" t="s">
        <v>237</v>
      </c>
      <c r="E78" s="7" t="n">
        <v>2.22511470588235</v>
      </c>
      <c r="G78" s="8" t="s">
        <v>228</v>
      </c>
      <c r="H78" s="8" t="s">
        <v>261</v>
      </c>
      <c r="I78" s="8" t="s">
        <v>239</v>
      </c>
    </row>
    <row r="79" customFormat="false" ht="17.15" hidden="false" customHeight="false" outlineLevel="0" collapsed="false">
      <c r="A79" s="0" t="s">
        <v>262</v>
      </c>
      <c r="B79" s="0" t="s">
        <v>263</v>
      </c>
      <c r="C79" s="0" t="s">
        <v>237</v>
      </c>
      <c r="E79" s="7" t="n">
        <v>3.782695</v>
      </c>
      <c r="G79" s="8" t="s">
        <v>228</v>
      </c>
      <c r="H79" s="8" t="s">
        <v>261</v>
      </c>
      <c r="I79" s="8" t="s">
        <v>239</v>
      </c>
    </row>
    <row r="80" customFormat="false" ht="17.15" hidden="false" customHeight="false" outlineLevel="0" collapsed="false">
      <c r="A80" s="0" t="s">
        <v>264</v>
      </c>
      <c r="B80" s="0" t="s">
        <v>265</v>
      </c>
      <c r="C80" s="0" t="s">
        <v>237</v>
      </c>
      <c r="E80" s="7" t="n">
        <v>5.86317725</v>
      </c>
      <c r="G80" s="8" t="s">
        <v>228</v>
      </c>
      <c r="H80" s="8" t="s">
        <v>261</v>
      </c>
      <c r="I80" s="8" t="s">
        <v>239</v>
      </c>
    </row>
    <row r="81" customFormat="false" ht="17.15" hidden="false" customHeight="false" outlineLevel="0" collapsed="false">
      <c r="A81" s="0" t="s">
        <v>266</v>
      </c>
      <c r="B81" s="0" t="s">
        <v>267</v>
      </c>
      <c r="C81" s="0" t="s">
        <v>237</v>
      </c>
      <c r="E81" s="7" t="n">
        <v>6.16722</v>
      </c>
      <c r="G81" s="8" t="s">
        <v>228</v>
      </c>
      <c r="H81" s="8" t="s">
        <v>261</v>
      </c>
      <c r="I81" s="8" t="s">
        <v>239</v>
      </c>
    </row>
    <row r="82" customFormat="false" ht="17.15" hidden="false" customHeight="false" outlineLevel="0" collapsed="false">
      <c r="A82" s="0" t="s">
        <v>268</v>
      </c>
      <c r="B82" s="0" t="s">
        <v>269</v>
      </c>
      <c r="C82" s="0" t="s">
        <v>237</v>
      </c>
      <c r="E82" s="7" t="n">
        <v>8.017386</v>
      </c>
      <c r="G82" s="8" t="s">
        <v>228</v>
      </c>
      <c r="H82" s="8" t="s">
        <v>261</v>
      </c>
      <c r="I82" s="8" t="s">
        <v>239</v>
      </c>
    </row>
    <row r="83" customFormat="false" ht="17.15" hidden="false" customHeight="false" outlineLevel="0" collapsed="false">
      <c r="A83" s="0" t="s">
        <v>270</v>
      </c>
      <c r="B83" s="0" t="s">
        <v>271</v>
      </c>
      <c r="C83" s="0" t="s">
        <v>155</v>
      </c>
      <c r="E83" s="7" t="n">
        <v>26.3761091658243</v>
      </c>
      <c r="G83" s="8" t="s">
        <v>228</v>
      </c>
      <c r="H83" s="8" t="s">
        <v>272</v>
      </c>
      <c r="I83" s="8" t="s">
        <v>273</v>
      </c>
    </row>
    <row r="84" customFormat="false" ht="17.15" hidden="false" customHeight="false" outlineLevel="0" collapsed="false">
      <c r="A84" s="0" t="s">
        <v>274</v>
      </c>
      <c r="B84" s="0" t="s">
        <v>275</v>
      </c>
      <c r="C84" s="0" t="s">
        <v>155</v>
      </c>
      <c r="E84" s="7" t="n">
        <v>41.8742847275048</v>
      </c>
      <c r="G84" s="8" t="s">
        <v>228</v>
      </c>
      <c r="H84" s="8" t="s">
        <v>272</v>
      </c>
      <c r="I84" s="8" t="s">
        <v>273</v>
      </c>
    </row>
    <row r="85" customFormat="false" ht="17.15" hidden="false" customHeight="false" outlineLevel="0" collapsed="false">
      <c r="A85" s="0" t="s">
        <v>276</v>
      </c>
      <c r="B85" s="0" t="s">
        <v>277</v>
      </c>
      <c r="C85" s="0" t="s">
        <v>155</v>
      </c>
      <c r="E85" s="7" t="n">
        <v>53.2587328153375</v>
      </c>
      <c r="G85" s="8" t="s">
        <v>228</v>
      </c>
      <c r="H85" s="8" t="s">
        <v>272</v>
      </c>
      <c r="I85" s="8" t="s">
        <v>273</v>
      </c>
    </row>
    <row r="86" customFormat="false" ht="17.15" hidden="false" customHeight="false" outlineLevel="0" collapsed="false">
      <c r="A86" s="0" t="s">
        <v>278</v>
      </c>
      <c r="B86" s="0" t="s">
        <v>279</v>
      </c>
      <c r="C86" s="0" t="s">
        <v>155</v>
      </c>
      <c r="E86" s="7" t="n">
        <v>59.5608998372386</v>
      </c>
      <c r="G86" s="8" t="s">
        <v>228</v>
      </c>
      <c r="H86" s="8" t="s">
        <v>272</v>
      </c>
      <c r="I86" s="8" t="s">
        <v>273</v>
      </c>
    </row>
    <row r="87" customFormat="false" ht="17.15" hidden="false" customHeight="false" outlineLevel="0" collapsed="false">
      <c r="A87" s="0" t="s">
        <v>280</v>
      </c>
      <c r="B87" s="0" t="s">
        <v>281</v>
      </c>
      <c r="C87" s="0" t="s">
        <v>155</v>
      </c>
      <c r="E87" s="7" t="n">
        <v>61.8312930912183</v>
      </c>
      <c r="G87" s="8" t="s">
        <v>228</v>
      </c>
      <c r="H87" s="8" t="s">
        <v>272</v>
      </c>
      <c r="I87" s="8" t="s">
        <v>273</v>
      </c>
    </row>
    <row r="88" customFormat="false" ht="17.15" hidden="false" customHeight="false" outlineLevel="0" collapsed="false">
      <c r="A88" s="0" t="s">
        <v>282</v>
      </c>
      <c r="B88" s="0" t="s">
        <v>283</v>
      </c>
      <c r="C88" s="0" t="s">
        <v>155</v>
      </c>
      <c r="E88" s="7" t="n">
        <v>26.3761091658243</v>
      </c>
      <c r="G88" s="8" t="s">
        <v>228</v>
      </c>
      <c r="H88" s="8" t="s">
        <v>284</v>
      </c>
      <c r="I88" s="8" t="s">
        <v>273</v>
      </c>
    </row>
    <row r="89" customFormat="false" ht="17.15" hidden="false" customHeight="false" outlineLevel="0" collapsed="false">
      <c r="A89" s="0" t="s">
        <v>285</v>
      </c>
      <c r="B89" s="0" t="s">
        <v>286</v>
      </c>
      <c r="C89" s="0" t="s">
        <v>155</v>
      </c>
      <c r="E89" s="7" t="n">
        <v>41.8742847275048</v>
      </c>
      <c r="G89" s="8" t="s">
        <v>228</v>
      </c>
      <c r="H89" s="8" t="s">
        <v>284</v>
      </c>
      <c r="I89" s="8" t="s">
        <v>273</v>
      </c>
    </row>
    <row r="90" customFormat="false" ht="17.15" hidden="false" customHeight="false" outlineLevel="0" collapsed="false">
      <c r="A90" s="0" t="s">
        <v>287</v>
      </c>
      <c r="B90" s="0" t="s">
        <v>288</v>
      </c>
      <c r="C90" s="0" t="s">
        <v>155</v>
      </c>
      <c r="E90" s="7" t="n">
        <v>53.2587328153375</v>
      </c>
      <c r="G90" s="8" t="s">
        <v>228</v>
      </c>
      <c r="H90" s="8" t="s">
        <v>284</v>
      </c>
      <c r="I90" s="8" t="s">
        <v>273</v>
      </c>
    </row>
    <row r="91" customFormat="false" ht="17.15" hidden="false" customHeight="false" outlineLevel="0" collapsed="false">
      <c r="A91" s="0" t="s">
        <v>289</v>
      </c>
      <c r="B91" s="0" t="s">
        <v>290</v>
      </c>
      <c r="C91" s="0" t="s">
        <v>155</v>
      </c>
      <c r="E91" s="7" t="n">
        <v>53.2587328153375</v>
      </c>
      <c r="G91" s="8" t="s">
        <v>228</v>
      </c>
      <c r="H91" s="8" t="s">
        <v>284</v>
      </c>
      <c r="I91" s="8" t="s">
        <v>273</v>
      </c>
    </row>
    <row r="92" customFormat="false" ht="17.15" hidden="false" customHeight="false" outlineLevel="0" collapsed="false">
      <c r="A92" s="0" t="s">
        <v>291</v>
      </c>
      <c r="B92" s="0" t="s">
        <v>292</v>
      </c>
      <c r="C92" s="0" t="s">
        <v>155</v>
      </c>
      <c r="E92" s="7" t="n">
        <v>50.5957961745707</v>
      </c>
      <c r="G92" s="8" t="s">
        <v>228</v>
      </c>
      <c r="H92" s="8" t="s">
        <v>284</v>
      </c>
      <c r="I92" s="8" t="s">
        <v>273</v>
      </c>
    </row>
    <row r="93" customFormat="false" ht="17.15" hidden="false" customHeight="false" outlineLevel="0" collapsed="false">
      <c r="A93" s="0" t="s">
        <v>293</v>
      </c>
      <c r="B93" s="0" t="s">
        <v>294</v>
      </c>
      <c r="C93" s="0" t="s">
        <v>155</v>
      </c>
      <c r="E93" s="7" t="n">
        <v>26.3761091658243</v>
      </c>
      <c r="G93" s="8" t="s">
        <v>228</v>
      </c>
      <c r="H93" s="8" t="s">
        <v>295</v>
      </c>
      <c r="I93" s="8" t="s">
        <v>273</v>
      </c>
    </row>
    <row r="94" customFormat="false" ht="17.15" hidden="false" customHeight="false" outlineLevel="0" collapsed="false">
      <c r="A94" s="0" t="s">
        <v>296</v>
      </c>
      <c r="B94" s="0" t="s">
        <v>297</v>
      </c>
      <c r="C94" s="0" t="s">
        <v>155</v>
      </c>
      <c r="E94" s="7" t="n">
        <v>41.8742847275048</v>
      </c>
      <c r="G94" s="8" t="s">
        <v>228</v>
      </c>
      <c r="H94" s="8" t="s">
        <v>295</v>
      </c>
      <c r="I94" s="8" t="s">
        <v>273</v>
      </c>
    </row>
    <row r="95" customFormat="false" ht="17.15" hidden="false" customHeight="false" outlineLevel="0" collapsed="false">
      <c r="A95" s="0" t="s">
        <v>298</v>
      </c>
      <c r="B95" s="0" t="s">
        <v>299</v>
      </c>
      <c r="C95" s="0" t="s">
        <v>155</v>
      </c>
      <c r="E95" s="7" t="n">
        <v>53.2587328153375</v>
      </c>
      <c r="G95" s="8" t="s">
        <v>228</v>
      </c>
      <c r="H95" s="8" t="s">
        <v>295</v>
      </c>
      <c r="I95" s="8" t="s">
        <v>273</v>
      </c>
    </row>
    <row r="96" customFormat="false" ht="17.15" hidden="false" customHeight="false" outlineLevel="0" collapsed="false">
      <c r="A96" s="0" t="s">
        <v>300</v>
      </c>
      <c r="B96" s="0" t="s">
        <v>301</v>
      </c>
      <c r="C96" s="0" t="s">
        <v>155</v>
      </c>
      <c r="E96" s="7" t="n">
        <v>42.60698625227</v>
      </c>
      <c r="G96" s="8" t="s">
        <v>228</v>
      </c>
      <c r="H96" s="8" t="s">
        <v>295</v>
      </c>
      <c r="I96" s="8" t="s">
        <v>273</v>
      </c>
    </row>
    <row r="97" customFormat="false" ht="17.15" hidden="false" customHeight="false" outlineLevel="0" collapsed="false">
      <c r="A97" s="0" t="s">
        <v>302</v>
      </c>
      <c r="B97" s="0" t="s">
        <v>303</v>
      </c>
      <c r="C97" s="0" t="s">
        <v>155</v>
      </c>
      <c r="E97" s="7" t="n">
        <v>42.60698625227</v>
      </c>
      <c r="G97" s="8" t="s">
        <v>228</v>
      </c>
      <c r="H97" s="8" t="s">
        <v>295</v>
      </c>
      <c r="I97" s="8" t="s">
        <v>273</v>
      </c>
    </row>
    <row r="98" customFormat="false" ht="17.15" hidden="false" customHeight="false" outlineLevel="0" collapsed="false">
      <c r="A98" s="0" t="s">
        <v>304</v>
      </c>
      <c r="B98" s="0" t="s">
        <v>305</v>
      </c>
      <c r="C98" s="0" t="s">
        <v>155</v>
      </c>
      <c r="E98" s="7" t="n">
        <v>15.3</v>
      </c>
      <c r="G98" s="8" t="s">
        <v>35</v>
      </c>
      <c r="H98" s="8" t="s">
        <v>306</v>
      </c>
      <c r="I98" s="8" t="s">
        <v>307</v>
      </c>
    </row>
    <row r="99" customFormat="false" ht="17.15" hidden="false" customHeight="false" outlineLevel="0" collapsed="false">
      <c r="A99" s="0" t="s">
        <v>308</v>
      </c>
      <c r="B99" s="0" t="s">
        <v>309</v>
      </c>
      <c r="C99" s="0" t="s">
        <v>155</v>
      </c>
      <c r="E99" s="7" t="n">
        <v>17.8392824967822</v>
      </c>
      <c r="G99" s="8" t="s">
        <v>228</v>
      </c>
      <c r="H99" s="8" t="s">
        <v>306</v>
      </c>
      <c r="I99" s="8" t="s">
        <v>310</v>
      </c>
    </row>
    <row r="100" customFormat="false" ht="17.15" hidden="false" customHeight="false" outlineLevel="0" collapsed="false">
      <c r="A100" s="0" t="s">
        <v>311</v>
      </c>
      <c r="B100" s="0" t="s">
        <v>312</v>
      </c>
      <c r="C100" s="0" t="s">
        <v>155</v>
      </c>
      <c r="E100" s="7" t="n">
        <v>20.8</v>
      </c>
      <c r="G100" s="8" t="s">
        <v>35</v>
      </c>
      <c r="H100" s="8" t="s">
        <v>306</v>
      </c>
      <c r="I100" s="5" t="s">
        <v>40</v>
      </c>
    </row>
    <row r="101" customFormat="false" ht="17.15" hidden="false" customHeight="false" outlineLevel="0" collapsed="false">
      <c r="A101" s="1" t="s">
        <v>313</v>
      </c>
    </row>
    <row r="102" customFormat="false" ht="17.15" hidden="false" customHeight="false" outlineLevel="0" collapsed="false">
      <c r="A102" s="0" t="s">
        <v>314</v>
      </c>
      <c r="B102" s="5" t="s">
        <v>315</v>
      </c>
      <c r="C102" s="0" t="s">
        <v>45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228</v>
      </c>
      <c r="H102" s="8" t="s">
        <v>316</v>
      </c>
      <c r="I102" s="5" t="s">
        <v>317</v>
      </c>
    </row>
    <row r="103" customFormat="false" ht="17.15" hidden="false" customHeight="false" outlineLevel="0" collapsed="false">
      <c r="A103" s="0" t="s">
        <v>318</v>
      </c>
      <c r="B103" s="5" t="s">
        <v>319</v>
      </c>
      <c r="C103" s="0" t="s">
        <v>45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228</v>
      </c>
      <c r="H103" s="8" t="s">
        <v>320</v>
      </c>
      <c r="I103" s="5" t="s">
        <v>321</v>
      </c>
    </row>
    <row r="104" customFormat="false" ht="17.15" hidden="false" customHeight="false" outlineLevel="0" collapsed="false">
      <c r="A104" s="0" t="s">
        <v>322</v>
      </c>
      <c r="B104" s="5" t="s">
        <v>323</v>
      </c>
      <c r="C104" s="0" t="s">
        <v>45</v>
      </c>
      <c r="D104" s="7" t="n">
        <v>0.1</v>
      </c>
      <c r="E104" s="7" t="n">
        <v>0.15</v>
      </c>
      <c r="F104" s="7" t="n">
        <v>0.2</v>
      </c>
      <c r="G104" s="8" t="s">
        <v>46</v>
      </c>
      <c r="H104" s="5" t="s">
        <v>324</v>
      </c>
      <c r="I104" s="8" t="s">
        <v>177</v>
      </c>
    </row>
    <row r="105" customFormat="false" ht="17.15" hidden="false" customHeight="false" outlineLevel="0" collapsed="false">
      <c r="A105" s="0" t="s">
        <v>325</v>
      </c>
      <c r="B105" s="5" t="s">
        <v>326</v>
      </c>
      <c r="C105" s="0" t="s">
        <v>45</v>
      </c>
      <c r="D105" s="7" t="n">
        <v>0.08</v>
      </c>
      <c r="E105" s="7" t="n">
        <v>0.12</v>
      </c>
      <c r="F105" s="7" t="n">
        <v>0.16</v>
      </c>
      <c r="G105" s="8" t="s">
        <v>46</v>
      </c>
      <c r="H105" s="8" t="s">
        <v>327</v>
      </c>
      <c r="I105" s="8" t="s">
        <v>177</v>
      </c>
    </row>
    <row r="106" customFormat="false" ht="17.15" hidden="false" customHeight="false" outlineLevel="0" collapsed="false">
      <c r="A106" s="0" t="s">
        <v>328</v>
      </c>
      <c r="B106" s="5" t="s">
        <v>329</v>
      </c>
      <c r="C106" s="0" t="s">
        <v>45</v>
      </c>
      <c r="D106" s="7" t="n">
        <v>0.05</v>
      </c>
      <c r="E106" s="7" t="n">
        <v>0.1</v>
      </c>
      <c r="F106" s="7" t="n">
        <v>0.15</v>
      </c>
      <c r="G106" s="8" t="s">
        <v>46</v>
      </c>
      <c r="H106" s="5" t="s">
        <v>324</v>
      </c>
      <c r="I106" s="8" t="s">
        <v>177</v>
      </c>
    </row>
    <row r="107" customFormat="false" ht="17.15" hidden="false" customHeight="false" outlineLevel="0" collapsed="false">
      <c r="A107" s="0" t="s">
        <v>330</v>
      </c>
      <c r="B107" s="5" t="s">
        <v>331</v>
      </c>
      <c r="C107" s="0" t="s">
        <v>45</v>
      </c>
      <c r="D107" s="7" t="n">
        <v>0.06</v>
      </c>
      <c r="E107" s="7" t="n">
        <v>0.1</v>
      </c>
      <c r="F107" s="7" t="n">
        <v>0.14</v>
      </c>
      <c r="G107" s="8" t="s">
        <v>46</v>
      </c>
      <c r="H107" s="8" t="s">
        <v>327</v>
      </c>
      <c r="I107" s="8" t="s">
        <v>177</v>
      </c>
    </row>
    <row r="108" customFormat="false" ht="17.15" hidden="false" customHeight="false" outlineLevel="0" collapsed="false">
      <c r="A108" s="0" t="s">
        <v>332</v>
      </c>
      <c r="B108" s="5" t="s">
        <v>333</v>
      </c>
      <c r="C108" s="0" t="s">
        <v>45</v>
      </c>
      <c r="D108" s="7" t="n">
        <v>-0.05</v>
      </c>
      <c r="E108" s="7" t="n">
        <v>0</v>
      </c>
      <c r="F108" s="7" t="n">
        <v>0.05</v>
      </c>
      <c r="G108" s="8" t="s">
        <v>46</v>
      </c>
      <c r="H108" s="5" t="s">
        <v>324</v>
      </c>
      <c r="I108" s="8" t="s">
        <v>177</v>
      </c>
    </row>
    <row r="109" customFormat="false" ht="17.15" hidden="false" customHeight="false" outlineLevel="0" collapsed="false">
      <c r="A109" s="0" t="s">
        <v>334</v>
      </c>
      <c r="B109" s="5" t="s">
        <v>335</v>
      </c>
      <c r="C109" s="0" t="s">
        <v>45</v>
      </c>
      <c r="D109" s="7" t="n">
        <v>0.02</v>
      </c>
      <c r="E109" s="7" t="n">
        <v>0.06</v>
      </c>
      <c r="F109" s="7" t="n">
        <v>0.1</v>
      </c>
      <c r="G109" s="8" t="s">
        <v>46</v>
      </c>
      <c r="H109" s="8" t="s">
        <v>327</v>
      </c>
      <c r="I109" s="8" t="s">
        <v>177</v>
      </c>
    </row>
    <row r="110" customFormat="false" ht="17.15" hidden="false" customHeight="false" outlineLevel="0" collapsed="false">
      <c r="A110" s="1" t="s">
        <v>336</v>
      </c>
    </row>
    <row r="111" customFormat="false" ht="17.15" hidden="false" customHeight="false" outlineLevel="0" collapsed="false">
      <c r="A111" s="0" t="s">
        <v>337</v>
      </c>
      <c r="B111" s="0" t="s">
        <v>338</v>
      </c>
      <c r="C111" s="0" t="s">
        <v>45</v>
      </c>
      <c r="D111" s="7" t="n">
        <v>0.66</v>
      </c>
      <c r="E111" s="7" t="n">
        <v>0.665</v>
      </c>
      <c r="F111" s="7" t="n">
        <v>0.67</v>
      </c>
      <c r="G111" s="8" t="s">
        <v>35</v>
      </c>
      <c r="H111" s="8" t="s">
        <v>339</v>
      </c>
      <c r="I111" s="5" t="s">
        <v>157</v>
      </c>
    </row>
    <row r="112" customFormat="false" ht="17.15" hidden="false" customHeight="false" outlineLevel="0" collapsed="false">
      <c r="A112" s="0" t="s">
        <v>340</v>
      </c>
      <c r="B112" s="5" t="s">
        <v>341</v>
      </c>
      <c r="C112" s="0" t="s">
        <v>45</v>
      </c>
      <c r="E112" s="0" t="n">
        <f aca="false">a25_gp/a25_rev-gm_b*a25_soc/a25_rev</f>
        <v>0.314506925264359</v>
      </c>
      <c r="G112" s="0" t="s">
        <v>228</v>
      </c>
      <c r="H112" s="5" t="s">
        <v>342</v>
      </c>
      <c r="I112" s="5" t="s">
        <v>343</v>
      </c>
    </row>
    <row r="113" customFormat="false" ht="17.15" hidden="false" customHeight="false" outlineLevel="0" collapsed="false">
      <c r="A113" s="0" t="s">
        <v>344</v>
      </c>
      <c r="B113" s="5" t="s">
        <v>345</v>
      </c>
      <c r="C113" s="0" t="s">
        <v>130</v>
      </c>
      <c r="E113" s="0" t="n">
        <f aca="false">(gm_g-a25_gp/a25_rev)/(g_soc/g_rev-a25_soc/a25_rev)</f>
        <v>0.483108267066256</v>
      </c>
      <c r="G113" s="0" t="s">
        <v>228</v>
      </c>
      <c r="H113" s="5" t="s">
        <v>40</v>
      </c>
      <c r="I113" s="0" t="s">
        <v>177</v>
      </c>
    </row>
    <row r="114" customFormat="false" ht="17.15" hidden="false" customHeight="false" outlineLevel="0" collapsed="false">
      <c r="A114" s="0" t="s">
        <v>346</v>
      </c>
      <c r="B114" s="5" t="s">
        <v>347</v>
      </c>
      <c r="C114" s="0" t="s">
        <v>348</v>
      </c>
      <c r="D114" s="7" t="n">
        <v>-0.04</v>
      </c>
      <c r="E114" s="7" t="n">
        <v>-0.01</v>
      </c>
      <c r="F114" s="7" t="n">
        <v>0</v>
      </c>
      <c r="G114" s="8" t="s">
        <v>46</v>
      </c>
      <c r="H114" s="5" t="s">
        <v>176</v>
      </c>
      <c r="I114" s="8" t="s">
        <v>349</v>
      </c>
    </row>
    <row r="115" customFormat="false" ht="17.15" hidden="false" customHeight="false" outlineLevel="0" collapsed="false">
      <c r="A115" s="0" t="s">
        <v>350</v>
      </c>
      <c r="B115" s="5" t="s">
        <v>351</v>
      </c>
      <c r="C115" s="0" t="s">
        <v>348</v>
      </c>
      <c r="D115" s="7" t="n">
        <v>-0.06</v>
      </c>
      <c r="E115" s="7" t="n">
        <v>-0.02</v>
      </c>
      <c r="F115" s="7" t="n">
        <v>0</v>
      </c>
      <c r="G115" s="8" t="s">
        <v>46</v>
      </c>
      <c r="H115" s="5" t="s">
        <v>176</v>
      </c>
      <c r="I115" s="8" t="s">
        <v>177</v>
      </c>
    </row>
    <row r="116" customFormat="false" ht="17.15" hidden="false" customHeight="false" outlineLevel="0" collapsed="false">
      <c r="A116" s="0" t="s">
        <v>352</v>
      </c>
      <c r="B116" s="5" t="s">
        <v>353</v>
      </c>
      <c r="C116" s="0" t="s">
        <v>354</v>
      </c>
      <c r="E116" s="0" t="n">
        <f aca="false">a25_gp-a25_oi</f>
        <v>226.5898</v>
      </c>
      <c r="G116" s="0" t="s">
        <v>228</v>
      </c>
      <c r="H116" s="0" t="s">
        <v>355</v>
      </c>
      <c r="I116" s="0" t="s">
        <v>177</v>
      </c>
    </row>
    <row r="117" customFormat="false" ht="17.15" hidden="false" customHeight="false" outlineLevel="0" collapsed="false">
      <c r="A117" s="0" t="s">
        <v>356</v>
      </c>
      <c r="B117" s="5" t="s">
        <v>357</v>
      </c>
      <c r="C117" s="0" t="s">
        <v>354</v>
      </c>
      <c r="E117" s="0" t="n">
        <f aca="false">gm_g*g_rev-g_oi</f>
        <v>293.81</v>
      </c>
      <c r="G117" s="0" t="s">
        <v>228</v>
      </c>
      <c r="H117" s="5" t="s">
        <v>358</v>
      </c>
      <c r="I117" s="5" t="s">
        <v>359</v>
      </c>
    </row>
    <row r="118" customFormat="false" ht="17.15" hidden="false" customHeight="false" outlineLevel="0" collapsed="false">
      <c r="A118" s="0" t="s">
        <v>360</v>
      </c>
      <c r="B118" s="5" t="s">
        <v>361</v>
      </c>
      <c r="C118" s="0" t="s">
        <v>45</v>
      </c>
      <c r="E118" s="0" t="n">
        <f aca="false">(opex_g-opex25)/(g_rev-a25_rev)</f>
        <v>0.114827810044414</v>
      </c>
      <c r="G118" s="0" t="s">
        <v>228</v>
      </c>
      <c r="H118" s="5" t="s">
        <v>362</v>
      </c>
      <c r="I118" s="0" t="s">
        <v>177</v>
      </c>
    </row>
    <row r="119" customFormat="false" ht="17.15" hidden="false" customHeight="false" outlineLevel="0" collapsed="false">
      <c r="A119" s="0" t="s">
        <v>363</v>
      </c>
      <c r="B119" s="5" t="s">
        <v>364</v>
      </c>
      <c r="C119" s="0" t="s">
        <v>354</v>
      </c>
      <c r="E119" s="0" t="n">
        <f aca="false">opex25-opex_var*a25_rev</f>
        <v>96.9951335838739</v>
      </c>
      <c r="G119" s="0" t="s">
        <v>228</v>
      </c>
      <c r="H119" s="0" t="s">
        <v>365</v>
      </c>
      <c r="I119" s="0" t="s">
        <v>177</v>
      </c>
    </row>
    <row r="120" customFormat="false" ht="17.15" hidden="false" customHeight="false" outlineLevel="0" collapsed="false">
      <c r="A120" s="0" t="s">
        <v>366</v>
      </c>
      <c r="B120" s="5" t="s">
        <v>367</v>
      </c>
      <c r="C120" s="0" t="s">
        <v>45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228</v>
      </c>
      <c r="H120" s="5" t="s">
        <v>368</v>
      </c>
      <c r="I120" s="8" t="s">
        <v>177</v>
      </c>
    </row>
    <row r="121" customFormat="false" ht="17.15" hidden="false" customHeight="false" outlineLevel="0" collapsed="false">
      <c r="A121" s="1" t="s">
        <v>369</v>
      </c>
    </row>
    <row r="122" customFormat="false" ht="17.15" hidden="false" customHeight="false" outlineLevel="0" collapsed="false">
      <c r="A122" s="0" t="s">
        <v>370</v>
      </c>
      <c r="B122" s="5" t="s">
        <v>371</v>
      </c>
      <c r="C122" s="0" t="s">
        <v>130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228</v>
      </c>
      <c r="H122" s="5" t="s">
        <v>372</v>
      </c>
      <c r="I122" s="8" t="s">
        <v>373</v>
      </c>
    </row>
    <row r="123" customFormat="false" ht="17.15" hidden="false" customHeight="false" outlineLevel="0" collapsed="false">
      <c r="A123" s="0" t="s">
        <v>374</v>
      </c>
      <c r="B123" s="5" t="s">
        <v>375</v>
      </c>
      <c r="C123" s="5" t="s">
        <v>376</v>
      </c>
      <c r="E123" s="0" t="n">
        <f aca="false">g_ni/g_eps*1000</f>
        <v>723.969988153218</v>
      </c>
      <c r="G123" s="0" t="s">
        <v>228</v>
      </c>
      <c r="H123" s="0" t="s">
        <v>377</v>
      </c>
      <c r="I123" s="0" t="s">
        <v>378</v>
      </c>
    </row>
    <row r="124" customFormat="false" ht="17.15" hidden="false" customHeight="false" outlineLevel="0" collapsed="false">
      <c r="A124" s="0" t="s">
        <v>379</v>
      </c>
      <c r="B124" s="5" t="s">
        <v>380</v>
      </c>
      <c r="C124" s="0" t="s">
        <v>381</v>
      </c>
      <c r="D124" s="7" t="n">
        <v>140</v>
      </c>
      <c r="E124" s="7" t="n">
        <v>150</v>
      </c>
      <c r="F124" s="7" t="n">
        <v>160</v>
      </c>
      <c r="G124" s="8" t="s">
        <v>35</v>
      </c>
      <c r="H124" s="5" t="s">
        <v>382</v>
      </c>
      <c r="I124" s="5" t="s">
        <v>383</v>
      </c>
    </row>
    <row r="125" customFormat="false" ht="17.15" hidden="false" customHeight="false" outlineLevel="0" collapsed="false">
      <c r="A125" s="1" t="s">
        <v>384</v>
      </c>
    </row>
    <row r="126" customFormat="false" ht="17.15" hidden="false" customHeight="false" outlineLevel="0" collapsed="false">
      <c r="A126" s="0" t="s">
        <v>385</v>
      </c>
      <c r="B126" s="5" t="s">
        <v>386</v>
      </c>
      <c r="C126" s="0" t="s">
        <v>354</v>
      </c>
      <c r="E126" s="7" t="n">
        <v>1714</v>
      </c>
      <c r="G126" s="8" t="s">
        <v>35</v>
      </c>
      <c r="H126" s="8" t="s">
        <v>387</v>
      </c>
      <c r="I126" s="8" t="s">
        <v>388</v>
      </c>
    </row>
    <row r="127" customFormat="false" ht="17.15" hidden="false" customHeight="false" outlineLevel="0" collapsed="false">
      <c r="A127" s="0" t="s">
        <v>389</v>
      </c>
      <c r="B127" s="5" t="s">
        <v>390</v>
      </c>
      <c r="C127" s="0" t="s">
        <v>354</v>
      </c>
      <c r="E127" s="7" t="n">
        <v>846</v>
      </c>
      <c r="G127" s="8" t="s">
        <v>35</v>
      </c>
      <c r="H127" s="5" t="s">
        <v>40</v>
      </c>
      <c r="I127" s="8" t="s">
        <v>391</v>
      </c>
    </row>
    <row r="128" customFormat="false" ht="17.15" hidden="false" customHeight="false" outlineLevel="0" collapsed="false">
      <c r="A128" s="0" t="s">
        <v>392</v>
      </c>
      <c r="B128" s="5" t="s">
        <v>393</v>
      </c>
      <c r="C128" s="0" t="s">
        <v>354</v>
      </c>
      <c r="E128" s="7" t="n">
        <v>660</v>
      </c>
      <c r="G128" s="8" t="s">
        <v>35</v>
      </c>
      <c r="H128" s="5" t="s">
        <v>40</v>
      </c>
      <c r="I128" s="8" t="s">
        <v>394</v>
      </c>
    </row>
    <row r="129" customFormat="false" ht="17.15" hidden="false" customHeight="false" outlineLevel="0" collapsed="false">
      <c r="A129" s="0" t="s">
        <v>395</v>
      </c>
      <c r="B129" s="5" t="s">
        <v>396</v>
      </c>
      <c r="C129" s="0" t="s">
        <v>354</v>
      </c>
      <c r="E129" s="7" t="n">
        <v>1243.5</v>
      </c>
      <c r="G129" s="8" t="s">
        <v>35</v>
      </c>
      <c r="H129" s="5" t="s">
        <v>397</v>
      </c>
      <c r="I129" s="8" t="s">
        <v>177</v>
      </c>
    </row>
    <row r="130" customFormat="false" ht="17.15" hidden="false" customHeight="false" outlineLevel="0" collapsed="false">
      <c r="A130" s="0" t="s">
        <v>398</v>
      </c>
      <c r="B130" s="5" t="s">
        <v>399</v>
      </c>
      <c r="C130" s="0" t="s">
        <v>354</v>
      </c>
      <c r="E130" s="7" t="n">
        <v>227</v>
      </c>
      <c r="G130" s="8" t="s">
        <v>35</v>
      </c>
      <c r="H130" s="5" t="s">
        <v>400</v>
      </c>
      <c r="I130" s="5" t="s">
        <v>157</v>
      </c>
    </row>
    <row r="131" customFormat="false" ht="17.15" hidden="false" customHeight="false" outlineLevel="0" collapsed="false">
      <c r="A131" s="0" t="s">
        <v>401</v>
      </c>
      <c r="B131" s="5" t="s">
        <v>402</v>
      </c>
      <c r="C131" s="0" t="s">
        <v>403</v>
      </c>
      <c r="E131" s="7" t="n">
        <v>911.64</v>
      </c>
      <c r="G131" s="8" t="s">
        <v>35</v>
      </c>
      <c r="H131" s="5" t="s">
        <v>404</v>
      </c>
      <c r="I131" s="8" t="s">
        <v>405</v>
      </c>
    </row>
    <row r="132" customFormat="false" ht="17.15" hidden="false" customHeight="false" outlineLevel="0" collapsed="false">
      <c r="A132" s="0" t="s">
        <v>406</v>
      </c>
      <c r="B132" s="5" t="s">
        <v>407</v>
      </c>
      <c r="C132" s="0" t="s">
        <v>354</v>
      </c>
      <c r="E132" s="7" t="n">
        <v>1760</v>
      </c>
      <c r="G132" s="8" t="s">
        <v>35</v>
      </c>
      <c r="H132" s="8" t="s">
        <v>408</v>
      </c>
      <c r="I132" s="5" t="s">
        <v>157</v>
      </c>
    </row>
    <row r="133" customFormat="false" ht="17.15" hidden="false" customHeight="false" outlineLevel="0" collapsed="false">
      <c r="A133" s="0" t="s">
        <v>409</v>
      </c>
      <c r="B133" s="5" t="s">
        <v>410</v>
      </c>
      <c r="C133" s="0" t="s">
        <v>354</v>
      </c>
      <c r="E133" s="7" t="n">
        <v>886.4</v>
      </c>
      <c r="G133" s="8" t="s">
        <v>35</v>
      </c>
      <c r="H133" s="8" t="s">
        <v>411</v>
      </c>
      <c r="I133" s="5" t="s">
        <v>157</v>
      </c>
    </row>
    <row r="134" customFormat="false" ht="17.15" hidden="false" customHeight="false" outlineLevel="0" collapsed="false">
      <c r="A134" s="0" t="s">
        <v>412</v>
      </c>
      <c r="B134" s="5" t="s">
        <v>413</v>
      </c>
      <c r="C134" s="5" t="s">
        <v>414</v>
      </c>
      <c r="E134" s="7" t="n">
        <v>2029</v>
      </c>
      <c r="G134" s="8" t="s">
        <v>228</v>
      </c>
      <c r="H134" s="8" t="s">
        <v>415</v>
      </c>
      <c r="I134" s="5" t="s">
        <v>416</v>
      </c>
    </row>
    <row r="135" customFormat="false" ht="17.15" hidden="false" customHeight="false" outlineLevel="0" collapsed="false">
      <c r="A135" s="0" t="s">
        <v>417</v>
      </c>
      <c r="B135" s="5" t="s">
        <v>418</v>
      </c>
      <c r="C135" s="5" t="s">
        <v>414</v>
      </c>
      <c r="E135" s="7" t="n">
        <v>2028</v>
      </c>
      <c r="G135" s="8" t="s">
        <v>228</v>
      </c>
      <c r="H135" s="8" t="s">
        <v>419</v>
      </c>
      <c r="I135" s="5" t="s">
        <v>40</v>
      </c>
    </row>
    <row r="136" customFormat="false" ht="17.15" hidden="false" customHeight="false" outlineLevel="0" collapsed="false">
      <c r="A136" s="0" t="s">
        <v>420</v>
      </c>
      <c r="B136" s="5" t="s">
        <v>421</v>
      </c>
      <c r="C136" s="5" t="s">
        <v>414</v>
      </c>
      <c r="E136" s="7" t="n">
        <v>2027</v>
      </c>
      <c r="G136" s="8" t="s">
        <v>228</v>
      </c>
      <c r="H136" s="8" t="s">
        <v>422</v>
      </c>
      <c r="I136" s="5" t="s">
        <v>40</v>
      </c>
    </row>
    <row r="137" customFormat="false" ht="17.15" hidden="false" customHeight="false" outlineLevel="0" collapsed="false">
      <c r="A137" s="0" t="s">
        <v>423</v>
      </c>
      <c r="B137" s="5" t="s">
        <v>424</v>
      </c>
      <c r="C137" s="0" t="s">
        <v>403</v>
      </c>
      <c r="E137" s="7" t="n">
        <v>32340</v>
      </c>
      <c r="G137" s="8" t="s">
        <v>425</v>
      </c>
      <c r="H137" s="8" t="s">
        <v>426</v>
      </c>
      <c r="I137" s="5" t="s">
        <v>427</v>
      </c>
    </row>
    <row r="138" customFormat="false" ht="17.15" hidden="false" customHeight="false" outlineLevel="0" collapsed="false">
      <c r="A138" s="0" t="s">
        <v>428</v>
      </c>
      <c r="B138" s="5" t="s">
        <v>429</v>
      </c>
      <c r="C138" s="0" t="s">
        <v>130</v>
      </c>
      <c r="E138" s="7" t="n">
        <v>37.7</v>
      </c>
      <c r="G138" s="8" t="s">
        <v>35</v>
      </c>
      <c r="H138" s="8" t="s">
        <v>430</v>
      </c>
      <c r="I138" s="5" t="s">
        <v>431</v>
      </c>
    </row>
    <row r="139" customFormat="false" ht="17.15" hidden="false" customHeight="false" outlineLevel="0" collapsed="false">
      <c r="A139" s="1" t="s">
        <v>432</v>
      </c>
    </row>
    <row r="140" customFormat="false" ht="17.15" hidden="false" customHeight="false" outlineLevel="0" collapsed="false">
      <c r="A140" s="0" t="s">
        <v>433</v>
      </c>
      <c r="B140" s="5" t="s">
        <v>434</v>
      </c>
      <c r="C140" s="0" t="s">
        <v>45</v>
      </c>
      <c r="E140" s="7" t="n">
        <v>0.3</v>
      </c>
      <c r="G140" s="8" t="s">
        <v>46</v>
      </c>
      <c r="H140" s="8" t="s">
        <v>435</v>
      </c>
      <c r="I140" s="5" t="s">
        <v>436</v>
      </c>
    </row>
    <row r="141" customFormat="false" ht="17.15" hidden="false" customHeight="false" outlineLevel="0" collapsed="false">
      <c r="A141" s="0" t="s">
        <v>437</v>
      </c>
      <c r="B141" s="5" t="s">
        <v>438</v>
      </c>
      <c r="C141" s="0" t="s">
        <v>45</v>
      </c>
      <c r="E141" s="7" t="n">
        <v>0.5</v>
      </c>
      <c r="G141" s="8" t="s">
        <v>46</v>
      </c>
      <c r="H141" s="8" t="s">
        <v>435</v>
      </c>
      <c r="I141" s="5" t="s">
        <v>436</v>
      </c>
    </row>
    <row r="142" customFormat="false" ht="17.15" hidden="false" customHeight="false" outlineLevel="0" collapsed="false">
      <c r="A142" s="0" t="s">
        <v>439</v>
      </c>
      <c r="B142" s="5" t="s">
        <v>440</v>
      </c>
      <c r="C142" s="0" t="s">
        <v>45</v>
      </c>
      <c r="E142" s="7" t="n">
        <v>0.2</v>
      </c>
      <c r="G142" s="8" t="s">
        <v>46</v>
      </c>
      <c r="H142" s="8" t="s">
        <v>435</v>
      </c>
      <c r="I142" s="5" t="s">
        <v>436</v>
      </c>
    </row>
    <row r="144" customFormat="false" ht="17.15" hidden="false" customHeight="false" outlineLevel="0" collapsed="false">
      <c r="A144" s="1" t="s">
        <v>441</v>
      </c>
    </row>
    <row r="145" customFormat="false" ht="17.15" hidden="false" customHeight="false" outlineLevel="0" collapsed="false">
      <c r="A145" s="0" t="s">
        <v>442</v>
      </c>
      <c r="B145" s="5" t="s">
        <v>443</v>
      </c>
      <c r="C145" s="0" t="s">
        <v>45</v>
      </c>
      <c r="E145" s="9" t="n">
        <v>0.1</v>
      </c>
      <c r="G145" s="8" t="s">
        <v>46</v>
      </c>
      <c r="H145" s="8" t="s">
        <v>444</v>
      </c>
      <c r="I145" s="8" t="s">
        <v>177</v>
      </c>
    </row>
    <row r="146" customFormat="false" ht="17.15" hidden="false" customHeight="false" outlineLevel="0" collapsed="false">
      <c r="A146" s="0" t="s">
        <v>445</v>
      </c>
      <c r="B146" s="5" t="s">
        <v>446</v>
      </c>
      <c r="C146" s="0" t="s">
        <v>45</v>
      </c>
      <c r="E146" s="9" t="n">
        <v>0.04</v>
      </c>
      <c r="G146" s="8" t="s">
        <v>46</v>
      </c>
      <c r="H146" s="8" t="s">
        <v>447</v>
      </c>
      <c r="I146" s="5" t="s">
        <v>448</v>
      </c>
    </row>
    <row r="147" customFormat="false" ht="17.15" hidden="false" customHeight="false" outlineLevel="0" collapsed="false">
      <c r="A147" s="0" t="s">
        <v>449</v>
      </c>
      <c r="B147" s="0" t="s">
        <v>450</v>
      </c>
      <c r="C147" s="0" t="s">
        <v>45</v>
      </c>
      <c r="E147" s="10" t="n">
        <f aca="false">AVERAGE(0.1557,0.3438,0.5765)</f>
        <v>0.358666666666667</v>
      </c>
      <c r="G147" s="8" t="s">
        <v>228</v>
      </c>
      <c r="H147" s="8" t="s">
        <v>451</v>
      </c>
      <c r="I147" s="5" t="s">
        <v>452</v>
      </c>
    </row>
    <row r="148" customFormat="false" ht="17.15" hidden="false" customHeight="false" outlineLevel="0" collapsed="false">
      <c r="A148" s="0" t="s">
        <v>453</v>
      </c>
      <c r="B148" s="5" t="s">
        <v>454</v>
      </c>
      <c r="C148" s="0" t="s">
        <v>45</v>
      </c>
      <c r="E148" s="11" t="n">
        <v>0.5</v>
      </c>
      <c r="G148" s="8" t="s">
        <v>46</v>
      </c>
      <c r="H148" s="8" t="s">
        <v>455</v>
      </c>
      <c r="I148" s="8" t="s">
        <v>177</v>
      </c>
    </row>
    <row r="149" customFormat="false" ht="17.15" hidden="false" customHeight="false" outlineLevel="0" collapsed="false">
      <c r="A149" s="0" t="s">
        <v>456</v>
      </c>
      <c r="B149" s="5" t="s">
        <v>457</v>
      </c>
      <c r="C149" s="0" t="s">
        <v>45</v>
      </c>
      <c r="E149" s="10" t="n">
        <f aca="false">AVERAGE(14201/155916,18103/207223,56993/282456,53532/275894,69787/312789,87301/416901,130400/560191,62290/486507,161177/779707,375353/1128610)</f>
        <v>0.190687302134813</v>
      </c>
      <c r="G149" s="8" t="s">
        <v>228</v>
      </c>
      <c r="H149" s="8" t="s">
        <v>458</v>
      </c>
      <c r="I149" s="5" t="s">
        <v>459</v>
      </c>
    </row>
    <row r="150" customFormat="false" ht="17.15" hidden="false" customHeight="false" outlineLevel="0" collapsed="false">
      <c r="A150" s="0" t="s">
        <v>460</v>
      </c>
      <c r="B150" s="5" t="s">
        <v>461</v>
      </c>
      <c r="C150" s="0" t="s">
        <v>403</v>
      </c>
      <c r="E150" s="12" t="n">
        <v>42686</v>
      </c>
      <c r="G150" s="8" t="s">
        <v>35</v>
      </c>
      <c r="H150" s="8" t="s">
        <v>462</v>
      </c>
      <c r="I150" s="5" t="s">
        <v>463</v>
      </c>
    </row>
    <row r="151" customFormat="false" ht="17.15" hidden="false" customHeight="false" outlineLevel="0" collapsed="false">
      <c r="A151" s="0" t="s">
        <v>464</v>
      </c>
      <c r="B151" s="5" t="s">
        <v>465</v>
      </c>
      <c r="C151" s="0" t="s">
        <v>403</v>
      </c>
      <c r="E151" s="13" t="n">
        <f aca="false">34440/sa_fpe</f>
        <v>913.527851458886</v>
      </c>
      <c r="G151" s="8" t="s">
        <v>35</v>
      </c>
      <c r="H151" s="5" t="s">
        <v>466</v>
      </c>
      <c r="I151" s="8" t="s">
        <v>228</v>
      </c>
    </row>
    <row r="152" customFormat="false" ht="17.15" hidden="false" customHeight="false" outlineLevel="0" collapsed="false">
      <c r="A152" s="0" t="s">
        <v>467</v>
      </c>
      <c r="B152" s="5" t="s">
        <v>468</v>
      </c>
      <c r="C152" s="0" t="s">
        <v>45</v>
      </c>
      <c r="E152" s="10" t="n">
        <f aca="false">24.33/a25_rev</f>
        <v>0.0215576820839979</v>
      </c>
      <c r="G152" s="8" t="s">
        <v>46</v>
      </c>
      <c r="H152" s="8" t="s">
        <v>469</v>
      </c>
      <c r="I152" s="5" t="s">
        <v>470</v>
      </c>
    </row>
    <row r="153" customFormat="false" ht="17.15" hidden="false" customHeight="false" outlineLevel="0" collapsed="false">
      <c r="A153" s="0" t="s">
        <v>471</v>
      </c>
      <c r="B153" s="5" t="s">
        <v>472</v>
      </c>
      <c r="C153" s="0" t="s">
        <v>45</v>
      </c>
      <c r="E153" s="10" t="n">
        <f aca="false">33.012/a25_rev</f>
        <v>0.0292503987240829</v>
      </c>
      <c r="G153" s="8" t="s">
        <v>46</v>
      </c>
      <c r="H153" s="8" t="s">
        <v>473</v>
      </c>
      <c r="I153" s="5" t="s">
        <v>470</v>
      </c>
    </row>
    <row r="155" customFormat="false" ht="17.15" hidden="false" customHeight="false" outlineLevel="0" collapsed="false">
      <c r="A155" s="4" t="s">
        <v>474</v>
      </c>
    </row>
    <row r="156" customFormat="false" ht="17.15" hidden="false" customHeight="false" outlineLevel="0" collapsed="false">
      <c r="A156" s="4" t="s">
        <v>22</v>
      </c>
      <c r="B156" s="4" t="s">
        <v>23</v>
      </c>
      <c r="C156" s="4" t="s">
        <v>24</v>
      </c>
      <c r="D156" s="4" t="s">
        <v>475</v>
      </c>
      <c r="E156" s="4" t="s">
        <v>476</v>
      </c>
      <c r="F156" s="4" t="s">
        <v>477</v>
      </c>
      <c r="G156" s="4" t="s">
        <v>28</v>
      </c>
      <c r="H156" s="4" t="s">
        <v>478</v>
      </c>
    </row>
    <row r="157" customFormat="false" ht="17.15" hidden="false" customHeight="false" outlineLevel="0" collapsed="false">
      <c r="A157" s="0" t="s">
        <v>479</v>
      </c>
      <c r="B157" s="0" t="s">
        <v>480</v>
      </c>
      <c r="C157" s="0" t="s">
        <v>130</v>
      </c>
      <c r="D157" s="0" t="n">
        <f aca="false">E37</f>
        <v>1</v>
      </c>
      <c r="E157" s="0" t="n">
        <f aca="false">E39</f>
        <v>0.8</v>
      </c>
      <c r="F157" s="0" t="n">
        <f aca="false">E41</f>
        <v>0.6</v>
      </c>
      <c r="G157" s="0" t="s">
        <v>228</v>
      </c>
      <c r="H157" s="5" t="s">
        <v>481</v>
      </c>
    </row>
    <row r="158" customFormat="false" ht="17.15" hidden="false" customHeight="false" outlineLevel="0" collapsed="false">
      <c r="A158" s="0" t="s">
        <v>482</v>
      </c>
      <c r="B158" s="0" t="s">
        <v>483</v>
      </c>
      <c r="C158" s="0" t="s">
        <v>130</v>
      </c>
      <c r="D158" s="0" t="n">
        <f aca="false">E38</f>
        <v>1</v>
      </c>
      <c r="E158" s="0" t="n">
        <f aca="false">E40</f>
        <v>0.85</v>
      </c>
      <c r="F158" s="0" t="n">
        <f aca="false">E42</f>
        <v>0.6</v>
      </c>
      <c r="G158" s="0" t="s">
        <v>228</v>
      </c>
      <c r="H158" s="5" t="s">
        <v>484</v>
      </c>
    </row>
    <row r="159" customFormat="false" ht="17.15" hidden="false" customHeight="false" outlineLevel="0" collapsed="false">
      <c r="A159" s="0" t="s">
        <v>485</v>
      </c>
      <c r="B159" s="0" t="s">
        <v>486</v>
      </c>
      <c r="C159" s="0" t="s">
        <v>237</v>
      </c>
      <c r="D159" s="0" t="n">
        <f aca="false">E68</f>
        <v>2.22511470588235</v>
      </c>
      <c r="E159" s="0" t="n">
        <f aca="false">E73</f>
        <v>2.22511470588235</v>
      </c>
      <c r="F159" s="0" t="n">
        <f aca="false">E78</f>
        <v>2.22511470588235</v>
      </c>
      <c r="G159" s="0" t="s">
        <v>228</v>
      </c>
      <c r="H159" s="5" t="s">
        <v>487</v>
      </c>
    </row>
    <row r="160" customFormat="false" ht="17.15" hidden="false" customHeight="false" outlineLevel="0" collapsed="false">
      <c r="A160" s="0" t="s">
        <v>488</v>
      </c>
      <c r="B160" s="0" t="s">
        <v>489</v>
      </c>
      <c r="C160" s="0" t="s">
        <v>237</v>
      </c>
      <c r="D160" s="0" t="n">
        <f aca="false">E69</f>
        <v>3.782695</v>
      </c>
      <c r="E160" s="0" t="n">
        <f aca="false">E74</f>
        <v>3.782695</v>
      </c>
      <c r="F160" s="0" t="n">
        <f aca="false">E79</f>
        <v>3.782695</v>
      </c>
      <c r="G160" s="0" t="s">
        <v>228</v>
      </c>
      <c r="H160" s="5" t="s">
        <v>490</v>
      </c>
    </row>
    <row r="161" customFormat="false" ht="17.15" hidden="false" customHeight="false" outlineLevel="0" collapsed="false">
      <c r="A161" s="0" t="s">
        <v>491</v>
      </c>
      <c r="B161" s="0" t="s">
        <v>492</v>
      </c>
      <c r="C161" s="0" t="s">
        <v>237</v>
      </c>
      <c r="D161" s="0" t="n">
        <f aca="false">E70</f>
        <v>5.86317725</v>
      </c>
      <c r="E161" s="0" t="n">
        <f aca="false">E75</f>
        <v>5.86317725</v>
      </c>
      <c r="F161" s="0" t="n">
        <f aca="false">E80</f>
        <v>5.86317725</v>
      </c>
      <c r="G161" s="0" t="s">
        <v>228</v>
      </c>
      <c r="H161" s="5" t="s">
        <v>493</v>
      </c>
    </row>
    <row r="162" customFormat="false" ht="17.15" hidden="false" customHeight="false" outlineLevel="0" collapsed="false">
      <c r="A162" s="0" t="s">
        <v>494</v>
      </c>
      <c r="B162" s="0" t="s">
        <v>495</v>
      </c>
      <c r="C162" s="0" t="s">
        <v>237</v>
      </c>
      <c r="D162" s="0" t="n">
        <f aca="false">E71</f>
        <v>8.5016070125</v>
      </c>
      <c r="E162" s="0" t="n">
        <f aca="false">E76</f>
        <v>8.22296</v>
      </c>
      <c r="F162" s="0" t="n">
        <f aca="false">E81</f>
        <v>6.16722</v>
      </c>
      <c r="G162" s="0" t="s">
        <v>228</v>
      </c>
      <c r="H162" s="5" t="s">
        <v>496</v>
      </c>
    </row>
    <row r="163" customFormat="false" ht="17.15" hidden="false" customHeight="false" outlineLevel="0" collapsed="false">
      <c r="A163" s="0" t="s">
        <v>497</v>
      </c>
      <c r="B163" s="0" t="s">
        <v>498</v>
      </c>
      <c r="C163" s="0" t="s">
        <v>237</v>
      </c>
      <c r="D163" s="0" t="n">
        <f aca="false">E72</f>
        <v>11.477169466875</v>
      </c>
      <c r="E163" s="0" t="n">
        <f aca="false">E77</f>
        <v>11.3579635</v>
      </c>
      <c r="F163" s="0" t="n">
        <f aca="false">E82</f>
        <v>8.017386</v>
      </c>
      <c r="G163" s="0" t="s">
        <v>228</v>
      </c>
      <c r="H163" s="5" t="s">
        <v>499</v>
      </c>
    </row>
    <row r="164" customFormat="false" ht="17.15" hidden="false" customHeight="false" outlineLevel="0" collapsed="false">
      <c r="A164" s="0" t="s">
        <v>500</v>
      </c>
      <c r="B164" s="0" t="s">
        <v>501</v>
      </c>
      <c r="C164" s="0" t="s">
        <v>155</v>
      </c>
      <c r="D164" s="0" t="n">
        <f aca="false">E83</f>
        <v>26.3761091658243</v>
      </c>
      <c r="E164" s="0" t="n">
        <f aca="false">E88</f>
        <v>26.3761091658243</v>
      </c>
      <c r="F164" s="0" t="n">
        <f aca="false">E93</f>
        <v>26.3761091658243</v>
      </c>
      <c r="G164" s="0" t="s">
        <v>228</v>
      </c>
      <c r="H164" s="5" t="s">
        <v>502</v>
      </c>
    </row>
    <row r="165" customFormat="false" ht="17.15" hidden="false" customHeight="false" outlineLevel="0" collapsed="false">
      <c r="A165" s="0" t="s">
        <v>503</v>
      </c>
      <c r="B165" s="0" t="s">
        <v>504</v>
      </c>
      <c r="C165" s="0" t="s">
        <v>155</v>
      </c>
      <c r="D165" s="0" t="n">
        <f aca="false">E84</f>
        <v>41.8742847275048</v>
      </c>
      <c r="E165" s="0" t="n">
        <f aca="false">E89</f>
        <v>41.8742847275048</v>
      </c>
      <c r="F165" s="0" t="n">
        <f aca="false">E94</f>
        <v>41.8742847275048</v>
      </c>
      <c r="G165" s="0" t="s">
        <v>228</v>
      </c>
      <c r="H165" s="5" t="s">
        <v>505</v>
      </c>
    </row>
    <row r="166" customFormat="false" ht="17.15" hidden="false" customHeight="false" outlineLevel="0" collapsed="false">
      <c r="A166" s="0" t="s">
        <v>506</v>
      </c>
      <c r="B166" s="0" t="s">
        <v>507</v>
      </c>
      <c r="C166" s="0" t="s">
        <v>155</v>
      </c>
      <c r="D166" s="0" t="n">
        <f aca="false">E85</f>
        <v>53.2587328153375</v>
      </c>
      <c r="E166" s="0" t="n">
        <f aca="false">E90</f>
        <v>53.2587328153375</v>
      </c>
      <c r="F166" s="0" t="n">
        <f aca="false">E95</f>
        <v>53.2587328153375</v>
      </c>
      <c r="G166" s="0" t="s">
        <v>228</v>
      </c>
      <c r="H166" s="5" t="s">
        <v>508</v>
      </c>
    </row>
    <row r="167" customFormat="false" ht="17.15" hidden="false" customHeight="false" outlineLevel="0" collapsed="false">
      <c r="A167" s="0" t="s">
        <v>509</v>
      </c>
      <c r="B167" s="0" t="s">
        <v>510</v>
      </c>
      <c r="C167" s="0" t="s">
        <v>155</v>
      </c>
      <c r="D167" s="0" t="n">
        <f aca="false">E86</f>
        <v>59.5608998372386</v>
      </c>
      <c r="E167" s="0" t="n">
        <f aca="false">E91</f>
        <v>53.2587328153375</v>
      </c>
      <c r="F167" s="0" t="n">
        <f aca="false">E96</f>
        <v>42.60698625227</v>
      </c>
      <c r="G167" s="0" t="s">
        <v>228</v>
      </c>
      <c r="H167" s="5" t="s">
        <v>511</v>
      </c>
    </row>
    <row r="168" customFormat="false" ht="17.15" hidden="false" customHeight="false" outlineLevel="0" collapsed="false">
      <c r="A168" s="0" t="s">
        <v>512</v>
      </c>
      <c r="B168" s="0" t="s">
        <v>513</v>
      </c>
      <c r="C168" s="0" t="s">
        <v>155</v>
      </c>
      <c r="D168" s="0" t="n">
        <f aca="false">E87</f>
        <v>61.8312930912183</v>
      </c>
      <c r="E168" s="0" t="n">
        <f aca="false">E92</f>
        <v>50.5957961745707</v>
      </c>
      <c r="F168" s="0" t="n">
        <f aca="false">E97</f>
        <v>42.60698625227</v>
      </c>
      <c r="G168" s="0" t="s">
        <v>228</v>
      </c>
      <c r="H168" s="5" t="s">
        <v>514</v>
      </c>
    </row>
    <row r="169" customFormat="false" ht="17.15" hidden="false" customHeight="false" outlineLevel="0" collapsed="false">
      <c r="A169" s="0" t="s">
        <v>515</v>
      </c>
      <c r="B169" s="5" t="s">
        <v>516</v>
      </c>
      <c r="C169" s="0" t="s">
        <v>45</v>
      </c>
      <c r="D169" s="0" t="n">
        <f aca="false">E104</f>
        <v>0.15</v>
      </c>
      <c r="E169" s="0" t="n">
        <f aca="false">E106</f>
        <v>0.1</v>
      </c>
      <c r="F169" s="0" t="n">
        <f aca="false">E108</f>
        <v>0</v>
      </c>
      <c r="G169" s="0" t="s">
        <v>228</v>
      </c>
      <c r="H169" s="5" t="s">
        <v>517</v>
      </c>
    </row>
    <row r="170" customFormat="false" ht="17.15" hidden="false" customHeight="false" outlineLevel="0" collapsed="false">
      <c r="A170" s="0" t="s">
        <v>518</v>
      </c>
      <c r="B170" s="5" t="s">
        <v>519</v>
      </c>
      <c r="C170" s="0" t="s">
        <v>45</v>
      </c>
      <c r="D170" s="0" t="n">
        <f aca="false">E105</f>
        <v>0.12</v>
      </c>
      <c r="E170" s="0" t="n">
        <f aca="false">E107</f>
        <v>0.1</v>
      </c>
      <c r="F170" s="0" t="n">
        <f aca="false">E109</f>
        <v>0.06</v>
      </c>
      <c r="G170" s="0" t="s">
        <v>228</v>
      </c>
      <c r="H170" s="5" t="s">
        <v>520</v>
      </c>
    </row>
    <row r="171" customFormat="false" ht="17.15" hidden="false" customHeight="false" outlineLevel="0" collapsed="false">
      <c r="A171" s="0" t="s">
        <v>521</v>
      </c>
      <c r="B171" s="5" t="s">
        <v>522</v>
      </c>
      <c r="C171" s="5" t="s">
        <v>414</v>
      </c>
      <c r="D171" s="0" t="n">
        <f aca="false">E134</f>
        <v>2029</v>
      </c>
      <c r="E171" s="0" t="n">
        <f aca="false">E135</f>
        <v>2028</v>
      </c>
      <c r="F171" s="0" t="n">
        <f aca="false">E136</f>
        <v>2027</v>
      </c>
      <c r="G171" s="0" t="s">
        <v>228</v>
      </c>
      <c r="H171" s="5" t="s">
        <v>523</v>
      </c>
    </row>
    <row r="172" customFormat="false" ht="17.15" hidden="false" customHeight="false" outlineLevel="0" collapsed="false">
      <c r="A172" s="0" t="s">
        <v>524</v>
      </c>
      <c r="B172" s="0" t="s">
        <v>525</v>
      </c>
      <c r="C172" s="0" t="s">
        <v>45</v>
      </c>
      <c r="D172" s="0" t="n">
        <f aca="false">E62</f>
        <v>0.66</v>
      </c>
      <c r="E172" s="0" t="n">
        <f aca="false">E62</f>
        <v>0.66</v>
      </c>
      <c r="F172" s="0" t="n">
        <f aca="false">E63</f>
        <v>0.61</v>
      </c>
      <c r="G172" s="0" t="s">
        <v>228</v>
      </c>
      <c r="H172" s="5" t="s">
        <v>526</v>
      </c>
    </row>
    <row r="173" customFormat="false" ht="17.15" hidden="false" customHeight="false" outlineLevel="0" collapsed="false">
      <c r="A173" s="0" t="s">
        <v>527</v>
      </c>
      <c r="B173" s="0" t="s">
        <v>528</v>
      </c>
      <c r="C173" s="0" t="s">
        <v>45</v>
      </c>
      <c r="D173" s="0" t="n">
        <f aca="false">E62</f>
        <v>0.66</v>
      </c>
      <c r="E173" s="0" t="n">
        <f aca="false">E62</f>
        <v>0.66</v>
      </c>
      <c r="F173" s="0" t="n">
        <f aca="false">E64</f>
        <v>0.56</v>
      </c>
      <c r="G173" s="0" t="s">
        <v>228</v>
      </c>
      <c r="H173" s="5" t="s">
        <v>529</v>
      </c>
    </row>
    <row r="174" customFormat="false" ht="17.15" hidden="false" customHeight="false" outlineLevel="0" collapsed="false">
      <c r="A174" s="0" t="s">
        <v>530</v>
      </c>
      <c r="B174" s="0" t="s">
        <v>531</v>
      </c>
      <c r="C174" s="0" t="s">
        <v>348</v>
      </c>
      <c r="D174" s="0" t="n">
        <v>0</v>
      </c>
      <c r="E174" s="0" t="n">
        <v>0</v>
      </c>
      <c r="F174" s="0" t="n">
        <f aca="false">E114</f>
        <v>-0.01</v>
      </c>
      <c r="G174" s="0" t="s">
        <v>228</v>
      </c>
      <c r="H174" s="5" t="s">
        <v>532</v>
      </c>
    </row>
    <row r="175" customFormat="false" ht="17.15" hidden="false" customHeight="false" outlineLevel="0" collapsed="false">
      <c r="A175" s="0" t="s">
        <v>533</v>
      </c>
      <c r="B175" s="0" t="s">
        <v>534</v>
      </c>
      <c r="C175" s="0" t="s">
        <v>348</v>
      </c>
      <c r="D175" s="0" t="n">
        <v>0</v>
      </c>
      <c r="E175" s="0" t="n">
        <v>0</v>
      </c>
      <c r="F175" s="0" t="n">
        <f aca="false">E115</f>
        <v>-0.02</v>
      </c>
      <c r="G175" s="0" t="s">
        <v>228</v>
      </c>
      <c r="H175" s="5" t="s">
        <v>535</v>
      </c>
    </row>
    <row r="176" customFormat="false" ht="17.15" hidden="false" customHeight="false" outlineLevel="0" collapsed="false">
      <c r="A176" s="0" t="s">
        <v>536</v>
      </c>
      <c r="B176" s="5" t="s">
        <v>537</v>
      </c>
      <c r="C176" s="0" t="s">
        <v>45</v>
      </c>
      <c r="D176" s="0" t="n">
        <f aca="false">E140</f>
        <v>0.3</v>
      </c>
      <c r="E176" s="0" t="n">
        <f aca="false">E141</f>
        <v>0.5</v>
      </c>
      <c r="F176" s="0" t="n">
        <f aca="false">E142</f>
        <v>0.2</v>
      </c>
      <c r="G176" s="0" t="s">
        <v>228</v>
      </c>
      <c r="H176" s="5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539</v>
      </c>
    </row>
    <row r="2" customFormat="false" ht="17.15" hidden="false" customHeight="false" outlineLevel="0" collapsed="false">
      <c r="A2" s="0" t="s">
        <v>540</v>
      </c>
    </row>
    <row r="3" customFormat="false" ht="17.15" hidden="false" customHeight="false" outlineLevel="0" collapsed="false">
      <c r="A3" s="6" t="s">
        <v>23</v>
      </c>
      <c r="B3" s="14" t="s">
        <v>541</v>
      </c>
      <c r="C3" s="14" t="s">
        <v>542</v>
      </c>
      <c r="D3" s="14" t="s">
        <v>543</v>
      </c>
      <c r="E3" s="14" t="s">
        <v>544</v>
      </c>
      <c r="F3" s="14" t="s">
        <v>545</v>
      </c>
      <c r="G3" s="14" t="s">
        <v>546</v>
      </c>
      <c r="H3" s="14" t="s">
        <v>547</v>
      </c>
      <c r="I3" s="6" t="s">
        <v>28</v>
      </c>
      <c r="J3" s="6" t="s">
        <v>548</v>
      </c>
      <c r="K3" s="6" t="s">
        <v>30</v>
      </c>
    </row>
    <row r="4" customFormat="false" ht="17.15" hidden="false" customHeight="false" outlineLevel="0" collapsed="false">
      <c r="A4" s="0" t="s">
        <v>549</v>
      </c>
      <c r="B4" s="15" t="n">
        <v>191.3</v>
      </c>
      <c r="C4" s="15" t="n">
        <v>173.7</v>
      </c>
      <c r="D4" s="15" t="n">
        <v>165.2</v>
      </c>
      <c r="E4" s="15" t="n">
        <v>237.2</v>
      </c>
      <c r="F4" s="15" t="n">
        <v>767.4</v>
      </c>
      <c r="G4" s="15" t="n">
        <v>259.6</v>
      </c>
      <c r="H4" s="5" t="s">
        <v>550</v>
      </c>
      <c r="I4" s="8" t="s">
        <v>425</v>
      </c>
      <c r="J4" s="8" t="s">
        <v>551</v>
      </c>
      <c r="K4" s="8" t="s">
        <v>552</v>
      </c>
    </row>
    <row r="5" customFormat="false" ht="17.15" hidden="false" customHeight="false" outlineLevel="0" collapsed="false">
      <c r="A5" s="5" t="s">
        <v>553</v>
      </c>
      <c r="B5" s="15" t="n">
        <v>33.5</v>
      </c>
      <c r="C5" s="15" t="n">
        <v>43.9</v>
      </c>
      <c r="D5" s="15" t="n">
        <v>57.3</v>
      </c>
      <c r="E5" s="15" t="n">
        <v>36.8</v>
      </c>
      <c r="F5" s="15" t="n">
        <v>171.5</v>
      </c>
      <c r="G5" s="15" t="n">
        <v>48</v>
      </c>
      <c r="I5" s="8" t="s">
        <v>425</v>
      </c>
      <c r="J5" s="8" t="s">
        <v>554</v>
      </c>
      <c r="K5" s="8" t="s">
        <v>555</v>
      </c>
    </row>
    <row r="6" customFormat="false" ht="17.15" hidden="false" customHeight="false" outlineLevel="0" collapsed="false">
      <c r="A6" s="5" t="s">
        <v>556</v>
      </c>
      <c r="B6" s="15" t="n">
        <v>15.8</v>
      </c>
      <c r="D6" s="15" t="n">
        <v>22.6</v>
      </c>
      <c r="F6" s="15" t="n">
        <v>80.5</v>
      </c>
      <c r="G6" s="15" t="n">
        <v>26</v>
      </c>
      <c r="I6" s="8" t="s">
        <v>557</v>
      </c>
      <c r="J6" s="8" t="s">
        <v>558</v>
      </c>
      <c r="K6" s="8" t="s">
        <v>559</v>
      </c>
    </row>
    <row r="7" customFormat="false" ht="17.15" hidden="false" customHeight="false" outlineLevel="0" collapsed="false">
      <c r="A7" s="5" t="s">
        <v>560</v>
      </c>
      <c r="B7" s="15" t="n">
        <v>23.2</v>
      </c>
      <c r="D7" s="15" t="n">
        <v>28.7</v>
      </c>
      <c r="F7" s="15" t="n">
        <v>109.2</v>
      </c>
      <c r="G7" s="15" t="n">
        <v>33.9</v>
      </c>
      <c r="I7" s="8" t="s">
        <v>561</v>
      </c>
      <c r="J7" s="8" t="s">
        <v>562</v>
      </c>
      <c r="K7" s="8" t="s">
        <v>563</v>
      </c>
    </row>
    <row r="8" customFormat="false" ht="17.15" hidden="false" customHeight="false" outlineLevel="0" collapsed="false">
      <c r="A8" s="5" t="s">
        <v>564</v>
      </c>
      <c r="B8" s="16" t="n">
        <f aca="false">B6+B7</f>
        <v>39</v>
      </c>
      <c r="C8" s="16" t="n">
        <f aca="false">C9-C4-C5</f>
        <v>45.3</v>
      </c>
      <c r="D8" s="16" t="n">
        <f aca="false">D6+D7</f>
        <v>51.3</v>
      </c>
      <c r="E8" s="16" t="n">
        <f aca="false">E9-E4-E5</f>
        <v>54.1</v>
      </c>
      <c r="F8" s="16" t="n">
        <f aca="false">F6+F7</f>
        <v>189.7</v>
      </c>
      <c r="G8" s="16" t="n">
        <f aca="false">G6+G7</f>
        <v>59.9</v>
      </c>
      <c r="I8" s="8" t="s">
        <v>228</v>
      </c>
      <c r="J8" s="5" t="s">
        <v>565</v>
      </c>
      <c r="K8" s="8" t="s">
        <v>177</v>
      </c>
    </row>
    <row r="9" customFormat="false" ht="17.15" hidden="false" customHeight="false" outlineLevel="0" collapsed="false">
      <c r="A9" s="5" t="s">
        <v>566</v>
      </c>
      <c r="B9" s="15" t="n">
        <v>263.8</v>
      </c>
      <c r="C9" s="15" t="n">
        <v>262.9</v>
      </c>
      <c r="D9" s="15" t="n">
        <v>273.8</v>
      </c>
      <c r="E9" s="15" t="n">
        <v>328.1</v>
      </c>
      <c r="F9" s="15" t="n">
        <v>1128.6</v>
      </c>
      <c r="G9" s="15" t="n">
        <v>367.5</v>
      </c>
      <c r="I9" s="8" t="s">
        <v>425</v>
      </c>
      <c r="J9" s="5" t="s">
        <v>567</v>
      </c>
      <c r="K9" s="8" t="s">
        <v>568</v>
      </c>
    </row>
    <row r="10" customFormat="false" ht="17.15" hidden="false" customHeight="false" outlineLevel="0" collapsed="false">
      <c r="A10" s="5" t="s">
        <v>569</v>
      </c>
      <c r="B10" s="17" t="n">
        <f aca="false">B4+B5+B8-B9</f>
        <v>0</v>
      </c>
      <c r="C10" s="17" t="n">
        <f aca="false">C4+C5+C8-C9</f>
        <v>0</v>
      </c>
      <c r="D10" s="17" t="n">
        <f aca="false">D4+D5+D8-D9</f>
        <v>0</v>
      </c>
      <c r="E10" s="17" t="n">
        <f aca="false">E4+E5+E8-E9</f>
        <v>0</v>
      </c>
      <c r="F10" s="17" t="n">
        <f aca="false">F4+F5+F8-F9</f>
        <v>0</v>
      </c>
      <c r="G10" s="17" t="n">
        <f aca="false">G4+G5+G8-G9</f>
        <v>0</v>
      </c>
      <c r="I10" s="8" t="s">
        <v>177</v>
      </c>
      <c r="J10" s="8" t="s">
        <v>177</v>
      </c>
      <c r="K10" s="8" t="s">
        <v>177</v>
      </c>
    </row>
    <row r="11" customFormat="false" ht="17.15" hidden="false" customHeight="false" outlineLevel="0" collapsed="false">
      <c r="A11" s="5" t="s">
        <v>570</v>
      </c>
      <c r="B11" s="18" t="n">
        <v>0.651</v>
      </c>
      <c r="D11" s="18" t="n">
        <v>0.62</v>
      </c>
      <c r="E11" s="18" t="n">
        <v>0.674</v>
      </c>
      <c r="F11" s="18" t="n">
        <v>0.643</v>
      </c>
      <c r="G11" s="18" t="n">
        <v>0.695</v>
      </c>
      <c r="I11" s="8" t="s">
        <v>571</v>
      </c>
      <c r="J11" s="5" t="s">
        <v>572</v>
      </c>
      <c r="K11" s="8" t="s">
        <v>573</v>
      </c>
    </row>
    <row r="12" customFormat="false" ht="17.15" hidden="false" customHeight="false" outlineLevel="0" collapsed="false">
      <c r="A12" s="5" t="s">
        <v>574</v>
      </c>
      <c r="B12" s="16" t="n">
        <f aca="false">B9*B11</f>
        <v>171.7338</v>
      </c>
      <c r="C12" s="16" t="n">
        <f aca="false">F12-B12-D12-E12</f>
        <v>163.0606</v>
      </c>
      <c r="D12" s="16" t="n">
        <f aca="false">D9*D11</f>
        <v>169.756</v>
      </c>
      <c r="E12" s="16" t="n">
        <f aca="false">E9*E11</f>
        <v>221.1394</v>
      </c>
      <c r="F12" s="16" t="n">
        <f aca="false">F9*F11</f>
        <v>725.6898</v>
      </c>
      <c r="G12" s="16" t="n">
        <f aca="false">G9*G11</f>
        <v>255.4125</v>
      </c>
      <c r="I12" s="8" t="s">
        <v>228</v>
      </c>
      <c r="J12" s="5" t="s">
        <v>575</v>
      </c>
      <c r="K12" s="8" t="s">
        <v>576</v>
      </c>
    </row>
    <row r="13" customFormat="false" ht="17.15" hidden="false" customHeight="false" outlineLevel="0" collapsed="false">
      <c r="A13" s="5" t="s">
        <v>577</v>
      </c>
      <c r="B13" s="16" t="n">
        <f aca="false">232.4-C13</f>
        <v>124</v>
      </c>
      <c r="C13" s="15" t="n">
        <v>108.4</v>
      </c>
      <c r="D13" s="15" t="n">
        <v>113.6</v>
      </c>
      <c r="E13" s="15" t="n">
        <v>153.1</v>
      </c>
      <c r="F13" s="15" t="n">
        <v>499.1</v>
      </c>
      <c r="G13" s="15" t="n">
        <v>190</v>
      </c>
      <c r="I13" s="8" t="s">
        <v>557</v>
      </c>
      <c r="J13" s="5" t="s">
        <v>578</v>
      </c>
      <c r="K13" s="8" t="s">
        <v>579</v>
      </c>
    </row>
    <row r="14" customFormat="false" ht="17.15" hidden="false" customHeight="false" outlineLevel="0" collapsed="false">
      <c r="A14" s="5" t="s">
        <v>580</v>
      </c>
      <c r="B14" s="10" t="n">
        <f aca="false">B13/B9</f>
        <v>0.470053070507961</v>
      </c>
      <c r="C14" s="10" t="n">
        <f aca="false">C13/C9</f>
        <v>0.412324077596044</v>
      </c>
      <c r="D14" s="10" t="n">
        <f aca="false">D13/D9</f>
        <v>0.414901387874361</v>
      </c>
      <c r="E14" s="10" t="n">
        <f aca="false">E13/E9</f>
        <v>0.466626028649802</v>
      </c>
      <c r="F14" s="10" t="n">
        <f aca="false">F13/F9</f>
        <v>0.442229310650363</v>
      </c>
      <c r="G14" s="10" t="n">
        <f aca="false">G13/G9</f>
        <v>0.517006802721089</v>
      </c>
      <c r="I14" s="8" t="s">
        <v>228</v>
      </c>
      <c r="J14" s="8" t="s">
        <v>177</v>
      </c>
      <c r="K14" s="5" t="s">
        <v>581</v>
      </c>
    </row>
    <row r="15" customFormat="false" ht="15" hidden="false" customHeight="false" outlineLevel="0" collapsed="false">
      <c r="A15" s="5" t="s">
        <v>582</v>
      </c>
      <c r="B15" s="16" t="n">
        <f aca="false">B12-B13</f>
        <v>47.7338</v>
      </c>
      <c r="C15" s="16" t="n">
        <f aca="false">C12-C13</f>
        <v>54.6606</v>
      </c>
      <c r="D15" s="16" t="n">
        <f aca="false">D12-D13</f>
        <v>56.156</v>
      </c>
      <c r="E15" s="16" t="n">
        <f aca="false">E12-E13</f>
        <v>68.0394</v>
      </c>
      <c r="F15" s="16" t="n">
        <f aca="false">F12-F13</f>
        <v>226.5898</v>
      </c>
      <c r="G15" s="16" t="n">
        <f aca="false">G12-G13</f>
        <v>65.4125</v>
      </c>
      <c r="I15" s="8" t="s">
        <v>228</v>
      </c>
      <c r="J15" s="8" t="s">
        <v>177</v>
      </c>
      <c r="K15" s="8" t="s">
        <v>177</v>
      </c>
    </row>
    <row r="16" customFormat="false" ht="17.15" hidden="false" customHeight="false" outlineLevel="0" collapsed="false">
      <c r="A16" s="5" t="s">
        <v>583</v>
      </c>
      <c r="B16" s="16" t="n">
        <f aca="false">169.8-C16</f>
        <v>90.2</v>
      </c>
      <c r="C16" s="15" t="n">
        <v>79.6</v>
      </c>
      <c r="D16" s="15" t="n">
        <v>78.7</v>
      </c>
      <c r="E16" s="15" t="n">
        <v>126.9</v>
      </c>
      <c r="F16" s="15" t="n">
        <v>375.4</v>
      </c>
      <c r="G16" s="15" t="n">
        <v>174.8</v>
      </c>
      <c r="I16" s="8" t="s">
        <v>557</v>
      </c>
      <c r="J16" s="5" t="s">
        <v>584</v>
      </c>
      <c r="K16" s="8" t="s">
        <v>585</v>
      </c>
    </row>
    <row r="17" customFormat="false" ht="17.15" hidden="false" customHeight="false" outlineLevel="0" collapsed="false">
      <c r="A17" s="0" t="s">
        <v>586</v>
      </c>
      <c r="B17" s="15" t="n">
        <v>123.14</v>
      </c>
      <c r="C17" s="16" t="n">
        <f aca="false">232.19-B17</f>
        <v>109.05</v>
      </c>
      <c r="D17" s="16" t="n">
        <f aca="false">F17-232.19-E17</f>
        <v>108.9</v>
      </c>
      <c r="E17" s="15" t="n">
        <v>174.06</v>
      </c>
      <c r="F17" s="15" t="n">
        <v>515.15</v>
      </c>
      <c r="G17" s="15" t="n">
        <v>241.27</v>
      </c>
      <c r="I17" s="8" t="s">
        <v>587</v>
      </c>
      <c r="J17" s="5" t="s">
        <v>588</v>
      </c>
      <c r="K17" s="5" t="s">
        <v>589</v>
      </c>
    </row>
    <row r="18" customFormat="false" ht="17.15" hidden="false" customHeight="false" outlineLevel="0" collapsed="false">
      <c r="A18" s="5" t="s">
        <v>590</v>
      </c>
      <c r="B18" s="19" t="n">
        <f aca="false">SUM(B4:E4)-F4</f>
        <v>0</v>
      </c>
      <c r="C18" s="19" t="n">
        <f aca="false">SUM(B5:E5)-F5</f>
        <v>0</v>
      </c>
      <c r="D18" s="19" t="n">
        <f aca="false">SUM(B9:E9)-F9</f>
        <v>0</v>
      </c>
      <c r="E18" s="19" t="n">
        <f aca="false">SUM(B13:E13)-F13</f>
        <v>0</v>
      </c>
      <c r="F18" s="19" t="n">
        <f aca="false">SUM(B16:E16)-F16</f>
        <v>0</v>
      </c>
      <c r="G18" s="19" t="n">
        <f aca="false">SUM(B17:E17)-F17</f>
        <v>0</v>
      </c>
      <c r="I18" s="8" t="s">
        <v>177</v>
      </c>
      <c r="J18" s="8" t="s">
        <v>177</v>
      </c>
      <c r="K18" s="8" t="s">
        <v>177</v>
      </c>
    </row>
    <row r="21" customFormat="false" ht="17.15" hidden="false" customHeight="false" outlineLevel="0" collapsed="false">
      <c r="A21" s="1" t="s">
        <v>591</v>
      </c>
    </row>
    <row r="22" customFormat="false" ht="17.15" hidden="false" customHeight="false" outlineLevel="0" collapsed="false">
      <c r="A22" s="6" t="s">
        <v>23</v>
      </c>
      <c r="B22" s="14" t="s">
        <v>592</v>
      </c>
      <c r="C22" s="14" t="s">
        <v>593</v>
      </c>
      <c r="D22" s="6" t="s">
        <v>594</v>
      </c>
      <c r="E22" s="14" t="s">
        <v>595</v>
      </c>
      <c r="F22" s="14" t="s">
        <v>596</v>
      </c>
      <c r="G22" s="14"/>
      <c r="H22" s="14"/>
      <c r="I22" s="6" t="s">
        <v>28</v>
      </c>
      <c r="J22" s="6" t="s">
        <v>548</v>
      </c>
      <c r="K22" s="6" t="s">
        <v>30</v>
      </c>
    </row>
    <row r="23" customFormat="false" ht="17.15" hidden="false" customHeight="false" outlineLevel="0" collapsed="false">
      <c r="A23" s="5" t="s">
        <v>566</v>
      </c>
      <c r="B23" s="15" t="n">
        <v>1420</v>
      </c>
      <c r="C23" s="16" t="n">
        <f aca="false">g_rev</f>
        <v>1714</v>
      </c>
      <c r="D23" s="10" t="n">
        <f aca="false">C23/B23-1</f>
        <v>0.207042253521127</v>
      </c>
      <c r="E23" s="16" t="n">
        <f aca="false">a25_rev</f>
        <v>1128.6</v>
      </c>
      <c r="F23" s="10" t="n">
        <f aca="false">C23/E23-1</f>
        <v>0.518695729222045</v>
      </c>
      <c r="I23" s="8" t="s">
        <v>35</v>
      </c>
      <c r="J23" s="8" t="s">
        <v>597</v>
      </c>
      <c r="K23" s="8" t="s">
        <v>598</v>
      </c>
    </row>
    <row r="24" customFormat="false" ht="17.15" hidden="false" customHeight="false" outlineLevel="0" collapsed="false">
      <c r="A24" s="0" t="s">
        <v>549</v>
      </c>
      <c r="B24" s="15" t="n">
        <v>999.5</v>
      </c>
      <c r="C24" s="16" t="n">
        <f aca="false">g_soc</f>
        <v>1243.5</v>
      </c>
      <c r="D24" s="10" t="n">
        <f aca="false">C24/B24-1</f>
        <v>0.244122061030515</v>
      </c>
      <c r="E24" s="16" t="n">
        <f aca="false">a25_soc</f>
        <v>767.4</v>
      </c>
      <c r="F24" s="10" t="n">
        <f aca="false">C24/E24-1</f>
        <v>0.620406567630962</v>
      </c>
      <c r="I24" s="8" t="s">
        <v>35</v>
      </c>
      <c r="J24" s="8" t="s">
        <v>597</v>
      </c>
      <c r="K24" s="8" t="s">
        <v>598</v>
      </c>
    </row>
    <row r="25" customFormat="false" ht="17.15" hidden="false" customHeight="false" outlineLevel="0" collapsed="false">
      <c r="A25" s="5" t="s">
        <v>553</v>
      </c>
      <c r="B25" s="15" t="n">
        <v>201</v>
      </c>
      <c r="C25" s="16" t="n">
        <f aca="false">g_mem</f>
        <v>227</v>
      </c>
      <c r="D25" s="10" t="n">
        <f aca="false">C25/B25-1</f>
        <v>0.129353233830846</v>
      </c>
      <c r="E25" s="16" t="n">
        <f aca="false">a25_mem</f>
        <v>171.5</v>
      </c>
      <c r="F25" s="10" t="n">
        <f aca="false">C25/E25-1</f>
        <v>0.323615160349854</v>
      </c>
      <c r="I25" s="8" t="s">
        <v>35</v>
      </c>
      <c r="J25" s="8" t="s">
        <v>597</v>
      </c>
      <c r="K25" s="8" t="s">
        <v>598</v>
      </c>
    </row>
    <row r="26" customFormat="false" ht="17.15" hidden="false" customHeight="false" outlineLevel="0" collapsed="false">
      <c r="A26" s="5" t="s">
        <v>599</v>
      </c>
      <c r="B26" s="16" t="n">
        <f aca="false">B23-B24-B25</f>
        <v>219.5</v>
      </c>
      <c r="C26" s="16" t="n">
        <f aca="false">C23-C24-C25</f>
        <v>243.5</v>
      </c>
      <c r="D26" s="10" t="n">
        <f aca="false">C26/B26-1</f>
        <v>0.109339407744875</v>
      </c>
      <c r="E26" s="16" t="n">
        <f aca="false">a25_oth+a25_svc</f>
        <v>189.7</v>
      </c>
      <c r="F26" s="10" t="n">
        <f aca="false">C26/E26-1</f>
        <v>0.283605693199789</v>
      </c>
      <c r="I26" s="8" t="s">
        <v>35</v>
      </c>
      <c r="J26" s="8" t="s">
        <v>597</v>
      </c>
      <c r="K26" s="8" t="s">
        <v>598</v>
      </c>
    </row>
    <row r="27" customFormat="false" ht="17.15" hidden="false" customHeight="false" outlineLevel="0" collapsed="false">
      <c r="A27" s="5" t="s">
        <v>577</v>
      </c>
      <c r="B27" s="15" t="n">
        <v>627.5</v>
      </c>
      <c r="C27" s="16" t="n">
        <f aca="false">g_oi</f>
        <v>846</v>
      </c>
      <c r="D27" s="10" t="n">
        <f aca="false">C27/B27-1</f>
        <v>0.348207171314741</v>
      </c>
      <c r="E27" s="16" t="n">
        <f aca="false">a25_oi</f>
        <v>499.1</v>
      </c>
      <c r="F27" s="10" t="n">
        <f aca="false">C27/E27-1</f>
        <v>0.695051091965538</v>
      </c>
      <c r="I27" s="8" t="s">
        <v>35</v>
      </c>
      <c r="J27" s="8" t="s">
        <v>597</v>
      </c>
      <c r="K27" s="8" t="s">
        <v>598</v>
      </c>
    </row>
    <row r="28" customFormat="false" ht="17.15" hidden="false" customHeight="false" outlineLevel="0" collapsed="false">
      <c r="A28" s="5" t="s">
        <v>600</v>
      </c>
      <c r="B28" s="15" t="n">
        <v>465.5</v>
      </c>
      <c r="C28" s="16" t="n">
        <f aca="false">g_ni</f>
        <v>660</v>
      </c>
      <c r="D28" s="10" t="n">
        <f aca="false">C28/B28-1</f>
        <v>0.417830290010741</v>
      </c>
      <c r="E28" s="16" t="n">
        <f aca="false">a25_ni</f>
        <v>375.4</v>
      </c>
      <c r="F28" s="10" t="n">
        <f aca="false">C28/E28-1</f>
        <v>0.758124667021844</v>
      </c>
      <c r="I28" s="8" t="s">
        <v>35</v>
      </c>
      <c r="J28" s="8" t="s">
        <v>597</v>
      </c>
      <c r="K28" s="8" t="s">
        <v>598</v>
      </c>
    </row>
    <row r="29" customFormat="false" ht="17.15" hidden="false" customHeight="false" outlineLevel="0" collapsed="false">
      <c r="A29" s="0" t="s">
        <v>586</v>
      </c>
      <c r="C29" s="16" t="n">
        <f aca="false">g_eps</f>
        <v>911.64</v>
      </c>
      <c r="E29" s="16" t="n">
        <f aca="false">a25_eps</f>
        <v>515.15</v>
      </c>
      <c r="F29" s="10" t="n">
        <f aca="false">C29/E29-1</f>
        <v>0.769659322527419</v>
      </c>
      <c r="I29" s="8" t="s">
        <v>35</v>
      </c>
      <c r="J29" s="8" t="s">
        <v>597</v>
      </c>
      <c r="K29" s="8" t="s">
        <v>598</v>
      </c>
    </row>
    <row r="30" customFormat="false" ht="17.15" hidden="false" customHeight="false" outlineLevel="0" collapsed="false">
      <c r="A30" s="5" t="s">
        <v>601</v>
      </c>
      <c r="B30" s="10" t="n">
        <f aca="false">B27/B23</f>
        <v>0.441901408450704</v>
      </c>
      <c r="C30" s="10" t="n">
        <f aca="false">C27/C23</f>
        <v>0.493582263710618</v>
      </c>
      <c r="E30" s="10" t="n">
        <f aca="false">a25_oi/a25_rev</f>
        <v>0.442229310650363</v>
      </c>
      <c r="K30" s="5" t="s">
        <v>602</v>
      </c>
    </row>
    <row r="32" customFormat="false" ht="17.15" hidden="false" customHeight="false" outlineLevel="0" collapsed="false">
      <c r="A32" s="1" t="s">
        <v>603</v>
      </c>
    </row>
    <row r="33" customFormat="false" ht="17.15" hidden="false" customHeight="false" outlineLevel="0" collapsed="false">
      <c r="A33" s="0" t="s">
        <v>604</v>
      </c>
      <c r="B33" s="16" t="n">
        <f aca="false">a25_soc+a25_mem+a25_oth+65</f>
        <v>1084.4</v>
      </c>
    </row>
    <row r="34" customFormat="false" ht="15" hidden="false" customHeight="false" outlineLevel="0" collapsed="false">
      <c r="A34" s="5" t="s">
        <v>605</v>
      </c>
      <c r="B34" s="16" t="n">
        <f aca="false">a25_rev-B33</f>
        <v>44.1999999999998</v>
      </c>
    </row>
    <row r="35" customFormat="false" ht="17.15" hidden="false" customHeight="false" outlineLevel="0" collapsed="false">
      <c r="A35" s="5" t="s">
        <v>606</v>
      </c>
      <c r="B35" s="16" t="n">
        <f aca="false">a25_svc-65</f>
        <v>44.2</v>
      </c>
    </row>
    <row r="36" customFormat="false" ht="17.15" hidden="false" customHeight="false" outlineLevel="0" collapsed="false">
      <c r="A36" s="0" t="s">
        <v>607</v>
      </c>
      <c r="B36" s="17" t="n">
        <f aca="false">a25_soc+a25_mem+a25_oth+a25_svc-a25_rev</f>
        <v>0</v>
      </c>
    </row>
    <row r="37" customFormat="false" ht="17.15" hidden="false" customHeight="false" outlineLevel="0" collapsed="false">
      <c r="A37" s="5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609</v>
      </c>
    </row>
    <row r="3" customFormat="false" ht="15" hidden="false" customHeight="false" outlineLevel="0" collapsed="false">
      <c r="A3" s="6" t="s">
        <v>23</v>
      </c>
      <c r="B3" s="6" t="s">
        <v>24</v>
      </c>
      <c r="C3" s="14" t="s">
        <v>610</v>
      </c>
      <c r="D3" s="14" t="s">
        <v>611</v>
      </c>
      <c r="E3" s="14" t="s">
        <v>612</v>
      </c>
      <c r="F3" s="14" t="s">
        <v>613</v>
      </c>
      <c r="G3" s="14" t="s">
        <v>614</v>
      </c>
      <c r="H3" s="6" t="s">
        <v>478</v>
      </c>
    </row>
    <row r="4" customFormat="false" ht="17.15" hidden="false" customHeight="false" outlineLevel="0" collapsed="false">
      <c r="A4" s="4" t="s">
        <v>615</v>
      </c>
    </row>
    <row r="5" customFormat="false" ht="17.15" hidden="false" customHeight="false" outlineLevel="0" collapsed="false">
      <c r="A5" s="0" t="s">
        <v>616</v>
      </c>
      <c r="B5" s="5" t="s">
        <v>34</v>
      </c>
      <c r="C5" s="19" t="n">
        <f aca="false">u_bw_26</f>
        <v>5.4</v>
      </c>
      <c r="D5" s="19" t="n">
        <f aca="false">u_bw_27</f>
        <v>2.4</v>
      </c>
      <c r="E5" s="19" t="n">
        <f aca="false">u_bw_28*um28_A</f>
        <v>0.5</v>
      </c>
      <c r="F5" s="19" t="n">
        <f aca="false">u_bw_28*(1+g29_bw)*um29_A</f>
        <v>0.25</v>
      </c>
      <c r="G5" s="19" t="n">
        <f aca="false">F5*(1+cy30g)</f>
        <v>0.25</v>
      </c>
    </row>
    <row r="6" customFormat="false" ht="15" hidden="false" customHeight="false" outlineLevel="0" collapsed="false">
      <c r="A6" s="0" t="s">
        <v>617</v>
      </c>
      <c r="B6" s="5" t="s">
        <v>34</v>
      </c>
      <c r="C6" s="19" t="n">
        <f aca="false">u_rb_26</f>
        <v>1.7</v>
      </c>
      <c r="D6" s="19" t="n">
        <f aca="false">u_rb_27</f>
        <v>7</v>
      </c>
      <c r="E6" s="19" t="n">
        <f aca="false">u_rb_28*um28_A</f>
        <v>7</v>
      </c>
      <c r="F6" s="19" t="n">
        <f aca="false">u_rb_28*(1+g29_rb)*um29_A</f>
        <v>8.05</v>
      </c>
      <c r="G6" s="19" t="n">
        <f aca="false">F6*(1+cy30g)</f>
        <v>8.05</v>
      </c>
    </row>
    <row r="7" customFormat="false" ht="15" hidden="false" customHeight="false" outlineLevel="0" collapsed="false">
      <c r="A7" s="0" t="s">
        <v>618</v>
      </c>
      <c r="B7" s="5" t="s">
        <v>34</v>
      </c>
      <c r="C7" s="19" t="n">
        <f aca="false">u_ru_26</f>
        <v>0</v>
      </c>
      <c r="D7" s="19" t="n">
        <f aca="false">u_ru_27</f>
        <v>0.3</v>
      </c>
      <c r="E7" s="19" t="n">
        <f aca="false">u_ru_28*um28_A</f>
        <v>2</v>
      </c>
      <c r="F7" s="19" t="n">
        <f aca="false">u_ru_28*(1+g29_ru)*um29_A</f>
        <v>2.3</v>
      </c>
      <c r="G7" s="19" t="n">
        <f aca="false">F7*(1+cy30g)</f>
        <v>2.3</v>
      </c>
    </row>
    <row r="8" customFormat="false" ht="17.15" hidden="false" customHeight="false" outlineLevel="0" collapsed="false">
      <c r="A8" s="0" t="s">
        <v>619</v>
      </c>
      <c r="B8" s="5" t="s">
        <v>34</v>
      </c>
      <c r="C8" s="19" t="n">
        <f aca="false">u_hp_26</f>
        <v>0.5</v>
      </c>
      <c r="D8" s="19" t="n">
        <f aca="false">u_hp_27</f>
        <v>0</v>
      </c>
      <c r="E8" s="19" t="n">
        <f aca="false">u_hp_28*um28_A</f>
        <v>0</v>
      </c>
      <c r="F8" s="19" t="n">
        <f aca="false">u_hp_28*(1+g29_hp)*um29_A</f>
        <v>0</v>
      </c>
      <c r="G8" s="19" t="n">
        <f aca="false">F8*(1+cy30g)</f>
        <v>0</v>
      </c>
    </row>
    <row r="9" customFormat="false" ht="15" hidden="false" customHeight="false" outlineLevel="0" collapsed="false">
      <c r="A9" s="0" t="s">
        <v>620</v>
      </c>
      <c r="B9" s="5" t="s">
        <v>34</v>
      </c>
      <c r="C9" s="19" t="n">
        <f aca="false">u_amd_26</f>
        <v>0.75</v>
      </c>
      <c r="D9" s="19" t="n">
        <f aca="false">u_amd_27</f>
        <v>1.5</v>
      </c>
      <c r="E9" s="19" t="n">
        <f aca="false">u_amd_28*um28_A</f>
        <v>2</v>
      </c>
      <c r="F9" s="19" t="n">
        <f aca="false">u_amd_28*(1+g29_amd)*um29_A</f>
        <v>2.3</v>
      </c>
      <c r="G9" s="19" t="n">
        <f aca="false">F9*(1+cy30g)</f>
        <v>2.3</v>
      </c>
    </row>
    <row r="10" customFormat="false" ht="15" hidden="false" customHeight="false" outlineLevel="0" collapsed="false">
      <c r="A10" s="0" t="s">
        <v>621</v>
      </c>
      <c r="B10" s="5" t="s">
        <v>34</v>
      </c>
      <c r="C10" s="19" t="n">
        <f aca="false">u_tpu_26</f>
        <v>3.85</v>
      </c>
      <c r="D10" s="19" t="n">
        <f aca="false">u_tpu_27</f>
        <v>5.5</v>
      </c>
      <c r="E10" s="19" t="n">
        <f aca="false">u_tpu_28*um28_A</f>
        <v>7</v>
      </c>
      <c r="F10" s="19" t="n">
        <f aca="false">u_tpu_28*(1+g29_tpu)*um29_A</f>
        <v>8.05</v>
      </c>
      <c r="G10" s="19" t="n">
        <f aca="false">F10*(1+cy30g)</f>
        <v>8.05</v>
      </c>
    </row>
    <row r="11" customFormat="false" ht="15" hidden="false" customHeight="false" outlineLevel="0" collapsed="false">
      <c r="A11" s="0" t="s">
        <v>622</v>
      </c>
      <c r="B11" s="5" t="s">
        <v>34</v>
      </c>
      <c r="C11" s="19" t="n">
        <f aca="false">u_trn_26</f>
        <v>2</v>
      </c>
      <c r="D11" s="19" t="n">
        <f aca="false">u_trn_27</f>
        <v>2.5</v>
      </c>
      <c r="E11" s="19" t="n">
        <f aca="false">u_trn_28*um28_A</f>
        <v>3</v>
      </c>
      <c r="F11" s="19" t="n">
        <f aca="false">u_trn_28*(1+g29_trn)*um29_A</f>
        <v>3.45</v>
      </c>
      <c r="G11" s="19" t="n">
        <f aca="false">F11*(1+cy30g)</f>
        <v>3.45</v>
      </c>
    </row>
    <row r="12" customFormat="false" ht="17.15" hidden="false" customHeight="false" outlineLevel="0" collapsed="false">
      <c r="A12" s="5" t="s">
        <v>623</v>
      </c>
      <c r="B12" s="5" t="s">
        <v>34</v>
      </c>
      <c r="C12" s="19" t="n">
        <f aca="false">u_oth_26</f>
        <v>1</v>
      </c>
      <c r="D12" s="19" t="n">
        <f aca="false">u_oth_27</f>
        <v>4.5</v>
      </c>
      <c r="E12" s="19" t="n">
        <f aca="false">u_oth_28*um28_A</f>
        <v>5</v>
      </c>
      <c r="F12" s="19" t="n">
        <f aca="false">u_oth_28*(1+g29_oth)*um29_A</f>
        <v>5.75</v>
      </c>
      <c r="G12" s="19" t="n">
        <f aca="false">F12*(1+cy30g)</f>
        <v>5.75</v>
      </c>
    </row>
    <row r="13" customFormat="false" ht="17.15" hidden="false" customHeight="false" outlineLevel="0" collapsed="false">
      <c r="A13" s="4" t="s">
        <v>624</v>
      </c>
      <c r="B13" s="5" t="s">
        <v>34</v>
      </c>
      <c r="C13" s="19" t="n">
        <f aca="false">SUM(C5:C12)</f>
        <v>15.2</v>
      </c>
      <c r="D13" s="19" t="n">
        <f aca="false">SUM(D5:D12)</f>
        <v>23.7</v>
      </c>
      <c r="E13" s="19" t="n">
        <f aca="false">SUM(E5:E12)</f>
        <v>26.5</v>
      </c>
      <c r="F13" s="19" t="n">
        <f aca="false">SUM(F5:F12)</f>
        <v>30.15</v>
      </c>
      <c r="G13" s="19" t="n">
        <f aca="false">SUM(G5:G12)</f>
        <v>30.15</v>
      </c>
      <c r="H13" s="8" t="s">
        <v>625</v>
      </c>
    </row>
    <row r="15" customFormat="false" ht="17.15" hidden="false" customHeight="false" outlineLevel="0" collapsed="false">
      <c r="A15" s="4" t="s">
        <v>626</v>
      </c>
    </row>
    <row r="16" customFormat="false" ht="17.15" hidden="false" customHeight="false" outlineLevel="0" collapsed="false">
      <c r="A16" s="0" t="s">
        <v>616</v>
      </c>
      <c r="B16" s="5" t="s">
        <v>34</v>
      </c>
      <c r="C16" s="19" t="n">
        <f aca="false">u_bw_26</f>
        <v>5.4</v>
      </c>
      <c r="D16" s="19" t="n">
        <f aca="false">u_bw_27</f>
        <v>2.4</v>
      </c>
      <c r="E16" s="19" t="n">
        <f aca="false">u_bw_28*um28_B</f>
        <v>0.4</v>
      </c>
      <c r="F16" s="19" t="n">
        <f aca="false">u_bw_28*(1+g29_bw)*um29_B</f>
        <v>0.2125</v>
      </c>
      <c r="G16" s="19" t="n">
        <f aca="false">F16*(1+cy30g)</f>
        <v>0.2125</v>
      </c>
    </row>
    <row r="17" customFormat="false" ht="15" hidden="false" customHeight="false" outlineLevel="0" collapsed="false">
      <c r="A17" s="0" t="s">
        <v>617</v>
      </c>
      <c r="B17" s="5" t="s">
        <v>34</v>
      </c>
      <c r="C17" s="19" t="n">
        <f aca="false">u_rb_26</f>
        <v>1.7</v>
      </c>
      <c r="D17" s="19" t="n">
        <f aca="false">u_rb_27</f>
        <v>7</v>
      </c>
      <c r="E17" s="19" t="n">
        <f aca="false">u_rb_28*um28_B</f>
        <v>5.6</v>
      </c>
      <c r="F17" s="19" t="n">
        <f aca="false">u_rb_28*(1+g29_rb)*um29_B</f>
        <v>6.8425</v>
      </c>
      <c r="G17" s="19" t="n">
        <f aca="false">F17*(1+cy30g)</f>
        <v>6.8425</v>
      </c>
    </row>
    <row r="18" customFormat="false" ht="15" hidden="false" customHeight="false" outlineLevel="0" collapsed="false">
      <c r="A18" s="0" t="s">
        <v>618</v>
      </c>
      <c r="B18" s="5" t="s">
        <v>34</v>
      </c>
      <c r="C18" s="19" t="n">
        <f aca="false">u_ru_26</f>
        <v>0</v>
      </c>
      <c r="D18" s="19" t="n">
        <f aca="false">u_ru_27</f>
        <v>0.3</v>
      </c>
      <c r="E18" s="19" t="n">
        <f aca="false">u_ru_28*um28_B</f>
        <v>1.6</v>
      </c>
      <c r="F18" s="19" t="n">
        <f aca="false">u_ru_28*(1+g29_ru)*um29_B</f>
        <v>1.955</v>
      </c>
      <c r="G18" s="19" t="n">
        <f aca="false">F18*(1+cy30g)</f>
        <v>1.955</v>
      </c>
    </row>
    <row r="19" customFormat="false" ht="17.15" hidden="false" customHeight="false" outlineLevel="0" collapsed="false">
      <c r="A19" s="0" t="s">
        <v>619</v>
      </c>
      <c r="B19" s="5" t="s">
        <v>34</v>
      </c>
      <c r="C19" s="19" t="n">
        <f aca="false">u_hp_26</f>
        <v>0.5</v>
      </c>
      <c r="D19" s="19" t="n">
        <f aca="false">u_hp_27</f>
        <v>0</v>
      </c>
      <c r="E19" s="19" t="n">
        <f aca="false">u_hp_28*um28_B</f>
        <v>0</v>
      </c>
      <c r="F19" s="19" t="n">
        <f aca="false">u_hp_28*(1+g29_hp)*um29_B</f>
        <v>0</v>
      </c>
      <c r="G19" s="19" t="n">
        <f aca="false">F19*(1+cy30g)</f>
        <v>0</v>
      </c>
    </row>
    <row r="20" customFormat="false" ht="15" hidden="false" customHeight="false" outlineLevel="0" collapsed="false">
      <c r="A20" s="0" t="s">
        <v>620</v>
      </c>
      <c r="B20" s="5" t="s">
        <v>34</v>
      </c>
      <c r="C20" s="19" t="n">
        <f aca="false">u_amd_26</f>
        <v>0.75</v>
      </c>
      <c r="D20" s="19" t="n">
        <f aca="false">u_amd_27</f>
        <v>1.5</v>
      </c>
      <c r="E20" s="19" t="n">
        <f aca="false">u_amd_28*um28_B</f>
        <v>1.6</v>
      </c>
      <c r="F20" s="19" t="n">
        <f aca="false">u_amd_28*(1+g29_amd)*um29_B</f>
        <v>1.955</v>
      </c>
      <c r="G20" s="19" t="n">
        <f aca="false">F20*(1+cy30g)</f>
        <v>1.955</v>
      </c>
    </row>
    <row r="21" customFormat="false" ht="15" hidden="false" customHeight="false" outlineLevel="0" collapsed="false">
      <c r="A21" s="0" t="s">
        <v>621</v>
      </c>
      <c r="B21" s="5" t="s">
        <v>34</v>
      </c>
      <c r="C21" s="19" t="n">
        <f aca="false">u_tpu_26</f>
        <v>3.85</v>
      </c>
      <c r="D21" s="19" t="n">
        <f aca="false">u_tpu_27</f>
        <v>5.5</v>
      </c>
      <c r="E21" s="19" t="n">
        <f aca="false">u_tpu_28*um28_B</f>
        <v>5.6</v>
      </c>
      <c r="F21" s="19" t="n">
        <f aca="false">u_tpu_28*(1+g29_tpu)*um29_B</f>
        <v>6.8425</v>
      </c>
      <c r="G21" s="19" t="n">
        <f aca="false">F21*(1+cy30g)</f>
        <v>6.8425</v>
      </c>
    </row>
    <row r="22" customFormat="false" ht="15" hidden="false" customHeight="false" outlineLevel="0" collapsed="false">
      <c r="A22" s="0" t="s">
        <v>622</v>
      </c>
      <c r="B22" s="5" t="s">
        <v>34</v>
      </c>
      <c r="C22" s="19" t="n">
        <f aca="false">u_trn_26</f>
        <v>2</v>
      </c>
      <c r="D22" s="19" t="n">
        <f aca="false">u_trn_27</f>
        <v>2.5</v>
      </c>
      <c r="E22" s="19" t="n">
        <f aca="false">u_trn_28*um28_B</f>
        <v>2.4</v>
      </c>
      <c r="F22" s="19" t="n">
        <f aca="false">u_trn_28*(1+g29_trn)*um29_B</f>
        <v>2.9325</v>
      </c>
      <c r="G22" s="19" t="n">
        <f aca="false">F22*(1+cy30g)</f>
        <v>2.9325</v>
      </c>
    </row>
    <row r="23" customFormat="false" ht="17.15" hidden="false" customHeight="false" outlineLevel="0" collapsed="false">
      <c r="A23" s="5" t="s">
        <v>623</v>
      </c>
      <c r="B23" s="5" t="s">
        <v>34</v>
      </c>
      <c r="C23" s="19" t="n">
        <f aca="false">u_oth_26</f>
        <v>1</v>
      </c>
      <c r="D23" s="19" t="n">
        <f aca="false">u_oth_27</f>
        <v>4.5</v>
      </c>
      <c r="E23" s="19" t="n">
        <f aca="false">u_oth_28*um28_B</f>
        <v>4</v>
      </c>
      <c r="F23" s="19" t="n">
        <f aca="false">u_oth_28*(1+g29_oth)*um29_B</f>
        <v>4.8875</v>
      </c>
      <c r="G23" s="19" t="n">
        <f aca="false">F23*(1+cy30g)</f>
        <v>4.8875</v>
      </c>
    </row>
    <row r="24" customFormat="false" ht="17.15" hidden="false" customHeight="false" outlineLevel="0" collapsed="false">
      <c r="A24" s="4" t="s">
        <v>624</v>
      </c>
      <c r="B24" s="5" t="s">
        <v>34</v>
      </c>
      <c r="C24" s="19" t="n">
        <f aca="false">SUM(C16:C23)</f>
        <v>15.2</v>
      </c>
      <c r="D24" s="19" t="n">
        <f aca="false">SUM(D16:D23)</f>
        <v>23.7</v>
      </c>
      <c r="E24" s="19" t="n">
        <f aca="false">SUM(E16:E23)</f>
        <v>21.2</v>
      </c>
      <c r="F24" s="19" t="n">
        <f aca="false">SUM(F16:F23)</f>
        <v>25.6275</v>
      </c>
      <c r="G24" s="19" t="n">
        <f aca="false">SUM(G16:G23)</f>
        <v>25.6275</v>
      </c>
      <c r="H24" s="8" t="s">
        <v>627</v>
      </c>
    </row>
    <row r="26" customFormat="false" ht="17.15" hidden="false" customHeight="false" outlineLevel="0" collapsed="false">
      <c r="A26" s="4" t="s">
        <v>628</v>
      </c>
    </row>
    <row r="27" customFormat="false" ht="17.15" hidden="false" customHeight="false" outlineLevel="0" collapsed="false">
      <c r="A27" s="0" t="s">
        <v>616</v>
      </c>
      <c r="B27" s="5" t="s">
        <v>34</v>
      </c>
      <c r="C27" s="19" t="n">
        <f aca="false">u_bw_26</f>
        <v>5.4</v>
      </c>
      <c r="D27" s="19" t="n">
        <f aca="false">u_bw_27</f>
        <v>2.4</v>
      </c>
      <c r="E27" s="19" t="n">
        <f aca="false">u_bw_28*um28_C</f>
        <v>0.3</v>
      </c>
      <c r="F27" s="19" t="n">
        <f aca="false">u_bw_28*(1+g29_bw)*um29_C</f>
        <v>0.15</v>
      </c>
      <c r="G27" s="19" t="n">
        <f aca="false">F27*(1+cy30g)</f>
        <v>0.15</v>
      </c>
    </row>
    <row r="28" customFormat="false" ht="15" hidden="false" customHeight="false" outlineLevel="0" collapsed="false">
      <c r="A28" s="0" t="s">
        <v>617</v>
      </c>
      <c r="B28" s="5" t="s">
        <v>34</v>
      </c>
      <c r="C28" s="19" t="n">
        <f aca="false">u_rb_26</f>
        <v>1.7</v>
      </c>
      <c r="D28" s="19" t="n">
        <f aca="false">u_rb_27</f>
        <v>7</v>
      </c>
      <c r="E28" s="19" t="n">
        <f aca="false">u_rb_28*um28_C</f>
        <v>4.2</v>
      </c>
      <c r="F28" s="19" t="n">
        <f aca="false">u_rb_28*(1+g29_rb)*um29_C</f>
        <v>4.83</v>
      </c>
      <c r="G28" s="19" t="n">
        <f aca="false">F28*(1+cy30g)</f>
        <v>4.83</v>
      </c>
    </row>
    <row r="29" customFormat="false" ht="15" hidden="false" customHeight="false" outlineLevel="0" collapsed="false">
      <c r="A29" s="0" t="s">
        <v>618</v>
      </c>
      <c r="B29" s="5" t="s">
        <v>34</v>
      </c>
      <c r="C29" s="19" t="n">
        <f aca="false">u_ru_26</f>
        <v>0</v>
      </c>
      <c r="D29" s="19" t="n">
        <f aca="false">u_ru_27</f>
        <v>0.3</v>
      </c>
      <c r="E29" s="19" t="n">
        <f aca="false">u_ru_28*um28_C</f>
        <v>1.2</v>
      </c>
      <c r="F29" s="19" t="n">
        <f aca="false">u_ru_28*(1+g29_ru)*um29_C</f>
        <v>1.38</v>
      </c>
      <c r="G29" s="19" t="n">
        <f aca="false">F29*(1+cy30g)</f>
        <v>1.38</v>
      </c>
    </row>
    <row r="30" customFormat="false" ht="17.15" hidden="false" customHeight="false" outlineLevel="0" collapsed="false">
      <c r="A30" s="0" t="s">
        <v>619</v>
      </c>
      <c r="B30" s="5" t="s">
        <v>34</v>
      </c>
      <c r="C30" s="19" t="n">
        <f aca="false">u_hp_26</f>
        <v>0.5</v>
      </c>
      <c r="D30" s="19" t="n">
        <f aca="false">u_hp_27</f>
        <v>0</v>
      </c>
      <c r="E30" s="19" t="n">
        <f aca="false">u_hp_28*um28_C</f>
        <v>0</v>
      </c>
      <c r="F30" s="19" t="n">
        <f aca="false">u_hp_28*(1+g29_hp)*um29_C</f>
        <v>0</v>
      </c>
      <c r="G30" s="19" t="n">
        <f aca="false">F30*(1+cy30g)</f>
        <v>0</v>
      </c>
    </row>
    <row r="31" customFormat="false" ht="15" hidden="false" customHeight="false" outlineLevel="0" collapsed="false">
      <c r="A31" s="0" t="s">
        <v>620</v>
      </c>
      <c r="B31" s="5" t="s">
        <v>34</v>
      </c>
      <c r="C31" s="19" t="n">
        <f aca="false">u_amd_26</f>
        <v>0.75</v>
      </c>
      <c r="D31" s="19" t="n">
        <f aca="false">u_amd_27</f>
        <v>1.5</v>
      </c>
      <c r="E31" s="19" t="n">
        <f aca="false">u_amd_28*um28_C</f>
        <v>1.2</v>
      </c>
      <c r="F31" s="19" t="n">
        <f aca="false">u_amd_28*(1+g29_amd)*um29_C</f>
        <v>1.38</v>
      </c>
      <c r="G31" s="19" t="n">
        <f aca="false">F31*(1+cy30g)</f>
        <v>1.38</v>
      </c>
    </row>
    <row r="32" customFormat="false" ht="15" hidden="false" customHeight="false" outlineLevel="0" collapsed="false">
      <c r="A32" s="0" t="s">
        <v>621</v>
      </c>
      <c r="B32" s="5" t="s">
        <v>34</v>
      </c>
      <c r="C32" s="19" t="n">
        <f aca="false">u_tpu_26</f>
        <v>3.85</v>
      </c>
      <c r="D32" s="19" t="n">
        <f aca="false">u_tpu_27</f>
        <v>5.5</v>
      </c>
      <c r="E32" s="19" t="n">
        <f aca="false">u_tpu_28*um28_C</f>
        <v>4.2</v>
      </c>
      <c r="F32" s="19" t="n">
        <f aca="false">u_tpu_28*(1+g29_tpu)*um29_C</f>
        <v>4.83</v>
      </c>
      <c r="G32" s="19" t="n">
        <f aca="false">F32*(1+cy30g)</f>
        <v>4.83</v>
      </c>
    </row>
    <row r="33" customFormat="false" ht="15" hidden="false" customHeight="false" outlineLevel="0" collapsed="false">
      <c r="A33" s="0" t="s">
        <v>622</v>
      </c>
      <c r="B33" s="5" t="s">
        <v>34</v>
      </c>
      <c r="C33" s="19" t="n">
        <f aca="false">u_trn_26</f>
        <v>2</v>
      </c>
      <c r="D33" s="19" t="n">
        <f aca="false">u_trn_27</f>
        <v>2.5</v>
      </c>
      <c r="E33" s="19" t="n">
        <f aca="false">u_trn_28*um28_C</f>
        <v>1.8</v>
      </c>
      <c r="F33" s="19" t="n">
        <f aca="false">u_trn_28*(1+g29_trn)*um29_C</f>
        <v>2.07</v>
      </c>
      <c r="G33" s="19" t="n">
        <f aca="false">F33*(1+cy30g)</f>
        <v>2.07</v>
      </c>
    </row>
    <row r="34" customFormat="false" ht="17.15" hidden="false" customHeight="false" outlineLevel="0" collapsed="false">
      <c r="A34" s="5" t="s">
        <v>623</v>
      </c>
      <c r="B34" s="5" t="s">
        <v>34</v>
      </c>
      <c r="C34" s="19" t="n">
        <f aca="false">u_oth_26</f>
        <v>1</v>
      </c>
      <c r="D34" s="19" t="n">
        <f aca="false">u_oth_27</f>
        <v>4.5</v>
      </c>
      <c r="E34" s="19" t="n">
        <f aca="false">u_oth_28*um28_C</f>
        <v>3</v>
      </c>
      <c r="F34" s="19" t="n">
        <f aca="false">u_oth_28*(1+g29_oth)*um29_C</f>
        <v>3.45</v>
      </c>
      <c r="G34" s="19" t="n">
        <f aca="false">F34*(1+cy30g)</f>
        <v>3.45</v>
      </c>
    </row>
    <row r="35" customFormat="false" ht="17.15" hidden="false" customHeight="false" outlineLevel="0" collapsed="false">
      <c r="A35" s="4" t="s">
        <v>624</v>
      </c>
      <c r="B35" s="5" t="s">
        <v>34</v>
      </c>
      <c r="C35" s="19" t="n">
        <f aca="false">SUM(C27:C34)</f>
        <v>15.2</v>
      </c>
      <c r="D35" s="19" t="n">
        <f aca="false">SUM(D27:D34)</f>
        <v>23.7</v>
      </c>
      <c r="E35" s="19" t="n">
        <f aca="false">SUM(E27:E34)</f>
        <v>15.9</v>
      </c>
      <c r="F35" s="19" t="n">
        <f aca="false">SUM(F27:F34)</f>
        <v>18.09</v>
      </c>
      <c r="G35" s="19" t="n">
        <f aca="false">SUM(G27:G34)</f>
        <v>18.09</v>
      </c>
      <c r="H35" s="8" t="s">
        <v>627</v>
      </c>
    </row>
    <row r="37" customFormat="false" ht="17.15" hidden="false" customHeight="false" outlineLevel="0" collapsed="false">
      <c r="A37" s="4" t="s">
        <v>629</v>
      </c>
    </row>
    <row r="38" customFormat="false" ht="17.15" hidden="false" customHeight="false" outlineLevel="0" collapsed="false">
      <c r="A38" s="5" t="s">
        <v>630</v>
      </c>
      <c r="B38" s="5" t="s">
        <v>631</v>
      </c>
      <c r="C38" s="19" t="n">
        <f aca="false">C5*tt_bw+C6*tt_rb+C7*tt_ru+C8*tt_hp+C9*tt_amd+C10*tt_tpu+C11*tt_trn+C12*tt_oth</f>
        <v>14.885</v>
      </c>
      <c r="D38" s="19" t="n">
        <f aca="false">D5*tt_bw+D6*tt_rb+D7*tt_ru+D8*tt_hp+D9*tt_amd+D10*tt_tpu+D11*tt_trn+D12*tt_oth</f>
        <v>24.31</v>
      </c>
      <c r="E38" s="19" t="n">
        <f aca="false">E5*tt_bw+E6*tt_rb+E7*tt_ru+E8*tt_hp+E9*tt_amd+E10*tt_tpu+E11*tt_trn+E12*tt_oth</f>
        <v>28.1</v>
      </c>
      <c r="F38" s="19" t="n">
        <f aca="false">F5*tt_bw+F6*tt_rb+F7*tt_ru+F8*tt_hp+F9*tt_amd+F10*tt_tpu+F11*tt_trn+F12*tt_oth</f>
        <v>31.99</v>
      </c>
      <c r="G38" s="19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632</v>
      </c>
      <c r="B39" s="5" t="s">
        <v>631</v>
      </c>
      <c r="C39" s="19" t="n">
        <f aca="false">C16*tt_bw+C17*tt_rb+C18*tt_ru+C19*tt_hp+C20*tt_amd+C21*tt_tpu+C22*tt_trn+C23*tt_oth</f>
        <v>14.885</v>
      </c>
      <c r="D39" s="19" t="n">
        <f aca="false">D16*tt_bw+D17*tt_rb+D18*tt_ru+D19*tt_hp+D20*tt_amd+D21*tt_tpu+D22*tt_trn+D23*tt_oth</f>
        <v>24.31</v>
      </c>
      <c r="E39" s="19" t="n">
        <f aca="false">E16*tt_bw+E17*tt_rb+E18*tt_ru+E19*tt_hp+E20*tt_amd+E21*tt_tpu+E22*tt_trn+E23*tt_oth</f>
        <v>22.48</v>
      </c>
      <c r="F39" s="19" t="n">
        <f aca="false">F16*tt_bw+F17*tt_rb+F18*tt_ru+F19*tt_hp+F20*tt_amd+F21*tt_tpu+F22*tt_trn+F23*tt_oth</f>
        <v>27.1915</v>
      </c>
      <c r="G39" s="19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633</v>
      </c>
      <c r="B40" s="5" t="s">
        <v>631</v>
      </c>
      <c r="C40" s="19" t="n">
        <f aca="false">C27*tt_bw+C28*tt_rb+C29*tt_ru+C30*tt_hp+C31*tt_amd+C32*tt_tpu+C33*tt_trn+C34*tt_oth</f>
        <v>14.885</v>
      </c>
      <c r="D40" s="19" t="n">
        <f aca="false">D27*tt_bw+D28*tt_rb+D29*tt_ru+D30*tt_hp+D31*tt_amd+D32*tt_tpu+D33*tt_trn+D34*tt_oth</f>
        <v>24.31</v>
      </c>
      <c r="E40" s="19" t="n">
        <f aca="false">E27*tt_bw+E28*tt_rb+E29*tt_ru+E30*tt_hp+E31*tt_amd+E32*tt_tpu+E33*tt_trn+E34*tt_oth</f>
        <v>16.86</v>
      </c>
      <c r="F40" s="19" t="n">
        <f aca="false">F27*tt_bw+F28*tt_rb+F29*tt_ru+F30*tt_hp+F31*tt_amd+F32*tt_tpu+F33*tt_trn+F34*tt_oth</f>
        <v>19.194</v>
      </c>
      <c r="G40" s="19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634</v>
      </c>
    </row>
    <row r="43" customFormat="false" ht="17.15" hidden="false" customHeight="false" outlineLevel="0" collapsed="false">
      <c r="A43" s="0" t="s">
        <v>635</v>
      </c>
      <c r="B43" s="0" t="s">
        <v>155</v>
      </c>
      <c r="C43" s="19" t="n">
        <f aca="false">mk_soc26</f>
        <v>11</v>
      </c>
      <c r="H43" s="8" t="s">
        <v>35</v>
      </c>
    </row>
    <row r="44" customFormat="false" ht="17.15" hidden="false" customHeight="false" outlineLevel="0" collapsed="false">
      <c r="A44" s="5" t="s">
        <v>636</v>
      </c>
      <c r="B44" s="0" t="s">
        <v>155</v>
      </c>
      <c r="C44" s="19" t="n">
        <f aca="false">nonai26</f>
        <v>4.3</v>
      </c>
      <c r="H44" s="8" t="s">
        <v>637</v>
      </c>
    </row>
    <row r="45" customFormat="false" ht="17.15" hidden="false" customHeight="false" outlineLevel="0" collapsed="false">
      <c r="A45" s="5" t="s">
        <v>638</v>
      </c>
      <c r="B45" s="0" t="s">
        <v>155</v>
      </c>
      <c r="C45" s="19" t="n">
        <f aca="false">C43-C44</f>
        <v>6.7</v>
      </c>
      <c r="H45" s="8" t="s">
        <v>228</v>
      </c>
    </row>
    <row r="46" customFormat="false" ht="17.15" hidden="false" customHeight="false" outlineLevel="0" collapsed="false">
      <c r="A46" s="0" t="s">
        <v>639</v>
      </c>
      <c r="B46" s="5" t="s">
        <v>34</v>
      </c>
      <c r="C46" s="19" t="n">
        <f aca="false">C38</f>
        <v>14.885</v>
      </c>
    </row>
    <row r="47" customFormat="false" ht="17.15" hidden="false" customHeight="false" outlineLevel="0" collapsed="false">
      <c r="A47" s="5" t="s">
        <v>640</v>
      </c>
      <c r="B47" s="0" t="s">
        <v>641</v>
      </c>
      <c r="C47" s="20" t="n">
        <f aca="false">C45/C46*1000</f>
        <v>450.117568021498</v>
      </c>
      <c r="H47" s="8" t="s">
        <v>642</v>
      </c>
    </row>
    <row r="48" customFormat="false" ht="17.15" hidden="false" customHeight="false" outlineLevel="0" collapsed="false">
      <c r="A48" s="0" t="s">
        <v>643</v>
      </c>
      <c r="B48" s="5" t="s">
        <v>644</v>
      </c>
      <c r="C48" s="20" t="n">
        <f aca="false">C47/asp_m</f>
        <v>300.078378680999</v>
      </c>
      <c r="H48" s="8" t="s">
        <v>645</v>
      </c>
    </row>
    <row r="50" customFormat="false" ht="17.15" hidden="false" customHeight="false" outlineLevel="0" collapsed="false">
      <c r="A50" s="1" t="s">
        <v>646</v>
      </c>
    </row>
    <row r="51" customFormat="false" ht="17.15" hidden="false" customHeight="false" outlineLevel="0" collapsed="false">
      <c r="A51" s="0" t="s">
        <v>549</v>
      </c>
      <c r="B51" s="19" t="n">
        <f aca="false">0.75*mk_soc25+0.25*mk_soc26</f>
        <v>7.925</v>
      </c>
    </row>
    <row r="52" customFormat="false" ht="15" hidden="false" customHeight="false" outlineLevel="0" collapsed="false">
      <c r="A52" s="5" t="s">
        <v>553</v>
      </c>
      <c r="B52" s="19" t="n">
        <f aca="false">0.75*mk_mem25+0.25*mk_mem26</f>
        <v>2.2625</v>
      </c>
    </row>
    <row r="54" customFormat="false" ht="17.15" hidden="false" customHeight="false" outlineLevel="0" collapsed="false">
      <c r="A54" s="4" t="s">
        <v>647</v>
      </c>
    </row>
    <row r="55" customFormat="false" ht="15" hidden="false" customHeight="false" outlineLevel="0" collapsed="false">
      <c r="A55" s="6" t="s">
        <v>648</v>
      </c>
      <c r="B55" s="14"/>
      <c r="C55" s="6" t="s">
        <v>649</v>
      </c>
      <c r="D55" s="6" t="s">
        <v>26</v>
      </c>
      <c r="E55" s="6" t="s">
        <v>650</v>
      </c>
    </row>
    <row r="56" customFormat="false" ht="17.15" hidden="false" customHeight="false" outlineLevel="0" collapsed="false">
      <c r="A56" s="0" t="s">
        <v>651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652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653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654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655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656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657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658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660</v>
      </c>
    </row>
    <row r="3" customFormat="false" ht="15" hidden="false" customHeight="false" outlineLevel="0" collapsed="false">
      <c r="A3" s="6" t="s">
        <v>661</v>
      </c>
      <c r="B3" s="6" t="s">
        <v>24</v>
      </c>
      <c r="C3" s="14" t="s">
        <v>662</v>
      </c>
      <c r="D3" s="14" t="s">
        <v>663</v>
      </c>
      <c r="E3" s="14" t="s">
        <v>664</v>
      </c>
      <c r="F3" s="14" t="s">
        <v>665</v>
      </c>
      <c r="G3" s="14" t="s">
        <v>666</v>
      </c>
      <c r="H3" s="6" t="s">
        <v>478</v>
      </c>
    </row>
    <row r="4" customFormat="false" ht="17.15" hidden="false" customHeight="false" outlineLevel="0" collapsed="false">
      <c r="A4" s="4" t="s">
        <v>667</v>
      </c>
    </row>
    <row r="5" customFormat="false" ht="15" hidden="false" customHeight="false" outlineLevel="0" collapsed="false">
      <c r="A5" s="5" t="s">
        <v>566</v>
      </c>
      <c r="B5" s="0" t="s">
        <v>354</v>
      </c>
      <c r="C5" s="13" t="n">
        <f aca="false">C58</f>
        <v>1128.6</v>
      </c>
      <c r="D5" s="13" t="n">
        <f aca="false">D58</f>
        <v>1667.72361718159</v>
      </c>
      <c r="E5" s="13" t="n">
        <f aca="false">E58</f>
        <v>2160.35286222058</v>
      </c>
      <c r="F5" s="13" t="n">
        <f aca="false">F58</f>
        <v>2472.60416408125</v>
      </c>
      <c r="G5" s="13" t="n">
        <f aca="false">G58</f>
        <v>2727.98570686442</v>
      </c>
    </row>
    <row r="6" customFormat="false" ht="15" hidden="false" customHeight="false" outlineLevel="0" collapsed="false">
      <c r="A6" s="5" t="s">
        <v>566</v>
      </c>
      <c r="B6" s="0" t="s">
        <v>155</v>
      </c>
      <c r="C6" s="17" t="n">
        <f aca="false">C68</f>
        <v>7.524</v>
      </c>
      <c r="D6" s="17" t="n">
        <f aca="false">D68</f>
        <v>11.1181574478773</v>
      </c>
      <c r="E6" s="17" t="n">
        <f aca="false">E68</f>
        <v>14.4023524148039</v>
      </c>
      <c r="F6" s="17" t="n">
        <f aca="false">F68</f>
        <v>16.4840277605417</v>
      </c>
      <c r="G6" s="17" t="n">
        <f aca="false">G68</f>
        <v>18.1865713790961</v>
      </c>
    </row>
    <row r="7" customFormat="false" ht="17.15" hidden="false" customHeight="false" outlineLevel="0" collapsed="false">
      <c r="A7" s="0" t="s">
        <v>668</v>
      </c>
      <c r="B7" s="0" t="s">
        <v>354</v>
      </c>
      <c r="C7" s="13" t="n">
        <f aca="false">C53</f>
        <v>767.4</v>
      </c>
      <c r="D7" s="13" t="n">
        <f aca="false">D53</f>
        <v>1198.25536244542</v>
      </c>
      <c r="E7" s="13" t="n">
        <f aca="false">E53</f>
        <v>1572.670882956</v>
      </c>
      <c r="F7" s="13" t="n">
        <f aca="false">F53</f>
        <v>1760.5597478342</v>
      </c>
      <c r="G7" s="13" t="n">
        <f aca="false">G53</f>
        <v>1909.16998994777</v>
      </c>
    </row>
    <row r="8" customFormat="false" ht="15" hidden="false" customHeight="false" outlineLevel="0" collapsed="false">
      <c r="A8" s="5" t="s">
        <v>669</v>
      </c>
      <c r="B8" s="0" t="s">
        <v>354</v>
      </c>
      <c r="C8" s="13" t="n">
        <f aca="false">C54</f>
        <v>171.5</v>
      </c>
      <c r="D8" s="13" t="n">
        <f aca="false">D54</f>
        <v>229.868254736177</v>
      </c>
      <c r="E8" s="13" t="n">
        <f aca="false">E54</f>
        <v>316.209979264587</v>
      </c>
      <c r="F8" s="13" t="n">
        <f aca="false">F54</f>
        <v>404.407776247054</v>
      </c>
      <c r="G8" s="13" t="n">
        <f aca="false">G54</f>
        <v>470.136480116656</v>
      </c>
    </row>
    <row r="9" customFormat="false" ht="15" hidden="false" customHeight="false" outlineLevel="0" collapsed="false">
      <c r="A9" s="5" t="s">
        <v>570</v>
      </c>
      <c r="B9" s="0" t="s">
        <v>45</v>
      </c>
      <c r="C9" s="10" t="n">
        <f aca="false">C61</f>
        <v>0.643</v>
      </c>
      <c r="D9" s="10" t="n">
        <f aca="false">D61</f>
        <v>0.661619040059589</v>
      </c>
      <c r="E9" s="10" t="n">
        <f aca="false">E61</f>
        <v>0.666194984292585</v>
      </c>
      <c r="F9" s="10" t="n">
        <f aca="false">F61</f>
        <v>0.658492825311898</v>
      </c>
      <c r="G9" s="10" t="n">
        <f aca="false">G61</f>
        <v>0.652608332122062</v>
      </c>
    </row>
    <row r="10" customFormat="false" ht="15" hidden="false" customHeight="false" outlineLevel="0" collapsed="false">
      <c r="A10" s="5" t="s">
        <v>577</v>
      </c>
      <c r="B10" s="0" t="s">
        <v>354</v>
      </c>
      <c r="C10" s="13" t="n">
        <f aca="false">C64</f>
        <v>499.1</v>
      </c>
      <c r="D10" s="13" t="n">
        <f aca="false">D64</f>
        <v>814.901514380204</v>
      </c>
      <c r="E10" s="13" t="n">
        <f aca="false">E64</f>
        <v>1094.15251943764</v>
      </c>
      <c r="F10" s="13" t="n">
        <f aca="false">F64</f>
        <v>1247.2732470318</v>
      </c>
      <c r="G10" s="13" t="n">
        <f aca="false">G64</f>
        <v>1370.06244407403</v>
      </c>
    </row>
    <row r="11" customFormat="false" ht="15" hidden="false" customHeight="false" outlineLevel="0" collapsed="false">
      <c r="A11" s="5" t="s">
        <v>580</v>
      </c>
      <c r="B11" s="0" t="s">
        <v>45</v>
      </c>
      <c r="C11" s="10" t="n">
        <f aca="false">C65</f>
        <v>0.442229310650363</v>
      </c>
      <c r="D11" s="10" t="n">
        <f aca="false">D65</f>
        <v>0.488631033334747</v>
      </c>
      <c r="E11" s="10" t="n">
        <f aca="false">E65</f>
        <v>0.506469354415083</v>
      </c>
      <c r="F11" s="10" t="n">
        <f aca="false">F65</f>
        <v>0.504437089102474</v>
      </c>
      <c r="G11" s="10" t="n">
        <f aca="false">G65</f>
        <v>0.502224934913167</v>
      </c>
    </row>
    <row r="12" customFormat="false" ht="15" hidden="false" customHeight="false" outlineLevel="0" collapsed="false">
      <c r="A12" s="5" t="s">
        <v>600</v>
      </c>
      <c r="B12" s="0" t="s">
        <v>354</v>
      </c>
      <c r="C12" s="13" t="n">
        <f aca="false">C66</f>
        <v>375.4</v>
      </c>
      <c r="D12" s="13" t="n">
        <f aca="false">D66</f>
        <v>612.931333396771</v>
      </c>
      <c r="E12" s="13" t="n">
        <f aca="false">E66</f>
        <v>822.971059500879</v>
      </c>
      <c r="F12" s="13" t="n">
        <f aca="false">F66</f>
        <v>938.141408406609</v>
      </c>
      <c r="G12" s="13" t="n">
        <f aca="false">G66</f>
        <v>1030.49777901301</v>
      </c>
    </row>
    <row r="13" customFormat="false" ht="15" hidden="false" customHeight="false" outlineLevel="0" collapsed="false">
      <c r="A13" s="0" t="s">
        <v>670</v>
      </c>
      <c r="B13" s="0" t="s">
        <v>403</v>
      </c>
      <c r="C13" s="16" t="n">
        <f aca="false">C67</f>
        <v>515.15</v>
      </c>
      <c r="D13" s="16" t="n">
        <f aca="false">D67</f>
        <v>846.625334511868</v>
      </c>
      <c r="E13" s="16" t="n">
        <f aca="false">E67</f>
        <v>1136.74747982331</v>
      </c>
      <c r="F13" s="16" t="n">
        <f aca="false">F67</f>
        <v>1295.82914175727</v>
      </c>
      <c r="G13" s="16" t="n">
        <f aca="false">G67</f>
        <v>1423.39847766579</v>
      </c>
    </row>
    <row r="15" customFormat="false" ht="17.15" hidden="false" customHeight="false" outlineLevel="0" collapsed="false">
      <c r="A15" s="4" t="s">
        <v>671</v>
      </c>
    </row>
    <row r="16" customFormat="false" ht="15" hidden="false" customHeight="false" outlineLevel="0" collapsed="false">
      <c r="A16" s="5" t="s">
        <v>566</v>
      </c>
      <c r="B16" s="0" t="s">
        <v>354</v>
      </c>
      <c r="C16" s="13" t="n">
        <f aca="false">C89</f>
        <v>1128.6</v>
      </c>
      <c r="D16" s="13" t="n">
        <f aca="false">D89</f>
        <v>1667.72361718159</v>
      </c>
      <c r="E16" s="13" t="n">
        <f aca="false">E89</f>
        <v>2083.99075634796</v>
      </c>
      <c r="F16" s="13" t="n">
        <f aca="false">F89</f>
        <v>2188.26343081766</v>
      </c>
      <c r="G16" s="13" t="n">
        <f aca="false">G89</f>
        <v>2453.1349674816</v>
      </c>
    </row>
    <row r="17" customFormat="false" ht="15" hidden="false" customHeight="false" outlineLevel="0" collapsed="false">
      <c r="A17" s="5" t="s">
        <v>566</v>
      </c>
      <c r="B17" s="0" t="s">
        <v>155</v>
      </c>
      <c r="C17" s="17" t="n">
        <f aca="false">C99</f>
        <v>7.524</v>
      </c>
      <c r="D17" s="17" t="n">
        <f aca="false">D99</f>
        <v>11.1181574478773</v>
      </c>
      <c r="E17" s="17" t="n">
        <f aca="false">E99</f>
        <v>13.8932717089864</v>
      </c>
      <c r="F17" s="17" t="n">
        <f aca="false">F99</f>
        <v>14.5884228721177</v>
      </c>
      <c r="G17" s="17" t="n">
        <f aca="false">G99</f>
        <v>16.354233116544</v>
      </c>
    </row>
    <row r="18" customFormat="false" ht="17.15" hidden="false" customHeight="false" outlineLevel="0" collapsed="false">
      <c r="A18" s="0" t="s">
        <v>668</v>
      </c>
      <c r="B18" s="0" t="s">
        <v>354</v>
      </c>
      <c r="C18" s="13" t="n">
        <f aca="false">C84</f>
        <v>767.4</v>
      </c>
      <c r="D18" s="13" t="n">
        <f aca="false">D84</f>
        <v>1198.25536244542</v>
      </c>
      <c r="E18" s="13" t="n">
        <f aca="false">E84</f>
        <v>1510.06177983205</v>
      </c>
      <c r="F18" s="13" t="n">
        <f aca="false">F84</f>
        <v>1519.2751819961</v>
      </c>
      <c r="G18" s="13" t="n">
        <f aca="false">G84</f>
        <v>1695.3409640828</v>
      </c>
    </row>
    <row r="19" customFormat="false" ht="15" hidden="false" customHeight="false" outlineLevel="0" collapsed="false">
      <c r="A19" s="5" t="s">
        <v>669</v>
      </c>
      <c r="B19" s="0" t="s">
        <v>354</v>
      </c>
      <c r="C19" s="13" t="n">
        <f aca="false">C85</f>
        <v>171.5</v>
      </c>
      <c r="D19" s="13" t="n">
        <f aca="false">D85</f>
        <v>229.868254736177</v>
      </c>
      <c r="E19" s="13" t="n">
        <f aca="false">E85</f>
        <v>310.36897651591</v>
      </c>
      <c r="F19" s="13" t="n">
        <f aca="false">F85</f>
        <v>379.072248821557</v>
      </c>
      <c r="G19" s="13" t="n">
        <f aca="false">G85</f>
        <v>438.886403398799</v>
      </c>
    </row>
    <row r="20" customFormat="false" ht="15" hidden="false" customHeight="false" outlineLevel="0" collapsed="false">
      <c r="A20" s="5" t="s">
        <v>570</v>
      </c>
      <c r="B20" s="0" t="s">
        <v>45</v>
      </c>
      <c r="C20" s="10" t="n">
        <f aca="false">C92</f>
        <v>0.643</v>
      </c>
      <c r="D20" s="10" t="n">
        <f aca="false">D92</f>
        <v>0.661619040059589</v>
      </c>
      <c r="E20" s="10" t="n">
        <f aca="false">E92</f>
        <v>0.664567657249602</v>
      </c>
      <c r="F20" s="10" t="n">
        <f aca="false">F92</f>
        <v>0.649921021224758</v>
      </c>
      <c r="G20" s="10" t="n">
        <f aca="false">G92</f>
        <v>0.648378989419598</v>
      </c>
    </row>
    <row r="21" customFormat="false" ht="15" hidden="false" customHeight="false" outlineLevel="0" collapsed="false">
      <c r="A21" s="5" t="s">
        <v>577</v>
      </c>
      <c r="B21" s="0" t="s">
        <v>354</v>
      </c>
      <c r="C21" s="13" t="n">
        <f aca="false">C95</f>
        <v>499.1</v>
      </c>
      <c r="D21" s="13" t="n">
        <f aca="false">D95</f>
        <v>814.901514380204</v>
      </c>
      <c r="E21" s="13" t="n">
        <f aca="false">E95</f>
        <v>1048.65762638787</v>
      </c>
      <c r="F21" s="13" t="n">
        <f aca="false">F95</f>
        <v>1073.92977252086</v>
      </c>
      <c r="G21" s="13" t="n">
        <f aca="false">G95</f>
        <v>1211.87792148244</v>
      </c>
    </row>
    <row r="22" customFormat="false" ht="15" hidden="false" customHeight="false" outlineLevel="0" collapsed="false">
      <c r="A22" s="5" t="s">
        <v>580</v>
      </c>
      <c r="B22" s="0" t="s">
        <v>45</v>
      </c>
      <c r="C22" s="10" t="n">
        <f aca="false">C96</f>
        <v>0.442229310650363</v>
      </c>
      <c r="D22" s="10" t="n">
        <f aca="false">D96</f>
        <v>0.488631033334747</v>
      </c>
      <c r="E22" s="10" t="n">
        <f aca="false">E96</f>
        <v>0.503196870328528</v>
      </c>
      <c r="F22" s="10" t="n">
        <f aca="false">F96</f>
        <v>0.490768048031394</v>
      </c>
      <c r="G22" s="10" t="n">
        <f aca="false">G96</f>
        <v>0.494011922518293</v>
      </c>
    </row>
    <row r="23" customFormat="false" ht="15" hidden="false" customHeight="false" outlineLevel="0" collapsed="false">
      <c r="A23" s="5" t="s">
        <v>600</v>
      </c>
      <c r="B23" s="0" t="s">
        <v>354</v>
      </c>
      <c r="C23" s="13" t="n">
        <f aca="false">C97</f>
        <v>375.4</v>
      </c>
      <c r="D23" s="13" t="n">
        <f aca="false">D97</f>
        <v>612.931333396771</v>
      </c>
      <c r="E23" s="13" t="n">
        <f aca="false">E97</f>
        <v>788.751899310775</v>
      </c>
      <c r="F23" s="13" t="n">
        <f aca="false">F97</f>
        <v>807.760442004273</v>
      </c>
      <c r="G23" s="13" t="n">
        <f aca="false">G97</f>
        <v>911.518677067735</v>
      </c>
    </row>
    <row r="24" customFormat="false" ht="15" hidden="false" customHeight="false" outlineLevel="0" collapsed="false">
      <c r="A24" s="0" t="s">
        <v>670</v>
      </c>
      <c r="B24" s="0" t="s">
        <v>403</v>
      </c>
      <c r="C24" s="16" t="n">
        <f aca="false">C98</f>
        <v>515.15</v>
      </c>
      <c r="D24" s="16" t="n">
        <f aca="false">D98</f>
        <v>846.625334511868</v>
      </c>
      <c r="E24" s="16" t="n">
        <f aca="false">E98</f>
        <v>1089.48148710254</v>
      </c>
      <c r="F24" s="16" t="n">
        <f aca="false">F98</f>
        <v>1115.73746871027</v>
      </c>
      <c r="G24" s="16" t="n">
        <f aca="false">G98</f>
        <v>1259.05588903338</v>
      </c>
    </row>
    <row r="26" customFormat="false" ht="17.15" hidden="false" customHeight="false" outlineLevel="0" collapsed="false">
      <c r="A26" s="4" t="s">
        <v>672</v>
      </c>
    </row>
    <row r="27" customFormat="false" ht="15" hidden="false" customHeight="false" outlineLevel="0" collapsed="false">
      <c r="A27" s="5" t="s">
        <v>566</v>
      </c>
      <c r="B27" s="0" t="s">
        <v>354</v>
      </c>
      <c r="C27" s="13" t="n">
        <f aca="false">C120</f>
        <v>1128.6</v>
      </c>
      <c r="D27" s="13" t="n">
        <f aca="false">D120</f>
        <v>1667.72361718159</v>
      </c>
      <c r="E27" s="13" t="n">
        <f aca="false">E120</f>
        <v>1984.7688008674</v>
      </c>
      <c r="F27" s="13" t="n">
        <f aca="false">F120</f>
        <v>1693.3184247797</v>
      </c>
      <c r="G27" s="13" t="n">
        <f aca="false">G120</f>
        <v>1728.54576234091</v>
      </c>
    </row>
    <row r="28" customFormat="false" ht="15" hidden="false" customHeight="false" outlineLevel="0" collapsed="false">
      <c r="A28" s="5" t="s">
        <v>566</v>
      </c>
      <c r="B28" s="0" t="s">
        <v>155</v>
      </c>
      <c r="C28" s="17" t="n">
        <f aca="false">C130</f>
        <v>7.524</v>
      </c>
      <c r="D28" s="17" t="n">
        <f aca="false">D130</f>
        <v>11.1181574478773</v>
      </c>
      <c r="E28" s="17" t="n">
        <f aca="false">E130</f>
        <v>13.2317920057826</v>
      </c>
      <c r="F28" s="17" t="n">
        <f aca="false">F130</f>
        <v>11.2887894985313</v>
      </c>
      <c r="G28" s="17" t="n">
        <f aca="false">G130</f>
        <v>11.5236384156061</v>
      </c>
    </row>
    <row r="29" customFormat="false" ht="17.15" hidden="false" customHeight="false" outlineLevel="0" collapsed="false">
      <c r="A29" s="0" t="s">
        <v>668</v>
      </c>
      <c r="B29" s="0" t="s">
        <v>354</v>
      </c>
      <c r="C29" s="13" t="n">
        <f aca="false">C115</f>
        <v>767.4</v>
      </c>
      <c r="D29" s="13" t="n">
        <f aca="false">D115</f>
        <v>1198.25536244542</v>
      </c>
      <c r="E29" s="13" t="n">
        <f aca="false">E115</f>
        <v>1447.4526767081</v>
      </c>
      <c r="F29" s="13" t="n">
        <f aca="false">F115</f>
        <v>1148.23483569714</v>
      </c>
      <c r="G29" s="13" t="n">
        <f aca="false">G115</f>
        <v>1136.08664001879</v>
      </c>
    </row>
    <row r="30" customFormat="false" ht="15" hidden="false" customHeight="false" outlineLevel="0" collapsed="false">
      <c r="A30" s="5" t="s">
        <v>669</v>
      </c>
      <c r="B30" s="0" t="s">
        <v>354</v>
      </c>
      <c r="C30" s="13" t="n">
        <f aca="false">C116</f>
        <v>171.5</v>
      </c>
      <c r="D30" s="13" t="n">
        <f aca="false">D116</f>
        <v>229.868254736177</v>
      </c>
      <c r="E30" s="13" t="n">
        <f aca="false">E116</f>
        <v>289.580124159299</v>
      </c>
      <c r="F30" s="13" t="n">
        <f aca="false">F116</f>
        <v>288.723429082558</v>
      </c>
      <c r="G30" s="13" t="n">
        <f aca="false">G116</f>
        <v>326.957352722124</v>
      </c>
    </row>
    <row r="31" customFormat="false" ht="15" hidden="false" customHeight="false" outlineLevel="0" collapsed="false">
      <c r="A31" s="5" t="s">
        <v>570</v>
      </c>
      <c r="B31" s="0" t="s">
        <v>45</v>
      </c>
      <c r="C31" s="10" t="n">
        <f aca="false">C123</f>
        <v>0.643</v>
      </c>
      <c r="D31" s="10" t="n">
        <f aca="false">D123</f>
        <v>0.661619040059589</v>
      </c>
      <c r="E31" s="10" t="n">
        <f aca="false">E123</f>
        <v>0.666828240472085</v>
      </c>
      <c r="F31" s="10" t="n">
        <f aca="false">F123</f>
        <v>0.632101389212227</v>
      </c>
      <c r="G31" s="10" t="n">
        <f aca="false">G123</f>
        <v>0.612029816387189</v>
      </c>
    </row>
    <row r="32" customFormat="false" ht="15" hidden="false" customHeight="false" outlineLevel="0" collapsed="false">
      <c r="A32" s="5" t="s">
        <v>577</v>
      </c>
      <c r="B32" s="0" t="s">
        <v>354</v>
      </c>
      <c r="C32" s="13" t="n">
        <f aca="false">C126</f>
        <v>499.1</v>
      </c>
      <c r="D32" s="13" t="n">
        <f aca="false">D126</f>
        <v>814.901514380204</v>
      </c>
      <c r="E32" s="13" t="n">
        <f aca="false">E126</f>
        <v>998.598098794339</v>
      </c>
      <c r="F32" s="13" t="n">
        <f aca="false">F126</f>
        <v>778.913748672724</v>
      </c>
      <c r="G32" s="13" t="n">
        <f aca="false">G126</f>
        <v>762.441287507328</v>
      </c>
    </row>
    <row r="33" customFormat="false" ht="15" hidden="false" customHeight="false" outlineLevel="0" collapsed="false">
      <c r="A33" s="5" t="s">
        <v>580</v>
      </c>
      <c r="B33" s="0" t="s">
        <v>45</v>
      </c>
      <c r="C33" s="10" t="n">
        <f aca="false">C127</f>
        <v>0.442229310650363</v>
      </c>
      <c r="D33" s="10" t="n">
        <f aca="false">D127</f>
        <v>0.488631033334747</v>
      </c>
      <c r="E33" s="10" t="n">
        <f aca="false">E127</f>
        <v>0.503130691271409</v>
      </c>
      <c r="F33" s="10" t="n">
        <f aca="false">F127</f>
        <v>0.459992484150794</v>
      </c>
      <c r="G33" s="10" t="n">
        <f aca="false">G127</f>
        <v>0.441088285955923</v>
      </c>
    </row>
    <row r="34" customFormat="false" ht="15" hidden="false" customHeight="false" outlineLevel="0" collapsed="false">
      <c r="A34" s="5" t="s">
        <v>600</v>
      </c>
      <c r="B34" s="0" t="s">
        <v>354</v>
      </c>
      <c r="C34" s="13" t="n">
        <f aca="false">C128</f>
        <v>375.4</v>
      </c>
      <c r="D34" s="13" t="n">
        <f aca="false">D128</f>
        <v>612.931333396771</v>
      </c>
      <c r="E34" s="13" t="n">
        <f aca="false">E128</f>
        <v>751.099431551582</v>
      </c>
      <c r="F34" s="13" t="n">
        <f aca="false">F128</f>
        <v>585.862995896094</v>
      </c>
      <c r="G34" s="13" t="n">
        <f aca="false">G128</f>
        <v>573.473170367163</v>
      </c>
    </row>
    <row r="35" customFormat="false" ht="15" hidden="false" customHeight="false" outlineLevel="0" collapsed="false">
      <c r="A35" s="0" t="s">
        <v>670</v>
      </c>
      <c r="B35" s="0" t="s">
        <v>403</v>
      </c>
      <c r="C35" s="16" t="n">
        <f aca="false">C129</f>
        <v>515.15</v>
      </c>
      <c r="D35" s="16" t="n">
        <f aca="false">D129</f>
        <v>846.625334511868</v>
      </c>
      <c r="E35" s="16" t="n">
        <f aca="false">E129</f>
        <v>1037.47316027225</v>
      </c>
      <c r="F35" s="16" t="n">
        <f aca="false">F129</f>
        <v>809.236578149569</v>
      </c>
      <c r="G35" s="16" t="n">
        <f aca="false">G129</f>
        <v>792.122850050788</v>
      </c>
    </row>
    <row r="37" customFormat="false" ht="17.15" hidden="false" customHeight="false" outlineLevel="0" collapsed="false">
      <c r="A37" s="4" t="s">
        <v>673</v>
      </c>
    </row>
    <row r="38" customFormat="false" ht="17.15" hidden="false" customHeight="false" outlineLevel="0" collapsed="false">
      <c r="A38" s="5" t="s">
        <v>630</v>
      </c>
      <c r="C38" s="21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632</v>
      </c>
      <c r="C39" s="21" t="n">
        <f aca="false">ABS(C74-Units!C39)+ABS(D74-Units!D39)+ABS(E74-Units!E39)+ABS(F74-Units!F39)+ABS(G74-Units!G39)</f>
        <v>0</v>
      </c>
    </row>
    <row r="40" customFormat="false" ht="17.15" hidden="false" customHeight="false" outlineLevel="0" collapsed="false">
      <c r="A40" s="4" t="s">
        <v>674</v>
      </c>
      <c r="C40" s="21" t="n">
        <f aca="false">ABS(C105-Units!C40)+ABS(D105-Units!D40)+ABS(E105-Units!E40)+ABS(F105-Units!F40)+ABS(G105-Units!G40)</f>
        <v>0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4" t="s">
        <v>675</v>
      </c>
      <c r="D41" s="14" t="s">
        <v>676</v>
      </c>
      <c r="E41" s="14" t="s">
        <v>677</v>
      </c>
      <c r="F41" s="14" t="s">
        <v>678</v>
      </c>
      <c r="G41" s="14" t="s">
        <v>679</v>
      </c>
      <c r="H41" s="6" t="s">
        <v>478</v>
      </c>
    </row>
    <row r="42" customFormat="false" ht="17.15" hidden="false" customHeight="false" outlineLevel="0" collapsed="false">
      <c r="A42" s="1" t="s">
        <v>680</v>
      </c>
    </row>
    <row r="43" customFormat="false" ht="17.15" hidden="false" customHeight="false" outlineLevel="0" collapsed="false">
      <c r="A43" s="5" t="s">
        <v>681</v>
      </c>
      <c r="B43" s="5" t="s">
        <v>34</v>
      </c>
      <c r="C43" s="19" t="n">
        <f aca="false">u_bw_26*tt_bw+u_rb_26*tt_rb+u_ru_26*tt_ru+u_hp_26*tt_hp+u_amd_26*tt_amd+u_tpu_26*tt_tpu+u_trn_26*tt_trn+u_oth_26*tt_oth</f>
        <v>14.885</v>
      </c>
      <c r="D43" s="19" t="n">
        <f aca="false">u_bw_27*tt_bw+u_rb_27*tt_rb+u_ru_27*tt_ru+u_hp_27*tt_hp+u_amd_27*tt_amd+u_tpu_27*tt_tpu+u_trn_27*tt_trn+u_oth_27*tt_oth</f>
        <v>24.31</v>
      </c>
      <c r="E43" s="19" t="n">
        <f aca="false">u_bw_28*um28_A*tt_bw+u_rb_28*um28_A*tt_rb+u_ru_28*um28_A*tt_ru+u_hp_28*um28_A*tt_hp+u_amd_28*um28_A*tt_amd+u_tpu_28*um28_A*tt_tpu+u_trn_28*um28_A*tt_trn+u_oth_28*um28_A*tt_oth</f>
        <v>28.1</v>
      </c>
      <c r="F4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9" t="n">
        <f aca="false">F43*(1+cy30g)</f>
        <v>31.99</v>
      </c>
      <c r="H43" s="8" t="s">
        <v>682</v>
      </c>
    </row>
    <row r="44" customFormat="false" ht="17.15" hidden="false" customHeight="false" outlineLevel="0" collapsed="false">
      <c r="A44" s="5" t="s">
        <v>683</v>
      </c>
      <c r="B44" s="0" t="s">
        <v>684</v>
      </c>
      <c r="C44" s="21" t="n">
        <f aca="false">(mk_soc26-nonai26)/C43</f>
        <v>0.450117568021498</v>
      </c>
      <c r="H44" s="5" t="s">
        <v>685</v>
      </c>
    </row>
    <row r="45" customFormat="false" ht="17.15" hidden="false" customHeight="false" outlineLevel="0" collapsed="false">
      <c r="A45" s="0" t="s">
        <v>686</v>
      </c>
      <c r="B45" s="0" t="s">
        <v>155</v>
      </c>
      <c r="C45" s="19" t="n">
        <f aca="false">$C$44*C43*(1-0)^0</f>
        <v>6.7</v>
      </c>
      <c r="D45" s="19" t="n">
        <f aca="false">$C$44*D43*(1-0)^1</f>
        <v>10.9423580786026</v>
      </c>
      <c r="E45" s="19" t="n">
        <f aca="false">$C$44*E43*(1-0)^2</f>
        <v>12.6483036614041</v>
      </c>
      <c r="F45" s="19" t="n">
        <f aca="false">$C$44*F43*(1-0)^3</f>
        <v>14.3992610010077</v>
      </c>
      <c r="G45" s="19" t="n">
        <f aca="false">$C$44*G43*(1-0)^4</f>
        <v>14.3992610010077</v>
      </c>
    </row>
    <row r="46" customFormat="false" ht="17.15" hidden="false" customHeight="false" outlineLevel="0" collapsed="false">
      <c r="A46" s="5" t="s">
        <v>687</v>
      </c>
      <c r="B46" s="0" t="s">
        <v>155</v>
      </c>
      <c r="C46" s="19" t="n">
        <f aca="false">nonai26*(1+g_nonai)^0</f>
        <v>4.3</v>
      </c>
      <c r="D46" s="19" t="n">
        <f aca="false">nonai26*(1+g_nonai)^1</f>
        <v>4.472</v>
      </c>
      <c r="E46" s="19" t="n">
        <f aca="false">nonai26*(1+g_nonai)^2</f>
        <v>4.65088</v>
      </c>
      <c r="F46" s="19" t="n">
        <f aca="false">nonai26*(1+g_nonai)^3</f>
        <v>4.8369152</v>
      </c>
      <c r="G46" s="19" t="n">
        <f aca="false">nonai26*(1+g_nonai)^4</f>
        <v>5.030391808</v>
      </c>
    </row>
    <row r="47" customFormat="false" ht="17.15" hidden="false" customHeight="false" outlineLevel="0" collapsed="false">
      <c r="A47" s="0" t="s">
        <v>688</v>
      </c>
      <c r="B47" s="0" t="s">
        <v>155</v>
      </c>
      <c r="C47" s="19" t="n">
        <f aca="false">C45+C46</f>
        <v>11</v>
      </c>
      <c r="D47" s="19" t="n">
        <f aca="false">D45+D46</f>
        <v>15.4143580786026</v>
      </c>
      <c r="E47" s="19" t="n">
        <f aca="false">E45+E46</f>
        <v>17.2991836614041</v>
      </c>
      <c r="F47" s="19" t="n">
        <f aca="false">F45+F46</f>
        <v>19.2361762010077</v>
      </c>
      <c r="G47" s="19" t="n">
        <f aca="false">G45+G46</f>
        <v>19.4296528090077</v>
      </c>
      <c r="H47" s="8" t="s">
        <v>689</v>
      </c>
    </row>
    <row r="48" customFormat="false" ht="17.15" hidden="false" customHeight="false" outlineLevel="0" collapsed="false">
      <c r="A48" s="5" t="s">
        <v>690</v>
      </c>
      <c r="B48" s="0" t="s">
        <v>155</v>
      </c>
      <c r="C48" s="19" t="n">
        <f aca="false">mk_mem26*(w_hbm*hsA_26/hsA_26+(1-w_hbm)*drA_26/drA_26)</f>
        <v>2.75</v>
      </c>
      <c r="D48" s="19" t="n">
        <f aca="false">mk_mem26*(w_hbm*hsA_27/hsA_26+(1-w_hbm)*drA_27/drA_26)</f>
        <v>3.88007408374579</v>
      </c>
      <c r="E48" s="19" t="n">
        <f aca="false">mk_mem26*(w_hbm*hsA_28/hsA_26+(1-w_hbm)*drA_28/drA_26)</f>
        <v>5.04607694610671</v>
      </c>
      <c r="F48" s="19" t="n">
        <f aca="false">mk_mem26*(w_hbm*hsA_29/hsA_26+(1-w_hbm)*drA_29/drA_26)</f>
        <v>6.20223782078096</v>
      </c>
      <c r="G48" s="19" t="n">
        <f aca="false">F48*(1+cy30g)</f>
        <v>6.20223782078096</v>
      </c>
      <c r="H48" s="8" t="s">
        <v>691</v>
      </c>
    </row>
    <row r="49" customFormat="false" ht="17.15" hidden="false" customHeight="false" outlineLevel="0" collapsed="false">
      <c r="A49" s="1" t="s">
        <v>692</v>
      </c>
    </row>
    <row r="50" customFormat="false" ht="17.15" hidden="false" customHeight="false" outlineLevel="0" collapsed="false">
      <c r="A50" s="0" t="s">
        <v>693</v>
      </c>
      <c r="B50" s="0" t="s">
        <v>155</v>
      </c>
      <c r="C50" s="19" t="n">
        <f aca="false">fmk_soc25</f>
        <v>7.925</v>
      </c>
      <c r="D50" s="19" t="n">
        <f aca="false">0.75*C47+0.25*D47</f>
        <v>12.1035895196507</v>
      </c>
      <c r="E50" s="19" t="n">
        <f aca="false">0.75*D47+0.25*E47</f>
        <v>15.885564474303</v>
      </c>
      <c r="F50" s="19" t="n">
        <f aca="false">0.75*E47+0.25*F47</f>
        <v>17.783431796305</v>
      </c>
      <c r="G50" s="19" t="n">
        <f aca="false">0.75*F47+0.25*G47</f>
        <v>19.2845453530077</v>
      </c>
    </row>
    <row r="51" customFormat="false" ht="17.15" hidden="false" customHeight="false" outlineLevel="0" collapsed="false">
      <c r="A51" s="5" t="s">
        <v>694</v>
      </c>
      <c r="B51" s="0" t="s">
        <v>155</v>
      </c>
      <c r="C51" s="19" t="n">
        <f aca="false">fmk_mem25</f>
        <v>2.2625</v>
      </c>
      <c r="D51" s="19" t="n">
        <f aca="false">0.75*C48+0.25*D48</f>
        <v>3.03251852093645</v>
      </c>
      <c r="E51" s="19" t="n">
        <f aca="false">0.75*D48+0.25*E48</f>
        <v>4.17157479933602</v>
      </c>
      <c r="F51" s="19" t="n">
        <f aca="false">0.75*E48+0.25*F48</f>
        <v>5.33511716477527</v>
      </c>
      <c r="G51" s="19" t="n">
        <f aca="false">0.75*F48+0.25*G48</f>
        <v>6.20223782078096</v>
      </c>
    </row>
    <row r="52" customFormat="false" ht="17.15" hidden="false" customHeight="false" outlineLevel="0" collapsed="false">
      <c r="A52" s="0" t="s">
        <v>695</v>
      </c>
      <c r="B52" s="0" t="s">
        <v>45</v>
      </c>
      <c r="C52" s="10" t="n">
        <f aca="false">a25_soc/(C50*fx)</f>
        <v>0.645552050473186</v>
      </c>
      <c r="D52" s="10" t="n">
        <f aca="false">sh_soc</f>
        <v>0.66</v>
      </c>
      <c r="E52" s="10" t="n">
        <f aca="false">sh_soc</f>
        <v>0.66</v>
      </c>
      <c r="F52" s="10" t="n">
        <f aca="false">sh_soc</f>
        <v>0.66</v>
      </c>
      <c r="G52" s="10" t="n">
        <f aca="false">sh_soc</f>
        <v>0.66</v>
      </c>
      <c r="H52" s="8" t="s">
        <v>696</v>
      </c>
    </row>
    <row r="53" customFormat="false" ht="17.15" hidden="false" customHeight="false" outlineLevel="0" collapsed="false">
      <c r="A53" s="0" t="s">
        <v>697</v>
      </c>
      <c r="B53" s="0" t="s">
        <v>354</v>
      </c>
      <c r="C53" s="16" t="n">
        <f aca="false">a25_soc</f>
        <v>767.4</v>
      </c>
      <c r="D53" s="16" t="n">
        <f aca="false">D50*D52*fx</f>
        <v>1198.25536244542</v>
      </c>
      <c r="E53" s="16" t="n">
        <f aca="false">E50*E52*fx</f>
        <v>1572.670882956</v>
      </c>
      <c r="F53" s="16" t="n">
        <f aca="false">F50*F52*fx</f>
        <v>1760.5597478342</v>
      </c>
      <c r="G53" s="16" t="n">
        <f aca="false">G50*G52*fx</f>
        <v>1909.16998994777</v>
      </c>
      <c r="H53" s="5" t="s">
        <v>698</v>
      </c>
    </row>
    <row r="54" customFormat="false" ht="15" hidden="false" customHeight="false" outlineLevel="0" collapsed="false">
      <c r="A54" s="5" t="s">
        <v>699</v>
      </c>
      <c r="B54" s="0" t="s">
        <v>354</v>
      </c>
      <c r="C54" s="16" t="n">
        <f aca="false">a25_mem</f>
        <v>171.5</v>
      </c>
      <c r="D54" s="16" t="n">
        <f aca="false">D51*sh_mem*fx</f>
        <v>229.868254736177</v>
      </c>
      <c r="E54" s="16" t="n">
        <f aca="false">E51*sh_mem*fx</f>
        <v>316.209979264587</v>
      </c>
      <c r="F54" s="16" t="n">
        <f aca="false">F51*sh_mem*fx</f>
        <v>404.407776247054</v>
      </c>
      <c r="G54" s="16" t="n">
        <f aca="false">G51*sh_mem*fx</f>
        <v>470.136480116656</v>
      </c>
    </row>
    <row r="55" customFormat="false" ht="15" hidden="false" customHeight="false" outlineLevel="0" collapsed="false">
      <c r="A55" s="5" t="s">
        <v>700</v>
      </c>
      <c r="B55" s="0" t="s">
        <v>354</v>
      </c>
      <c r="C55" s="16" t="n">
        <f aca="false">a25_oth</f>
        <v>80.5</v>
      </c>
      <c r="D55" s="16" t="n">
        <f aca="false">C55*(1+g_oth_26)</f>
        <v>104</v>
      </c>
      <c r="E55" s="16" t="n">
        <f aca="false">D55*(1+g_oth_A)</f>
        <v>119.6</v>
      </c>
      <c r="F55" s="16" t="n">
        <f aca="false">E55*(1+g_oth_A)</f>
        <v>137.54</v>
      </c>
      <c r="G55" s="16" t="n">
        <f aca="false">F55*(1+g_oth_A)</f>
        <v>158.171</v>
      </c>
    </row>
    <row r="56" customFormat="false" ht="15" hidden="false" customHeight="false" outlineLevel="0" collapsed="false">
      <c r="A56" s="5" t="s">
        <v>701</v>
      </c>
      <c r="B56" s="0" t="s">
        <v>354</v>
      </c>
      <c r="C56" s="16" t="n">
        <f aca="false">a25_svc</f>
        <v>109.2</v>
      </c>
      <c r="D56" s="16" t="n">
        <f aca="false">C56*(1+g_svc_26)</f>
        <v>135.6</v>
      </c>
      <c r="E56" s="16" t="n">
        <f aca="false">D56*(1+g_svc_A)</f>
        <v>151.872</v>
      </c>
      <c r="F56" s="16" t="n">
        <f aca="false">E56*(1+g_svc_A)</f>
        <v>170.09664</v>
      </c>
      <c r="G56" s="16" t="n">
        <f aca="false">F56*(1+g_svc_A)</f>
        <v>190.5082368</v>
      </c>
    </row>
    <row r="57" customFormat="false" ht="17.15" hidden="false" customHeight="false" outlineLevel="0" collapsed="false">
      <c r="A57" s="5" t="s">
        <v>702</v>
      </c>
      <c r="B57" s="0" t="s">
        <v>354</v>
      </c>
      <c r="C57" s="16" t="n">
        <f aca="false">C53+C54+C55</f>
        <v>1019.4</v>
      </c>
      <c r="D57" s="16" t="n">
        <f aca="false">D53+D54+D55</f>
        <v>1532.12361718159</v>
      </c>
      <c r="E57" s="16" t="n">
        <f aca="false">E53+E54+E55</f>
        <v>2008.48086222058</v>
      </c>
      <c r="F57" s="16" t="n">
        <f aca="false">F53+F54+F55</f>
        <v>2302.50752408125</v>
      </c>
      <c r="G57" s="16" t="n">
        <f aca="false">G53+G54+G55</f>
        <v>2537.47747006442</v>
      </c>
      <c r="H57" s="5" t="s">
        <v>703</v>
      </c>
    </row>
    <row r="58" customFormat="false" ht="15" hidden="false" customHeight="false" outlineLevel="0" collapsed="false">
      <c r="A58" s="5" t="s">
        <v>566</v>
      </c>
      <c r="B58" s="0" t="s">
        <v>354</v>
      </c>
      <c r="C58" s="16" t="n">
        <f aca="false">C57+C56</f>
        <v>1128.6</v>
      </c>
      <c r="D58" s="16" t="n">
        <f aca="false">D57+D56</f>
        <v>1667.72361718159</v>
      </c>
      <c r="E58" s="16" t="n">
        <f aca="false">E57+E56</f>
        <v>2160.35286222058</v>
      </c>
      <c r="F58" s="16" t="n">
        <f aca="false">F57+F56</f>
        <v>2472.60416408125</v>
      </c>
      <c r="G58" s="16" t="n">
        <f aca="false">G57+G56</f>
        <v>2727.98570686442</v>
      </c>
    </row>
    <row r="59" customFormat="false" ht="17.15" hidden="false" customHeight="false" outlineLevel="0" collapsed="false">
      <c r="A59" s="5" t="s">
        <v>704</v>
      </c>
      <c r="B59" s="0" t="s">
        <v>354</v>
      </c>
      <c r="C59" s="17" t="n">
        <f aca="false">C57+C56-a25_rev</f>
        <v>0</v>
      </c>
    </row>
    <row r="60" customFormat="false" ht="17.15" hidden="false" customHeight="false" outlineLevel="0" collapsed="false">
      <c r="A60" s="0" t="s">
        <v>705</v>
      </c>
      <c r="B60" s="0" t="s">
        <v>45</v>
      </c>
      <c r="C60" s="10" t="n">
        <f aca="false">C53/C58</f>
        <v>0.679957469431154</v>
      </c>
      <c r="D60" s="10" t="n">
        <f aca="false">D53/D58</f>
        <v>0.718497567642793</v>
      </c>
      <c r="E60" s="10" t="n">
        <f aca="false">E53/E58</f>
        <v>0.727969449092441</v>
      </c>
      <c r="F60" s="10" t="n">
        <f aca="false">F53/F58</f>
        <v>0.712026523860672</v>
      </c>
      <c r="G60" s="10" t="n">
        <f aca="false">G53/G58</f>
        <v>0.699846038468503</v>
      </c>
    </row>
    <row r="61" customFormat="false" ht="17.15" hidden="false" customHeight="false" outlineLevel="0" collapsed="false">
      <c r="A61" s="5" t="s">
        <v>570</v>
      </c>
      <c r="B61" s="0" t="s">
        <v>45</v>
      </c>
      <c r="C61" s="10" t="n">
        <f aca="false">a25_gp/a25_rev</f>
        <v>0.643</v>
      </c>
      <c r="D61" s="10" t="n">
        <f aca="false">gm_a+gm_b*D60+0</f>
        <v>0.661619040059589</v>
      </c>
      <c r="E61" s="10" t="n">
        <f aca="false">gm_a+gm_b*E60+0</f>
        <v>0.666194984292585</v>
      </c>
      <c r="F61" s="10" t="n">
        <f aca="false">gm_a+gm_b*F60+0</f>
        <v>0.658492825311898</v>
      </c>
      <c r="G61" s="10" t="n">
        <f aca="false">gm_a+gm_b*G60+0</f>
        <v>0.652608332122062</v>
      </c>
      <c r="H61" s="5" t="s">
        <v>706</v>
      </c>
    </row>
    <row r="62" customFormat="false" ht="15" hidden="false" customHeight="false" outlineLevel="0" collapsed="false">
      <c r="A62" s="5" t="s">
        <v>574</v>
      </c>
      <c r="B62" s="0" t="s">
        <v>354</v>
      </c>
      <c r="C62" s="16" t="n">
        <f aca="false">C58*C61</f>
        <v>725.6898</v>
      </c>
      <c r="D62" s="16" t="n">
        <f aca="false">D58*D61</f>
        <v>1103.39769868439</v>
      </c>
      <c r="E62" s="16" t="n">
        <f aca="false">E58*E61</f>
        <v>1439.21624111348</v>
      </c>
      <c r="F62" s="16" t="n">
        <f aca="false">F58*F61</f>
        <v>1628.19210188383</v>
      </c>
      <c r="G62" s="16" t="n">
        <f aca="false">G58*G61</f>
        <v>1780.30620220961</v>
      </c>
    </row>
    <row r="63" customFormat="false" ht="17.15" hidden="false" customHeight="false" outlineLevel="0" collapsed="false">
      <c r="A63" s="5" t="s">
        <v>707</v>
      </c>
      <c r="B63" s="0" t="s">
        <v>354</v>
      </c>
      <c r="C63" s="16" t="n">
        <f aca="false">opex25</f>
        <v>226.5898</v>
      </c>
      <c r="D63" s="16" t="n">
        <f aca="false">opex_fix+opex_var*D58</f>
        <v>288.496184304186</v>
      </c>
      <c r="E63" s="16" t="n">
        <f aca="false">opex_fix+opex_var*E58</f>
        <v>345.063721675846</v>
      </c>
      <c r="F63" s="16" t="n">
        <f aca="false">opex_fix+opex_var*F58</f>
        <v>380.918854852024</v>
      </c>
      <c r="G63" s="16" t="n">
        <f aca="false">opex_fix+opex_var*G58</f>
        <v>410.243758135579</v>
      </c>
      <c r="H63" s="5" t="s">
        <v>708</v>
      </c>
    </row>
    <row r="64" customFormat="false" ht="15" hidden="false" customHeight="false" outlineLevel="0" collapsed="false">
      <c r="A64" s="5" t="s">
        <v>577</v>
      </c>
      <c r="B64" s="0" t="s">
        <v>354</v>
      </c>
      <c r="C64" s="16" t="n">
        <f aca="false">C62-C63</f>
        <v>499.1</v>
      </c>
      <c r="D64" s="16" t="n">
        <f aca="false">D62-D63</f>
        <v>814.901514380204</v>
      </c>
      <c r="E64" s="16" t="n">
        <f aca="false">E62-E63</f>
        <v>1094.15251943764</v>
      </c>
      <c r="F64" s="16" t="n">
        <f aca="false">F62-F63</f>
        <v>1247.2732470318</v>
      </c>
      <c r="G64" s="16" t="n">
        <f aca="false">G62-G63</f>
        <v>1370.06244407403</v>
      </c>
    </row>
    <row r="65" customFormat="false" ht="15" hidden="false" customHeight="false" outlineLevel="0" collapsed="false">
      <c r="A65" s="5" t="s">
        <v>580</v>
      </c>
      <c r="B65" s="0" t="s">
        <v>45</v>
      </c>
      <c r="C65" s="10" t="n">
        <f aca="false">C64/C58</f>
        <v>0.442229310650363</v>
      </c>
      <c r="D65" s="10" t="n">
        <f aca="false">D64/D58</f>
        <v>0.488631033334747</v>
      </c>
      <c r="E65" s="10" t="n">
        <f aca="false">E64/E58</f>
        <v>0.506469354415083</v>
      </c>
      <c r="F65" s="10" t="n">
        <f aca="false">F64/F58</f>
        <v>0.504437089102474</v>
      </c>
      <c r="G65" s="10" t="n">
        <f aca="false">G64/G58</f>
        <v>0.502224934913167</v>
      </c>
    </row>
    <row r="66" customFormat="false" ht="15" hidden="false" customHeight="false" outlineLevel="0" collapsed="false">
      <c r="A66" s="5" t="s">
        <v>600</v>
      </c>
      <c r="B66" s="0" t="s">
        <v>354</v>
      </c>
      <c r="C66" s="16" t="n">
        <f aca="false">a25_ni</f>
        <v>375.4</v>
      </c>
      <c r="D66" s="16" t="n">
        <f aca="false">D64*nioi</f>
        <v>612.931333396771</v>
      </c>
      <c r="E66" s="16" t="n">
        <f aca="false">E64*nioi</f>
        <v>822.971059500879</v>
      </c>
      <c r="F66" s="16" t="n">
        <f aca="false">F64*nioi</f>
        <v>938.141408406609</v>
      </c>
      <c r="G66" s="16" t="n">
        <f aca="false">G64*nioi</f>
        <v>1030.49777901301</v>
      </c>
    </row>
    <row r="67" customFormat="false" ht="15" hidden="false" customHeight="false" outlineLevel="0" collapsed="false">
      <c r="A67" s="0" t="s">
        <v>670</v>
      </c>
      <c r="B67" s="0" t="s">
        <v>403</v>
      </c>
      <c r="C67" s="16" t="n">
        <f aca="false">a25_eps</f>
        <v>515.15</v>
      </c>
      <c r="D67" s="16" t="n">
        <f aca="false">D66*1000/shares</f>
        <v>846.625334511868</v>
      </c>
      <c r="E67" s="16" t="n">
        <f aca="false">E66*1000/shares</f>
        <v>1136.74747982331</v>
      </c>
      <c r="F67" s="16" t="n">
        <f aca="false">F66*1000/shares</f>
        <v>1295.82914175727</v>
      </c>
      <c r="G67" s="16" t="n">
        <f aca="false">G66*1000/shares</f>
        <v>1423.39847766579</v>
      </c>
    </row>
    <row r="68" customFormat="false" ht="17.15" hidden="false" customHeight="false" outlineLevel="0" collapsed="false">
      <c r="A68" s="5" t="s">
        <v>709</v>
      </c>
      <c r="B68" s="0" t="s">
        <v>155</v>
      </c>
      <c r="C68" s="17" t="n">
        <f aca="false">C58/fx</f>
        <v>7.524</v>
      </c>
      <c r="D68" s="17" t="n">
        <f aca="false">D58/fx</f>
        <v>11.1181574478773</v>
      </c>
      <c r="E68" s="17" t="n">
        <f aca="false">E58/fx</f>
        <v>14.4023524148039</v>
      </c>
      <c r="F68" s="17" t="n">
        <f aca="false">F58/fx</f>
        <v>16.4840277605417</v>
      </c>
      <c r="G68" s="17" t="n">
        <f aca="false">G58/fx</f>
        <v>18.1865713790961</v>
      </c>
      <c r="H68" s="8" t="s">
        <v>710</v>
      </c>
    </row>
    <row r="71" customFormat="false" ht="17.15" hidden="false" customHeight="false" outlineLevel="0" collapsed="false">
      <c r="A71" s="4" t="s">
        <v>711</v>
      </c>
    </row>
    <row r="72" customFormat="false" ht="17.15" hidden="false" customHeight="false" outlineLevel="0" collapsed="false">
      <c r="A72" s="6" t="s">
        <v>23</v>
      </c>
      <c r="B72" s="6" t="s">
        <v>24</v>
      </c>
      <c r="C72" s="14" t="s">
        <v>675</v>
      </c>
      <c r="D72" s="14" t="s">
        <v>676</v>
      </c>
      <c r="E72" s="14" t="s">
        <v>677</v>
      </c>
      <c r="F72" s="14" t="s">
        <v>678</v>
      </c>
      <c r="G72" s="14" t="s">
        <v>679</v>
      </c>
      <c r="H72" s="6" t="s">
        <v>478</v>
      </c>
    </row>
    <row r="73" customFormat="false" ht="17.15" hidden="false" customHeight="false" outlineLevel="0" collapsed="false">
      <c r="A73" s="1" t="s">
        <v>680</v>
      </c>
    </row>
    <row r="74" customFormat="false" ht="17.15" hidden="false" customHeight="false" outlineLevel="0" collapsed="false">
      <c r="A74" s="5" t="s">
        <v>681</v>
      </c>
      <c r="B74" s="5" t="s">
        <v>34</v>
      </c>
      <c r="C74" s="19" t="n">
        <f aca="false">u_bw_26*tt_bw+u_rb_26*tt_rb+u_ru_26*tt_ru+u_hp_26*tt_hp+u_amd_26*tt_amd+u_tpu_26*tt_tpu+u_trn_26*tt_trn+u_oth_26*tt_oth</f>
        <v>14.885</v>
      </c>
      <c r="D74" s="19" t="n">
        <f aca="false">u_bw_27*tt_bw+u_rb_27*tt_rb+u_ru_27*tt_ru+u_hp_27*tt_hp+u_amd_27*tt_amd+u_tpu_27*tt_tpu+u_trn_27*tt_trn+u_oth_27*tt_oth</f>
        <v>24.31</v>
      </c>
      <c r="E74" s="19" t="n">
        <f aca="false">u_bw_28*um28_B*tt_bw+u_rb_28*um28_B*tt_rb+u_ru_28*um28_B*tt_ru+u_hp_28*um28_B*tt_hp+u_amd_28*um28_B*tt_amd+u_tpu_28*um28_B*tt_tpu+u_trn_28*um28_B*tt_trn+u_oth_28*um28_B*tt_oth</f>
        <v>22.48</v>
      </c>
      <c r="F74" s="19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4" s="19" t="n">
        <f aca="false">F74*(1+cy30g)</f>
        <v>27.1915</v>
      </c>
      <c r="H74" s="8" t="s">
        <v>682</v>
      </c>
    </row>
    <row r="75" customFormat="false" ht="17.15" hidden="false" customHeight="false" outlineLevel="0" collapsed="false">
      <c r="A75" s="5" t="s">
        <v>683</v>
      </c>
      <c r="B75" s="0" t="s">
        <v>684</v>
      </c>
      <c r="C75" s="21" t="n">
        <f aca="false">(mk_soc26-nonai26)/C74</f>
        <v>0.450117568021498</v>
      </c>
      <c r="H75" s="5" t="s">
        <v>685</v>
      </c>
    </row>
    <row r="76" customFormat="false" ht="17.15" hidden="false" customHeight="false" outlineLevel="0" collapsed="false">
      <c r="A76" s="0" t="s">
        <v>686</v>
      </c>
      <c r="B76" s="0" t="s">
        <v>155</v>
      </c>
      <c r="C76" s="19" t="n">
        <f aca="false">$C$75*C74*(1-0)^0</f>
        <v>6.7</v>
      </c>
      <c r="D76" s="19" t="n">
        <f aca="false">$C$75*D74*(1-0)^1</f>
        <v>10.9423580786026</v>
      </c>
      <c r="E76" s="19" t="n">
        <f aca="false">$C$75*E74*(1-0)^2</f>
        <v>10.1186429291233</v>
      </c>
      <c r="F76" s="19" t="n">
        <f aca="false">$C$75*F74*(1-0)^3</f>
        <v>12.2393718508566</v>
      </c>
      <c r="G76" s="19" t="n">
        <f aca="false">$C$75*G74*(1-0)^4</f>
        <v>12.2393718508566</v>
      </c>
    </row>
    <row r="77" customFormat="false" ht="17.15" hidden="false" customHeight="false" outlineLevel="0" collapsed="false">
      <c r="A77" s="5" t="s">
        <v>687</v>
      </c>
      <c r="B77" s="0" t="s">
        <v>155</v>
      </c>
      <c r="C77" s="19" t="n">
        <f aca="false">nonai26*(1+g_nonai)^0</f>
        <v>4.3</v>
      </c>
      <c r="D77" s="19" t="n">
        <f aca="false">nonai26*(1+g_nonai)^1</f>
        <v>4.472</v>
      </c>
      <c r="E77" s="19" t="n">
        <f aca="false">nonai26*(1+g_nonai)^2</f>
        <v>4.65088</v>
      </c>
      <c r="F77" s="19" t="n">
        <f aca="false">nonai26*(1+g_nonai)^3</f>
        <v>4.8369152</v>
      </c>
      <c r="G77" s="19" t="n">
        <f aca="false">nonai26*(1+g_nonai)^4</f>
        <v>5.030391808</v>
      </c>
    </row>
    <row r="78" customFormat="false" ht="17.15" hidden="false" customHeight="false" outlineLevel="0" collapsed="false">
      <c r="A78" s="0" t="s">
        <v>688</v>
      </c>
      <c r="B78" s="0" t="s">
        <v>155</v>
      </c>
      <c r="C78" s="19" t="n">
        <f aca="false">C76+C77</f>
        <v>11</v>
      </c>
      <c r="D78" s="19" t="n">
        <f aca="false">D76+D77</f>
        <v>15.4143580786026</v>
      </c>
      <c r="E78" s="19" t="n">
        <f aca="false">E76+E77</f>
        <v>14.7695229291233</v>
      </c>
      <c r="F78" s="19" t="n">
        <f aca="false">F76+F77</f>
        <v>17.0762870508566</v>
      </c>
      <c r="G78" s="19" t="n">
        <f aca="false">G76+G77</f>
        <v>17.2697636588566</v>
      </c>
      <c r="H78" s="8" t="s">
        <v>689</v>
      </c>
    </row>
    <row r="79" customFormat="false" ht="17.15" hidden="false" customHeight="false" outlineLevel="0" collapsed="false">
      <c r="A79" s="5" t="s">
        <v>690</v>
      </c>
      <c r="B79" s="0" t="s">
        <v>155</v>
      </c>
      <c r="C79" s="19" t="n">
        <f aca="false">mk_mem26*(w_hbm*hsB_26/hsB_26+(1-w_hbm)*drB_26/drB_26)</f>
        <v>2.75</v>
      </c>
      <c r="D79" s="19" t="n">
        <f aca="false">mk_mem26*(w_hbm*hsB_27/hsB_26+(1-w_hbm)*drB_27/drB_26)</f>
        <v>3.88007408374579</v>
      </c>
      <c r="E79" s="19" t="n">
        <f aca="false">mk_mem26*(w_hbm*hsB_28/hsB_26+(1-w_hbm)*drB_28/drB_26)</f>
        <v>4.73784910426688</v>
      </c>
      <c r="F79" s="19" t="n">
        <f aca="false">mk_mem26*(w_hbm*hsB_29/hsB_26+(1-w_hbm)*drB_29/drB_26)</f>
        <v>5.78997368915325</v>
      </c>
      <c r="G79" s="19" t="n">
        <f aca="false">F79*(1+cy30g)</f>
        <v>5.78997368915325</v>
      </c>
      <c r="H79" s="8" t="s">
        <v>691</v>
      </c>
    </row>
    <row r="80" customFormat="false" ht="17.15" hidden="false" customHeight="false" outlineLevel="0" collapsed="false">
      <c r="A80" s="1" t="s">
        <v>692</v>
      </c>
    </row>
    <row r="81" customFormat="false" ht="17.15" hidden="false" customHeight="false" outlineLevel="0" collapsed="false">
      <c r="A81" s="0" t="s">
        <v>693</v>
      </c>
      <c r="B81" s="0" t="s">
        <v>155</v>
      </c>
      <c r="C81" s="19" t="n">
        <f aca="false">fmk_soc25</f>
        <v>7.925</v>
      </c>
      <c r="D81" s="19" t="n">
        <f aca="false">0.75*C78+0.25*D78</f>
        <v>12.1035895196507</v>
      </c>
      <c r="E81" s="19" t="n">
        <f aca="false">0.75*D78+0.25*E78</f>
        <v>15.2531492912328</v>
      </c>
      <c r="F81" s="19" t="n">
        <f aca="false">0.75*E78+0.25*F78</f>
        <v>15.3462139595566</v>
      </c>
      <c r="G81" s="19" t="n">
        <f aca="false">0.75*F78+0.25*G78</f>
        <v>17.1246562028566</v>
      </c>
    </row>
    <row r="82" customFormat="false" ht="17.15" hidden="false" customHeight="false" outlineLevel="0" collapsed="false">
      <c r="A82" s="5" t="s">
        <v>694</v>
      </c>
      <c r="B82" s="0" t="s">
        <v>155</v>
      </c>
      <c r="C82" s="19" t="n">
        <f aca="false">fmk_mem25</f>
        <v>2.2625</v>
      </c>
      <c r="D82" s="19" t="n">
        <f aca="false">0.75*C79+0.25*D79</f>
        <v>3.03251852093645</v>
      </c>
      <c r="E82" s="19" t="n">
        <f aca="false">0.75*D79+0.25*E79</f>
        <v>4.09451783887607</v>
      </c>
      <c r="F82" s="19" t="n">
        <f aca="false">0.75*E79+0.25*F79</f>
        <v>5.00088025048847</v>
      </c>
      <c r="G82" s="19" t="n">
        <f aca="false">0.75*F79+0.25*G79</f>
        <v>5.78997368915325</v>
      </c>
    </row>
    <row r="83" customFormat="false" ht="17.15" hidden="false" customHeight="false" outlineLevel="0" collapsed="false">
      <c r="A83" s="0" t="s">
        <v>695</v>
      </c>
      <c r="B83" s="0" t="s">
        <v>45</v>
      </c>
      <c r="C83" s="10" t="n">
        <f aca="false">a25_soc/(C81*fx)</f>
        <v>0.645552050473186</v>
      </c>
      <c r="D83" s="10" t="n">
        <f aca="false">sh_soc</f>
        <v>0.66</v>
      </c>
      <c r="E83" s="10" t="n">
        <f aca="false">sh_soc</f>
        <v>0.66</v>
      </c>
      <c r="F83" s="10" t="n">
        <f aca="false">sh_soc</f>
        <v>0.66</v>
      </c>
      <c r="G83" s="10" t="n">
        <f aca="false">sh_soc</f>
        <v>0.66</v>
      </c>
      <c r="H83" s="8" t="s">
        <v>696</v>
      </c>
    </row>
    <row r="84" customFormat="false" ht="17.15" hidden="false" customHeight="false" outlineLevel="0" collapsed="false">
      <c r="A84" s="0" t="s">
        <v>697</v>
      </c>
      <c r="B84" s="0" t="s">
        <v>354</v>
      </c>
      <c r="C84" s="16" t="n">
        <f aca="false">a25_soc</f>
        <v>767.4</v>
      </c>
      <c r="D84" s="16" t="n">
        <f aca="false">D81*D83*fx</f>
        <v>1198.25536244542</v>
      </c>
      <c r="E84" s="16" t="n">
        <f aca="false">E81*E83*fx</f>
        <v>1510.06177983205</v>
      </c>
      <c r="F84" s="16" t="n">
        <f aca="false">F81*F83*fx</f>
        <v>1519.2751819961</v>
      </c>
      <c r="G84" s="16" t="n">
        <f aca="false">G81*G83*fx</f>
        <v>1695.3409640828</v>
      </c>
      <c r="H84" s="5" t="s">
        <v>698</v>
      </c>
    </row>
    <row r="85" customFormat="false" ht="15" hidden="false" customHeight="false" outlineLevel="0" collapsed="false">
      <c r="A85" s="5" t="s">
        <v>699</v>
      </c>
      <c r="B85" s="0" t="s">
        <v>354</v>
      </c>
      <c r="C85" s="16" t="n">
        <f aca="false">a25_mem</f>
        <v>171.5</v>
      </c>
      <c r="D85" s="16" t="n">
        <f aca="false">D82*sh_mem*fx</f>
        <v>229.868254736177</v>
      </c>
      <c r="E85" s="16" t="n">
        <f aca="false">E82*sh_mem*fx</f>
        <v>310.36897651591</v>
      </c>
      <c r="F85" s="16" t="n">
        <f aca="false">F82*sh_mem*fx</f>
        <v>379.072248821557</v>
      </c>
      <c r="G85" s="16" t="n">
        <f aca="false">G82*sh_mem*fx</f>
        <v>438.886403398799</v>
      </c>
    </row>
    <row r="86" customFormat="false" ht="15" hidden="false" customHeight="false" outlineLevel="0" collapsed="false">
      <c r="A86" s="5" t="s">
        <v>700</v>
      </c>
      <c r="B86" s="0" t="s">
        <v>354</v>
      </c>
      <c r="C86" s="16" t="n">
        <f aca="false">a25_oth</f>
        <v>80.5</v>
      </c>
      <c r="D86" s="16" t="n">
        <f aca="false">C86*(1+g_oth_26)</f>
        <v>104</v>
      </c>
      <c r="E86" s="16" t="n">
        <f aca="false">D86*(1+g_oth_B)</f>
        <v>114.4</v>
      </c>
      <c r="F86" s="16" t="n">
        <f aca="false">E86*(1+g_oth_B)</f>
        <v>125.84</v>
      </c>
      <c r="G86" s="16" t="n">
        <f aca="false">F86*(1+g_oth_B)</f>
        <v>138.424</v>
      </c>
    </row>
    <row r="87" customFormat="false" ht="15" hidden="false" customHeight="false" outlineLevel="0" collapsed="false">
      <c r="A87" s="5" t="s">
        <v>701</v>
      </c>
      <c r="B87" s="0" t="s">
        <v>354</v>
      </c>
      <c r="C87" s="16" t="n">
        <f aca="false">a25_svc</f>
        <v>109.2</v>
      </c>
      <c r="D87" s="16" t="n">
        <f aca="false">C87*(1+g_svc_26)</f>
        <v>135.6</v>
      </c>
      <c r="E87" s="16" t="n">
        <f aca="false">D87*(1+g_svc_B)</f>
        <v>149.16</v>
      </c>
      <c r="F87" s="16" t="n">
        <f aca="false">E87*(1+g_svc_B)</f>
        <v>164.076</v>
      </c>
      <c r="G87" s="16" t="n">
        <f aca="false">F87*(1+g_svc_B)</f>
        <v>180.4836</v>
      </c>
    </row>
    <row r="88" customFormat="false" ht="17.15" hidden="false" customHeight="false" outlineLevel="0" collapsed="false">
      <c r="A88" s="5" t="s">
        <v>702</v>
      </c>
      <c r="B88" s="0" t="s">
        <v>354</v>
      </c>
      <c r="C88" s="16" t="n">
        <f aca="false">C84+C85+C86</f>
        <v>1019.4</v>
      </c>
      <c r="D88" s="16" t="n">
        <f aca="false">D84+D85+D86</f>
        <v>1532.12361718159</v>
      </c>
      <c r="E88" s="16" t="n">
        <f aca="false">E84+E85+E86</f>
        <v>1934.83075634796</v>
      </c>
      <c r="F88" s="16" t="n">
        <f aca="false">F84+F85+F86</f>
        <v>2024.18743081766</v>
      </c>
      <c r="G88" s="16" t="n">
        <f aca="false">G84+G85+G86</f>
        <v>2272.6513674816</v>
      </c>
      <c r="H88" s="5" t="s">
        <v>703</v>
      </c>
    </row>
    <row r="89" customFormat="false" ht="15" hidden="false" customHeight="false" outlineLevel="0" collapsed="false">
      <c r="A89" s="5" t="s">
        <v>566</v>
      </c>
      <c r="B89" s="0" t="s">
        <v>354</v>
      </c>
      <c r="C89" s="16" t="n">
        <f aca="false">C88+C87</f>
        <v>1128.6</v>
      </c>
      <c r="D89" s="16" t="n">
        <f aca="false">D88+D87</f>
        <v>1667.72361718159</v>
      </c>
      <c r="E89" s="16" t="n">
        <f aca="false">E88+E87</f>
        <v>2083.99075634796</v>
      </c>
      <c r="F89" s="16" t="n">
        <f aca="false">F88+F87</f>
        <v>2188.26343081766</v>
      </c>
      <c r="G89" s="16" t="n">
        <f aca="false">G88+G87</f>
        <v>2453.1349674816</v>
      </c>
    </row>
    <row r="90" customFormat="false" ht="17.15" hidden="false" customHeight="false" outlineLevel="0" collapsed="false">
      <c r="A90" s="5" t="s">
        <v>704</v>
      </c>
      <c r="B90" s="0" t="s">
        <v>354</v>
      </c>
      <c r="C90" s="17" t="n">
        <f aca="false">C88+C87-a25_rev</f>
        <v>0</v>
      </c>
    </row>
    <row r="91" customFormat="false" ht="17.15" hidden="false" customHeight="false" outlineLevel="0" collapsed="false">
      <c r="A91" s="0" t="s">
        <v>705</v>
      </c>
      <c r="B91" s="0" t="s">
        <v>45</v>
      </c>
      <c r="C91" s="10" t="n">
        <f aca="false">C84/C89</f>
        <v>0.679957469431154</v>
      </c>
      <c r="D91" s="10" t="n">
        <f aca="false">D84/D89</f>
        <v>0.718497567642793</v>
      </c>
      <c r="E91" s="10" t="n">
        <f aca="false">E84/E89</f>
        <v>0.724600997020889</v>
      </c>
      <c r="F91" s="10" t="n">
        <f aca="false">F84/F89</f>
        <v>0.694283494665181</v>
      </c>
      <c r="G91" s="10" t="n">
        <f aca="false">G84/G89</f>
        <v>0.691091597713128</v>
      </c>
    </row>
    <row r="92" customFormat="false" ht="17.15" hidden="false" customHeight="false" outlineLevel="0" collapsed="false">
      <c r="A92" s="5" t="s">
        <v>570</v>
      </c>
      <c r="B92" s="0" t="s">
        <v>45</v>
      </c>
      <c r="C92" s="10" t="n">
        <f aca="false">a25_gp/a25_rev</f>
        <v>0.643</v>
      </c>
      <c r="D92" s="10" t="n">
        <f aca="false">gm_a+gm_b*D91+0</f>
        <v>0.661619040059589</v>
      </c>
      <c r="E92" s="10" t="n">
        <f aca="false">gm_a+gm_b*E91+0</f>
        <v>0.664567657249602</v>
      </c>
      <c r="F92" s="10" t="n">
        <f aca="false">gm_a+gm_b*F91+0</f>
        <v>0.649921021224758</v>
      </c>
      <c r="G92" s="10" t="n">
        <f aca="false">gm_a+gm_b*G91+0</f>
        <v>0.648378989419598</v>
      </c>
      <c r="H92" s="5" t="s">
        <v>706</v>
      </c>
    </row>
    <row r="93" customFormat="false" ht="15" hidden="false" customHeight="false" outlineLevel="0" collapsed="false">
      <c r="A93" s="5" t="s">
        <v>574</v>
      </c>
      <c r="B93" s="0" t="s">
        <v>354</v>
      </c>
      <c r="C93" s="16" t="n">
        <f aca="false">C89*C92</f>
        <v>725.6898</v>
      </c>
      <c r="D93" s="16" t="n">
        <f aca="false">D89*D92</f>
        <v>1103.39769868439</v>
      </c>
      <c r="E93" s="16" t="n">
        <f aca="false">E89*E92</f>
        <v>1384.95285467599</v>
      </c>
      <c r="F93" s="16" t="n">
        <f aca="false">F89*F92</f>
        <v>1422.19840366581</v>
      </c>
      <c r="G93" s="16" t="n">
        <f aca="false">G89*G92</f>
        <v>1590.5611711256</v>
      </c>
    </row>
    <row r="94" customFormat="false" ht="17.15" hidden="false" customHeight="false" outlineLevel="0" collapsed="false">
      <c r="A94" s="5" t="s">
        <v>707</v>
      </c>
      <c r="B94" s="0" t="s">
        <v>354</v>
      </c>
      <c r="C94" s="16" t="n">
        <f aca="false">opex25</f>
        <v>226.5898</v>
      </c>
      <c r="D94" s="16" t="n">
        <f aca="false">opex_fix+opex_var*D89</f>
        <v>288.496184304186</v>
      </c>
      <c r="E94" s="16" t="n">
        <f aca="false">opex_fix+opex_var*E89</f>
        <v>336.295228288112</v>
      </c>
      <c r="F94" s="16" t="n">
        <f aca="false">opex_fix+opex_var*F89</f>
        <v>348.268631144943</v>
      </c>
      <c r="G94" s="16" t="n">
        <f aca="false">opex_fix+opex_var*G89</f>
        <v>378.683249643162</v>
      </c>
      <c r="H94" s="5" t="s">
        <v>708</v>
      </c>
    </row>
    <row r="95" customFormat="false" ht="15" hidden="false" customHeight="false" outlineLevel="0" collapsed="false">
      <c r="A95" s="5" t="s">
        <v>577</v>
      </c>
      <c r="B95" s="0" t="s">
        <v>354</v>
      </c>
      <c r="C95" s="16" t="n">
        <f aca="false">C93-C94</f>
        <v>499.1</v>
      </c>
      <c r="D95" s="16" t="n">
        <f aca="false">D93-D94</f>
        <v>814.901514380204</v>
      </c>
      <c r="E95" s="16" t="n">
        <f aca="false">E93-E94</f>
        <v>1048.65762638787</v>
      </c>
      <c r="F95" s="16" t="n">
        <f aca="false">F93-F94</f>
        <v>1073.92977252086</v>
      </c>
      <c r="G95" s="16" t="n">
        <f aca="false">G93-G94</f>
        <v>1211.87792148244</v>
      </c>
    </row>
    <row r="96" customFormat="false" ht="15" hidden="false" customHeight="false" outlineLevel="0" collapsed="false">
      <c r="A96" s="5" t="s">
        <v>580</v>
      </c>
      <c r="B96" s="0" t="s">
        <v>45</v>
      </c>
      <c r="C96" s="10" t="n">
        <f aca="false">C95/C89</f>
        <v>0.442229310650363</v>
      </c>
      <c r="D96" s="10" t="n">
        <f aca="false">D95/D89</f>
        <v>0.488631033334747</v>
      </c>
      <c r="E96" s="10" t="n">
        <f aca="false">E95/E89</f>
        <v>0.503196870328528</v>
      </c>
      <c r="F96" s="10" t="n">
        <f aca="false">F95/F89</f>
        <v>0.490768048031394</v>
      </c>
      <c r="G96" s="10" t="n">
        <f aca="false">G95/G89</f>
        <v>0.494011922518293</v>
      </c>
    </row>
    <row r="97" customFormat="false" ht="15" hidden="false" customHeight="false" outlineLevel="0" collapsed="false">
      <c r="A97" s="5" t="s">
        <v>600</v>
      </c>
      <c r="B97" s="0" t="s">
        <v>354</v>
      </c>
      <c r="C97" s="16" t="n">
        <f aca="false">a25_ni</f>
        <v>375.4</v>
      </c>
      <c r="D97" s="16" t="n">
        <f aca="false">D95*nioi</f>
        <v>612.931333396771</v>
      </c>
      <c r="E97" s="16" t="n">
        <f aca="false">E95*nioi</f>
        <v>788.751899310775</v>
      </c>
      <c r="F97" s="16" t="n">
        <f aca="false">F95*nioi</f>
        <v>807.760442004273</v>
      </c>
      <c r="G97" s="16" t="n">
        <f aca="false">G95*nioi</f>
        <v>911.518677067735</v>
      </c>
    </row>
    <row r="98" customFormat="false" ht="15" hidden="false" customHeight="false" outlineLevel="0" collapsed="false">
      <c r="A98" s="0" t="s">
        <v>670</v>
      </c>
      <c r="B98" s="0" t="s">
        <v>403</v>
      </c>
      <c r="C98" s="16" t="n">
        <f aca="false">a25_eps</f>
        <v>515.15</v>
      </c>
      <c r="D98" s="16" t="n">
        <f aca="false">D97*1000/shares</f>
        <v>846.625334511868</v>
      </c>
      <c r="E98" s="16" t="n">
        <f aca="false">E97*1000/shares</f>
        <v>1089.48148710254</v>
      </c>
      <c r="F98" s="16" t="n">
        <f aca="false">F97*1000/shares</f>
        <v>1115.73746871027</v>
      </c>
      <c r="G98" s="16" t="n">
        <f aca="false">G97*1000/shares</f>
        <v>1259.05588903338</v>
      </c>
    </row>
    <row r="99" customFormat="false" ht="17.15" hidden="false" customHeight="false" outlineLevel="0" collapsed="false">
      <c r="A99" s="5" t="s">
        <v>709</v>
      </c>
      <c r="B99" s="0" t="s">
        <v>155</v>
      </c>
      <c r="C99" s="17" t="n">
        <f aca="false">C89/fx</f>
        <v>7.524</v>
      </c>
      <c r="D99" s="17" t="n">
        <f aca="false">D89/fx</f>
        <v>11.1181574478773</v>
      </c>
      <c r="E99" s="17" t="n">
        <f aca="false">E89/fx</f>
        <v>13.8932717089864</v>
      </c>
      <c r="F99" s="17" t="n">
        <f aca="false">F89/fx</f>
        <v>14.5884228721177</v>
      </c>
      <c r="G99" s="17" t="n">
        <f aca="false">G89/fx</f>
        <v>16.354233116544</v>
      </c>
      <c r="H99" s="8" t="s">
        <v>710</v>
      </c>
    </row>
    <row r="102" customFormat="false" ht="17.15" hidden="false" customHeight="false" outlineLevel="0" collapsed="false">
      <c r="A102" s="4" t="s">
        <v>712</v>
      </c>
    </row>
    <row r="103" customFormat="false" ht="17.15" hidden="false" customHeight="false" outlineLevel="0" collapsed="false">
      <c r="A103" s="6" t="s">
        <v>23</v>
      </c>
      <c r="B103" s="6" t="s">
        <v>24</v>
      </c>
      <c r="C103" s="14" t="s">
        <v>675</v>
      </c>
      <c r="D103" s="14" t="s">
        <v>676</v>
      </c>
      <c r="E103" s="14" t="s">
        <v>677</v>
      </c>
      <c r="F103" s="14" t="s">
        <v>678</v>
      </c>
      <c r="G103" s="14" t="s">
        <v>679</v>
      </c>
      <c r="H103" s="6" t="s">
        <v>478</v>
      </c>
    </row>
    <row r="104" customFormat="false" ht="17.15" hidden="false" customHeight="false" outlineLevel="0" collapsed="false">
      <c r="A104" s="1" t="s">
        <v>680</v>
      </c>
    </row>
    <row r="105" customFormat="false" ht="17.15" hidden="false" customHeight="false" outlineLevel="0" collapsed="false">
      <c r="A105" s="5" t="s">
        <v>681</v>
      </c>
      <c r="B105" s="5" t="s">
        <v>34</v>
      </c>
      <c r="C105" s="19" t="n">
        <f aca="false">u_bw_26*tt_bw+u_rb_26*tt_rb+u_ru_26*tt_ru+u_hp_26*tt_hp+u_amd_26*tt_amd+u_tpu_26*tt_tpu+u_trn_26*tt_trn+u_oth_26*tt_oth</f>
        <v>14.885</v>
      </c>
      <c r="D105" s="19" t="n">
        <f aca="false">u_bw_27*tt_bw+u_rb_27*tt_rb+u_ru_27*tt_ru+u_hp_27*tt_hp+u_amd_27*tt_amd+u_tpu_27*tt_tpu+u_trn_27*tt_trn+u_oth_27*tt_oth</f>
        <v>24.31</v>
      </c>
      <c r="E105" s="19" t="n">
        <f aca="false">u_bw_28*um28_C*tt_bw+u_rb_28*um28_C*tt_rb+u_ru_28*um28_C*tt_ru+u_hp_28*um28_C*tt_hp+u_amd_28*um28_C*tt_amd+u_tpu_28*um28_C*tt_tpu+u_trn_28*um28_C*tt_trn+u_oth_28*um28_C*tt_oth</f>
        <v>16.86</v>
      </c>
      <c r="F105" s="19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5" s="19" t="n">
        <f aca="false">F105*(1+cy30g)</f>
        <v>19.194</v>
      </c>
      <c r="H105" s="8" t="s">
        <v>682</v>
      </c>
    </row>
    <row r="106" customFormat="false" ht="17.15" hidden="false" customHeight="false" outlineLevel="0" collapsed="false">
      <c r="A106" s="5" t="s">
        <v>683</v>
      </c>
      <c r="B106" s="0" t="s">
        <v>684</v>
      </c>
      <c r="C106" s="21" t="n">
        <f aca="false">(mk_soc26-nonai26)/C105</f>
        <v>0.450117568021498</v>
      </c>
      <c r="H106" s="5" t="s">
        <v>685</v>
      </c>
    </row>
    <row r="107" customFormat="false" ht="17.15" hidden="false" customHeight="false" outlineLevel="0" collapsed="false">
      <c r="A107" s="0" t="s">
        <v>686</v>
      </c>
      <c r="B107" s="0" t="s">
        <v>155</v>
      </c>
      <c r="C107" s="19" t="n">
        <f aca="false">$C$106*C105*(1-0)^0</f>
        <v>6.7</v>
      </c>
      <c r="D107" s="19" t="n">
        <f aca="false">$C$106*D105*(1-0)^1</f>
        <v>10.9423580786026</v>
      </c>
      <c r="E107" s="19" t="n">
        <f aca="false">$C$106*E105*(1-0)^2</f>
        <v>7.58898219684246</v>
      </c>
      <c r="F107" s="19" t="n">
        <f aca="false">$C$106*F105*(1-0)^3</f>
        <v>8.63955660060464</v>
      </c>
      <c r="G107" s="19" t="n">
        <f aca="false">$C$106*G105*(1-0)^4</f>
        <v>8.63955660060464</v>
      </c>
    </row>
    <row r="108" customFormat="false" ht="17.15" hidden="false" customHeight="false" outlineLevel="0" collapsed="false">
      <c r="A108" s="5" t="s">
        <v>687</v>
      </c>
      <c r="B108" s="0" t="s">
        <v>155</v>
      </c>
      <c r="C108" s="19" t="n">
        <f aca="false">nonai26*(1+g_nonai)^0</f>
        <v>4.3</v>
      </c>
      <c r="D108" s="19" t="n">
        <f aca="false">nonai26*(1+g_nonai)^1</f>
        <v>4.472</v>
      </c>
      <c r="E108" s="19" t="n">
        <f aca="false">nonai26*(1+g_nonai)^2</f>
        <v>4.65088</v>
      </c>
      <c r="F108" s="19" t="n">
        <f aca="false">nonai26*(1+g_nonai)^3</f>
        <v>4.8369152</v>
      </c>
      <c r="G108" s="19" t="n">
        <f aca="false">nonai26*(1+g_nonai)^4</f>
        <v>5.030391808</v>
      </c>
    </row>
    <row r="109" customFormat="false" ht="17.15" hidden="false" customHeight="false" outlineLevel="0" collapsed="false">
      <c r="A109" s="0" t="s">
        <v>688</v>
      </c>
      <c r="B109" s="0" t="s">
        <v>155</v>
      </c>
      <c r="C109" s="19" t="n">
        <f aca="false">C107+C108</f>
        <v>11</v>
      </c>
      <c r="D109" s="19" t="n">
        <f aca="false">D107+D108</f>
        <v>15.4143580786026</v>
      </c>
      <c r="E109" s="19" t="n">
        <f aca="false">E107+E108</f>
        <v>12.2398621968425</v>
      </c>
      <c r="F109" s="19" t="n">
        <f aca="false">F107+F108</f>
        <v>13.4764718006046</v>
      </c>
      <c r="G109" s="19" t="n">
        <f aca="false">G107+G108</f>
        <v>13.6699484086046</v>
      </c>
      <c r="H109" s="8" t="s">
        <v>689</v>
      </c>
    </row>
    <row r="110" customFormat="false" ht="17.15" hidden="false" customHeight="false" outlineLevel="0" collapsed="false">
      <c r="A110" s="5" t="s">
        <v>690</v>
      </c>
      <c r="B110" s="0" t="s">
        <v>155</v>
      </c>
      <c r="C110" s="19" t="n">
        <f aca="false">mk_mem26*(w_hbm*hsC_26/hsC_26+(1-w_hbm)*drC_26/drC_26)</f>
        <v>2.75</v>
      </c>
      <c r="D110" s="19" t="n">
        <f aca="false">mk_mem26*(w_hbm*hsC_27/hsC_26+(1-w_hbm)*drC_27/drC_26)</f>
        <v>3.88007408374579</v>
      </c>
      <c r="E110" s="19" t="n">
        <f aca="false">mk_mem26*(w_hbm*hsC_28/hsC_26+(1-w_hbm)*drC_28/drC_26)</f>
        <v>3.64082803238745</v>
      </c>
      <c r="F110" s="19" t="n">
        <f aca="false">mk_mem26*(w_hbm*hsC_29/hsC_26+(1-w_hbm)*drC_29/drC_26)</f>
        <v>4.31335866200469</v>
      </c>
      <c r="G110" s="19" t="n">
        <f aca="false">F110*(1+cy30g)</f>
        <v>4.31335866200469</v>
      </c>
      <c r="H110" s="8" t="s">
        <v>691</v>
      </c>
    </row>
    <row r="111" customFormat="false" ht="17.15" hidden="false" customHeight="false" outlineLevel="0" collapsed="false">
      <c r="A111" s="1" t="s">
        <v>692</v>
      </c>
    </row>
    <row r="112" customFormat="false" ht="17.15" hidden="false" customHeight="false" outlineLevel="0" collapsed="false">
      <c r="A112" s="0" t="s">
        <v>693</v>
      </c>
      <c r="B112" s="0" t="s">
        <v>155</v>
      </c>
      <c r="C112" s="19" t="n">
        <f aca="false">fmk_soc25</f>
        <v>7.925</v>
      </c>
      <c r="D112" s="19" t="n">
        <f aca="false">0.75*C109+0.25*D109</f>
        <v>12.1035895196507</v>
      </c>
      <c r="E112" s="19" t="n">
        <f aca="false">0.75*D109+0.25*E109</f>
        <v>14.6207341081626</v>
      </c>
      <c r="F112" s="19" t="n">
        <f aca="false">0.75*E109+0.25*F109</f>
        <v>12.549014597783</v>
      </c>
      <c r="G112" s="19" t="n">
        <f aca="false">0.75*F109+0.25*G109</f>
        <v>13.5248409526046</v>
      </c>
    </row>
    <row r="113" customFormat="false" ht="17.15" hidden="false" customHeight="false" outlineLevel="0" collapsed="false">
      <c r="A113" s="5" t="s">
        <v>694</v>
      </c>
      <c r="B113" s="0" t="s">
        <v>155</v>
      </c>
      <c r="C113" s="19" t="n">
        <f aca="false">fmk_mem25</f>
        <v>2.2625</v>
      </c>
      <c r="D113" s="19" t="n">
        <f aca="false">0.75*C110+0.25*D110</f>
        <v>3.03251852093645</v>
      </c>
      <c r="E113" s="19" t="n">
        <f aca="false">0.75*D110+0.25*E110</f>
        <v>3.82026257090621</v>
      </c>
      <c r="F113" s="19" t="n">
        <f aca="false">0.75*E110+0.25*F110</f>
        <v>3.80896068979176</v>
      </c>
      <c r="G113" s="19" t="n">
        <f aca="false">0.75*F110+0.25*G110</f>
        <v>4.31335866200469</v>
      </c>
    </row>
    <row r="114" customFormat="false" ht="17.15" hidden="false" customHeight="false" outlineLevel="0" collapsed="false">
      <c r="A114" s="0" t="s">
        <v>695</v>
      </c>
      <c r="B114" s="0" t="s">
        <v>45</v>
      </c>
      <c r="C114" s="10" t="n">
        <f aca="false">a25_soc/(C112*fx)</f>
        <v>0.645552050473186</v>
      </c>
      <c r="D114" s="10" t="n">
        <f aca="false">sh_soc</f>
        <v>0.66</v>
      </c>
      <c r="E114" s="10" t="n">
        <f aca="false">sh_soc</f>
        <v>0.66</v>
      </c>
      <c r="F114" s="10" t="n">
        <f aca="false">shC_28</f>
        <v>0.61</v>
      </c>
      <c r="G114" s="10" t="n">
        <f aca="false">shC_29</f>
        <v>0.56</v>
      </c>
      <c r="H114" s="8" t="s">
        <v>696</v>
      </c>
    </row>
    <row r="115" customFormat="false" ht="17.15" hidden="false" customHeight="false" outlineLevel="0" collapsed="false">
      <c r="A115" s="0" t="s">
        <v>697</v>
      </c>
      <c r="B115" s="0" t="s">
        <v>354</v>
      </c>
      <c r="C115" s="16" t="n">
        <f aca="false">a25_soc</f>
        <v>767.4</v>
      </c>
      <c r="D115" s="16" t="n">
        <f aca="false">D112*D114*fx</f>
        <v>1198.25536244542</v>
      </c>
      <c r="E115" s="16" t="n">
        <f aca="false">E112*E114*fx</f>
        <v>1447.4526767081</v>
      </c>
      <c r="F115" s="16" t="n">
        <f aca="false">F112*F114*fx</f>
        <v>1148.23483569714</v>
      </c>
      <c r="G115" s="16" t="n">
        <f aca="false">G112*G114*fx</f>
        <v>1136.08664001879</v>
      </c>
      <c r="H115" s="5" t="s">
        <v>698</v>
      </c>
    </row>
    <row r="116" customFormat="false" ht="15" hidden="false" customHeight="false" outlineLevel="0" collapsed="false">
      <c r="A116" s="5" t="s">
        <v>699</v>
      </c>
      <c r="B116" s="0" t="s">
        <v>354</v>
      </c>
      <c r="C116" s="16" t="n">
        <f aca="false">a25_mem</f>
        <v>171.5</v>
      </c>
      <c r="D116" s="16" t="n">
        <f aca="false">D113*sh_mem*fx</f>
        <v>229.868254736177</v>
      </c>
      <c r="E116" s="16" t="n">
        <f aca="false">E113*sh_mem*fx</f>
        <v>289.580124159299</v>
      </c>
      <c r="F116" s="16" t="n">
        <f aca="false">F113*sh_mem*fx</f>
        <v>288.723429082558</v>
      </c>
      <c r="G116" s="16" t="n">
        <f aca="false">G113*sh_mem*fx</f>
        <v>326.957352722124</v>
      </c>
    </row>
    <row r="117" customFormat="false" ht="15" hidden="false" customHeight="false" outlineLevel="0" collapsed="false">
      <c r="A117" s="5" t="s">
        <v>700</v>
      </c>
      <c r="B117" s="0" t="s">
        <v>354</v>
      </c>
      <c r="C117" s="16" t="n">
        <f aca="false">a25_oth</f>
        <v>80.5</v>
      </c>
      <c r="D117" s="16" t="n">
        <f aca="false">C117*(1+g_oth_26)</f>
        <v>104</v>
      </c>
      <c r="E117" s="16" t="n">
        <f aca="false">D117*(1+g_oth_C)</f>
        <v>104</v>
      </c>
      <c r="F117" s="16" t="n">
        <f aca="false">E117*(1+g_oth_C)</f>
        <v>104</v>
      </c>
      <c r="G117" s="16" t="n">
        <f aca="false">F117*(1+g_oth_C)</f>
        <v>104</v>
      </c>
    </row>
    <row r="118" customFormat="false" ht="15" hidden="false" customHeight="false" outlineLevel="0" collapsed="false">
      <c r="A118" s="5" t="s">
        <v>701</v>
      </c>
      <c r="B118" s="0" t="s">
        <v>354</v>
      </c>
      <c r="C118" s="16" t="n">
        <f aca="false">a25_svc</f>
        <v>109.2</v>
      </c>
      <c r="D118" s="16" t="n">
        <f aca="false">C118*(1+g_svc_26)</f>
        <v>135.6</v>
      </c>
      <c r="E118" s="16" t="n">
        <f aca="false">D118*(1+g_svc_C)</f>
        <v>143.736</v>
      </c>
      <c r="F118" s="16" t="n">
        <f aca="false">E118*(1+g_svc_C)</f>
        <v>152.36016</v>
      </c>
      <c r="G118" s="16" t="n">
        <f aca="false">F118*(1+g_svc_C)</f>
        <v>161.5017696</v>
      </c>
    </row>
    <row r="119" customFormat="false" ht="17.15" hidden="false" customHeight="false" outlineLevel="0" collapsed="false">
      <c r="A119" s="5" t="s">
        <v>702</v>
      </c>
      <c r="B119" s="0" t="s">
        <v>354</v>
      </c>
      <c r="C119" s="16" t="n">
        <f aca="false">C115+C116+C117</f>
        <v>1019.4</v>
      </c>
      <c r="D119" s="16" t="n">
        <f aca="false">D115+D116+D117</f>
        <v>1532.12361718159</v>
      </c>
      <c r="E119" s="16" t="n">
        <f aca="false">E115+E116+E117</f>
        <v>1841.0328008674</v>
      </c>
      <c r="F119" s="16" t="n">
        <f aca="false">F115+F116+F117</f>
        <v>1540.9582647797</v>
      </c>
      <c r="G119" s="16" t="n">
        <f aca="false">G115+G116+G117</f>
        <v>1567.04399274091</v>
      </c>
      <c r="H119" s="5" t="s">
        <v>703</v>
      </c>
    </row>
    <row r="120" customFormat="false" ht="15" hidden="false" customHeight="false" outlineLevel="0" collapsed="false">
      <c r="A120" s="5" t="s">
        <v>566</v>
      </c>
      <c r="B120" s="0" t="s">
        <v>354</v>
      </c>
      <c r="C120" s="16" t="n">
        <f aca="false">C119+C118</f>
        <v>1128.6</v>
      </c>
      <c r="D120" s="16" t="n">
        <f aca="false">D119+D118</f>
        <v>1667.72361718159</v>
      </c>
      <c r="E120" s="16" t="n">
        <f aca="false">E119+E118</f>
        <v>1984.7688008674</v>
      </c>
      <c r="F120" s="16" t="n">
        <f aca="false">F119+F118</f>
        <v>1693.3184247797</v>
      </c>
      <c r="G120" s="16" t="n">
        <f aca="false">G119+G118</f>
        <v>1728.54576234091</v>
      </c>
    </row>
    <row r="121" customFormat="false" ht="17.15" hidden="false" customHeight="false" outlineLevel="0" collapsed="false">
      <c r="A121" s="5" t="s">
        <v>704</v>
      </c>
      <c r="B121" s="0" t="s">
        <v>354</v>
      </c>
      <c r="C121" s="17" t="n">
        <f aca="false">C119+C118-a25_rev</f>
        <v>0</v>
      </c>
    </row>
    <row r="122" customFormat="false" ht="17.15" hidden="false" customHeight="false" outlineLevel="0" collapsed="false">
      <c r="A122" s="0" t="s">
        <v>705</v>
      </c>
      <c r="B122" s="0" t="s">
        <v>45</v>
      </c>
      <c r="C122" s="10" t="n">
        <f aca="false">C115/C120</f>
        <v>0.679957469431154</v>
      </c>
      <c r="D122" s="10" t="n">
        <f aca="false">D115/D120</f>
        <v>0.718497567642793</v>
      </c>
      <c r="E122" s="10" t="n">
        <f aca="false">E115/E120</f>
        <v>0.729280244669063</v>
      </c>
      <c r="F122" s="10" t="n">
        <f aca="false">F115/F120</f>
        <v>0.678097408552398</v>
      </c>
      <c r="G122" s="10" t="n">
        <f aca="false">G115/G120</f>
        <v>0.657249963969843</v>
      </c>
    </row>
    <row r="123" customFormat="false" ht="17.15" hidden="false" customHeight="false" outlineLevel="0" collapsed="false">
      <c r="A123" s="5" t="s">
        <v>570</v>
      </c>
      <c r="B123" s="0" t="s">
        <v>45</v>
      </c>
      <c r="C123" s="10" t="n">
        <f aca="false">a25_gp/a25_rev</f>
        <v>0.643</v>
      </c>
      <c r="D123" s="10" t="n">
        <f aca="false">gm_a+gm_b*D122+0</f>
        <v>0.661619040059589</v>
      </c>
      <c r="E123" s="10" t="n">
        <f aca="false">gm_a+gm_b*E122+0</f>
        <v>0.666828240472085</v>
      </c>
      <c r="F123" s="10" t="n">
        <f aca="false">gm_a+gm_b*F122+gm_adj_C28</f>
        <v>0.632101389212227</v>
      </c>
      <c r="G123" s="10" t="n">
        <f aca="false">gm_a+gm_b*G122+gm_adj_C29</f>
        <v>0.612029816387189</v>
      </c>
      <c r="H123" s="5" t="s">
        <v>706</v>
      </c>
    </row>
    <row r="124" customFormat="false" ht="15" hidden="false" customHeight="false" outlineLevel="0" collapsed="false">
      <c r="A124" s="5" t="s">
        <v>574</v>
      </c>
      <c r="B124" s="0" t="s">
        <v>354</v>
      </c>
      <c r="C124" s="16" t="n">
        <f aca="false">C120*C123</f>
        <v>725.6898</v>
      </c>
      <c r="D124" s="16" t="n">
        <f aca="false">D120*D123</f>
        <v>1103.39769868439</v>
      </c>
      <c r="E124" s="16" t="n">
        <f aca="false">E120*E123</f>
        <v>1323.49988722629</v>
      </c>
      <c r="F124" s="16" t="n">
        <f aca="false">F120*F123</f>
        <v>1070.34892868191</v>
      </c>
      <c r="G124" s="16" t="n">
        <f aca="false">G120*G123</f>
        <v>1057.92154554236</v>
      </c>
    </row>
    <row r="125" customFormat="false" ht="17.15" hidden="false" customHeight="false" outlineLevel="0" collapsed="false">
      <c r="A125" s="5" t="s">
        <v>707</v>
      </c>
      <c r="B125" s="0" t="s">
        <v>354</v>
      </c>
      <c r="C125" s="16" t="n">
        <f aca="false">opex25</f>
        <v>226.5898</v>
      </c>
      <c r="D125" s="16" t="n">
        <f aca="false">opex_fix+opex_var*D120</f>
        <v>288.496184304186</v>
      </c>
      <c r="E125" s="16" t="n">
        <f aca="false">opex_fix+opex_var*E120</f>
        <v>324.901788431955</v>
      </c>
      <c r="F125" s="16" t="n">
        <f aca="false">opex_fix+opex_var*F120</f>
        <v>291.435180009185</v>
      </c>
      <c r="G125" s="16" t="n">
        <f aca="false">opex_fix+opex_var*G120</f>
        <v>295.480258035034</v>
      </c>
      <c r="H125" s="5" t="s">
        <v>708</v>
      </c>
    </row>
    <row r="126" customFormat="false" ht="15" hidden="false" customHeight="false" outlineLevel="0" collapsed="false">
      <c r="A126" s="5" t="s">
        <v>577</v>
      </c>
      <c r="B126" s="0" t="s">
        <v>354</v>
      </c>
      <c r="C126" s="16" t="n">
        <f aca="false">C124-C125</f>
        <v>499.1</v>
      </c>
      <c r="D126" s="16" t="n">
        <f aca="false">D124-D125</f>
        <v>814.901514380204</v>
      </c>
      <c r="E126" s="16" t="n">
        <f aca="false">E124-E125</f>
        <v>998.598098794339</v>
      </c>
      <c r="F126" s="16" t="n">
        <f aca="false">F124-F125</f>
        <v>778.913748672724</v>
      </c>
      <c r="G126" s="16" t="n">
        <f aca="false">G124-G125</f>
        <v>762.441287507328</v>
      </c>
    </row>
    <row r="127" customFormat="false" ht="15" hidden="false" customHeight="false" outlineLevel="0" collapsed="false">
      <c r="A127" s="5" t="s">
        <v>580</v>
      </c>
      <c r="B127" s="0" t="s">
        <v>45</v>
      </c>
      <c r="C127" s="10" t="n">
        <f aca="false">C126/C120</f>
        <v>0.442229310650363</v>
      </c>
      <c r="D127" s="10" t="n">
        <f aca="false">D126/D120</f>
        <v>0.488631033334747</v>
      </c>
      <c r="E127" s="10" t="n">
        <f aca="false">E126/E120</f>
        <v>0.503130691271409</v>
      </c>
      <c r="F127" s="10" t="n">
        <f aca="false">F126/F120</f>
        <v>0.459992484150794</v>
      </c>
      <c r="G127" s="10" t="n">
        <f aca="false">G126/G120</f>
        <v>0.441088285955923</v>
      </c>
    </row>
    <row r="128" customFormat="false" ht="15" hidden="false" customHeight="false" outlineLevel="0" collapsed="false">
      <c r="A128" s="5" t="s">
        <v>600</v>
      </c>
      <c r="B128" s="0" t="s">
        <v>354</v>
      </c>
      <c r="C128" s="16" t="n">
        <f aca="false">a25_ni</f>
        <v>375.4</v>
      </c>
      <c r="D128" s="16" t="n">
        <f aca="false">D126*nioi</f>
        <v>612.931333396771</v>
      </c>
      <c r="E128" s="16" t="n">
        <f aca="false">E126*nioi</f>
        <v>751.099431551582</v>
      </c>
      <c r="F128" s="16" t="n">
        <f aca="false">F126*nioi</f>
        <v>585.862995896094</v>
      </c>
      <c r="G128" s="16" t="n">
        <f aca="false">G126*nioi</f>
        <v>573.473170367163</v>
      </c>
    </row>
    <row r="129" customFormat="false" ht="15" hidden="false" customHeight="false" outlineLevel="0" collapsed="false">
      <c r="A129" s="0" t="s">
        <v>670</v>
      </c>
      <c r="B129" s="0" t="s">
        <v>403</v>
      </c>
      <c r="C129" s="16" t="n">
        <f aca="false">a25_eps</f>
        <v>515.15</v>
      </c>
      <c r="D129" s="16" t="n">
        <f aca="false">D128*1000/shares</f>
        <v>846.625334511868</v>
      </c>
      <c r="E129" s="16" t="n">
        <f aca="false">E128*1000/shares</f>
        <v>1037.47316027225</v>
      </c>
      <c r="F129" s="16" t="n">
        <f aca="false">F128*1000/shares</f>
        <v>809.236578149569</v>
      </c>
      <c r="G129" s="16" t="n">
        <f aca="false">G128*1000/shares</f>
        <v>792.122850050788</v>
      </c>
    </row>
    <row r="130" customFormat="false" ht="17.15" hidden="false" customHeight="false" outlineLevel="0" collapsed="false">
      <c r="A130" s="5" t="s">
        <v>709</v>
      </c>
      <c r="B130" s="0" t="s">
        <v>155</v>
      </c>
      <c r="C130" s="17" t="n">
        <f aca="false">C120/fx</f>
        <v>7.524</v>
      </c>
      <c r="D130" s="17" t="n">
        <f aca="false">D120/fx</f>
        <v>11.1181574478773</v>
      </c>
      <c r="E130" s="17" t="n">
        <f aca="false">E120/fx</f>
        <v>13.2317920057826</v>
      </c>
      <c r="F130" s="17" t="n">
        <f aca="false">F120/fx</f>
        <v>11.2887894985313</v>
      </c>
      <c r="G130" s="17" t="n">
        <f aca="false">G120/fx</f>
        <v>11.5236384156061</v>
      </c>
      <c r="H130" s="8" t="s">
        <v>710</v>
      </c>
    </row>
    <row r="133" customFormat="false" ht="17.15" hidden="false" customHeight="false" outlineLevel="0" collapsed="false">
      <c r="A133" s="4" t="s">
        <v>713</v>
      </c>
    </row>
    <row r="134" customFormat="false" ht="17.15" hidden="false" customHeight="false" outlineLevel="0" collapsed="false">
      <c r="A134" s="5" t="s">
        <v>714</v>
      </c>
    </row>
    <row r="135" customFormat="false" ht="17.15" hidden="false" customHeight="false" outlineLevel="0" collapsed="false">
      <c r="A135" s="6" t="s">
        <v>715</v>
      </c>
      <c r="B135" s="6" t="s">
        <v>24</v>
      </c>
      <c r="C135" s="14" t="s">
        <v>662</v>
      </c>
      <c r="D135" s="14" t="s">
        <v>663</v>
      </c>
      <c r="E135" s="14" t="s">
        <v>664</v>
      </c>
      <c r="F135" s="14" t="s">
        <v>665</v>
      </c>
      <c r="G135" s="14" t="s">
        <v>666</v>
      </c>
      <c r="H135" s="14" t="s">
        <v>716</v>
      </c>
      <c r="I135" s="14" t="s">
        <v>717</v>
      </c>
      <c r="J135" s="14" t="s">
        <v>718</v>
      </c>
      <c r="K135" s="6" t="s">
        <v>478</v>
      </c>
    </row>
    <row r="136" customFormat="false" ht="17.15" hidden="false" customHeight="false" outlineLevel="0" collapsed="false">
      <c r="A136" s="4" t="s">
        <v>719</v>
      </c>
    </row>
    <row r="137" customFormat="false" ht="17.15" hidden="false" customHeight="false" outlineLevel="0" collapsed="false">
      <c r="A137" s="5" t="s">
        <v>566</v>
      </c>
      <c r="B137" s="0" t="s">
        <v>354</v>
      </c>
      <c r="C137" s="13" t="n">
        <f aca="false">C5</f>
        <v>1128.6</v>
      </c>
      <c r="D137" s="13" t="n">
        <f aca="false">D5</f>
        <v>1667.72361718159</v>
      </c>
      <c r="E137" s="13" t="n">
        <f aca="false">E5</f>
        <v>2160.35286222058</v>
      </c>
      <c r="F137" s="13" t="n">
        <f aca="false">F5</f>
        <v>2472.60416408125</v>
      </c>
      <c r="G137" s="13" t="n">
        <f aca="false">G5</f>
        <v>2727.98570686442</v>
      </c>
      <c r="H137" s="22" t="n">
        <f aca="false">G137*(1+H138)</f>
        <v>2970.38440971649</v>
      </c>
      <c r="I137" s="22" t="n">
        <f aca="false">H137*(1+I138)</f>
        <v>3191.46461876379</v>
      </c>
      <c r="J137" s="22" t="n">
        <f aca="false">I137*(1+J138)</f>
        <v>3382.95249588962</v>
      </c>
      <c r="K137" s="8" t="s">
        <v>720</v>
      </c>
    </row>
    <row r="138" customFormat="false" ht="15" hidden="false" customHeight="false" outlineLevel="0" collapsed="false">
      <c r="A138" s="5" t="s">
        <v>721</v>
      </c>
      <c r="B138" s="0" t="s">
        <v>45</v>
      </c>
      <c r="D138" s="10" t="n">
        <f aca="false">D137/C137-1</f>
        <v>0.477692377442488</v>
      </c>
      <c r="E138" s="10" t="n">
        <f aca="false">E137/D137-1</f>
        <v>0.295390219316748</v>
      </c>
      <c r="F138" s="10" t="n">
        <f aca="false">F137/E137-1</f>
        <v>0.144537175996198</v>
      </c>
      <c r="G138" s="10" t="n">
        <f aca="false">G137/F137-1</f>
        <v>0.103284442569911</v>
      </c>
      <c r="H138" s="23" t="n">
        <f aca="false">$G138+((tp_g+0.02)-$G138)*1/3</f>
        <v>0.0888562950466071</v>
      </c>
      <c r="I138" s="23" t="n">
        <f aca="false">$G138+((tp_g+0.02)-$G138)*2/3</f>
        <v>0.0744281475233036</v>
      </c>
      <c r="J138" s="23" t="n">
        <f aca="false">$G138+((tp_g+0.02)-$G138)*3/3</f>
        <v>0.06</v>
      </c>
    </row>
    <row r="139" customFormat="false" ht="17.15" hidden="false" customHeight="false" outlineLevel="0" collapsed="false">
      <c r="A139" s="5" t="s">
        <v>722</v>
      </c>
      <c r="B139" s="0" t="s">
        <v>45</v>
      </c>
      <c r="C139" s="10" t="n">
        <f aca="false">C140/C137</f>
        <v>0.332624490519227</v>
      </c>
      <c r="D139" s="10" t="n">
        <f aca="false">D140/D137</f>
        <v>0.367525726134771</v>
      </c>
      <c r="E139" s="10" t="n">
        <f aca="false">E140/E137</f>
        <v>0.380942888494134</v>
      </c>
      <c r="F139" s="10" t="n">
        <f aca="false">F140/F137</f>
        <v>0.379414312260206</v>
      </c>
      <c r="G139" s="10" t="n">
        <f aca="false">G140/G137</f>
        <v>0.377750431910244</v>
      </c>
      <c r="H139" s="23" t="n">
        <f aca="false">$G139+($G139-$G139)*1/3</f>
        <v>0.377750431910244</v>
      </c>
      <c r="I139" s="23" t="n">
        <f aca="false">$G139+($G139-$G139)*2/3</f>
        <v>0.377750431910244</v>
      </c>
      <c r="J139" s="23" t="n">
        <f aca="false">$G139+($G139-$G139)*3/3</f>
        <v>0.377750431910244</v>
      </c>
    </row>
    <row r="140" customFormat="false" ht="15" hidden="false" customHeight="false" outlineLevel="0" collapsed="false">
      <c r="A140" s="5" t="s">
        <v>723</v>
      </c>
      <c r="B140" s="0" t="s">
        <v>354</v>
      </c>
      <c r="C140" s="13" t="n">
        <f aca="false">C12</f>
        <v>375.4</v>
      </c>
      <c r="D140" s="13" t="n">
        <f aca="false">D12</f>
        <v>612.931333396771</v>
      </c>
      <c r="E140" s="13" t="n">
        <f aca="false">E12</f>
        <v>822.971059500879</v>
      </c>
      <c r="F140" s="13" t="n">
        <f aca="false">F12</f>
        <v>938.141408406609</v>
      </c>
      <c r="G140" s="13" t="n">
        <f aca="false">G12</f>
        <v>1030.49777901301</v>
      </c>
      <c r="H140" s="22" t="n">
        <f aca="false">H137*H139</f>
        <v>1122.06399370986</v>
      </c>
      <c r="I140" s="22" t="n">
        <f aca="false">I137*I139</f>
        <v>1205.57713816429</v>
      </c>
      <c r="J140" s="22" t="n">
        <f aca="false">J137*J139</f>
        <v>1277.91176645414</v>
      </c>
    </row>
    <row r="141" customFormat="false" ht="17.15" hidden="false" customHeight="false" outlineLevel="0" collapsed="false">
      <c r="A141" s="0" t="s">
        <v>724</v>
      </c>
      <c r="B141" s="0" t="s">
        <v>403</v>
      </c>
      <c r="C141" s="13" t="n">
        <f aca="false">C13</f>
        <v>515.15</v>
      </c>
      <c r="D141" s="13" t="n">
        <f aca="false">D13</f>
        <v>846.625334511868</v>
      </c>
      <c r="E141" s="13" t="n">
        <f aca="false">E13</f>
        <v>1136.74747982331</v>
      </c>
      <c r="F141" s="13" t="n">
        <f aca="false">F13</f>
        <v>1295.82914175727</v>
      </c>
      <c r="G141" s="13" t="n">
        <f aca="false">G13</f>
        <v>1423.39847766579</v>
      </c>
      <c r="H141" s="22" t="n">
        <f aca="false">$G141*H140/$G140</f>
        <v>1549.87639276615</v>
      </c>
      <c r="I141" s="22" t="n">
        <f aca="false">$G141*I140/$G140</f>
        <v>1665.23082156983</v>
      </c>
      <c r="J141" s="22" t="n">
        <f aca="false">$G141*J140/$G140</f>
        <v>1765.14467086402</v>
      </c>
    </row>
    <row r="143" customFormat="false" ht="17.15" hidden="false" customHeight="false" outlineLevel="0" collapsed="false">
      <c r="A143" s="4" t="s">
        <v>725</v>
      </c>
    </row>
    <row r="144" customFormat="false" ht="17.15" hidden="false" customHeight="false" outlineLevel="0" collapsed="false">
      <c r="A144" s="5" t="s">
        <v>566</v>
      </c>
      <c r="B144" s="0" t="s">
        <v>354</v>
      </c>
      <c r="C144" s="13" t="n">
        <f aca="false">C16</f>
        <v>1128.6</v>
      </c>
      <c r="D144" s="13" t="n">
        <f aca="false">D16</f>
        <v>1667.72361718159</v>
      </c>
      <c r="E144" s="13" t="n">
        <f aca="false">E16</f>
        <v>2083.99075634796</v>
      </c>
      <c r="F144" s="13" t="n">
        <f aca="false">F16</f>
        <v>2188.26343081766</v>
      </c>
      <c r="G144" s="13" t="n">
        <f aca="false">G16</f>
        <v>2453.1349674816</v>
      </c>
      <c r="H144" s="22" t="n">
        <f aca="false">G144*(1+H145)</f>
        <v>2683.79815870503</v>
      </c>
      <c r="I144" s="22" t="n">
        <f aca="false">H144*(1+I145)</f>
        <v>2863.65010813601</v>
      </c>
      <c r="J144" s="22" t="n">
        <f aca="false">I144*(1+J145)</f>
        <v>2978.19611246145</v>
      </c>
      <c r="K144" s="8" t="s">
        <v>720</v>
      </c>
    </row>
    <row r="145" customFormat="false" ht="15" hidden="false" customHeight="false" outlineLevel="0" collapsed="false">
      <c r="A145" s="5" t="s">
        <v>721</v>
      </c>
      <c r="B145" s="0" t="s">
        <v>45</v>
      </c>
      <c r="D145" s="10" t="n">
        <f aca="false">D144/C144-1</f>
        <v>0.477692377442488</v>
      </c>
      <c r="E145" s="10" t="n">
        <f aca="false">E144/D144-1</f>
        <v>0.249601993326594</v>
      </c>
      <c r="F145" s="10" t="n">
        <f aca="false">F144/E144-1</f>
        <v>0.0500350945185741</v>
      </c>
      <c r="G145" s="10" t="n">
        <f aca="false">G144/F144-1</f>
        <v>0.121041887797288</v>
      </c>
      <c r="H145" s="23" t="n">
        <f aca="false">$G145+((tp_g)-$G145)*1/3</f>
        <v>0.0940279251981919</v>
      </c>
      <c r="I145" s="23" t="n">
        <f aca="false">$G145+((tp_g)-$G145)*2/3</f>
        <v>0.067013962599096</v>
      </c>
      <c r="J145" s="23" t="n">
        <f aca="false">$G145+((tp_g)-$G145)*3/3</f>
        <v>0.04</v>
      </c>
    </row>
    <row r="146" customFormat="false" ht="17.15" hidden="false" customHeight="false" outlineLevel="0" collapsed="false">
      <c r="A146" s="5" t="s">
        <v>722</v>
      </c>
      <c r="B146" s="0" t="s">
        <v>45</v>
      </c>
      <c r="C146" s="10" t="n">
        <f aca="false">C147/C144</f>
        <v>0.332624490519227</v>
      </c>
      <c r="D146" s="10" t="n">
        <f aca="false">D147/D144</f>
        <v>0.367525726134771</v>
      </c>
      <c r="E146" s="10" t="n">
        <f aca="false">E147/E144</f>
        <v>0.378481476901081</v>
      </c>
      <c r="F146" s="10" t="n">
        <f aca="false">F147/F144</f>
        <v>0.369133090024014</v>
      </c>
      <c r="G146" s="10" t="n">
        <f aca="false">G147/G144</f>
        <v>0.371572982795767</v>
      </c>
      <c r="H146" s="23" t="n">
        <f aca="false">$G146+(($G146+nim10)/2-$G146)*1/3</f>
        <v>0.341425369352275</v>
      </c>
      <c r="I146" s="23" t="n">
        <f aca="false">$G146+(($G146+nim10)/2-$G146)*2/3</f>
        <v>0.311277755908782</v>
      </c>
      <c r="J146" s="23" t="n">
        <f aca="false">$G146+(($G146+nim10)/2-$G146)*3/3</f>
        <v>0.28113014246529</v>
      </c>
    </row>
    <row r="147" customFormat="false" ht="15" hidden="false" customHeight="false" outlineLevel="0" collapsed="false">
      <c r="A147" s="5" t="s">
        <v>723</v>
      </c>
      <c r="B147" s="0" t="s">
        <v>354</v>
      </c>
      <c r="C147" s="13" t="n">
        <f aca="false">C23</f>
        <v>375.4</v>
      </c>
      <c r="D147" s="13" t="n">
        <f aca="false">D23</f>
        <v>612.931333396771</v>
      </c>
      <c r="E147" s="13" t="n">
        <f aca="false">E23</f>
        <v>788.751899310775</v>
      </c>
      <c r="F147" s="13" t="n">
        <f aca="false">F23</f>
        <v>807.760442004273</v>
      </c>
      <c r="G147" s="13" t="n">
        <f aca="false">G23</f>
        <v>911.518677067735</v>
      </c>
      <c r="H147" s="22" t="n">
        <f aca="false">H144*H146</f>
        <v>916.316777602819</v>
      </c>
      <c r="I147" s="22" t="n">
        <f aca="false">I144*I146</f>
        <v>891.390579368519</v>
      </c>
      <c r="J147" s="22" t="n">
        <f aca="false">J144*J146</f>
        <v>837.260697385861</v>
      </c>
    </row>
    <row r="148" customFormat="false" ht="17.15" hidden="false" customHeight="false" outlineLevel="0" collapsed="false">
      <c r="A148" s="0" t="s">
        <v>724</v>
      </c>
      <c r="B148" s="0" t="s">
        <v>403</v>
      </c>
      <c r="C148" s="13" t="n">
        <f aca="false">C24</f>
        <v>515.15</v>
      </c>
      <c r="D148" s="13" t="n">
        <f aca="false">D24</f>
        <v>846.625334511868</v>
      </c>
      <c r="E148" s="13" t="n">
        <f aca="false">E24</f>
        <v>1089.48148710254</v>
      </c>
      <c r="F148" s="13" t="n">
        <f aca="false">F24</f>
        <v>1115.73746871027</v>
      </c>
      <c r="G148" s="13" t="n">
        <f aca="false">G24</f>
        <v>1259.05588903338</v>
      </c>
      <c r="H148" s="22" t="n">
        <f aca="false">$G148*H147/$G147</f>
        <v>1265.6833744452</v>
      </c>
      <c r="I148" s="22" t="n">
        <f aca="false">$G148*I147/$G147</f>
        <v>1231.25349662957</v>
      </c>
      <c r="J148" s="22" t="n">
        <f aca="false">$G148*J147/$G147</f>
        <v>1156.48536691643</v>
      </c>
    </row>
    <row r="150" customFormat="false" ht="17.15" hidden="false" customHeight="false" outlineLevel="0" collapsed="false">
      <c r="A150" s="4" t="s">
        <v>726</v>
      </c>
    </row>
    <row r="151" customFormat="false" ht="17.15" hidden="false" customHeight="false" outlineLevel="0" collapsed="false">
      <c r="A151" s="5" t="s">
        <v>566</v>
      </c>
      <c r="B151" s="0" t="s">
        <v>354</v>
      </c>
      <c r="C151" s="13" t="n">
        <f aca="false">C27</f>
        <v>1128.6</v>
      </c>
      <c r="D151" s="13" t="n">
        <f aca="false">D27</f>
        <v>1667.72361718159</v>
      </c>
      <c r="E151" s="13" t="n">
        <f aca="false">E27</f>
        <v>1984.7688008674</v>
      </c>
      <c r="F151" s="13" t="n">
        <f aca="false">F27</f>
        <v>1693.3184247797</v>
      </c>
      <c r="G151" s="13" t="n">
        <f aca="false">G27</f>
        <v>1728.54576234091</v>
      </c>
      <c r="H151" s="22" t="n">
        <f aca="false">G151*(1+H152)</f>
        <v>1764.04286578586</v>
      </c>
      <c r="I151" s="22" t="n">
        <f aca="false">H151*(1+I152)</f>
        <v>1799.79632721738</v>
      </c>
      <c r="J151" s="22" t="n">
        <f aca="false">I151*(1+J152)</f>
        <v>1835.79225376173</v>
      </c>
      <c r="K151" s="8" t="s">
        <v>720</v>
      </c>
    </row>
    <row r="152" customFormat="false" ht="15" hidden="false" customHeight="false" outlineLevel="0" collapsed="false">
      <c r="A152" s="5" t="s">
        <v>721</v>
      </c>
      <c r="B152" s="0" t="s">
        <v>45</v>
      </c>
      <c r="D152" s="10" t="n">
        <f aca="false">D151/C151-1</f>
        <v>0.477692377442488</v>
      </c>
      <c r="E152" s="10" t="n">
        <f aca="false">E151/D151-1</f>
        <v>0.190106550281755</v>
      </c>
      <c r="F152" s="10" t="n">
        <f aca="false">F151/E151-1</f>
        <v>-0.146843489256946</v>
      </c>
      <c r="G152" s="10" t="n">
        <f aca="false">G151/F151-1</f>
        <v>0.0208037289653857</v>
      </c>
      <c r="H152" s="23" t="n">
        <f aca="false">$G152+((tp_g-0.02)-$G152)*1/3</f>
        <v>0.0205358193102572</v>
      </c>
      <c r="I152" s="23" t="n">
        <f aca="false">$G152+((tp_g-0.02)-$G152)*2/3</f>
        <v>0.0202679096551286</v>
      </c>
      <c r="J152" s="23" t="n">
        <f aca="false">$G152+((tp_g-0.02)-$G152)*3/3</f>
        <v>0.02</v>
      </c>
    </row>
    <row r="153" customFormat="false" ht="17.15" hidden="false" customHeight="false" outlineLevel="0" collapsed="false">
      <c r="A153" s="5" t="s">
        <v>722</v>
      </c>
      <c r="B153" s="0" t="s">
        <v>45</v>
      </c>
      <c r="C153" s="10" t="n">
        <f aca="false">C154/C151</f>
        <v>0.332624490519227</v>
      </c>
      <c r="D153" s="10" t="n">
        <f aca="false">D154/D151</f>
        <v>0.367525726134771</v>
      </c>
      <c r="E153" s="10" t="n">
        <f aca="false">E154/E151</f>
        <v>0.378431700066694</v>
      </c>
      <c r="F153" s="10" t="n">
        <f aca="false">F154/F151</f>
        <v>0.345985130335019</v>
      </c>
      <c r="G153" s="10" t="n">
        <f aca="false">G154/G151</f>
        <v>0.331766264371576</v>
      </c>
      <c r="H153" s="23" t="n">
        <f aca="false">$G153+(nim10-$G153)*1/3</f>
        <v>0.284739943625989</v>
      </c>
      <c r="I153" s="23" t="n">
        <f aca="false">$G153+(nim10-$G153)*2/3</f>
        <v>0.237713622880401</v>
      </c>
      <c r="J153" s="23" t="n">
        <f aca="false">$G153+(nim10-$G153)*3/3</f>
        <v>0.190687302134813</v>
      </c>
    </row>
    <row r="154" customFormat="false" ht="15" hidden="false" customHeight="false" outlineLevel="0" collapsed="false">
      <c r="A154" s="5" t="s">
        <v>723</v>
      </c>
      <c r="B154" s="0" t="s">
        <v>354</v>
      </c>
      <c r="C154" s="13" t="n">
        <f aca="false">C34</f>
        <v>375.4</v>
      </c>
      <c r="D154" s="13" t="n">
        <f aca="false">D34</f>
        <v>612.931333396771</v>
      </c>
      <c r="E154" s="13" t="n">
        <f aca="false">E34</f>
        <v>751.099431551582</v>
      </c>
      <c r="F154" s="13" t="n">
        <f aca="false">F34</f>
        <v>585.862995896094</v>
      </c>
      <c r="G154" s="13" t="n">
        <f aca="false">G34</f>
        <v>573.473170367163</v>
      </c>
      <c r="H154" s="22" t="n">
        <f aca="false">H151*H153</f>
        <v>502.293466157692</v>
      </c>
      <c r="I154" s="22" t="n">
        <f aca="false">I151*I153</f>
        <v>427.836105389683</v>
      </c>
      <c r="J154" s="22" t="n">
        <f aca="false">J151*J153</f>
        <v>350.062272149812</v>
      </c>
    </row>
    <row r="155" customFormat="false" ht="17.15" hidden="false" customHeight="false" outlineLevel="0" collapsed="false">
      <c r="A155" s="0" t="s">
        <v>724</v>
      </c>
      <c r="B155" s="0" t="s">
        <v>403</v>
      </c>
      <c r="C155" s="13" t="n">
        <f aca="false">C35</f>
        <v>515.15</v>
      </c>
      <c r="D155" s="13" t="n">
        <f aca="false">D35</f>
        <v>846.625334511868</v>
      </c>
      <c r="E155" s="13" t="n">
        <f aca="false">E35</f>
        <v>1037.47316027225</v>
      </c>
      <c r="F155" s="13" t="n">
        <f aca="false">F35</f>
        <v>809.236578149569</v>
      </c>
      <c r="G155" s="13" t="n">
        <f aca="false">G35</f>
        <v>792.122850050788</v>
      </c>
      <c r="H155" s="22" t="n">
        <f aca="false">$G155*H154/$G154</f>
        <v>693.804265890907</v>
      </c>
      <c r="I155" s="22" t="n">
        <f aca="false">$G155*I154/$G154</f>
        <v>590.958344117349</v>
      </c>
      <c r="J155" s="22" t="n">
        <f aca="false">$G155*J154/$G154</f>
        <v>483.531469367659</v>
      </c>
    </row>
    <row r="157" customFormat="false" ht="17.15" hidden="false" customHeight="false" outlineLevel="0" collapsed="false">
      <c r="A157" s="6" t="s">
        <v>23</v>
      </c>
      <c r="B157" s="14" t="s">
        <v>727</v>
      </c>
      <c r="C157" s="14" t="s">
        <v>728</v>
      </c>
      <c r="D157" s="14" t="s">
        <v>729</v>
      </c>
      <c r="E157" s="14" t="s">
        <v>730</v>
      </c>
      <c r="F157" s="14" t="s">
        <v>731</v>
      </c>
      <c r="G157" s="14" t="s">
        <v>732</v>
      </c>
      <c r="H157" s="14" t="s">
        <v>733</v>
      </c>
      <c r="I157" s="14" t="s">
        <v>734</v>
      </c>
      <c r="J157" s="14" t="s">
        <v>735</v>
      </c>
      <c r="K157" s="14" t="s">
        <v>736</v>
      </c>
      <c r="L157" s="14" t="s">
        <v>737</v>
      </c>
      <c r="M157" s="14" t="s">
        <v>738</v>
      </c>
      <c r="N157" s="14" t="s">
        <v>739</v>
      </c>
      <c r="O157" s="14" t="s">
        <v>740</v>
      </c>
      <c r="P157" s="14" t="s">
        <v>741</v>
      </c>
      <c r="Q157" s="14" t="s">
        <v>742</v>
      </c>
      <c r="R157" s="14" t="s">
        <v>743</v>
      </c>
      <c r="S157" s="14" t="s">
        <v>744</v>
      </c>
      <c r="T157" s="14" t="s">
        <v>745</v>
      </c>
      <c r="U157" s="14" t="s">
        <v>746</v>
      </c>
      <c r="V157" s="14" t="s">
        <v>747</v>
      </c>
    </row>
    <row r="158" customFormat="false" ht="15" hidden="false" customHeight="false" outlineLevel="0" collapsed="false">
      <c r="A158" s="5" t="s">
        <v>748</v>
      </c>
      <c r="B158" s="16" t="n">
        <f aca="false">PL!D140+PL!D137*(da_rev-cx_rev)</f>
        <v>600.102008175816</v>
      </c>
      <c r="C158" s="16" t="n">
        <f aca="false">PL!E140+PL!E137*(da_rev-cx_rev)</f>
        <v>806.352077089219</v>
      </c>
      <c r="D158" s="16" t="n">
        <f aca="false">PL!F140+PL!F137*(da_rev-cx_rev)</f>
        <v>919.120365209238</v>
      </c>
      <c r="E158" s="16" t="n">
        <f aca="false">PL!G140+PL!G137*(da_rev-cx_rev)</f>
        <v>1009.5121579719</v>
      </c>
      <c r="F158" s="16" t="n">
        <f aca="false">PL!H140+PL!H137*(da_rev-cx_rev)</f>
        <v>1099.21366813379</v>
      </c>
      <c r="G158" s="16" t="n">
        <f aca="false">PL!I140+PL!I137*(da_rev-cx_rev)</f>
        <v>1181.02610518528</v>
      </c>
      <c r="H158" s="16" t="n">
        <f aca="false">PL!J140+PL!J137*(da_rev-cx_rev)</f>
        <v>1251.8876714964</v>
      </c>
      <c r="I158" s="16" t="n">
        <f aca="false">PL!D147+PL!D144*(da_rev-cx_rev)</f>
        <v>600.102008175816</v>
      </c>
      <c r="J158" s="16" t="n">
        <f aca="false">PL!E147+PL!E144*(da_rev-cx_rev)</f>
        <v>772.720348941634</v>
      </c>
      <c r="K158" s="16" t="n">
        <f aca="false">PL!F147+PL!F144*(da_rev-cx_rev)</f>
        <v>790.926751497132</v>
      </c>
      <c r="L158" s="16" t="n">
        <f aca="false">PL!G147+PL!G144*(da_rev-cx_rev)</f>
        <v>892.647404883015</v>
      </c>
      <c r="M158" s="16" t="n">
        <f aca="false">PL!H147+PL!H144*(da_rev-cx_rev)</f>
        <v>895.671078848719</v>
      </c>
      <c r="N158" s="16" t="n">
        <f aca="false">PL!I147+PL!I144*(da_rev-cx_rev)</f>
        <v>869.36133053028</v>
      </c>
      <c r="O158" s="16" t="n">
        <f aca="false">PL!J147+PL!J144*(da_rev-cx_rev)</f>
        <v>814.350278594092</v>
      </c>
      <c r="P158" s="16" t="n">
        <f aca="false">PL!D154+PL!D151*(da_rev-cx_rev)</f>
        <v>600.102008175816</v>
      </c>
      <c r="Q158" s="16" t="n">
        <f aca="false">PL!E154+PL!E151*(da_rev-cx_rev)</f>
        <v>735.831167570428</v>
      </c>
      <c r="R158" s="16" t="n">
        <f aca="false">PL!F154+PL!F151*(da_rev-cx_rev)</f>
        <v>572.836777072829</v>
      </c>
      <c r="S158" s="16" t="n">
        <f aca="false">PL!G154+PL!G151*(da_rev-cx_rev)</f>
        <v>560.175957618054</v>
      </c>
      <c r="T158" s="16" t="n">
        <f aca="false">PL!H154+PL!H151*(da_rev-cx_rev)</f>
        <v>488.723184250238</v>
      </c>
      <c r="U158" s="16" t="n">
        <f aca="false">PL!I154+PL!I151*(da_rev-cx_rev)</f>
        <v>413.990782234533</v>
      </c>
      <c r="V158" s="16" t="n">
        <f aca="false">PL!J154+PL!J151*(da_rev-cx_rev)</f>
        <v>335.94004253156</v>
      </c>
    </row>
    <row r="159" customFormat="false" ht="17.15" hidden="false" customHeight="false" outlineLevel="0" collapsed="false">
      <c r="A159" s="5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750</v>
      </c>
    </row>
    <row r="2" customFormat="false" ht="17.15" hidden="false" customHeight="false" outlineLevel="0" collapsed="false">
      <c r="A2" s="0" t="s">
        <v>751</v>
      </c>
    </row>
    <row r="3" customFormat="false" ht="17.15" hidden="false" customHeight="false" outlineLevel="0" collapsed="false">
      <c r="A3" s="5" t="s">
        <v>752</v>
      </c>
    </row>
    <row r="4" customFormat="false" ht="17.15" hidden="false" customHeight="false" outlineLevel="0" collapsed="false">
      <c r="A4" s="1" t="s">
        <v>753</v>
      </c>
    </row>
    <row r="5" customFormat="false" ht="17.15" hidden="false" customHeight="false" outlineLevel="0" collapsed="false">
      <c r="A5" s="6" t="s">
        <v>754</v>
      </c>
      <c r="B5" s="6" t="s">
        <v>755</v>
      </c>
      <c r="C5" s="6" t="s">
        <v>756</v>
      </c>
      <c r="D5" s="6" t="s">
        <v>757</v>
      </c>
      <c r="E5" s="6" t="s">
        <v>758</v>
      </c>
      <c r="F5" s="6" t="s">
        <v>28</v>
      </c>
      <c r="G5" s="6" t="s">
        <v>478</v>
      </c>
    </row>
    <row r="6" customFormat="false" ht="17.15" hidden="false" customHeight="false" outlineLevel="0" collapsed="false">
      <c r="A6" s="0" t="s">
        <v>759</v>
      </c>
      <c r="B6" s="24" t="n">
        <v>9.59</v>
      </c>
      <c r="C6" s="7" t="n">
        <v>38.35</v>
      </c>
      <c r="D6" s="19" t="n">
        <f aca="false">C6/4</f>
        <v>9.5875</v>
      </c>
      <c r="E6" s="10" t="n">
        <f aca="false">B6/D6-1</f>
        <v>0.00026075619295951</v>
      </c>
      <c r="F6" s="8" t="s">
        <v>425</v>
      </c>
      <c r="G6" s="5" t="s">
        <v>760</v>
      </c>
    </row>
    <row r="7" customFormat="false" ht="17.15" hidden="false" customHeight="false" outlineLevel="0" collapsed="false">
      <c r="A7" s="0" t="s">
        <v>761</v>
      </c>
      <c r="B7" s="24" t="n">
        <v>20.27</v>
      </c>
      <c r="C7" s="7" t="n">
        <v>81.07</v>
      </c>
      <c r="D7" s="19" t="n">
        <f aca="false">C7/4</f>
        <v>20.2675</v>
      </c>
      <c r="E7" s="10" t="n">
        <f aca="false">B7/D7-1</f>
        <v>0.000123350191192806</v>
      </c>
      <c r="F7" s="8" t="s">
        <v>425</v>
      </c>
      <c r="G7" s="5" t="s">
        <v>762</v>
      </c>
    </row>
    <row r="8" customFormat="false" ht="17.15" hidden="false" customHeight="false" outlineLevel="0" collapsed="false">
      <c r="A8" s="0" t="s">
        <v>763</v>
      </c>
      <c r="B8" s="24" t="n">
        <v>25.49</v>
      </c>
      <c r="C8" s="7" t="n">
        <v>101.94</v>
      </c>
      <c r="D8" s="19" t="n">
        <f aca="false">C8/4</f>
        <v>25.485</v>
      </c>
      <c r="E8" s="10" t="n">
        <f aca="false">B8/D8-1</f>
        <v>0.000196193839513414</v>
      </c>
      <c r="F8" s="8" t="s">
        <v>425</v>
      </c>
      <c r="G8" s="5" t="s">
        <v>764</v>
      </c>
    </row>
    <row r="9" customFormat="false" ht="17.15" hidden="false" customHeight="false" outlineLevel="0" collapsed="false">
      <c r="A9" s="0" t="s">
        <v>765</v>
      </c>
      <c r="B9" s="24" t="n">
        <v>75.59</v>
      </c>
      <c r="C9" s="7" t="n">
        <v>302.35</v>
      </c>
      <c r="D9" s="19" t="n">
        <f aca="false">C9/4</f>
        <v>75.5875</v>
      </c>
      <c r="E9" s="10" t="n">
        <f aca="false">B9/D9-1</f>
        <v>3.30742516949645E-005</v>
      </c>
      <c r="F9" s="8" t="s">
        <v>425</v>
      </c>
      <c r="G9" s="5" t="s">
        <v>766</v>
      </c>
    </row>
    <row r="10" customFormat="false" ht="17.15" hidden="false" customHeight="false" outlineLevel="0" collapsed="false">
      <c r="A10" s="0" t="s">
        <v>767</v>
      </c>
      <c r="B10" s="24" t="n">
        <v>67.53</v>
      </c>
      <c r="C10" s="7" t="n">
        <v>270.12</v>
      </c>
      <c r="D10" s="19" t="n">
        <f aca="false">C10/4</f>
        <v>67.53</v>
      </c>
      <c r="E10" s="10" t="n">
        <f aca="false">B10/D10-1</f>
        <v>0</v>
      </c>
      <c r="F10" s="8" t="s">
        <v>425</v>
      </c>
      <c r="G10" s="5" t="s">
        <v>768</v>
      </c>
    </row>
    <row r="11" customFormat="false" ht="17.15" hidden="false" customHeight="false" outlineLevel="0" collapsed="false">
      <c r="A11" s="0" t="s">
        <v>769</v>
      </c>
      <c r="B11" s="24" t="n">
        <v>88.47</v>
      </c>
      <c r="C11" s="7" t="n">
        <v>353.87</v>
      </c>
      <c r="D11" s="19" t="n">
        <f aca="false">C11/4</f>
        <v>88.4675</v>
      </c>
      <c r="E11" s="10" t="n">
        <f aca="false">B11/D11-1</f>
        <v>2.8258965156569E-005</v>
      </c>
      <c r="F11" s="8" t="s">
        <v>770</v>
      </c>
      <c r="G11" s="5" t="s">
        <v>771</v>
      </c>
    </row>
    <row r="12" customFormat="false" ht="17.15" hidden="false" customHeight="false" outlineLevel="0" collapsed="false">
      <c r="A12" s="0" t="s">
        <v>772</v>
      </c>
      <c r="B12" s="24" t="n">
        <v>112.39</v>
      </c>
      <c r="C12" s="7" t="n">
        <v>449.6</v>
      </c>
      <c r="D12" s="19" t="n">
        <f aca="false">C12/4</f>
        <v>112.4</v>
      </c>
      <c r="E12" s="10" t="n">
        <f aca="false">B12/D12-1</f>
        <v>-8.89679715302405E-005</v>
      </c>
      <c r="F12" s="8" t="s">
        <v>770</v>
      </c>
      <c r="G12" s="5" t="s">
        <v>773</v>
      </c>
    </row>
    <row r="13" customFormat="false" ht="17.15" hidden="false" customHeight="false" outlineLevel="0" collapsed="false">
      <c r="A13" s="0" t="s">
        <v>774</v>
      </c>
      <c r="B13" s="24" t="n">
        <v>174.35</v>
      </c>
      <c r="C13" s="7" t="n">
        <v>697.4</v>
      </c>
      <c r="D13" s="19" t="n">
        <f aca="false">C13/4</f>
        <v>174.35</v>
      </c>
      <c r="E13" s="10" t="n">
        <f aca="false">B13/D13-1</f>
        <v>0</v>
      </c>
      <c r="F13" s="8" t="s">
        <v>770</v>
      </c>
      <c r="G13" s="5" t="s">
        <v>775</v>
      </c>
    </row>
    <row r="14" customFormat="false" ht="17.15" hidden="false" customHeight="false" outlineLevel="0" collapsed="false">
      <c r="A14" s="0" t="s">
        <v>776</v>
      </c>
      <c r="B14" s="24" t="n">
        <v>84.45</v>
      </c>
      <c r="C14" s="7" t="n">
        <v>337.8</v>
      </c>
      <c r="D14" s="19" t="n">
        <f aca="false">C14/4</f>
        <v>84.45</v>
      </c>
      <c r="E14" s="10" t="n">
        <f aca="false">B14/D14-1</f>
        <v>0</v>
      </c>
      <c r="F14" s="8" t="s">
        <v>770</v>
      </c>
      <c r="G14" s="5" t="s">
        <v>777</v>
      </c>
    </row>
    <row r="15" customFormat="false" ht="17.15" hidden="false" customHeight="false" outlineLevel="0" collapsed="false">
      <c r="A15" s="0" t="s">
        <v>778</v>
      </c>
      <c r="B15" s="24" t="n">
        <v>226.24</v>
      </c>
      <c r="C15" s="7" t="n">
        <v>904.96</v>
      </c>
      <c r="D15" s="19" t="n">
        <f aca="false">C15/4</f>
        <v>226.24</v>
      </c>
      <c r="E15" s="10" t="n">
        <f aca="false">B15/D15-1</f>
        <v>0</v>
      </c>
      <c r="F15" s="8" t="s">
        <v>770</v>
      </c>
      <c r="G15" s="5" t="s">
        <v>779</v>
      </c>
    </row>
    <row r="16" customFormat="false" ht="17.15" hidden="false" customHeight="false" outlineLevel="0" collapsed="false">
      <c r="A16" s="0" t="s">
        <v>780</v>
      </c>
      <c r="B16" s="24" t="n">
        <v>515.15</v>
      </c>
      <c r="C16" s="7" t="n">
        <v>2060.6</v>
      </c>
      <c r="D16" s="19" t="n">
        <f aca="false">C16/4</f>
        <v>515.15</v>
      </c>
      <c r="E16" s="10" t="n">
        <f aca="false">B16/D16-1</f>
        <v>0</v>
      </c>
      <c r="F16" s="8" t="s">
        <v>770</v>
      </c>
      <c r="G16" s="5" t="s">
        <v>781</v>
      </c>
    </row>
    <row r="17" customFormat="false" ht="17.15" hidden="false" customHeight="false" outlineLevel="0" collapsed="false">
      <c r="A17" s="4" t="s">
        <v>782</v>
      </c>
    </row>
    <row r="18" customFormat="false" ht="17.15" hidden="false" customHeight="false" outlineLevel="0" collapsed="false">
      <c r="A18" s="1" t="s">
        <v>783</v>
      </c>
    </row>
    <row r="19" customFormat="false" ht="17.15" hidden="false" customHeight="false" outlineLevel="0" collapsed="false">
      <c r="A19" s="6" t="s">
        <v>784</v>
      </c>
      <c r="B19" s="6" t="s">
        <v>785</v>
      </c>
      <c r="C19" s="6" t="s">
        <v>786</v>
      </c>
      <c r="D19" s="6" t="s">
        <v>787</v>
      </c>
      <c r="E19" s="14" t="s">
        <v>788</v>
      </c>
      <c r="F19" s="14" t="s">
        <v>789</v>
      </c>
      <c r="G19" s="14" t="s">
        <v>790</v>
      </c>
      <c r="H19" s="6" t="s">
        <v>791</v>
      </c>
      <c r="I19" s="6" t="s">
        <v>792</v>
      </c>
      <c r="J19" s="6" t="s">
        <v>28</v>
      </c>
      <c r="K19" s="6" t="s">
        <v>793</v>
      </c>
    </row>
    <row r="20" customFormat="false" ht="17.15" hidden="false" customHeight="false" outlineLevel="0" collapsed="false">
      <c r="A20" s="0" t="s">
        <v>794</v>
      </c>
      <c r="B20" s="25"/>
      <c r="C20" s="25" t="n">
        <f aca="false">B7</f>
        <v>20.27</v>
      </c>
      <c r="D20" s="25" t="n">
        <f aca="false">B6</f>
        <v>9.59</v>
      </c>
      <c r="E20" s="17" t="str">
        <f aca="false">IF(B20="","",B20/C20)</f>
        <v/>
      </c>
      <c r="F20" s="17" t="str">
        <f aca="false">IF(B20="","",B20/D20)</f>
        <v/>
      </c>
      <c r="G20" s="26" t="n">
        <v>23.9</v>
      </c>
      <c r="H20" s="17" t="str">
        <f aca="false">IF(OR(B20="",G20=""),"",E20-G20)</f>
        <v/>
      </c>
      <c r="I20" s="17" t="str">
        <f aca="false">IF(OR(B20="",G20=""),"",F20-G20)</f>
        <v/>
      </c>
      <c r="J20" s="8" t="s">
        <v>587</v>
      </c>
      <c r="K20" s="5" t="s">
        <v>795</v>
      </c>
    </row>
    <row r="21" customFormat="false" ht="17.15" hidden="false" customHeight="false" outlineLevel="0" collapsed="false">
      <c r="A21" s="0" t="s">
        <v>796</v>
      </c>
      <c r="B21" s="27" t="n">
        <v>522.8</v>
      </c>
      <c r="C21" s="25" t="n">
        <f aca="false">B8</f>
        <v>25.49</v>
      </c>
      <c r="D21" s="25" t="n">
        <f aca="false">B7</f>
        <v>20.27</v>
      </c>
      <c r="E21" s="17" t="n">
        <f aca="false">IF(B21="","",B21/C21)</f>
        <v>20.5100039231071</v>
      </c>
      <c r="F21" s="17" t="n">
        <f aca="false">IF(B21="","",B21/D21)</f>
        <v>25.7918105574741</v>
      </c>
      <c r="G21" s="26" t="n">
        <v>22.8</v>
      </c>
      <c r="H21" s="17" t="n">
        <f aca="false">IF(OR(B21="",G21=""),"",E21-G21)</f>
        <v>-2.2899960768929</v>
      </c>
      <c r="I21" s="17" t="n">
        <f aca="false">IF(OR(B21="",G21=""),"",F21-G21)</f>
        <v>2.9918105574741</v>
      </c>
      <c r="J21" s="8" t="s">
        <v>587</v>
      </c>
      <c r="K21" s="5" t="s">
        <v>797</v>
      </c>
    </row>
    <row r="22" customFormat="false" ht="17.15" hidden="false" customHeight="false" outlineLevel="0" collapsed="false">
      <c r="A22" s="0" t="s">
        <v>798</v>
      </c>
      <c r="B22" s="27" t="n">
        <v>561</v>
      </c>
      <c r="C22" s="25" t="n">
        <f aca="false">B9</f>
        <v>75.59</v>
      </c>
      <c r="D22" s="25" t="n">
        <f aca="false">B8</f>
        <v>25.49</v>
      </c>
      <c r="E22" s="17" t="n">
        <f aca="false">IF(B22="","",B22/C22)</f>
        <v>7.42161661595449</v>
      </c>
      <c r="F22" s="17" t="n">
        <f aca="false">IF(B22="","",B22/D22)</f>
        <v>22.0086308356218</v>
      </c>
      <c r="G22" s="26" t="n">
        <v>19.6</v>
      </c>
      <c r="H22" s="17" t="n">
        <f aca="false">IF(OR(B22="",G22=""),"",E22-G22)</f>
        <v>-12.1783833840455</v>
      </c>
      <c r="I22" s="17" t="n">
        <f aca="false">IF(OR(B22="",G22=""),"",F22-G22)</f>
        <v>2.40863083562181</v>
      </c>
      <c r="J22" s="8" t="s">
        <v>587</v>
      </c>
      <c r="K22" s="5" t="s">
        <v>797</v>
      </c>
    </row>
    <row r="23" customFormat="false" ht="17.15" hidden="false" customHeight="false" outlineLevel="0" collapsed="false">
      <c r="A23" s="0" t="s">
        <v>799</v>
      </c>
      <c r="B23" s="27" t="n">
        <v>1540</v>
      </c>
      <c r="C23" s="25" t="n">
        <f aca="false">B10</f>
        <v>67.53</v>
      </c>
      <c r="D23" s="25" t="n">
        <f aca="false">B9</f>
        <v>75.59</v>
      </c>
      <c r="E23" s="17" t="n">
        <f aca="false">IF(B23="","",B23/C23)</f>
        <v>22.8046794017474</v>
      </c>
      <c r="F23" s="17" t="n">
        <f aca="false">IF(B23="","",B23/D23)</f>
        <v>20.3730652202672</v>
      </c>
      <c r="G23" s="26" t="n">
        <v>8.1</v>
      </c>
      <c r="H23" s="17" t="n">
        <f aca="false">IF(OR(B23="",G23=""),"",E23-G23)</f>
        <v>14.7046794017474</v>
      </c>
      <c r="I23" s="17" t="n">
        <f aca="false">IF(OR(B23="",G23=""),"",F23-G23)</f>
        <v>12.2730652202672</v>
      </c>
      <c r="J23" s="8" t="s">
        <v>587</v>
      </c>
      <c r="K23" s="5" t="s">
        <v>797</v>
      </c>
    </row>
    <row r="24" customFormat="false" ht="17.15" hidden="false" customHeight="false" outlineLevel="0" collapsed="false">
      <c r="A24" s="0" t="s">
        <v>800</v>
      </c>
      <c r="B24" s="27" t="n">
        <v>1932.5</v>
      </c>
      <c r="C24" s="25" t="n">
        <f aca="false">B11</f>
        <v>88.47</v>
      </c>
      <c r="D24" s="25" t="n">
        <f aca="false">B10</f>
        <v>67.53</v>
      </c>
      <c r="E24" s="17" t="n">
        <f aca="false">IF(B24="","",B24/C24)</f>
        <v>21.8435627896462</v>
      </c>
      <c r="F24" s="17" t="n">
        <f aca="false">IF(B24="","",B24/D24)</f>
        <v>28.6169110025174</v>
      </c>
      <c r="G24" s="26" t="n">
        <v>15.1</v>
      </c>
      <c r="H24" s="17" t="n">
        <f aca="false">IF(OR(B24="",G24=""),"",E24-G24)</f>
        <v>6.74356278964621</v>
      </c>
      <c r="I24" s="17" t="n">
        <f aca="false">IF(OR(B24="",G24=""),"",F24-G24)</f>
        <v>13.5169110025174</v>
      </c>
      <c r="J24" s="8" t="s">
        <v>587</v>
      </c>
      <c r="K24" s="5" t="s">
        <v>797</v>
      </c>
    </row>
    <row r="25" customFormat="false" ht="17.15" hidden="false" customHeight="false" outlineLevel="0" collapsed="false">
      <c r="A25" s="0" t="s">
        <v>801</v>
      </c>
      <c r="B25" s="27" t="n">
        <v>2725</v>
      </c>
      <c r="C25" s="25" t="n">
        <f aca="false">B12</f>
        <v>112.39</v>
      </c>
      <c r="D25" s="25" t="n">
        <f aca="false">B11</f>
        <v>88.47</v>
      </c>
      <c r="E25" s="17" t="n">
        <f aca="false">IF(B25="","",B25/C25)</f>
        <v>24.2459293531453</v>
      </c>
      <c r="F25" s="17" t="n">
        <f aca="false">IF(B25="","",B25/D25)</f>
        <v>30.8014016050639</v>
      </c>
      <c r="G25" s="26" t="n">
        <v>26.2</v>
      </c>
      <c r="H25" s="17" t="n">
        <f aca="false">IF(OR(B25="",G25=""),"",E25-G25)</f>
        <v>-1.9540706468547</v>
      </c>
      <c r="I25" s="17" t="n">
        <f aca="false">IF(OR(B25="",G25=""),"",F25-G25)</f>
        <v>4.60140160506386</v>
      </c>
      <c r="J25" s="8" t="s">
        <v>587</v>
      </c>
      <c r="K25" s="5" t="s">
        <v>797</v>
      </c>
    </row>
    <row r="26" customFormat="false" ht="17.15" hidden="false" customHeight="false" outlineLevel="0" collapsed="false">
      <c r="A26" s="0" t="s">
        <v>802</v>
      </c>
      <c r="B26" s="27" t="n">
        <v>2120</v>
      </c>
      <c r="C26" s="25" t="n">
        <f aca="false">B13</f>
        <v>174.35</v>
      </c>
      <c r="D26" s="25" t="n">
        <f aca="false">B12</f>
        <v>112.39</v>
      </c>
      <c r="E26" s="17" t="n">
        <f aca="false">IF(B26="","",B26/C26)</f>
        <v>12.1594493834241</v>
      </c>
      <c r="F26" s="17" t="n">
        <f aca="false">IF(B26="","",B26/D26)</f>
        <v>18.8628881573094</v>
      </c>
      <c r="G26" s="26" t="n">
        <v>21.1</v>
      </c>
      <c r="H26" s="17" t="n">
        <f aca="false">IF(OR(B26="",G26=""),"",E26-G26)</f>
        <v>-8.94055061657585</v>
      </c>
      <c r="I26" s="17" t="n">
        <f aca="false">IF(OR(B26="",G26=""),"",F26-G26)</f>
        <v>-2.23711184269063</v>
      </c>
      <c r="J26" s="8" t="s">
        <v>587</v>
      </c>
      <c r="K26" s="5" t="s">
        <v>797</v>
      </c>
    </row>
    <row r="27" customFormat="false" ht="17.15" hidden="false" customHeight="false" outlineLevel="0" collapsed="false">
      <c r="A27" s="0" t="s">
        <v>803</v>
      </c>
      <c r="B27" s="27" t="n">
        <v>4797</v>
      </c>
      <c r="C27" s="25" t="n">
        <f aca="false">B14</f>
        <v>84.45</v>
      </c>
      <c r="D27" s="25" t="n">
        <f aca="false">B13</f>
        <v>174.35</v>
      </c>
      <c r="E27" s="17" t="n">
        <f aca="false">IF(B27="","",B27/C27)</f>
        <v>56.8028419182948</v>
      </c>
      <c r="F27" s="17" t="n">
        <f aca="false">IF(B27="","",B27/D27)</f>
        <v>27.513622024663</v>
      </c>
      <c r="G27" s="26" t="n">
        <v>16.8</v>
      </c>
      <c r="H27" s="17" t="n">
        <f aca="false">IF(OR(B27="",G27=""),"",E27-G27)</f>
        <v>40.0028419182949</v>
      </c>
      <c r="I27" s="17" t="n">
        <f aca="false">IF(OR(B27="",G27=""),"",F27-G27)</f>
        <v>10.713622024663</v>
      </c>
      <c r="J27" s="8" t="s">
        <v>587</v>
      </c>
      <c r="K27" s="5" t="s">
        <v>804</v>
      </c>
    </row>
    <row r="28" customFormat="false" ht="17.15" hidden="false" customHeight="false" outlineLevel="0" collapsed="false">
      <c r="A28" s="0" t="s">
        <v>805</v>
      </c>
      <c r="B28" s="27" t="n">
        <v>9198</v>
      </c>
      <c r="C28" s="25" t="n">
        <f aca="false">B15</f>
        <v>226.24</v>
      </c>
      <c r="D28" s="25" t="n">
        <f aca="false">B14</f>
        <v>84.45</v>
      </c>
      <c r="E28" s="17" t="n">
        <f aca="false">IF(B28="","",B28/C28)</f>
        <v>40.6559405940594</v>
      </c>
      <c r="F28" s="17" t="n">
        <f aca="false">IF(B28="","",B28/D28)</f>
        <v>108.916518650089</v>
      </c>
      <c r="G28" s="26" t="n">
        <v>76.3</v>
      </c>
      <c r="H28" s="17" t="n">
        <f aca="false">IF(OR(B28="",G28=""),"",E28-G28)</f>
        <v>-35.6440594059406</v>
      </c>
      <c r="I28" s="17" t="n">
        <f aca="false">IF(OR(B28="",G28=""),"",F28-G28)</f>
        <v>32.6165186500888</v>
      </c>
      <c r="J28" s="8" t="s">
        <v>587</v>
      </c>
      <c r="K28" s="5" t="s">
        <v>797</v>
      </c>
    </row>
    <row r="29" customFormat="false" ht="17.15" hidden="false" customHeight="false" outlineLevel="0" collapsed="false">
      <c r="A29" s="0" t="s">
        <v>806</v>
      </c>
      <c r="B29" s="27" t="n">
        <v>19635</v>
      </c>
      <c r="C29" s="25" t="n">
        <f aca="false">B16</f>
        <v>515.15</v>
      </c>
      <c r="D29" s="25" t="n">
        <f aca="false">B15</f>
        <v>226.24</v>
      </c>
      <c r="E29" s="17" t="n">
        <f aca="false">IF(B29="","",B29/C29)</f>
        <v>38.1151121032709</v>
      </c>
      <c r="F29" s="17" t="n">
        <f aca="false">IF(B29="","",B29/D29)</f>
        <v>86.7883663366337</v>
      </c>
      <c r="G29" s="17"/>
      <c r="H29" s="17" t="str">
        <f aca="false">IF(OR(B29="",G29=""),"",E29-G29)</f>
        <v/>
      </c>
      <c r="I29" s="17" t="str">
        <f aca="false">IF(OR(B29="",G29=""),"",F29-G29)</f>
        <v/>
      </c>
      <c r="J29" s="8" t="s">
        <v>587</v>
      </c>
      <c r="K29" s="8" t="s">
        <v>807</v>
      </c>
    </row>
    <row r="31" customFormat="false" ht="17.15" hidden="false" customHeight="false" outlineLevel="0" collapsed="false">
      <c r="A31" s="5" t="s">
        <v>808</v>
      </c>
    </row>
    <row r="33" customFormat="false" ht="17.15" hidden="false" customHeight="false" outlineLevel="0" collapsed="false">
      <c r="A33" s="1" t="s">
        <v>809</v>
      </c>
    </row>
    <row r="34" customFormat="false" ht="17.15" hidden="false" customHeight="false" outlineLevel="0" collapsed="false">
      <c r="A34" s="6" t="s">
        <v>810</v>
      </c>
      <c r="B34" s="14" t="s">
        <v>788</v>
      </c>
      <c r="C34" s="14" t="s">
        <v>789</v>
      </c>
      <c r="D34" s="14" t="s">
        <v>811</v>
      </c>
      <c r="E34" s="6" t="s">
        <v>812</v>
      </c>
    </row>
    <row r="35" customFormat="false" ht="17.15" hidden="false" customHeight="false" outlineLevel="0" collapsed="false">
      <c r="A35" s="0" t="s">
        <v>813</v>
      </c>
      <c r="B35" s="17" t="n">
        <f aca="false">PERCENTILE(E20:E29,0.25)</f>
        <v>20.5100039231071</v>
      </c>
      <c r="C35" s="17" t="n">
        <f aca="false">PERCENTILE(F20:F29,0.25)</f>
        <v>22.0086308356218</v>
      </c>
      <c r="D35" s="17" t="n">
        <f aca="false">PERCENTILE(G20:G29,0.25)</f>
        <v>16.8</v>
      </c>
      <c r="E35" s="5" t="s">
        <v>814</v>
      </c>
    </row>
    <row r="36" customFormat="false" ht="15" hidden="false" customHeight="false" outlineLevel="0" collapsed="false">
      <c r="A36" s="5" t="s">
        <v>815</v>
      </c>
      <c r="B36" s="17" t="n">
        <f aca="false">PERCENTILE(E20:E29,0.5)</f>
        <v>22.8046794017474</v>
      </c>
      <c r="C36" s="17" t="n">
        <f aca="false">PERCENTILE(F20:F29,0.5)</f>
        <v>27.513622024663</v>
      </c>
      <c r="D36" s="17" t="n">
        <f aca="false">PERCENTILE(G20:G29,0.5)</f>
        <v>21.1</v>
      </c>
      <c r="E36" s="5" t="s">
        <v>816</v>
      </c>
    </row>
    <row r="37" customFormat="false" ht="17.15" hidden="false" customHeight="false" outlineLevel="0" collapsed="false">
      <c r="A37" s="0" t="s">
        <v>817</v>
      </c>
      <c r="B37" s="17" t="n">
        <f aca="false">PERCENTILE(E20:E29,0.75)</f>
        <v>38.1151121032709</v>
      </c>
      <c r="C37" s="17" t="n">
        <f aca="false">PERCENTILE(F20:F29,0.75)</f>
        <v>30.8014016050639</v>
      </c>
      <c r="D37" s="17" t="n">
        <f aca="false">PERCENTILE(G20:G29,0.75)</f>
        <v>23.9</v>
      </c>
      <c r="E37" s="5" t="s">
        <v>818</v>
      </c>
    </row>
    <row r="38" customFormat="false" ht="15" hidden="false" customHeight="false" outlineLevel="0" collapsed="false">
      <c r="A38" s="5" t="s">
        <v>819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820</v>
      </c>
    </row>
    <row r="41" customFormat="false" ht="17.15" hidden="false" customHeight="false" outlineLevel="0" collapsed="false">
      <c r="A41" s="14" t="s">
        <v>821</v>
      </c>
      <c r="B41" s="14" t="s">
        <v>822</v>
      </c>
      <c r="C41" s="6" t="s">
        <v>815</v>
      </c>
      <c r="D41" s="14" t="s">
        <v>823</v>
      </c>
    </row>
    <row r="42" customFormat="false" ht="15" hidden="false" customHeight="false" outlineLevel="0" collapsed="false">
      <c r="A42" s="7" t="n">
        <v>10</v>
      </c>
      <c r="B42" s="17" t="n">
        <f aca="false">PERCENTILE(B48:B57,0.25)</f>
        <v>14.2470880183449</v>
      </c>
      <c r="C42" s="17" t="n">
        <f aca="false">PERCENTILE(B48:B57,0.5)</f>
        <v>22.3241210956968</v>
      </c>
      <c r="D42" s="17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7" t="n">
        <f aca="false">PERCENTILE(C48:C57,0.25)</f>
        <v>20.1275009807768</v>
      </c>
      <c r="C43" s="17" t="n">
        <f aca="false">PERCENTILE(C48:C57,0.5)</f>
        <v>22.3241210956968</v>
      </c>
      <c r="D43" s="17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7" t="n">
        <f aca="false">PERCENTILE(D48:D57,0.25)</f>
        <v>20.8433936397419</v>
      </c>
      <c r="C44" s="17" t="n">
        <f aca="false">PERCENTILE(D48:D57,0.5)</f>
        <v>23.5253043774463</v>
      </c>
      <c r="D44" s="17" t="n">
        <f aca="false">PERCENTILE(D48:D57,0.75)</f>
        <v>36.0863340774532</v>
      </c>
    </row>
    <row r="46" customFormat="false" ht="17.15" hidden="false" customHeight="false" outlineLevel="0" collapsed="false">
      <c r="A46" s="4" t="s">
        <v>824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7" t="n">
        <f aca="false">IF(E20="",B$47,E20)</f>
        <v>10</v>
      </c>
      <c r="C48" s="17" t="n">
        <f aca="false">IF(E20="",C$47,E20)</f>
        <v>20</v>
      </c>
      <c r="D48" s="17" t="n">
        <f aca="false">IF(E20="",D$47,E20)</f>
        <v>30</v>
      </c>
    </row>
    <row r="49" customFormat="false" ht="15" hidden="false" customHeight="false" outlineLevel="0" collapsed="false">
      <c r="B49" s="17" t="n">
        <f aca="false">IF(E21="",B$47,E21)</f>
        <v>20.5100039231071</v>
      </c>
      <c r="C49" s="17" t="n">
        <f aca="false">IF(E21="",C$47,E21)</f>
        <v>20.5100039231071</v>
      </c>
      <c r="D49" s="17" t="n">
        <f aca="false">IF(E21="",D$47,E21)</f>
        <v>20.5100039231071</v>
      </c>
    </row>
    <row r="50" customFormat="false" ht="15" hidden="false" customHeight="false" outlineLevel="0" collapsed="false">
      <c r="B50" s="17" t="n">
        <f aca="false">IF(E22="",B$47,E22)</f>
        <v>7.42161661595449</v>
      </c>
      <c r="C50" s="17" t="n">
        <f aca="false">IF(E22="",C$47,E22)</f>
        <v>7.42161661595449</v>
      </c>
      <c r="D50" s="17" t="n">
        <f aca="false">IF(E22="",D$47,E22)</f>
        <v>7.42161661595449</v>
      </c>
    </row>
    <row r="51" customFormat="false" ht="15" hidden="false" customHeight="false" outlineLevel="0" collapsed="false">
      <c r="B51" s="17" t="n">
        <f aca="false">IF(E23="",B$47,E23)</f>
        <v>22.8046794017474</v>
      </c>
      <c r="C51" s="17" t="n">
        <f aca="false">IF(E23="",C$47,E23)</f>
        <v>22.8046794017474</v>
      </c>
      <c r="D51" s="17" t="n">
        <f aca="false">IF(E23="",D$47,E23)</f>
        <v>22.8046794017474</v>
      </c>
    </row>
    <row r="52" customFormat="false" ht="15" hidden="false" customHeight="false" outlineLevel="0" collapsed="false">
      <c r="B52" s="17" t="n">
        <f aca="false">IF(E24="",B$47,E24)</f>
        <v>21.8435627896462</v>
      </c>
      <c r="C52" s="17" t="n">
        <f aca="false">IF(E24="",C$47,E24)</f>
        <v>21.8435627896462</v>
      </c>
      <c r="D52" s="17" t="n">
        <f aca="false">IF(E24="",D$47,E24)</f>
        <v>21.8435627896462</v>
      </c>
    </row>
    <row r="53" customFormat="false" ht="15" hidden="false" customHeight="false" outlineLevel="0" collapsed="false">
      <c r="B53" s="17" t="n">
        <f aca="false">IF(E25="",B$47,E25)</f>
        <v>24.2459293531453</v>
      </c>
      <c r="C53" s="17" t="n">
        <f aca="false">IF(E25="",C$47,E25)</f>
        <v>24.2459293531453</v>
      </c>
      <c r="D53" s="17" t="n">
        <f aca="false">IF(E25="",D$47,E25)</f>
        <v>24.2459293531453</v>
      </c>
    </row>
    <row r="54" customFormat="false" ht="15" hidden="false" customHeight="false" outlineLevel="0" collapsed="false">
      <c r="B54" s="17" t="n">
        <f aca="false">IF(E26="",B$47,E26)</f>
        <v>12.1594493834241</v>
      </c>
      <c r="C54" s="17" t="n">
        <f aca="false">IF(E26="",C$47,E26)</f>
        <v>12.1594493834241</v>
      </c>
      <c r="D54" s="17" t="n">
        <f aca="false">IF(E26="",D$47,E26)</f>
        <v>12.1594493834241</v>
      </c>
    </row>
    <row r="55" customFormat="false" ht="15" hidden="false" customHeight="false" outlineLevel="0" collapsed="false">
      <c r="B55" s="17" t="n">
        <f aca="false">IF(E27="",B$47,E27)</f>
        <v>56.8028419182948</v>
      </c>
      <c r="C55" s="17" t="n">
        <f aca="false">IF(E27="",C$47,E27)</f>
        <v>56.8028419182948</v>
      </c>
      <c r="D55" s="17" t="n">
        <f aca="false">IF(E27="",D$47,E27)</f>
        <v>56.8028419182948</v>
      </c>
    </row>
    <row r="56" customFormat="false" ht="15" hidden="false" customHeight="false" outlineLevel="0" collapsed="false">
      <c r="B56" s="17" t="n">
        <f aca="false">IF(E28="",B$47,E28)</f>
        <v>40.6559405940594</v>
      </c>
      <c r="C56" s="17" t="n">
        <f aca="false">IF(E28="",C$47,E28)</f>
        <v>40.6559405940594</v>
      </c>
      <c r="D56" s="17" t="n">
        <f aca="false">IF(E28="",D$47,E28)</f>
        <v>40.6559405940594</v>
      </c>
    </row>
    <row r="57" customFormat="false" ht="15" hidden="false" customHeight="false" outlineLevel="0" collapsed="false">
      <c r="B57" s="17" t="n">
        <f aca="false">IF(E29="",B$47,E29)</f>
        <v>38.1151121032709</v>
      </c>
      <c r="C57" s="17" t="n">
        <f aca="false">IF(E29="",C$47,E29)</f>
        <v>38.1151121032709</v>
      </c>
      <c r="D57" s="17" t="n">
        <f aca="false">IF(E29="",D$47,E29)</f>
        <v>38.1151121032709</v>
      </c>
    </row>
    <row r="59" customFormat="false" ht="17.15" hidden="false" customHeight="false" outlineLevel="0" collapsed="false">
      <c r="A59" s="1" t="s">
        <v>825</v>
      </c>
    </row>
    <row r="60" customFormat="false" ht="17.15" hidden="false" customHeight="false" outlineLevel="0" collapsed="false">
      <c r="A60" s="5" t="s">
        <v>826</v>
      </c>
    </row>
    <row r="61" customFormat="false" ht="17.15" hidden="false" customHeight="false" outlineLevel="0" collapsed="false">
      <c r="A61" s="6" t="s">
        <v>827</v>
      </c>
      <c r="B61" s="6" t="s">
        <v>828</v>
      </c>
      <c r="C61" s="14" t="s">
        <v>829</v>
      </c>
      <c r="D61" s="6" t="s">
        <v>830</v>
      </c>
      <c r="E61" s="6" t="s">
        <v>831</v>
      </c>
      <c r="F61" s="14" t="s">
        <v>832</v>
      </c>
      <c r="G61" s="14" t="s">
        <v>833</v>
      </c>
      <c r="H61" s="6" t="s">
        <v>834</v>
      </c>
    </row>
    <row r="62" customFormat="false" ht="15" hidden="false" customHeight="false" outlineLevel="0" collapsed="false">
      <c r="A62" s="0" t="s">
        <v>835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7" t="n">
        <f aca="false">IF(D62="見頂",pe_peak,IF(D62="谷底",pe_trough,pe_mid))</f>
        <v>22.8046794017474</v>
      </c>
      <c r="F62" s="5" t="s">
        <v>836</v>
      </c>
      <c r="G62" s="17" t="n">
        <f aca="false">pe_peak</f>
        <v>20.5100039231071</v>
      </c>
      <c r="H62" s="8" t="s">
        <v>837</v>
      </c>
    </row>
    <row r="63" customFormat="false" ht="15" hidden="false" customHeight="false" outlineLevel="0" collapsed="false">
      <c r="A63" s="0" t="s">
        <v>838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7" t="n">
        <f aca="false">IF(D63="見頂",pe_peak,IF(D63="谷底",pe_trough,pe_mid))</f>
        <v>22.8046794017474</v>
      </c>
      <c r="F63" s="5" t="s">
        <v>836</v>
      </c>
      <c r="G63" s="17" t="n">
        <f aca="false">pe_peak</f>
        <v>20.5100039231071</v>
      </c>
      <c r="H63" s="8" t="s">
        <v>837</v>
      </c>
    </row>
    <row r="64" customFormat="false" ht="15" hidden="false" customHeight="false" outlineLevel="0" collapsed="false">
      <c r="A64" s="0" t="s">
        <v>839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7" t="n">
        <f aca="false">IF(D64="見頂",pe_peak,IF(D64="谷底",pe_trough,pe_mid))</f>
        <v>20.5100039231071</v>
      </c>
      <c r="F64" s="5" t="s">
        <v>836</v>
      </c>
      <c r="G64" s="17" t="n">
        <f aca="false">pe_peak</f>
        <v>20.5100039231071</v>
      </c>
      <c r="H64" s="8" t="s">
        <v>837</v>
      </c>
    </row>
    <row r="66" customFormat="false" ht="17.15" hidden="false" customHeight="false" outlineLevel="0" collapsed="false">
      <c r="A66" s="1" t="s">
        <v>840</v>
      </c>
    </row>
    <row r="67" customFormat="false" ht="17.15" hidden="false" customHeight="false" outlineLevel="0" collapsed="false">
      <c r="A67" s="6" t="s">
        <v>827</v>
      </c>
      <c r="B67" s="14" t="s">
        <v>841</v>
      </c>
      <c r="C67" s="14" t="s">
        <v>670</v>
      </c>
      <c r="D67" s="6" t="s">
        <v>842</v>
      </c>
      <c r="E67" s="6" t="s">
        <v>831</v>
      </c>
      <c r="F67" s="6" t="s">
        <v>843</v>
      </c>
      <c r="G67" s="6" t="s">
        <v>844</v>
      </c>
      <c r="H67" s="6" t="s">
        <v>845</v>
      </c>
    </row>
    <row r="68" customFormat="false" ht="15" hidden="false" customHeight="false" outlineLevel="0" collapsed="false">
      <c r="A68" s="28" t="s">
        <v>835</v>
      </c>
      <c r="B68" s="28" t="s">
        <v>664</v>
      </c>
      <c r="C68" s="29" t="n">
        <f aca="false">PL!E13</f>
        <v>1136.74747982331</v>
      </c>
      <c r="D68" s="28" t="str">
        <f aca="false">"規則值："&amp;D62</f>
        <v>規則值：中段</v>
      </c>
      <c r="E68" s="30" t="n">
        <f aca="false">E62</f>
        <v>22.8046794017474</v>
      </c>
      <c r="F68" s="29" t="n">
        <f aca="false">C68*E68</f>
        <v>25923.1618381148</v>
      </c>
      <c r="G68" s="31" t="n">
        <f aca="false">F68/px-1</f>
        <v>-0.198418001295153</v>
      </c>
      <c r="H68" s="28"/>
    </row>
    <row r="69" customFormat="false" ht="17.15" hidden="false" customHeight="false" outlineLevel="0" collapsed="false">
      <c r="A69" s="0" t="s">
        <v>835</v>
      </c>
      <c r="B69" s="0" t="s">
        <v>664</v>
      </c>
      <c r="C69" s="13" t="n">
        <f aca="false">PL!E13</f>
        <v>1136.74747982331</v>
      </c>
      <c r="D69" s="5" t="s">
        <v>846</v>
      </c>
      <c r="E69" s="17" t="n">
        <f aca="false">pe_peak</f>
        <v>20.5100039231071</v>
      </c>
      <c r="F69" s="13" t="n">
        <f aca="false">C69*E69</f>
        <v>23314.6952707581</v>
      </c>
      <c r="G69" s="32" t="n">
        <f aca="false">F69/px-1</f>
        <v>-0.279075594596225</v>
      </c>
    </row>
    <row r="70" customFormat="false" ht="15" hidden="false" customHeight="false" outlineLevel="0" collapsed="false">
      <c r="A70" s="0" t="s">
        <v>835</v>
      </c>
      <c r="B70" s="0" t="s">
        <v>664</v>
      </c>
      <c r="C70" s="13" t="n">
        <f aca="false">PL!E13</f>
        <v>1136.74747982331</v>
      </c>
      <c r="D70" s="5" t="s">
        <v>847</v>
      </c>
      <c r="E70" s="17" t="n">
        <f aca="false">pe_mid</f>
        <v>22.8046794017474</v>
      </c>
      <c r="F70" s="13" t="n">
        <f aca="false">C70*E70</f>
        <v>25923.1618381148</v>
      </c>
      <c r="G70" s="32" t="n">
        <f aca="false">F70/px-1</f>
        <v>-0.198418001295153</v>
      </c>
    </row>
    <row r="71" customFormat="false" ht="17.15" hidden="false" customHeight="false" outlineLevel="0" collapsed="false">
      <c r="A71" s="0" t="s">
        <v>835</v>
      </c>
      <c r="B71" s="0" t="s">
        <v>664</v>
      </c>
      <c r="C71" s="13" t="n">
        <f aca="false">PL!E13</f>
        <v>1136.74747982331</v>
      </c>
      <c r="D71" s="5" t="s">
        <v>848</v>
      </c>
      <c r="E71" s="17" t="n">
        <f aca="false">pe_trough</f>
        <v>38.1151121032709</v>
      </c>
      <c r="F71" s="13" t="n">
        <f aca="false">C71*E71</f>
        <v>43327.2576265759</v>
      </c>
      <c r="G71" s="32" t="n">
        <f aca="false">F71/px-1</f>
        <v>0.339742041638093</v>
      </c>
    </row>
    <row r="72" customFormat="false" ht="17.15" hidden="false" customHeight="false" outlineLevel="0" collapsed="false">
      <c r="A72" s="0" t="s">
        <v>835</v>
      </c>
      <c r="B72" s="0" t="s">
        <v>665</v>
      </c>
      <c r="C72" s="13" t="n">
        <f aca="false">PL!F13</f>
        <v>1295.82914175727</v>
      </c>
      <c r="D72" s="5" t="s">
        <v>849</v>
      </c>
      <c r="E72" s="17" t="n">
        <f aca="false">pe_peak</f>
        <v>20.5100039231071</v>
      </c>
      <c r="F72" s="13" t="n">
        <f aca="false">C72*E72</f>
        <v>26577.4607811182</v>
      </c>
      <c r="G72" s="32" t="n">
        <f aca="false">F72/px-1</f>
        <v>-0.178186123032832</v>
      </c>
    </row>
    <row r="73" customFormat="false" ht="15" hidden="false" customHeight="false" outlineLevel="0" collapsed="false">
      <c r="A73" s="0" t="s">
        <v>835</v>
      </c>
      <c r="B73" s="0" t="s">
        <v>665</v>
      </c>
      <c r="C73" s="13" t="n">
        <f aca="false">PL!F13</f>
        <v>1295.82914175727</v>
      </c>
      <c r="D73" s="5" t="s">
        <v>847</v>
      </c>
      <c r="E73" s="17" t="n">
        <f aca="false">pe_mid</f>
        <v>22.8046794017474</v>
      </c>
      <c r="F73" s="13" t="n">
        <f aca="false">C73*E73</f>
        <v>29550.9681372161</v>
      </c>
      <c r="G73" s="32" t="n">
        <f aca="false">F73/px-1</f>
        <v>-0.0862409357694468</v>
      </c>
    </row>
    <row r="74" customFormat="false" ht="17.15" hidden="false" customHeight="false" outlineLevel="0" collapsed="false">
      <c r="A74" s="0" t="s">
        <v>835</v>
      </c>
      <c r="B74" s="0" t="s">
        <v>665</v>
      </c>
      <c r="C74" s="13" t="n">
        <f aca="false">PL!F13</f>
        <v>1295.82914175727</v>
      </c>
      <c r="D74" s="5" t="s">
        <v>848</v>
      </c>
      <c r="E74" s="17" t="n">
        <f aca="false">pe_trough</f>
        <v>38.1151121032709</v>
      </c>
      <c r="F74" s="13" t="n">
        <f aca="false">C74*E74</f>
        <v>49390.6730047638</v>
      </c>
      <c r="G74" s="32" t="n">
        <f aca="false">F74/px-1</f>
        <v>0.527231694643285</v>
      </c>
    </row>
    <row r="75" customFormat="false" ht="15" hidden="false" customHeight="false" outlineLevel="0" collapsed="false">
      <c r="A75" s="28" t="s">
        <v>838</v>
      </c>
      <c r="B75" s="28" t="s">
        <v>664</v>
      </c>
      <c r="C75" s="29" t="n">
        <f aca="false">PL!E24</f>
        <v>1089.48148710254</v>
      </c>
      <c r="D75" s="28" t="str">
        <f aca="false">"規則值："&amp;D63</f>
        <v>規則值：中段</v>
      </c>
      <c r="E75" s="30" t="n">
        <f aca="false">E63</f>
        <v>22.8046794017474</v>
      </c>
      <c r="F75" s="29" t="n">
        <f aca="false">C75*E75</f>
        <v>24845.2760275123</v>
      </c>
      <c r="G75" s="31" t="n">
        <f aca="false">F75/px-1</f>
        <v>-0.231747803725654</v>
      </c>
      <c r="H75" s="28"/>
    </row>
    <row r="76" customFormat="false" ht="17.15" hidden="false" customHeight="false" outlineLevel="0" collapsed="false">
      <c r="A76" s="0" t="s">
        <v>838</v>
      </c>
      <c r="B76" s="0" t="s">
        <v>664</v>
      </c>
      <c r="C76" s="13" t="n">
        <f aca="false">PL!E24</f>
        <v>1089.48148710254</v>
      </c>
      <c r="D76" s="5" t="s">
        <v>846</v>
      </c>
      <c r="E76" s="17" t="n">
        <f aca="false">pe_peak</f>
        <v>20.5100039231071</v>
      </c>
      <c r="F76" s="13" t="n">
        <f aca="false">C76*E76</f>
        <v>22345.2695746256</v>
      </c>
      <c r="G76" s="32" t="n">
        <f aca="false">F76/px-1</f>
        <v>-0.30905165199055</v>
      </c>
    </row>
    <row r="77" customFormat="false" ht="15" hidden="false" customHeight="false" outlineLevel="0" collapsed="false">
      <c r="A77" s="0" t="s">
        <v>838</v>
      </c>
      <c r="B77" s="0" t="s">
        <v>664</v>
      </c>
      <c r="C77" s="13" t="n">
        <f aca="false">PL!E24</f>
        <v>1089.48148710254</v>
      </c>
      <c r="D77" s="5" t="s">
        <v>847</v>
      </c>
      <c r="E77" s="17" t="n">
        <f aca="false">pe_mid</f>
        <v>22.8046794017474</v>
      </c>
      <c r="F77" s="13" t="n">
        <f aca="false">C77*E77</f>
        <v>24845.2760275123</v>
      </c>
      <c r="G77" s="32" t="n">
        <f aca="false">F77/px-1</f>
        <v>-0.231747803725654</v>
      </c>
    </row>
    <row r="78" customFormat="false" ht="17.15" hidden="false" customHeight="false" outlineLevel="0" collapsed="false">
      <c r="A78" s="0" t="s">
        <v>838</v>
      </c>
      <c r="B78" s="0" t="s">
        <v>664</v>
      </c>
      <c r="C78" s="13" t="n">
        <f aca="false">PL!E24</f>
        <v>1089.48148710254</v>
      </c>
      <c r="D78" s="5" t="s">
        <v>848</v>
      </c>
      <c r="E78" s="17" t="n">
        <f aca="false">pe_trough</f>
        <v>38.1151121032709</v>
      </c>
      <c r="F78" s="13" t="n">
        <f aca="false">C78*E78</f>
        <v>41525.7090153515</v>
      </c>
      <c r="G78" s="32" t="n">
        <f aca="false">F78/px-1</f>
        <v>0.284035529231649</v>
      </c>
    </row>
    <row r="79" customFormat="false" ht="17.15" hidden="false" customHeight="false" outlineLevel="0" collapsed="false">
      <c r="A79" s="0" t="s">
        <v>838</v>
      </c>
      <c r="B79" s="0" t="s">
        <v>665</v>
      </c>
      <c r="C79" s="13" t="n">
        <f aca="false">PL!F24</f>
        <v>1115.73746871027</v>
      </c>
      <c r="D79" s="5" t="s">
        <v>849</v>
      </c>
      <c r="E79" s="17" t="n">
        <f aca="false">pe_peak</f>
        <v>20.5100039231071</v>
      </c>
      <c r="F79" s="13" t="n">
        <f aca="false">C79*E79</f>
        <v>22883.7798604051</v>
      </c>
      <c r="G79" s="32" t="n">
        <f aca="false">F79/px-1</f>
        <v>-0.292400128002315</v>
      </c>
    </row>
    <row r="80" customFormat="false" ht="15" hidden="false" customHeight="false" outlineLevel="0" collapsed="false">
      <c r="A80" s="0" t="s">
        <v>838</v>
      </c>
      <c r="B80" s="0" t="s">
        <v>665</v>
      </c>
      <c r="C80" s="13" t="n">
        <f aca="false">PL!F24</f>
        <v>1115.73746871027</v>
      </c>
      <c r="D80" s="5" t="s">
        <v>847</v>
      </c>
      <c r="E80" s="17" t="n">
        <f aca="false">pe_mid</f>
        <v>22.8046794017474</v>
      </c>
      <c r="F80" s="13" t="n">
        <f aca="false">C80*E80</f>
        <v>25444.0352704547</v>
      </c>
      <c r="G80" s="32" t="n">
        <f aca="false">F80/px-1</f>
        <v>-0.213233294049019</v>
      </c>
    </row>
    <row r="81" customFormat="false" ht="17.15" hidden="false" customHeight="false" outlineLevel="0" collapsed="false">
      <c r="A81" s="0" t="s">
        <v>838</v>
      </c>
      <c r="B81" s="0" t="s">
        <v>665</v>
      </c>
      <c r="C81" s="13" t="n">
        <f aca="false">PL!F24</f>
        <v>1115.73746871027</v>
      </c>
      <c r="D81" s="5" t="s">
        <v>848</v>
      </c>
      <c r="E81" s="17" t="n">
        <f aca="false">pe_trough</f>
        <v>38.1151121032709</v>
      </c>
      <c r="F81" s="13" t="n">
        <f aca="false">C81*E81</f>
        <v>42526.4586977115</v>
      </c>
      <c r="G81" s="32" t="n">
        <f aca="false">F81/px-1</f>
        <v>0.314980169997263</v>
      </c>
    </row>
    <row r="82" customFormat="false" ht="15" hidden="false" customHeight="false" outlineLevel="0" collapsed="false">
      <c r="A82" s="28" t="s">
        <v>839</v>
      </c>
      <c r="B82" s="28" t="s">
        <v>664</v>
      </c>
      <c r="C82" s="29" t="n">
        <f aca="false">PL!E35</f>
        <v>1037.47316027225</v>
      </c>
      <c r="D82" s="28" t="str">
        <f aca="false">"規則值："&amp;D64</f>
        <v>規則值：見頂</v>
      </c>
      <c r="E82" s="30" t="n">
        <f aca="false">E64</f>
        <v>20.5100039231071</v>
      </c>
      <c r="F82" s="29" t="n">
        <f aca="false">C82*E82</f>
        <v>21278.5785873022</v>
      </c>
      <c r="G82" s="31" t="n">
        <f aca="false">F82/px-1</f>
        <v>-0.342035294146501</v>
      </c>
      <c r="H82" s="28"/>
    </row>
    <row r="83" customFormat="false" ht="17.15" hidden="false" customHeight="false" outlineLevel="0" collapsed="false">
      <c r="A83" s="0" t="s">
        <v>839</v>
      </c>
      <c r="B83" s="0" t="s">
        <v>664</v>
      </c>
      <c r="C83" s="13" t="n">
        <f aca="false">PL!E35</f>
        <v>1037.47316027225</v>
      </c>
      <c r="D83" s="5" t="s">
        <v>846</v>
      </c>
      <c r="E83" s="17" t="n">
        <f aca="false">pe_peak</f>
        <v>20.5100039231071</v>
      </c>
      <c r="F83" s="13" t="n">
        <f aca="false">C83*E83</f>
        <v>21278.5785873022</v>
      </c>
      <c r="G83" s="32" t="n">
        <f aca="false">F83/px-1</f>
        <v>-0.342035294146501</v>
      </c>
    </row>
    <row r="84" customFormat="false" ht="15" hidden="false" customHeight="false" outlineLevel="0" collapsed="false">
      <c r="A84" s="0" t="s">
        <v>839</v>
      </c>
      <c r="B84" s="0" t="s">
        <v>664</v>
      </c>
      <c r="C84" s="13" t="n">
        <f aca="false">PL!E35</f>
        <v>1037.47316027225</v>
      </c>
      <c r="D84" s="5" t="s">
        <v>847</v>
      </c>
      <c r="E84" s="17" t="n">
        <f aca="false">pe_mid</f>
        <v>22.8046794017474</v>
      </c>
      <c r="F84" s="13" t="n">
        <f aca="false">C84*E84</f>
        <v>23659.2428079263</v>
      </c>
      <c r="G84" s="32" t="n">
        <f aca="false">F84/px-1</f>
        <v>-0.268421681882303</v>
      </c>
    </row>
    <row r="85" customFormat="false" ht="17.15" hidden="false" customHeight="false" outlineLevel="0" collapsed="false">
      <c r="A85" s="0" t="s">
        <v>839</v>
      </c>
      <c r="B85" s="0" t="s">
        <v>664</v>
      </c>
      <c r="C85" s="13" t="n">
        <f aca="false">PL!E35</f>
        <v>1037.47316027225</v>
      </c>
      <c r="D85" s="5" t="s">
        <v>848</v>
      </c>
      <c r="E85" s="17" t="n">
        <f aca="false">pe_trough</f>
        <v>38.1151121032709</v>
      </c>
      <c r="F85" s="13" t="n">
        <f aca="false">C85*E85</f>
        <v>39543.4058079115</v>
      </c>
      <c r="G85" s="32" t="n">
        <f aca="false">F85/px-1</f>
        <v>0.222739820900171</v>
      </c>
    </row>
    <row r="86" customFormat="false" ht="17.15" hidden="false" customHeight="false" outlineLevel="0" collapsed="false">
      <c r="A86" s="0" t="s">
        <v>839</v>
      </c>
      <c r="B86" s="0" t="s">
        <v>665</v>
      </c>
      <c r="C86" s="13" t="n">
        <f aca="false">PL!F35</f>
        <v>809.236578149569</v>
      </c>
      <c r="D86" s="5" t="s">
        <v>849</v>
      </c>
      <c r="E86" s="17" t="n">
        <f aca="false">pe_peak</f>
        <v>20.5100039231071</v>
      </c>
      <c r="F86" s="13" t="n">
        <f aca="false">C86*E86</f>
        <v>16597.4453925694</v>
      </c>
      <c r="G86" s="32" t="n">
        <f aca="false">F86/px-1</f>
        <v>-0.486782764608243</v>
      </c>
    </row>
    <row r="87" customFormat="false" ht="15" hidden="false" customHeight="false" outlineLevel="0" collapsed="false">
      <c r="A87" s="0" t="s">
        <v>839</v>
      </c>
      <c r="B87" s="0" t="s">
        <v>665</v>
      </c>
      <c r="C87" s="13" t="n">
        <f aca="false">PL!F35</f>
        <v>809.236578149569</v>
      </c>
      <c r="D87" s="5" t="s">
        <v>847</v>
      </c>
      <c r="E87" s="17" t="n">
        <f aca="false">pe_mid</f>
        <v>22.8046794017474</v>
      </c>
      <c r="F87" s="13" t="n">
        <f aca="false">C87*E87</f>
        <v>18454.380724868</v>
      </c>
      <c r="G87" s="32" t="n">
        <f aca="false">F87/px-1</f>
        <v>-0.42936361394966</v>
      </c>
    </row>
    <row r="88" customFormat="false" ht="17.15" hidden="false" customHeight="false" outlineLevel="0" collapsed="false">
      <c r="A88" s="0" t="s">
        <v>839</v>
      </c>
      <c r="B88" s="0" t="s">
        <v>665</v>
      </c>
      <c r="C88" s="13" t="n">
        <f aca="false">PL!F35</f>
        <v>809.236578149569</v>
      </c>
      <c r="D88" s="5" t="s">
        <v>848</v>
      </c>
      <c r="E88" s="17" t="n">
        <f aca="false">pe_trough</f>
        <v>38.1151121032709</v>
      </c>
      <c r="F88" s="13" t="n">
        <f aca="false">C88*E88</f>
        <v>30844.1428942382</v>
      </c>
      <c r="G88" s="32" t="n">
        <f aca="false">F88/px-1</f>
        <v>-0.0462540849029636</v>
      </c>
    </row>
    <row r="90" customFormat="false" ht="17.15" hidden="false" customHeight="false" outlineLevel="0" collapsed="false">
      <c r="A90" s="1" t="s">
        <v>850</v>
      </c>
    </row>
    <row r="91" customFormat="false" ht="15" hidden="false" customHeight="false" outlineLevel="0" collapsed="false">
      <c r="A91" s="6" t="s">
        <v>23</v>
      </c>
      <c r="B91" s="6" t="s">
        <v>851</v>
      </c>
      <c r="C91" s="6" t="s">
        <v>845</v>
      </c>
    </row>
    <row r="92" customFormat="false" ht="17.15" hidden="false" customHeight="false" outlineLevel="0" collapsed="false">
      <c r="A92" s="5" t="s">
        <v>852</v>
      </c>
      <c r="B92" s="13" t="n">
        <f aca="false">px</f>
        <v>32340</v>
      </c>
      <c r="C92" s="8" t="s">
        <v>853</v>
      </c>
    </row>
    <row r="93" customFormat="false" ht="17.15" hidden="false" customHeight="false" outlineLevel="0" collapsed="false">
      <c r="A93" s="5" t="s">
        <v>854</v>
      </c>
      <c r="B93" s="17" t="n">
        <f aca="false">sa_fpe</f>
        <v>37.7</v>
      </c>
      <c r="C93" s="8" t="s">
        <v>855</v>
      </c>
    </row>
    <row r="94" customFormat="false" ht="17.15" hidden="false" customHeight="false" outlineLevel="0" collapsed="false">
      <c r="A94" s="5" t="s">
        <v>856</v>
      </c>
      <c r="B94" s="17" t="n">
        <f aca="false">px/g_eps</f>
        <v>35.4745294195077</v>
      </c>
      <c r="C94" s="5" t="s">
        <v>857</v>
      </c>
    </row>
    <row r="95" customFormat="false" ht="17.15" hidden="false" customHeight="false" outlineLevel="0" collapsed="false">
      <c r="A95" s="5" t="s">
        <v>858</v>
      </c>
      <c r="B95" s="17" t="n">
        <f aca="false">B94-B93</f>
        <v>-2.2254705804923</v>
      </c>
      <c r="C95" s="8" t="s">
        <v>859</v>
      </c>
    </row>
    <row r="96" customFormat="false" ht="17.15" hidden="false" customHeight="false" outlineLevel="0" collapsed="false">
      <c r="A96" s="5" t="s">
        <v>860</v>
      </c>
      <c r="B96" s="17" t="n">
        <f aca="false">px/PL!D13</f>
        <v>38.1987151596946</v>
      </c>
    </row>
    <row r="97" customFormat="false" ht="17.15" hidden="false" customHeight="false" outlineLevel="0" collapsed="false">
      <c r="A97" s="5" t="s">
        <v>861</v>
      </c>
      <c r="B97" s="17" t="n">
        <f aca="false">px/PL!E13</f>
        <v>28.4495902335556</v>
      </c>
      <c r="C97" s="17" t="n">
        <f aca="false">px/PL!E24</f>
        <v>29.6838453730938</v>
      </c>
      <c r="D97" s="17" t="n">
        <f aca="false">px/PL!E35</f>
        <v>31.1718907422275</v>
      </c>
    </row>
    <row r="98" customFormat="false" ht="17.15" hidden="false" customHeight="false" outlineLevel="0" collapsed="false">
      <c r="A98" s="5" t="s">
        <v>862</v>
      </c>
      <c r="B98" s="19" t="n">
        <f aca="false">B97/E62</f>
        <v>1.2475330055013</v>
      </c>
      <c r="C98" s="8" t="s">
        <v>863</v>
      </c>
    </row>
    <row r="100" customFormat="false" ht="15" hidden="false" customHeight="false" outlineLevel="0" collapsed="false">
      <c r="A100" s="4" t="s">
        <v>864</v>
      </c>
    </row>
    <row r="101" customFormat="false" ht="15" hidden="false" customHeight="false" outlineLevel="0" collapsed="false">
      <c r="A101" s="6" t="s">
        <v>23</v>
      </c>
      <c r="B101" s="6" t="s">
        <v>851</v>
      </c>
      <c r="C101" s="14"/>
      <c r="D101" s="14"/>
      <c r="E101" s="6" t="s">
        <v>478</v>
      </c>
    </row>
    <row r="102" customFormat="false" ht="17.15" hidden="false" customHeight="false" outlineLevel="0" collapsed="false">
      <c r="A102" s="5" t="s">
        <v>865</v>
      </c>
      <c r="B102" s="13" t="n">
        <f aca="false">tp_wA*B104+tp_wB*B105+tp_wC*B106</f>
        <v>24455.302282651</v>
      </c>
      <c r="E102" s="5" t="s">
        <v>866</v>
      </c>
    </row>
    <row r="103" customFormat="false" ht="17.15" hidden="false" customHeight="false" outlineLevel="0" collapsed="false">
      <c r="A103" s="5" t="s">
        <v>867</v>
      </c>
      <c r="B103" s="10" t="n">
        <f aca="false">B102/px-1</f>
        <v>-0.243806361080673</v>
      </c>
      <c r="E103" s="5" t="s">
        <v>868</v>
      </c>
    </row>
    <row r="104" customFormat="false" ht="17.15" hidden="false" customHeight="false" outlineLevel="0" collapsed="false">
      <c r="A104" s="5" t="s">
        <v>869</v>
      </c>
      <c r="B104" s="13" t="n">
        <f aca="false">F68</f>
        <v>25923.1618381148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870</v>
      </c>
      <c r="B105" s="13" t="n">
        <f aca="false">F75</f>
        <v>24845.2760275123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871</v>
      </c>
      <c r="B106" s="13" t="n">
        <f aca="false">F82</f>
        <v>21278.5785873022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872</v>
      </c>
      <c r="B107" s="32" t="n">
        <f aca="false">tp_wA</f>
        <v>0.3</v>
      </c>
      <c r="C107" s="32" t="n">
        <f aca="false">tp_wB</f>
        <v>0.5</v>
      </c>
      <c r="D107" s="32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873</v>
      </c>
      <c r="B108" s="0" t="s">
        <v>874</v>
      </c>
    </row>
    <row r="111" customFormat="false" ht="17.15" hidden="false" customHeight="false" outlineLevel="0" collapsed="false">
      <c r="A111" s="1" t="s">
        <v>875</v>
      </c>
    </row>
    <row r="112" customFormat="false" ht="17.15" hidden="false" customHeight="false" outlineLevel="0" collapsed="false">
      <c r="A112" s="1" t="s">
        <v>876</v>
      </c>
    </row>
    <row r="113" customFormat="false" ht="17.15" hidden="false" customHeight="false" outlineLevel="0" collapsed="false">
      <c r="A113" s="6" t="s">
        <v>23</v>
      </c>
      <c r="B113" s="14" t="s">
        <v>877</v>
      </c>
      <c r="C113" s="14" t="s">
        <v>878</v>
      </c>
      <c r="D113" s="14" t="s">
        <v>879</v>
      </c>
      <c r="E113" s="6" t="s">
        <v>478</v>
      </c>
    </row>
    <row r="114" customFormat="false" ht="17.15" hidden="false" customHeight="false" outlineLevel="0" collapsed="false">
      <c r="A114" s="5" t="s">
        <v>880</v>
      </c>
      <c r="E114" s="0" t="s">
        <v>881</v>
      </c>
    </row>
    <row r="115" customFormat="false" ht="15" hidden="false" customHeight="false" outlineLevel="0" collapsed="false">
      <c r="A115" s="0" t="s">
        <v>882</v>
      </c>
      <c r="B115" s="13" t="n">
        <f aca="false">PL!E141</f>
        <v>1136.74747982331</v>
      </c>
      <c r="C115" s="13" t="n">
        <f aca="false">PL!E148</f>
        <v>1089.48148710254</v>
      </c>
      <c r="D115" s="13" t="n">
        <f aca="false">PL!E155</f>
        <v>1037.47316027225</v>
      </c>
    </row>
    <row r="116" customFormat="false" ht="15" hidden="false" customHeight="false" outlineLevel="0" collapsed="false">
      <c r="A116" s="0" t="s">
        <v>883</v>
      </c>
      <c r="B116" s="13" t="n">
        <f aca="false">PL!F141</f>
        <v>1295.82914175727</v>
      </c>
      <c r="C116" s="13" t="n">
        <f aca="false">PL!F148</f>
        <v>1115.73746871027</v>
      </c>
      <c r="D116" s="13" t="n">
        <f aca="false">PL!F155</f>
        <v>809.236578149569</v>
      </c>
    </row>
    <row r="117" customFormat="false" ht="15" hidden="false" customHeight="false" outlineLevel="0" collapsed="false">
      <c r="A117" s="0" t="s">
        <v>884</v>
      </c>
      <c r="B117" s="13" t="n">
        <f aca="false">PL!G141</f>
        <v>1423.39847766579</v>
      </c>
      <c r="C117" s="13" t="n">
        <f aca="false">PL!G148</f>
        <v>1259.05588903338</v>
      </c>
      <c r="D117" s="13" t="n">
        <f aca="false">PL!G155</f>
        <v>792.122850050788</v>
      </c>
    </row>
    <row r="118" customFormat="false" ht="15" hidden="false" customHeight="false" outlineLevel="0" collapsed="false">
      <c r="A118" s="0" t="s">
        <v>885</v>
      </c>
      <c r="B118" s="13" t="n">
        <f aca="false">PL!H141</f>
        <v>1549.87639276615</v>
      </c>
      <c r="C118" s="13" t="n">
        <f aca="false">PL!H148</f>
        <v>1265.6833744452</v>
      </c>
      <c r="D118" s="13" t="n">
        <f aca="false">PL!H155</f>
        <v>693.804265890907</v>
      </c>
    </row>
    <row r="119" customFormat="false" ht="15" hidden="false" customHeight="false" outlineLevel="0" collapsed="false">
      <c r="A119" s="0" t="s">
        <v>886</v>
      </c>
      <c r="B119" s="13" t="n">
        <f aca="false">PL!I141</f>
        <v>1665.23082156983</v>
      </c>
      <c r="C119" s="13" t="n">
        <f aca="false">PL!I148</f>
        <v>1231.25349662957</v>
      </c>
      <c r="D119" s="13" t="n">
        <f aca="false">PL!I155</f>
        <v>590.958344117349</v>
      </c>
    </row>
    <row r="120" customFormat="false" ht="15" hidden="false" customHeight="false" outlineLevel="0" collapsed="false">
      <c r="A120" s="0" t="s">
        <v>887</v>
      </c>
      <c r="B120" s="13" t="n">
        <f aca="false">PL!J141</f>
        <v>1765.14467086402</v>
      </c>
      <c r="C120" s="13" t="n">
        <f aca="false">PL!J148</f>
        <v>1156.48536691643</v>
      </c>
      <c r="D120" s="13" t="n">
        <f aca="false">PL!J155</f>
        <v>483.531469367659</v>
      </c>
    </row>
    <row r="121" customFormat="false" ht="17.15" hidden="false" customHeight="false" outlineLevel="0" collapsed="false">
      <c r="A121" s="5" t="s">
        <v>888</v>
      </c>
      <c r="E121" s="5" t="s">
        <v>889</v>
      </c>
    </row>
    <row r="122" customFormat="false" ht="17.15" hidden="false" customHeight="false" outlineLevel="0" collapsed="false">
      <c r="A122" s="5" t="s">
        <v>890</v>
      </c>
      <c r="B122" s="10" t="n">
        <f aca="false">MIN(tp_g/tp_roe,0.8)</f>
        <v>0.111524163568773</v>
      </c>
      <c r="E122" s="8" t="s">
        <v>891</v>
      </c>
    </row>
    <row r="123" customFormat="false" ht="15" hidden="false" customHeight="false" outlineLevel="0" collapsed="false">
      <c r="A123" s="0" t="s">
        <v>882</v>
      </c>
      <c r="B123" s="13" t="n">
        <f aca="false">B115*(1-$B$122)</f>
        <v>1009.9726679471</v>
      </c>
      <c r="C123" s="13" t="n">
        <f aca="false">C115*(1-$B$122)</f>
        <v>967.977975529764</v>
      </c>
      <c r="D123" s="13" t="n">
        <f aca="false">D115*(1-$B$122)</f>
        <v>921.769833847835</v>
      </c>
    </row>
    <row r="124" customFormat="false" ht="15" hidden="false" customHeight="false" outlineLevel="0" collapsed="false">
      <c r="A124" s="0" t="s">
        <v>883</v>
      </c>
      <c r="B124" s="13" t="n">
        <f aca="false">B116*(1-$B$122)</f>
        <v>1151.31288059475</v>
      </c>
      <c r="C124" s="13" t="n">
        <f aca="false">C116*(1-$B$122)</f>
        <v>991.305780750013</v>
      </c>
      <c r="D124" s="13" t="n">
        <f aca="false">D116*(1-$B$122)</f>
        <v>718.987145642182</v>
      </c>
    </row>
    <row r="125" customFormat="false" ht="15" hidden="false" customHeight="false" outlineLevel="0" collapsed="false">
      <c r="A125" s="0" t="s">
        <v>884</v>
      </c>
      <c r="B125" s="13" t="n">
        <f aca="false">B117*(1-$B$122)</f>
        <v>1264.65515301904</v>
      </c>
      <c r="C125" s="13" t="n">
        <f aca="false">C117*(1-$B$122)</f>
        <v>1118.64073412259</v>
      </c>
      <c r="D125" s="13" t="n">
        <f aca="false">D117*(1-$B$122)</f>
        <v>703.782011755161</v>
      </c>
    </row>
    <row r="126" customFormat="false" ht="15" hidden="false" customHeight="false" outlineLevel="0" collapsed="false">
      <c r="A126" s="0" t="s">
        <v>885</v>
      </c>
      <c r="B126" s="13" t="n">
        <f aca="false">B118*(1-$B$122)</f>
        <v>1377.02772442792</v>
      </c>
      <c r="C126" s="13" t="n">
        <f aca="false">C118*(1-$B$122)</f>
        <v>1124.5290947673</v>
      </c>
      <c r="D126" s="13" t="n">
        <f aca="false">D118*(1-$B$122)</f>
        <v>616.428325456977</v>
      </c>
    </row>
    <row r="127" customFormat="false" ht="15" hidden="false" customHeight="false" outlineLevel="0" collapsed="false">
      <c r="A127" s="0" t="s">
        <v>886</v>
      </c>
      <c r="B127" s="13" t="n">
        <f aca="false">B119*(1-$B$122)</f>
        <v>1479.51734704532</v>
      </c>
      <c r="C127" s="13" t="n">
        <f aca="false">C119*(1-$B$122)</f>
        <v>1093.93898027683</v>
      </c>
      <c r="D127" s="13" t="n">
        <f aca="false">D119*(1-$B$122)</f>
        <v>525.052209085674</v>
      </c>
    </row>
    <row r="128" customFormat="false" ht="15" hidden="false" customHeight="false" outlineLevel="0" collapsed="false">
      <c r="A128" s="0" t="s">
        <v>887</v>
      </c>
      <c r="B128" s="13" t="n">
        <f aca="false">B120*(1-$B$122)</f>
        <v>1568.28838786804</v>
      </c>
      <c r="C128" s="13" t="n">
        <f aca="false">C120*(1-$B$122)</f>
        <v>1027.50930369155</v>
      </c>
      <c r="D128" s="13" t="n">
        <f aca="false">D120*(1-$B$122)</f>
        <v>429.606026687251</v>
      </c>
    </row>
    <row r="129" customFormat="false" ht="17.15" hidden="false" customHeight="false" outlineLevel="0" collapsed="false">
      <c r="A129" s="0" t="s">
        <v>892</v>
      </c>
      <c r="B129" s="13" t="n">
        <f aca="false">SUMPRODUCT(B123:B128,1/(1+tp_r)^{1;2;3;4;5;6})+B128*(1+tp_g)/(tp_r-tp_g)/(1+tp_r)^6</f>
        <v>20908.7300321529</v>
      </c>
      <c r="C129" s="13" t="n">
        <f aca="false">SUMPRODUCT(C123:C128,1/(1+tp_r)^{1;2;3;4;5;6})+C128*(1+tp_g)/(tp_r-tp_g)/(1+tp_r)^6</f>
        <v>14620.3847740694</v>
      </c>
      <c r="D129" s="13" t="n">
        <f aca="false">SUMPRODUCT(D123:D128,1/(1+tp_r)^{1;2;3;4;5;6})+D128*(1+tp_g)/(tp_r-tp_g)/(1+tp_r)^6</f>
        <v>7153.84266517188</v>
      </c>
      <c r="E129" s="8" t="s">
        <v>893</v>
      </c>
    </row>
    <row r="130" customFormat="false" ht="17.15" hidden="false" customHeight="false" outlineLevel="0" collapsed="false">
      <c r="A130" s="0" t="s">
        <v>894</v>
      </c>
      <c r="B130" s="13" t="n">
        <f aca="false">B129*(1+tp_r)</f>
        <v>22999.6030353682</v>
      </c>
      <c r="C130" s="13" t="n">
        <f aca="false">C129*(1+tp_r)</f>
        <v>16082.4232514763</v>
      </c>
      <c r="D130" s="13" t="n">
        <f aca="false">D129*(1+tp_r)</f>
        <v>7869.22693168907</v>
      </c>
    </row>
    <row r="131" customFormat="false" ht="17.15" hidden="false" customHeight="false" outlineLevel="0" collapsed="false">
      <c r="A131" s="0" t="s">
        <v>895</v>
      </c>
      <c r="B131" s="29" t="n">
        <f aca="false">tp_wA*B130+tp_wB*C130+tp_wC*D130</f>
        <v>16514.9379226864</v>
      </c>
      <c r="E131" s="8" t="s">
        <v>896</v>
      </c>
    </row>
    <row r="133" customFormat="false" ht="17.15" hidden="false" customHeight="false" outlineLevel="0" collapsed="false">
      <c r="A133" s="1" t="s">
        <v>897</v>
      </c>
    </row>
    <row r="134" customFormat="false" ht="17.15" hidden="false" customHeight="false" outlineLevel="0" collapsed="false">
      <c r="A134" s="6" t="s">
        <v>898</v>
      </c>
      <c r="B134" s="6" t="s">
        <v>899</v>
      </c>
      <c r="C134" s="6" t="s">
        <v>900</v>
      </c>
      <c r="D134" s="6" t="s">
        <v>901</v>
      </c>
      <c r="E134" s="6" t="s">
        <v>902</v>
      </c>
      <c r="F134" s="6" t="s">
        <v>28</v>
      </c>
    </row>
    <row r="135" customFormat="false" ht="17.15" hidden="false" customHeight="false" outlineLevel="0" collapsed="false">
      <c r="A135" s="5" t="s">
        <v>903</v>
      </c>
      <c r="B135" s="0" t="s">
        <v>904</v>
      </c>
      <c r="C135" s="26" t="n">
        <v>32.52</v>
      </c>
      <c r="D135" s="8" t="s">
        <v>905</v>
      </c>
      <c r="E135" s="8" t="s">
        <v>906</v>
      </c>
      <c r="F135" s="8" t="s">
        <v>35</v>
      </c>
    </row>
    <row r="136" customFormat="false" ht="17.15" hidden="false" customHeight="false" outlineLevel="0" collapsed="false">
      <c r="A136" s="5" t="s">
        <v>907</v>
      </c>
      <c r="B136" s="0" t="s">
        <v>908</v>
      </c>
      <c r="C136" s="26" t="n">
        <v>27.09</v>
      </c>
      <c r="D136" s="8" t="s">
        <v>909</v>
      </c>
      <c r="E136" s="8" t="s">
        <v>906</v>
      </c>
      <c r="F136" s="8" t="s">
        <v>35</v>
      </c>
    </row>
    <row r="137" customFormat="false" ht="17.15" hidden="false" customHeight="false" outlineLevel="0" collapsed="false">
      <c r="A137" s="0" t="s">
        <v>910</v>
      </c>
      <c r="B137" s="0" t="s">
        <v>911</v>
      </c>
      <c r="C137" s="26" t="n">
        <v>34.02</v>
      </c>
      <c r="D137" s="8" t="s">
        <v>905</v>
      </c>
      <c r="E137" s="8" t="s">
        <v>906</v>
      </c>
      <c r="F137" s="8" t="s">
        <v>35</v>
      </c>
    </row>
    <row r="138" customFormat="false" ht="17.15" hidden="false" customHeight="false" outlineLevel="0" collapsed="false">
      <c r="A138" s="0" t="s">
        <v>912</v>
      </c>
      <c r="B138" s="0" t="s">
        <v>913</v>
      </c>
      <c r="C138" s="26" t="n">
        <v>26.01</v>
      </c>
      <c r="D138" s="8" t="s">
        <v>905</v>
      </c>
      <c r="E138" s="8" t="s">
        <v>906</v>
      </c>
      <c r="F138" s="8" t="s">
        <v>35</v>
      </c>
    </row>
    <row r="139" customFormat="false" ht="17.15" hidden="false" customHeight="false" outlineLevel="0" collapsed="false">
      <c r="A139" s="5" t="s">
        <v>914</v>
      </c>
      <c r="B139" s="0" t="s">
        <v>915</v>
      </c>
      <c r="C139" s="26" t="n">
        <v>26.65</v>
      </c>
      <c r="D139" s="8" t="s">
        <v>905</v>
      </c>
      <c r="E139" s="8" t="s">
        <v>906</v>
      </c>
      <c r="F139" s="8" t="s">
        <v>35</v>
      </c>
    </row>
    <row r="140" customFormat="false" ht="17.15" hidden="false" customHeight="false" outlineLevel="0" collapsed="false">
      <c r="A140" s="5" t="s">
        <v>916</v>
      </c>
      <c r="B140" s="17" t="n">
        <f aca="false">MEDIAN(C135:C139)</f>
        <v>27.09</v>
      </c>
      <c r="E140" s="5" t="s">
        <v>917</v>
      </c>
    </row>
    <row r="141" customFormat="false" ht="17.15" hidden="false" customHeight="false" outlineLevel="0" collapsed="false">
      <c r="A141" s="0" t="s">
        <v>918</v>
      </c>
      <c r="B141" s="13" t="n">
        <f aca="false">tp_wA*(5/12*B115+7/12*B116)+tp_wB*(5/12*C115+7/12*C116)+tp_wC*(5/12*D115+7/12*D116)</f>
        <v>1102.1293037791</v>
      </c>
      <c r="E141" s="5" t="s">
        <v>919</v>
      </c>
    </row>
    <row r="142" customFormat="false" ht="17.15" hidden="false" customHeight="false" outlineLevel="0" collapsed="false">
      <c r="A142" s="0" t="s">
        <v>920</v>
      </c>
      <c r="B142" s="29" t="n">
        <f aca="false">B140*B141</f>
        <v>29856.6828393757</v>
      </c>
      <c r="E142" s="5" t="s">
        <v>921</v>
      </c>
    </row>
    <row r="144" customFormat="false" ht="17.15" hidden="false" customHeight="false" outlineLevel="0" collapsed="false">
      <c r="A144" s="1" t="s">
        <v>922</v>
      </c>
    </row>
    <row r="145" customFormat="false" ht="15" hidden="false" customHeight="false" outlineLevel="0" collapsed="false">
      <c r="A145" s="6" t="s">
        <v>23</v>
      </c>
      <c r="B145" s="6" t="s">
        <v>851</v>
      </c>
      <c r="C145" s="14"/>
      <c r="D145" s="14"/>
      <c r="E145" s="6" t="s">
        <v>478</v>
      </c>
    </row>
    <row r="146" customFormat="false" ht="17.15" hidden="false" customHeight="false" outlineLevel="0" collapsed="false">
      <c r="A146" s="5" t="s">
        <v>923</v>
      </c>
      <c r="B146" s="29" t="n">
        <f aca="false">tp_w_dcf*B131+(1-tp_w_dcf)*tp_comp_adj</f>
        <v>23855.0679808832</v>
      </c>
      <c r="E146" s="8" t="s">
        <v>924</v>
      </c>
    </row>
    <row r="147" customFormat="false" ht="17.15" hidden="false" customHeight="false" outlineLevel="0" collapsed="false">
      <c r="A147" s="0" t="s">
        <v>925</v>
      </c>
      <c r="B147" s="13" t="n">
        <f aca="false">B142</f>
        <v>29856.6828393757</v>
      </c>
      <c r="E147" s="5" t="s">
        <v>926</v>
      </c>
    </row>
    <row r="148" customFormat="false" ht="17.15" hidden="false" customHeight="false" outlineLevel="0" collapsed="false">
      <c r="A148" s="5" t="s">
        <v>927</v>
      </c>
      <c r="B148" s="13" t="n">
        <f aca="false">cons_tp</f>
        <v>42686</v>
      </c>
      <c r="E148" s="8" t="s">
        <v>462</v>
      </c>
    </row>
    <row r="149" customFormat="false" ht="17.15" hidden="false" customHeight="false" outlineLevel="0" collapsed="false">
      <c r="A149" s="5" t="s">
        <v>928</v>
      </c>
      <c r="B149" s="10" t="n">
        <f aca="false">B146/px-1</f>
        <v>-0.26236648172903</v>
      </c>
      <c r="E149" s="5" t="s">
        <v>868</v>
      </c>
    </row>
    <row r="150" customFormat="false" ht="17.15" hidden="false" customHeight="false" outlineLevel="0" collapsed="false">
      <c r="A150" s="5" t="s">
        <v>929</v>
      </c>
      <c r="B150" s="10" t="n">
        <f aca="false">B147/px-1</f>
        <v>-0.0767877909902376</v>
      </c>
    </row>
    <row r="151" customFormat="false" ht="17.15" hidden="false" customHeight="false" outlineLevel="0" collapsed="false">
      <c r="A151" s="5" t="s">
        <v>930</v>
      </c>
      <c r="B151" s="10" t="n">
        <f aca="false">B141/cons_feps-1</f>
        <v>0.206453970745411</v>
      </c>
      <c r="E151" s="5" t="s">
        <v>931</v>
      </c>
    </row>
    <row r="152" customFormat="false" ht="17.15" hidden="false" customHeight="false" outlineLevel="0" collapsed="false">
      <c r="A152" s="5" t="s">
        <v>932</v>
      </c>
      <c r="B152" s="10" t="n">
        <f aca="false">(cons_tp/cons_feps)/B140-1</f>
        <v>0.724863223161579</v>
      </c>
      <c r="E152" s="0" t="str">
        <f aca="false">"共識目標價 ÷ 共識前瞻 EPS 隱含 "&amp;TEXT(cons_tp/cons_feps,"0.0")&amp;"x，同業中位數 "&amp;TEXT(B140,"0.0")&amp;"x"</f>
        <v>共識目標價 ÷ 共識前瞻 EPS 隱含 46.7x，同業中位數 27.1x</v>
      </c>
    </row>
    <row r="153" customFormat="false" ht="17.15" hidden="false" customHeight="false" outlineLevel="0" collapsed="false">
      <c r="A153" s="5" t="s">
        <v>933</v>
      </c>
      <c r="B153" s="33" t="str">
        <f aca="false">TEXT(D130,"#,##0")&amp;"～"&amp;TEXT(B130,"#,##0")</f>
        <v>7,869～23,000</v>
      </c>
      <c r="E153" s="8" t="s">
        <v>934</v>
      </c>
    </row>
    <row r="154" customFormat="false" ht="17.15" hidden="false" customHeight="false" outlineLevel="0" collapsed="false">
      <c r="A154" s="5" t="s">
        <v>935</v>
      </c>
      <c r="B154" s="32" t="n">
        <f aca="false">IF(px/B116&lt;MIN(E20:E29),0,IF(px/B116&gt;MAX(E20:E29),1,PERCENTRANK(E20:E29,px/B116)))</f>
        <v>0.631</v>
      </c>
      <c r="C154" s="32" t="n">
        <f aca="false">IF(px/C116&lt;MIN(E20:E29),0,IF(px/C116&gt;MAX(E20:E29),1,PERCENTRANK(E20:E29,px/C116)))</f>
        <v>0.668</v>
      </c>
      <c r="D154" s="32" t="n">
        <f aca="false">IF(px/D116&lt;MIN(E20:E29),0,IF(px/D116&gt;MAX(E20:E29),1,PERCENTRANK(E20:E29,px/D116)))</f>
        <v>0.841</v>
      </c>
      <c r="E154" s="5" t="s">
        <v>936</v>
      </c>
    </row>
    <row r="155" customFormat="false" ht="17.15" hidden="false" customHeight="false" outlineLevel="0" collapsed="false">
      <c r="A155" s="5" t="s">
        <v>937</v>
      </c>
      <c r="B155" s="0" t="s">
        <v>938</v>
      </c>
    </row>
    <row r="157" customFormat="false" ht="17.15" hidden="false" customHeight="false" outlineLevel="0" collapsed="false">
      <c r="A157" s="5" t="s">
        <v>939</v>
      </c>
      <c r="B157" s="33" t="str">
        <f aca="false">IF(B149&gt;0.5,"大於 50%",IF(B149&gt;0.25,"25%–50%",IF(B149&gt;=0,"0%–25%",IF(B149&gt;=-0.25,"0%～−25%",IF(B149&gt;=-0.5,"−25%～−50%","小於 −50%")))))</f>
        <v>−25%～−50%</v>
      </c>
      <c r="E157" s="5" t="s">
        <v>940</v>
      </c>
    </row>
    <row r="158" customFormat="false" ht="17.15" hidden="false" customHeight="false" outlineLevel="0" collapsed="false">
      <c r="A158" s="5" t="s">
        <v>941</v>
      </c>
      <c r="B158" s="33" t="str">
        <f aca="false">IF(B149&gt;0.5,"強力買進",IF(B149&gt;0.25,"買進",IF(B149&gt;=-0.25,"中立",IF(B149&gt;=-0.5,"放空","強力放空"))))</f>
        <v>放空</v>
      </c>
      <c r="E158" s="5" t="s">
        <v>942</v>
      </c>
    </row>
    <row r="161" customFormat="false" ht="17.15" hidden="false" customHeight="false" outlineLevel="0" collapsed="false">
      <c r="A161" s="1" t="s">
        <v>943</v>
      </c>
    </row>
    <row r="162" customFormat="false" ht="17.15" hidden="false" customHeight="false" outlineLevel="0" collapsed="false">
      <c r="A162" s="5" t="s">
        <v>944</v>
      </c>
    </row>
    <row r="163" customFormat="false" ht="17.15" hidden="false" customHeight="false" outlineLevel="0" collapsed="false">
      <c r="A163" s="6" t="s">
        <v>945</v>
      </c>
      <c r="B163" s="6" t="s">
        <v>899</v>
      </c>
      <c r="C163" s="6" t="s">
        <v>946</v>
      </c>
      <c r="D163" s="14" t="s">
        <v>947</v>
      </c>
      <c r="E163" s="14" t="s">
        <v>948</v>
      </c>
      <c r="F163" s="14" t="s">
        <v>949</v>
      </c>
      <c r="G163" s="14" t="s">
        <v>950</v>
      </c>
      <c r="H163" s="14" t="s">
        <v>951</v>
      </c>
      <c r="I163" s="14" t="s">
        <v>952</v>
      </c>
      <c r="J163" s="14" t="s">
        <v>953</v>
      </c>
      <c r="K163" s="14" t="s">
        <v>954</v>
      </c>
      <c r="L163" s="14" t="s">
        <v>955</v>
      </c>
      <c r="M163" s="14" t="s">
        <v>956</v>
      </c>
      <c r="N163" s="6" t="s">
        <v>957</v>
      </c>
      <c r="O163" s="14" t="s">
        <v>958</v>
      </c>
      <c r="P163" s="6" t="s">
        <v>959</v>
      </c>
      <c r="Q163" s="6" t="s">
        <v>902</v>
      </c>
    </row>
    <row r="164" customFormat="false" ht="17.15" hidden="false" customHeight="false" outlineLevel="0" collapsed="false">
      <c r="A164" s="0" t="s">
        <v>960</v>
      </c>
      <c r="B164" s="0" t="s">
        <v>961</v>
      </c>
      <c r="C164" s="5" t="s">
        <v>962</v>
      </c>
      <c r="D164" s="24" t="n">
        <v>22.23</v>
      </c>
      <c r="E164" s="24" t="n">
        <v>17.0615</v>
      </c>
      <c r="F164" s="24" t="n">
        <v>16.77</v>
      </c>
      <c r="G164" s="24" t="n">
        <v>20.9025</v>
      </c>
      <c r="H164" s="24" t="n">
        <v>27.204</v>
      </c>
      <c r="I164" s="24" t="n">
        <v>15.2445</v>
      </c>
      <c r="J164" s="24" t="n">
        <v>23.799</v>
      </c>
      <c r="K164" s="24" t="n">
        <v>41.1</v>
      </c>
      <c r="L164" s="24" t="n">
        <v>33.0075</v>
      </c>
      <c r="M164" s="24" t="n">
        <v>38.411</v>
      </c>
      <c r="N164" s="8" t="n">
        <f aca="false">COUNT(D164:M164)</f>
        <v>10</v>
      </c>
      <c r="O164" s="19" t="n">
        <f aca="false">IF(N164&gt;0,MEDIAN(D164:M164),"")</f>
        <v>23.0145</v>
      </c>
      <c r="P164" s="19" t="n">
        <f aca="false">IF(N164&gt;=7,O164,"")</f>
        <v>23.0145</v>
      </c>
      <c r="Q164" s="8" t="s">
        <v>963</v>
      </c>
    </row>
    <row r="165" customFormat="false" ht="17.15" hidden="false" customHeight="false" outlineLevel="0" collapsed="false">
      <c r="A165" s="5" t="s">
        <v>903</v>
      </c>
      <c r="B165" s="0" t="s">
        <v>904</v>
      </c>
      <c r="C165" s="5" t="s">
        <v>964</v>
      </c>
      <c r="D165" s="24" t="n">
        <v>17.063</v>
      </c>
      <c r="E165" s="24" t="n">
        <v>17.1795</v>
      </c>
      <c r="F165" s="24" t="n">
        <v>17.9435</v>
      </c>
      <c r="G165" s="24" t="n">
        <v>19.976</v>
      </c>
      <c r="H165" s="24" t="n">
        <v>23.2035</v>
      </c>
      <c r="I165" s="24" t="n">
        <v>20.8505</v>
      </c>
      <c r="J165" s="24" t="n">
        <v>27.7495</v>
      </c>
      <c r="K165" s="24" t="n">
        <v>32.015</v>
      </c>
      <c r="L165" s="24" t="n">
        <v>26.7775</v>
      </c>
      <c r="M165" s="24" t="n">
        <v>39.7645</v>
      </c>
      <c r="N165" s="8" t="n">
        <f aca="false">COUNT(D165:M165)</f>
        <v>10</v>
      </c>
      <c r="O165" s="19" t="n">
        <f aca="false">IF(N165&gt;0,MEDIAN(D165:M165),"")</f>
        <v>22.027</v>
      </c>
      <c r="P165" s="19" t="n">
        <f aca="false">IF(N165&gt;=7,O165,"")</f>
        <v>22.027</v>
      </c>
      <c r="Q165" s="8" t="s">
        <v>965</v>
      </c>
    </row>
    <row r="166" customFormat="false" ht="17.15" hidden="false" customHeight="false" outlineLevel="0" collapsed="false">
      <c r="A166" s="5" t="s">
        <v>907</v>
      </c>
      <c r="B166" s="0" t="s">
        <v>908</v>
      </c>
      <c r="C166" s="5" t="s">
        <v>964</v>
      </c>
      <c r="D166" s="24" t="n">
        <v>15.2035</v>
      </c>
      <c r="E166" s="24" t="n">
        <v>13.118</v>
      </c>
      <c r="F166" s="24" t="n">
        <v>14.9395</v>
      </c>
      <c r="G166" s="24" t="n">
        <v>18.391</v>
      </c>
      <c r="H166" s="24" t="n">
        <v>22.441</v>
      </c>
      <c r="I166" s="24" t="n">
        <v>17.0215</v>
      </c>
      <c r="J166" s="24" t="n">
        <v>24.286</v>
      </c>
      <c r="K166" s="24" t="n">
        <v>31.8425</v>
      </c>
      <c r="L166" s="24" t="n">
        <v>19.628</v>
      </c>
      <c r="M166" s="24" t="n">
        <v>29.732</v>
      </c>
      <c r="N166" s="8" t="n">
        <f aca="false">COUNT(D166:M166)</f>
        <v>10</v>
      </c>
      <c r="O166" s="19" t="n">
        <f aca="false">IF(N166&gt;0,MEDIAN(D166:M166),"")</f>
        <v>19.0095</v>
      </c>
      <c r="P166" s="19" t="n">
        <f aca="false">IF(N166&gt;=7,O166,"")</f>
        <v>19.0095</v>
      </c>
      <c r="Q166" s="8" t="s">
        <v>966</v>
      </c>
    </row>
    <row r="167" customFormat="false" ht="17.15" hidden="false" customHeight="false" outlineLevel="0" collapsed="false">
      <c r="A167" s="0" t="s">
        <v>910</v>
      </c>
      <c r="B167" s="0" t="s">
        <v>911</v>
      </c>
      <c r="C167" s="5" t="s">
        <v>964</v>
      </c>
      <c r="D167" s="24" t="n">
        <v>18.3915</v>
      </c>
      <c r="E167" s="24" t="n">
        <v>29.638</v>
      </c>
      <c r="F167" s="24" t="n">
        <v>20.678</v>
      </c>
      <c r="G167" s="24" t="n">
        <v>39.2195</v>
      </c>
      <c r="H167" s="24" t="n">
        <v>63.5965</v>
      </c>
      <c r="I167" s="24" t="n">
        <v>37.7345</v>
      </c>
      <c r="J167" s="24" t="n">
        <v>32.5105</v>
      </c>
      <c r="K167" s="24" t="n">
        <v>41.8725</v>
      </c>
      <c r="L167" s="24" t="n">
        <v>17.271</v>
      </c>
      <c r="M167" s="24" t="n">
        <v>34.974</v>
      </c>
      <c r="N167" s="8" t="n">
        <f aca="false">COUNT(D167:M167)</f>
        <v>10</v>
      </c>
      <c r="O167" s="19" t="n">
        <f aca="false">IF(N167&gt;0,MEDIAN(D167:M167),"")</f>
        <v>33.74225</v>
      </c>
      <c r="P167" s="19" t="n">
        <f aca="false">IF(N167&gt;=7,O167,"")</f>
        <v>33.74225</v>
      </c>
      <c r="Q167" s="8" t="s">
        <v>967</v>
      </c>
    </row>
    <row r="168" customFormat="false" ht="17.15" hidden="false" customHeight="false" outlineLevel="0" collapsed="false">
      <c r="A168" s="0" t="s">
        <v>912</v>
      </c>
      <c r="B168" s="0" t="s">
        <v>913</v>
      </c>
      <c r="C168" s="5" t="s">
        <v>964</v>
      </c>
      <c r="D168" s="24" t="n">
        <v>21.227</v>
      </c>
      <c r="E168" s="24" t="n">
        <v>18.311</v>
      </c>
      <c r="F168" s="24" t="n">
        <v>21.2065</v>
      </c>
      <c r="G168" s="24" t="n">
        <v>26.9885</v>
      </c>
      <c r="H168" s="24" t="n">
        <v>26.1895</v>
      </c>
      <c r="I168" s="24" t="n">
        <v>17.8975</v>
      </c>
      <c r="J168" s="24" t="n">
        <v>27.598</v>
      </c>
      <c r="K168" s="24" t="n">
        <v>40.0635</v>
      </c>
      <c r="L168" s="24" t="n">
        <v>33.295</v>
      </c>
      <c r="M168" s="24" t="n">
        <v>37.754</v>
      </c>
      <c r="N168" s="8" t="n">
        <f aca="false">COUNT(D168:M168)</f>
        <v>10</v>
      </c>
      <c r="O168" s="19" t="n">
        <f aca="false">IF(N168&gt;0,MEDIAN(D168:M168),"")</f>
        <v>26.589</v>
      </c>
      <c r="P168" s="19" t="n">
        <f aca="false">IF(N168&gt;=7,O168,"")</f>
        <v>26.589</v>
      </c>
      <c r="Q168" s="8" t="s">
        <v>968</v>
      </c>
    </row>
    <row r="169" customFormat="false" ht="17.15" hidden="false" customHeight="false" outlineLevel="0" collapsed="false">
      <c r="A169" s="5" t="s">
        <v>914</v>
      </c>
      <c r="B169" s="0" t="s">
        <v>915</v>
      </c>
      <c r="C169" s="5" t="s">
        <v>964</v>
      </c>
      <c r="D169" s="24" t="n">
        <v>14.9505</v>
      </c>
      <c r="E169" s="24" t="n">
        <v>12.9745</v>
      </c>
      <c r="F169" s="24" t="n">
        <v>13.1095</v>
      </c>
      <c r="G169" s="24" t="n">
        <v>16.7925</v>
      </c>
      <c r="H169" s="24" t="n">
        <v>19.551</v>
      </c>
      <c r="I169" s="24" t="n">
        <v>15.3265</v>
      </c>
      <c r="J169" s="24" t="n">
        <v>19.384</v>
      </c>
      <c r="K169" s="24" t="n">
        <v>25.5595</v>
      </c>
      <c r="L169" s="24" t="n">
        <v>22.843</v>
      </c>
      <c r="M169" s="24" t="n">
        <v>33.323</v>
      </c>
      <c r="N169" s="8" t="n">
        <f aca="false">COUNT(D169:M169)</f>
        <v>10</v>
      </c>
      <c r="O169" s="19" t="n">
        <f aca="false">IF(N169&gt;0,MEDIAN(D169:M169),"")</f>
        <v>18.08825</v>
      </c>
      <c r="P169" s="19" t="n">
        <f aca="false">IF(N169&gt;=7,O169,"")</f>
        <v>18.08825</v>
      </c>
      <c r="Q169" s="8" t="s">
        <v>969</v>
      </c>
    </row>
    <row r="171" customFormat="false" ht="17.15" hidden="false" customHeight="false" outlineLevel="0" collapsed="false">
      <c r="A171" s="5" t="s">
        <v>970</v>
      </c>
      <c r="B171" s="19" t="n">
        <f aca="false">P164</f>
        <v>23.0145</v>
      </c>
      <c r="E171" s="5" t="s">
        <v>971</v>
      </c>
    </row>
    <row r="172" customFormat="false" ht="15" hidden="false" customHeight="false" outlineLevel="0" collapsed="false">
      <c r="A172" s="5" t="s">
        <v>972</v>
      </c>
      <c r="B172" s="20" t="n">
        <f aca="false">COUNT(P165:P169)</f>
        <v>5</v>
      </c>
    </row>
    <row r="173" customFormat="false" ht="17.15" hidden="false" customHeight="false" outlineLevel="0" collapsed="false">
      <c r="A173" s="5" t="s">
        <v>973</v>
      </c>
      <c r="B173" s="19" t="n">
        <f aca="false">IF(B172&gt;0,MEDIAN(P165:P169),"")</f>
        <v>22.027</v>
      </c>
    </row>
    <row r="174" customFormat="false" ht="17.15" hidden="false" customHeight="false" outlineLevel="0" collapsed="false">
      <c r="A174" s="5" t="s">
        <v>974</v>
      </c>
      <c r="B174" s="19" t="n">
        <f aca="false">IF(AND(ISNUMBER(B171),B172&gt;=2),B171/B173,"")</f>
        <v>1.04483134335134</v>
      </c>
      <c r="E174" s="5" t="s">
        <v>975</v>
      </c>
    </row>
    <row r="175" customFormat="false" ht="17.15" hidden="false" customHeight="false" outlineLevel="0" collapsed="false">
      <c r="A175" s="5" t="s">
        <v>976</v>
      </c>
      <c r="B175" s="24" t="n">
        <v>0.5</v>
      </c>
      <c r="E175" s="8" t="s">
        <v>977</v>
      </c>
    </row>
    <row r="176" customFormat="false" ht="17.15" hidden="false" customHeight="false" outlineLevel="0" collapsed="false">
      <c r="A176" s="5" t="s">
        <v>978</v>
      </c>
      <c r="B176" s="24" t="n">
        <v>2</v>
      </c>
      <c r="E176" s="8" t="s">
        <v>979</v>
      </c>
    </row>
    <row r="177" customFormat="false" ht="17.15" hidden="false" customHeight="false" outlineLevel="0" collapsed="false">
      <c r="A177" s="4" t="s">
        <v>980</v>
      </c>
      <c r="B177" s="34" t="n">
        <f aca="false">IF(ISNUMBER(B174),MIN(MAX(B174,B175),B176),1)</f>
        <v>1.04483134335134</v>
      </c>
      <c r="E177" s="5" t="s">
        <v>981</v>
      </c>
    </row>
    <row r="178" customFormat="false" ht="17.15" hidden="false" customHeight="false" outlineLevel="0" collapsed="false">
      <c r="A178" s="1" t="s">
        <v>982</v>
      </c>
      <c r="B178" s="29" t="n">
        <f aca="false">Val!$B$142*B177</f>
        <v>31195.1980390799</v>
      </c>
      <c r="E178" s="5" t="s">
        <v>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984</v>
      </c>
    </row>
    <row r="3" customFormat="false" ht="17.15" hidden="false" customHeight="false" outlineLevel="0" collapsed="false">
      <c r="A3" s="6" t="s">
        <v>23</v>
      </c>
      <c r="B3" s="6" t="s">
        <v>985</v>
      </c>
      <c r="C3" s="6" t="s">
        <v>986</v>
      </c>
      <c r="D3" s="6" t="s">
        <v>987</v>
      </c>
      <c r="E3" s="6" t="s">
        <v>988</v>
      </c>
      <c r="F3" s="6" t="s">
        <v>989</v>
      </c>
      <c r="G3" s="6" t="s">
        <v>990</v>
      </c>
      <c r="H3" s="6" t="s">
        <v>991</v>
      </c>
      <c r="I3" s="6" t="s">
        <v>992</v>
      </c>
      <c r="J3" s="6" t="s">
        <v>478</v>
      </c>
    </row>
    <row r="4" customFormat="false" ht="17.15" hidden="false" customHeight="false" outlineLevel="0" collapsed="false">
      <c r="A4" s="1" t="s">
        <v>993</v>
      </c>
    </row>
    <row r="5" customFormat="false" ht="17.15" hidden="false" customHeight="false" outlineLevel="0" collapsed="false">
      <c r="A5" s="5" t="s">
        <v>566</v>
      </c>
      <c r="B5" s="16" t="n">
        <f aca="false">g_rev</f>
        <v>1714</v>
      </c>
      <c r="C5" s="16" t="n">
        <f aca="false">PL!D5</f>
        <v>1667.72361718159</v>
      </c>
      <c r="D5" s="10" t="n">
        <f aca="false">C5/B5-1</f>
        <v>-0.0269990564868191</v>
      </c>
      <c r="E5" s="16" t="n">
        <f aca="false">PL!D16</f>
        <v>1667.72361718159</v>
      </c>
      <c r="F5" s="10" t="n">
        <f aca="false">E5/B5-1</f>
        <v>-0.0269990564868191</v>
      </c>
      <c r="G5" s="16" t="n">
        <f aca="false">PL!D27</f>
        <v>1667.72361718159</v>
      </c>
      <c r="H5" s="10" t="n">
        <f aca="false">G5/B5-1</f>
        <v>-0.0269990564868191</v>
      </c>
      <c r="I5" s="5" t="s">
        <v>994</v>
      </c>
    </row>
    <row r="6" customFormat="false" ht="17.15" hidden="false" customHeight="false" outlineLevel="0" collapsed="false">
      <c r="A6" s="0" t="s">
        <v>549</v>
      </c>
      <c r="B6" s="16" t="n">
        <f aca="false">g_soc</f>
        <v>1243.5</v>
      </c>
      <c r="C6" s="16" t="n">
        <f aca="false">PL!D7</f>
        <v>1198.25536244542</v>
      </c>
      <c r="D6" s="10" t="n">
        <f aca="false">C6/B6-1</f>
        <v>-0.0363849115839043</v>
      </c>
      <c r="E6" s="16" t="n">
        <f aca="false">PL!D18</f>
        <v>1198.25536244542</v>
      </c>
      <c r="F6" s="10" t="n">
        <f aca="false">E6/B6-1</f>
        <v>-0.0363849115839043</v>
      </c>
      <c r="G6" s="16" t="n">
        <f aca="false">PL!D29</f>
        <v>1198.25536244542</v>
      </c>
      <c r="H6" s="10" t="n">
        <f aca="false">G6/B6-1</f>
        <v>-0.0363849115839043</v>
      </c>
      <c r="I6" s="5" t="s">
        <v>40</v>
      </c>
    </row>
    <row r="7" customFormat="false" ht="15" hidden="false" customHeight="false" outlineLevel="0" collapsed="false">
      <c r="A7" s="5" t="s">
        <v>553</v>
      </c>
      <c r="B7" s="16" t="n">
        <f aca="false">g_mem</f>
        <v>227</v>
      </c>
      <c r="C7" s="16" t="n">
        <f aca="false">PL!D8</f>
        <v>229.868254736177</v>
      </c>
      <c r="D7" s="10" t="n">
        <f aca="false">C7/B7-1</f>
        <v>0.012635483419283</v>
      </c>
      <c r="E7" s="16" t="n">
        <f aca="false">PL!D19</f>
        <v>229.868254736177</v>
      </c>
      <c r="F7" s="10" t="n">
        <f aca="false">E7/B7-1</f>
        <v>0.012635483419283</v>
      </c>
      <c r="G7" s="16" t="n">
        <f aca="false">PL!D30</f>
        <v>229.868254736177</v>
      </c>
      <c r="H7" s="10" t="n">
        <f aca="false">G7/B7-1</f>
        <v>0.012635483419283</v>
      </c>
      <c r="I7" s="5" t="s">
        <v>995</v>
      </c>
    </row>
    <row r="8" customFormat="false" ht="15" hidden="false" customHeight="false" outlineLevel="0" collapsed="false">
      <c r="A8" s="5" t="s">
        <v>577</v>
      </c>
      <c r="B8" s="16" t="n">
        <f aca="false">g_oi</f>
        <v>846</v>
      </c>
      <c r="C8" s="16" t="n">
        <f aca="false">PL!D10</f>
        <v>814.901514380204</v>
      </c>
      <c r="D8" s="10" t="n">
        <f aca="false">C8/B8-1</f>
        <v>-0.0367594392668983</v>
      </c>
      <c r="E8" s="16" t="n">
        <f aca="false">PL!D21</f>
        <v>814.901514380204</v>
      </c>
      <c r="F8" s="10" t="n">
        <f aca="false">E8/B8-1</f>
        <v>-0.0367594392668983</v>
      </c>
      <c r="G8" s="16" t="n">
        <f aca="false">PL!D32</f>
        <v>814.901514380204</v>
      </c>
      <c r="H8" s="10" t="n">
        <f aca="false">G8/B8-1</f>
        <v>-0.0367594392668983</v>
      </c>
      <c r="I8" s="5" t="s">
        <v>40</v>
      </c>
    </row>
    <row r="9" customFormat="false" ht="17.15" hidden="false" customHeight="false" outlineLevel="0" collapsed="false">
      <c r="A9" s="5" t="s">
        <v>996</v>
      </c>
      <c r="B9" s="10" t="n">
        <f aca="false">g_oi/g_rev</f>
        <v>0.493582263710618</v>
      </c>
      <c r="C9" s="10" t="n">
        <f aca="false">PL!D11</f>
        <v>0.488631033334747</v>
      </c>
      <c r="D9" s="10" t="n">
        <f aca="false">C9-B9</f>
        <v>-0.00495123037587103</v>
      </c>
      <c r="E9" s="10" t="n">
        <f aca="false">PL!D22</f>
        <v>0.488631033334747</v>
      </c>
      <c r="F9" s="10" t="n">
        <f aca="false">E9-B9</f>
        <v>-0.00495123037587103</v>
      </c>
      <c r="G9" s="10" t="n">
        <f aca="false">PL!D33</f>
        <v>0.488631033334747</v>
      </c>
      <c r="H9" s="10" t="n">
        <f aca="false">G9-B9</f>
        <v>-0.00495123037587103</v>
      </c>
      <c r="I9" s="5" t="s">
        <v>997</v>
      </c>
    </row>
    <row r="10" customFormat="false" ht="15" hidden="false" customHeight="false" outlineLevel="0" collapsed="false">
      <c r="A10" s="5" t="s">
        <v>600</v>
      </c>
      <c r="B10" s="16" t="n">
        <f aca="false">g_ni</f>
        <v>660</v>
      </c>
      <c r="C10" s="16" t="n">
        <f aca="false">PL!D12</f>
        <v>612.931333396771</v>
      </c>
      <c r="D10" s="10" t="n">
        <f aca="false">C10/B10-1</f>
        <v>-0.0713161615200435</v>
      </c>
      <c r="E10" s="16" t="n">
        <f aca="false">PL!D23</f>
        <v>612.931333396771</v>
      </c>
      <c r="F10" s="10" t="n">
        <f aca="false">E10/B10-1</f>
        <v>-0.0713161615200435</v>
      </c>
      <c r="G10" s="16" t="n">
        <f aca="false">PL!D34</f>
        <v>612.931333396771</v>
      </c>
      <c r="H10" s="10" t="n">
        <f aca="false">G10/B10-1</f>
        <v>-0.0713161615200435</v>
      </c>
      <c r="I10" s="5" t="s">
        <v>40</v>
      </c>
    </row>
    <row r="11" customFormat="false" ht="17.15" hidden="false" customHeight="false" outlineLevel="0" collapsed="false">
      <c r="A11" s="0" t="s">
        <v>998</v>
      </c>
      <c r="B11" s="16" t="n">
        <f aca="false">g_eps</f>
        <v>911.64</v>
      </c>
      <c r="C11" s="16" t="n">
        <f aca="false">PL!D13</f>
        <v>846.625334511868</v>
      </c>
      <c r="D11" s="10" t="n">
        <f aca="false">C11/B11-1</f>
        <v>-0.0713161615200435</v>
      </c>
      <c r="E11" s="16" t="n">
        <f aca="false">PL!D24</f>
        <v>846.625334511868</v>
      </c>
      <c r="F11" s="10" t="n">
        <f aca="false">E11/B11-1</f>
        <v>-0.0713161615200435</v>
      </c>
      <c r="G11" s="16" t="n">
        <f aca="false">PL!D35</f>
        <v>846.625334511868</v>
      </c>
      <c r="H11" s="10" t="n">
        <f aca="false">G11/B11-1</f>
        <v>-0.0713161615200435</v>
      </c>
      <c r="I11" s="5" t="s">
        <v>999</v>
      </c>
    </row>
    <row r="12" customFormat="false" ht="17.15" hidden="false" customHeight="false" outlineLevel="0" collapsed="false">
      <c r="A12" s="1" t="s">
        <v>1000</v>
      </c>
    </row>
    <row r="13" customFormat="false" ht="17.15" hidden="false" customHeight="false" outlineLevel="0" collapsed="false">
      <c r="A13" s="5" t="s">
        <v>566</v>
      </c>
      <c r="B13" s="16" t="n">
        <f aca="false">cons_rev26</f>
        <v>1760</v>
      </c>
      <c r="C13" s="16" t="n">
        <f aca="false">PL!D5</f>
        <v>1667.72361718159</v>
      </c>
      <c r="D13" s="10" t="n">
        <f aca="false">C13/B13-1</f>
        <v>-0.0524297629650045</v>
      </c>
      <c r="E13" s="16" t="n">
        <f aca="false">PL!D16</f>
        <v>1667.72361718159</v>
      </c>
      <c r="F13" s="10" t="n">
        <f aca="false">E13/B13-1</f>
        <v>-0.0524297629650045</v>
      </c>
      <c r="G13" s="16" t="n">
        <f aca="false">PL!D27</f>
        <v>1667.72361718159</v>
      </c>
      <c r="H13" s="10" t="n">
        <f aca="false">G13/B13-1</f>
        <v>-0.0524297629650045</v>
      </c>
      <c r="I13" s="8" t="s">
        <v>1001</v>
      </c>
    </row>
    <row r="14" customFormat="false" ht="17.15" hidden="false" customHeight="false" outlineLevel="0" collapsed="false">
      <c r="A14" s="5" t="s">
        <v>577</v>
      </c>
      <c r="B14" s="16" t="n">
        <f aca="false">cons_oi26</f>
        <v>886.4</v>
      </c>
      <c r="C14" s="16" t="n">
        <f aca="false">PL!D10</f>
        <v>814.901514380204</v>
      </c>
      <c r="D14" s="10" t="n">
        <f aca="false">C14/B14-1</f>
        <v>-0.0806616489393005</v>
      </c>
      <c r="E14" s="16" t="n">
        <f aca="false">PL!D21</f>
        <v>814.901514380204</v>
      </c>
      <c r="F14" s="10" t="n">
        <f aca="false">E14/B14-1</f>
        <v>-0.0806616489393005</v>
      </c>
      <c r="G14" s="16" t="n">
        <f aca="false">PL!D32</f>
        <v>814.901514380204</v>
      </c>
      <c r="H14" s="10" t="n">
        <f aca="false">G14/B14-1</f>
        <v>-0.0806616489393005</v>
      </c>
      <c r="I14" s="8" t="s">
        <v>1002</v>
      </c>
    </row>
    <row r="15" customFormat="false" ht="17.15" hidden="false" customHeight="false" outlineLevel="0" collapsed="false">
      <c r="A15" s="1" t="s">
        <v>1003</v>
      </c>
    </row>
    <row r="16" customFormat="false" ht="17.15" hidden="false" customHeight="false" outlineLevel="0" collapsed="false">
      <c r="A16" s="0" t="s">
        <v>1004</v>
      </c>
      <c r="B16" s="19" t="n">
        <f aca="false">mk_soc26</f>
        <v>11</v>
      </c>
      <c r="C16" s="19" t="n">
        <f aca="false">PL!C47</f>
        <v>11</v>
      </c>
      <c r="D16" s="10" t="n">
        <f aca="false">C16/B16-1</f>
        <v>0</v>
      </c>
      <c r="E16" s="19" t="n">
        <f aca="false">PL!C78</f>
        <v>11</v>
      </c>
      <c r="F16" s="10" t="n">
        <f aca="false">E16/B16-1</f>
        <v>0</v>
      </c>
      <c r="G16" s="19" t="n">
        <f aca="false">PL!C109</f>
        <v>11</v>
      </c>
      <c r="H16" s="10" t="n">
        <f aca="false">G16/B16-1</f>
        <v>0</v>
      </c>
      <c r="I16" s="5" t="s">
        <v>1005</v>
      </c>
      <c r="J16" s="5" t="s">
        <v>1006</v>
      </c>
    </row>
    <row r="17" customFormat="false" ht="17.15" hidden="false" customHeight="false" outlineLevel="0" collapsed="false">
      <c r="A17" s="5" t="s">
        <v>1007</v>
      </c>
      <c r="B17" s="19" t="n">
        <f aca="false">mk_mem26</f>
        <v>2.75</v>
      </c>
      <c r="C17" s="19" t="n">
        <f aca="false">PL!C48</f>
        <v>2.75</v>
      </c>
      <c r="D17" s="10" t="n">
        <f aca="false">C17/B17-1</f>
        <v>0</v>
      </c>
      <c r="E17" s="19" t="n">
        <f aca="false">PL!C79</f>
        <v>2.75</v>
      </c>
      <c r="F17" s="10" t="n">
        <f aca="false">E17/B17-1</f>
        <v>0</v>
      </c>
      <c r="G17" s="19" t="n">
        <f aca="false">PL!C110</f>
        <v>2.75</v>
      </c>
      <c r="H17" s="10" t="n">
        <f aca="false">G17/B17-1</f>
        <v>0</v>
      </c>
      <c r="I17" s="5" t="s">
        <v>1008</v>
      </c>
      <c r="J17" s="5" t="s">
        <v>1009</v>
      </c>
    </row>
    <row r="18" customFormat="false" ht="17.15" hidden="false" customHeight="false" outlineLevel="0" collapsed="false">
      <c r="A18" s="0" t="s">
        <v>1010</v>
      </c>
      <c r="B18" s="10" t="n">
        <f aca="false">sh_soc</f>
        <v>0.66</v>
      </c>
      <c r="C18" s="10" t="n">
        <f aca="false">PL!C52</f>
        <v>0.645552050473186</v>
      </c>
      <c r="D18" s="10" t="n">
        <f aca="false">C18-B18</f>
        <v>-0.0144479495268139</v>
      </c>
      <c r="E18" s="10" t="n">
        <f aca="false">PL!C83</f>
        <v>0.645552050473186</v>
      </c>
      <c r="F18" s="10" t="n">
        <f aca="false">E18-B18</f>
        <v>-0.0144479495268139</v>
      </c>
      <c r="G18" s="10" t="n">
        <f aca="false">PL!C114</f>
        <v>0.645552050473186</v>
      </c>
      <c r="H18" s="10" t="n">
        <f aca="false">G18-B18</f>
        <v>-0.0144479495268139</v>
      </c>
      <c r="I18" s="5" t="s">
        <v>1011</v>
      </c>
      <c r="J18" s="5" t="s">
        <v>1012</v>
      </c>
    </row>
    <row r="19" customFormat="false" ht="17.15" hidden="false" customHeight="false" outlineLevel="0" collapsed="false">
      <c r="A19" s="1" t="s">
        <v>1013</v>
      </c>
    </row>
    <row r="20" customFormat="false" ht="17.15" hidden="false" customHeight="false" outlineLevel="0" collapsed="false">
      <c r="A20" s="0" t="s">
        <v>1014</v>
      </c>
      <c r="B20" s="19" t="n">
        <f aca="false">semi_test26</f>
        <v>15.3</v>
      </c>
      <c r="C20" s="19" t="n">
        <f aca="false">PL!C47+PL!C48</f>
        <v>13.75</v>
      </c>
      <c r="D20" s="10" t="n">
        <f aca="false">C20/B20-1</f>
        <v>-0.101307189542484</v>
      </c>
      <c r="E20" s="19" t="n">
        <f aca="false">PL!C78+PL!C79</f>
        <v>13.75</v>
      </c>
      <c r="F20" s="10" t="n">
        <f aca="false">E20/B20-1</f>
        <v>-0.101307189542484</v>
      </c>
      <c r="G20" s="19" t="n">
        <f aca="false">PL!C109+PL!C110</f>
        <v>13.75</v>
      </c>
      <c r="H20" s="10" t="n">
        <f aca="false">G20/B20-1</f>
        <v>-0.101307189542484</v>
      </c>
      <c r="I20" s="8" t="s">
        <v>1015</v>
      </c>
      <c r="J20" s="8" t="s">
        <v>1016</v>
      </c>
    </row>
    <row r="21" customFormat="false" ht="17.15" hidden="false" customHeight="false" outlineLevel="0" collapsed="false">
      <c r="A21" s="0" t="s">
        <v>1017</v>
      </c>
      <c r="B21" s="19" t="n">
        <f aca="false">semi_test27</f>
        <v>17.8392824967822</v>
      </c>
      <c r="C21" s="19" t="n">
        <f aca="false">PL!D47+PL!D48</f>
        <v>19.2944321623484</v>
      </c>
      <c r="D21" s="10" t="n">
        <f aca="false">C21/B21-1</f>
        <v>0.0815699659349354</v>
      </c>
      <c r="E21" s="19" t="n">
        <f aca="false">PL!D78+PL!D79</f>
        <v>19.2944321623484</v>
      </c>
      <c r="F21" s="10" t="n">
        <f aca="false">E21/B21-1</f>
        <v>0.0815699659349354</v>
      </c>
      <c r="G21" s="19" t="n">
        <f aca="false">PL!D109+PL!D110</f>
        <v>19.2944321623484</v>
      </c>
      <c r="H21" s="10" t="n">
        <f aca="false">G21/B21-1</f>
        <v>0.0815699659349354</v>
      </c>
      <c r="I21" s="8" t="s">
        <v>1015</v>
      </c>
    </row>
    <row r="22" customFormat="false" ht="17.15" hidden="false" customHeight="false" outlineLevel="0" collapsed="false">
      <c r="A22" s="0" t="s">
        <v>1018</v>
      </c>
      <c r="B22" s="19" t="n">
        <f aca="false">semi_test28</f>
        <v>20.8</v>
      </c>
      <c r="C22" s="19" t="n">
        <f aca="false">PL!E47+PL!E48</f>
        <v>22.3452606075108</v>
      </c>
      <c r="D22" s="10" t="n">
        <f aca="false">C22/B22-1</f>
        <v>0.0742913753610965</v>
      </c>
      <c r="E22" s="19" t="n">
        <f aca="false">PL!E78+PL!E79</f>
        <v>19.5073720333902</v>
      </c>
      <c r="F22" s="10" t="n">
        <f aca="false">E22/B22-1</f>
        <v>-0.0621455753177809</v>
      </c>
      <c r="G22" s="19" t="n">
        <f aca="false">PL!E109+PL!E110</f>
        <v>15.8806902292299</v>
      </c>
      <c r="H22" s="10" t="n">
        <f aca="false">G22/B22-1</f>
        <v>-0.23650527744087</v>
      </c>
      <c r="I22" s="8" t="s">
        <v>1015</v>
      </c>
    </row>
    <row r="23" customFormat="false" ht="17.15" hidden="false" customHeight="false" outlineLevel="0" collapsed="false">
      <c r="A23" s="1" t="s">
        <v>1019</v>
      </c>
    </row>
    <row r="24" customFormat="false" ht="17.15" hidden="false" customHeight="false" outlineLevel="0" collapsed="false">
      <c r="A24" s="0" t="s">
        <v>1020</v>
      </c>
      <c r="C24" s="10" t="n">
        <f aca="false">q1_rev/PL!D5</f>
        <v>0.220360254069595</v>
      </c>
      <c r="J24" s="8" t="s">
        <v>1021</v>
      </c>
    </row>
    <row r="25" customFormat="false" ht="17.15" hidden="false" customHeight="false" outlineLevel="0" collapsed="false">
      <c r="A25" s="0" t="s">
        <v>1022</v>
      </c>
      <c r="C25" s="10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1023</v>
      </c>
    </row>
    <row r="3" customFormat="false" ht="17.15" hidden="false" customHeight="false" outlineLevel="0" collapsed="false">
      <c r="A3" s="6" t="s">
        <v>1024</v>
      </c>
      <c r="B3" s="6" t="s">
        <v>1025</v>
      </c>
      <c r="C3" s="14" t="s">
        <v>1026</v>
      </c>
      <c r="D3" s="14" t="s">
        <v>1027</v>
      </c>
      <c r="E3" s="6" t="s">
        <v>1028</v>
      </c>
      <c r="F3" s="14" t="s">
        <v>1029</v>
      </c>
      <c r="G3" s="14" t="s">
        <v>1030</v>
      </c>
      <c r="H3" s="6" t="s">
        <v>1028</v>
      </c>
    </row>
    <row r="4" customFormat="false" ht="17.15" hidden="false" customHeight="false" outlineLevel="0" collapsed="false">
      <c r="A4" s="5" t="s">
        <v>1031</v>
      </c>
      <c r="B4" s="0" t="s">
        <v>1032</v>
      </c>
      <c r="C4" s="13" t="n">
        <f aca="false">PL!E58</f>
        <v>2160.35286222058</v>
      </c>
      <c r="D4" s="16" t="n">
        <f aca="false">PL!E67</f>
        <v>1136.74747982331</v>
      </c>
      <c r="E4" s="10" t="n">
        <f aca="false">D4/D$4-1</f>
        <v>0</v>
      </c>
      <c r="F4" s="13" t="n">
        <f aca="false">PL!F58</f>
        <v>2472.60416408125</v>
      </c>
      <c r="G4" s="16" t="n">
        <f aca="false">PL!F67</f>
        <v>1295.82914175727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1033</v>
      </c>
      <c r="B5" s="0" t="s">
        <v>1034</v>
      </c>
      <c r="C5" s="13" t="n">
        <f aca="false">E68</f>
        <v>2041.21112866331</v>
      </c>
      <c r="D5" s="16" t="n">
        <f aca="false">E77</f>
        <v>1052.23214094796</v>
      </c>
      <c r="E5" s="10" t="n">
        <f aca="false">D5/D$4-1</f>
        <v>-0.0743483846460649</v>
      </c>
      <c r="F5" s="13" t="n">
        <f aca="false">F68</f>
        <v>2339.22842560896</v>
      </c>
      <c r="G5" s="16" t="n">
        <f aca="false">F77</f>
        <v>1201.21665461131</v>
      </c>
      <c r="H5" s="10" t="n">
        <f aca="false">G5/G$4-1</f>
        <v>-0.0730130879890991</v>
      </c>
    </row>
    <row r="6" customFormat="false" ht="17.15" hidden="false" customHeight="false" outlineLevel="0" collapsed="false">
      <c r="A6" s="5" t="s">
        <v>1035</v>
      </c>
      <c r="B6" s="0" t="s">
        <v>1036</v>
      </c>
      <c r="C6" s="13" t="n">
        <f aca="false">E100</f>
        <v>2279.49459577786</v>
      </c>
      <c r="D6" s="16" t="n">
        <f aca="false">E109</f>
        <v>1221.26281869865</v>
      </c>
      <c r="E6" s="10" t="n">
        <f aca="false">D6/D$4-1</f>
        <v>0.0743483846460642</v>
      </c>
      <c r="F6" s="13" t="n">
        <f aca="false">F100</f>
        <v>2605.97990255354</v>
      </c>
      <c r="G6" s="16" t="n">
        <f aca="false">F109</f>
        <v>1390.44162890324</v>
      </c>
      <c r="H6" s="10" t="n">
        <f aca="false">G6/G$4-1</f>
        <v>0.0730130879890991</v>
      </c>
    </row>
    <row r="7" customFormat="false" ht="17.15" hidden="false" customHeight="false" outlineLevel="0" collapsed="false">
      <c r="A7" s="5" t="s">
        <v>1037</v>
      </c>
      <c r="B7" s="5" t="s">
        <v>1038</v>
      </c>
      <c r="C7" s="13" t="n">
        <f aca="false">E132</f>
        <v>2089.20742008085</v>
      </c>
      <c r="D7" s="16" t="n">
        <f aca="false">E141</f>
        <v>1086.27917646438</v>
      </c>
      <c r="E7" s="10" t="n">
        <f aca="false">D7/D$4-1</f>
        <v>-0.0443971104002514</v>
      </c>
      <c r="F7" s="13" t="n">
        <f aca="false">F132</f>
        <v>2330.20940940582</v>
      </c>
      <c r="G7" s="16" t="n">
        <f aca="false">F141</f>
        <v>1194.81885269949</v>
      </c>
      <c r="H7" s="10" t="n">
        <f aca="false">G7/G$4-1</f>
        <v>-0.0779503144379095</v>
      </c>
    </row>
    <row r="8" customFormat="false" ht="17.15" hidden="false" customHeight="false" outlineLevel="0" collapsed="false">
      <c r="A8" s="5" t="s">
        <v>1039</v>
      </c>
      <c r="B8" s="5" t="s">
        <v>1040</v>
      </c>
      <c r="C8" s="13" t="n">
        <f aca="false">E164</f>
        <v>2019.62720551921</v>
      </c>
      <c r="D8" s="16" t="n">
        <f aca="false">E173</f>
        <v>1036.92119553598</v>
      </c>
      <c r="E8" s="10" t="n">
        <f aca="false">D8/D$4-1</f>
        <v>-0.0878174669917365</v>
      </c>
      <c r="F8" s="13" t="n">
        <f aca="false">F164</f>
        <v>2197.58877682898</v>
      </c>
      <c r="G8" s="16" t="n">
        <f aca="false">F173</f>
        <v>1100.74201354802</v>
      </c>
      <c r="H8" s="10" t="n">
        <f aca="false">G8/G$4-1</f>
        <v>-0.150550039293526</v>
      </c>
    </row>
    <row r="9" customFormat="false" ht="17.15" hidden="false" customHeight="false" outlineLevel="0" collapsed="false">
      <c r="A9" s="5" t="s">
        <v>1041</v>
      </c>
      <c r="B9" s="5" t="s">
        <v>1042</v>
      </c>
      <c r="C9" s="13" t="n">
        <f aca="false">E196</f>
        <v>2124.33484671935</v>
      </c>
      <c r="D9" s="16" t="n">
        <f aca="false">E205</f>
        <v>1111.19745050263</v>
      </c>
      <c r="E9" s="10" t="n">
        <f aca="false">D9/D$4-1</f>
        <v>-0.0224764336619814</v>
      </c>
      <c r="F9" s="13" t="n">
        <f aca="false">F196</f>
        <v>2415.60596172932</v>
      </c>
      <c r="G9" s="16" t="n">
        <f aca="false">F205</f>
        <v>1255.39643826011</v>
      </c>
      <c r="H9" s="10" t="n">
        <f aca="false">G9/G$4-1</f>
        <v>-0.0312021872284251</v>
      </c>
    </row>
    <row r="10" customFormat="false" ht="17.15" hidden="false" customHeight="false" outlineLevel="0" collapsed="false">
      <c r="A10" s="5" t="s">
        <v>1043</v>
      </c>
      <c r="B10" s="5" t="s">
        <v>1044</v>
      </c>
      <c r="C10" s="13" t="n">
        <f aca="false">E228</f>
        <v>2205.97915115648</v>
      </c>
      <c r="D10" s="16" t="n">
        <f aca="false">E237</f>
        <v>1169.11331130743</v>
      </c>
      <c r="E10" s="10" t="n">
        <f aca="false">D10/D$4-1</f>
        <v>0.0284723142638155</v>
      </c>
      <c r="F10" s="13" t="n">
        <f aca="false">F228</f>
        <v>2539.67577231192</v>
      </c>
      <c r="G10" s="16" t="n">
        <f aca="false">F237</f>
        <v>1343.40759751144</v>
      </c>
      <c r="H10" s="10" t="n">
        <f aca="false">G10/G$4-1</f>
        <v>0.0367166119521336</v>
      </c>
    </row>
    <row r="11" customFormat="false" ht="17.15" hidden="false" customHeight="false" outlineLevel="0" collapsed="false">
      <c r="A11" s="5" t="s">
        <v>1045</v>
      </c>
      <c r="B11" s="0" t="s">
        <v>1046</v>
      </c>
      <c r="C11" s="13" t="n">
        <f aca="false">E260</f>
        <v>2160.35286222058</v>
      </c>
      <c r="D11" s="16" t="n">
        <f aca="false">E269</f>
        <v>1184.51010370551</v>
      </c>
      <c r="E11" s="10" t="n">
        <f aca="false">D11/D$4-1</f>
        <v>0.042016916447996</v>
      </c>
      <c r="F11" s="13" t="n">
        <f aca="false">F260</f>
        <v>2472.60416408125</v>
      </c>
      <c r="G11" s="16" t="n">
        <f aca="false">F269</f>
        <v>1358.04672092344</v>
      </c>
      <c r="H11" s="10" t="n">
        <f aca="false">G11/G$4-1</f>
        <v>0.0480137212239233</v>
      </c>
    </row>
    <row r="12" customFormat="false" ht="17.15" hidden="false" customHeight="false" outlineLevel="0" collapsed="false">
      <c r="A12" s="5" t="s">
        <v>1047</v>
      </c>
      <c r="B12" s="5" t="s">
        <v>1048</v>
      </c>
      <c r="C12" s="13" t="n">
        <f aca="false">E292</f>
        <v>2160.35286222058</v>
      </c>
      <c r="D12" s="16" t="n">
        <f aca="false">E301</f>
        <v>1098.4261670696</v>
      </c>
      <c r="E12" s="10" t="n">
        <f aca="false">D12/D$4-1</f>
        <v>-0.0337113681216743</v>
      </c>
      <c r="F12" s="13" t="n">
        <f aca="false">F292</f>
        <v>2472.60416408125</v>
      </c>
      <c r="G12" s="16" t="n">
        <f aca="false">F301</f>
        <v>1245.91020690383</v>
      </c>
      <c r="H12" s="10" t="n">
        <f aca="false">G12/G$4-1</f>
        <v>-0.0385227752987171</v>
      </c>
    </row>
    <row r="13" customFormat="false" ht="17.15" hidden="false" customHeight="false" outlineLevel="0" collapsed="false">
      <c r="A13" s="0" t="s">
        <v>1049</v>
      </c>
      <c r="B13" s="5" t="s">
        <v>1050</v>
      </c>
      <c r="C13" s="13" t="n">
        <f aca="false">E324</f>
        <v>2076.35916050745</v>
      </c>
      <c r="D13" s="16" t="n">
        <f aca="false">E333</f>
        <v>1077.16503166069</v>
      </c>
      <c r="E13" s="10" t="n">
        <f aca="false">D13/D$4-1</f>
        <v>-0.0524148495775664</v>
      </c>
      <c r="F13" s="13" t="n">
        <f aca="false">F324</f>
        <v>2375.92369716825</v>
      </c>
      <c r="G13" s="16" t="n">
        <f aca="false">F333</f>
        <v>1227.24710773935</v>
      </c>
      <c r="H13" s="10" t="n">
        <f aca="false">G13/G$4-1</f>
        <v>-0.0529252135238425</v>
      </c>
    </row>
    <row r="14" customFormat="false" ht="17.15" hidden="false" customHeight="false" outlineLevel="0" collapsed="false">
      <c r="A14" s="0" t="s">
        <v>1051</v>
      </c>
      <c r="B14" s="5" t="s">
        <v>1052</v>
      </c>
      <c r="C14" s="13" t="n">
        <f aca="false">E356</f>
        <v>2244.34656393372</v>
      </c>
      <c r="D14" s="16" t="n">
        <f aca="false">E365</f>
        <v>1196.32992798592</v>
      </c>
      <c r="E14" s="10" t="n">
        <f aca="false">D14/D$4-1</f>
        <v>0.0524148495775663</v>
      </c>
      <c r="F14" s="13" t="n">
        <f aca="false">F356</f>
        <v>2569.28463099425</v>
      </c>
      <c r="G14" s="16" t="n">
        <f aca="false">F365</f>
        <v>1364.4111757752</v>
      </c>
      <c r="H14" s="10" t="n">
        <f aca="false">G14/G$4-1</f>
        <v>0.0529252135238427</v>
      </c>
    </row>
    <row r="15" customFormat="false" ht="17.15" hidden="false" customHeight="false" outlineLevel="0" collapsed="false">
      <c r="A15" s="5" t="s">
        <v>1053</v>
      </c>
      <c r="B15" s="0" t="s">
        <v>1054</v>
      </c>
      <c r="C15" s="13" t="n">
        <f aca="false">E388</f>
        <v>2198.75154427634</v>
      </c>
      <c r="D15" s="16" t="n">
        <f aca="false">E397</f>
        <v>1163.98627792883</v>
      </c>
      <c r="E15" s="10" t="n">
        <f aca="false">D15/D$4-1</f>
        <v>0.0239620483783816</v>
      </c>
      <c r="F15" s="13" t="n">
        <f aca="false">F388</f>
        <v>2523.73121397685</v>
      </c>
      <c r="G15" s="16" t="n">
        <f aca="false">F397</f>
        <v>1332.09703730159</v>
      </c>
      <c r="H15" s="10" t="n">
        <f aca="false">G15/G$4-1</f>
        <v>0.0279881771258279</v>
      </c>
    </row>
    <row r="16" customFormat="false" ht="17.15" hidden="false" customHeight="false" outlineLevel="0" collapsed="false">
      <c r="A16" s="5" t="s">
        <v>1055</v>
      </c>
      <c r="B16" s="0" t="s">
        <v>1056</v>
      </c>
      <c r="C16" s="13" t="n">
        <f aca="false">E420</f>
        <v>2121.95418016482</v>
      </c>
      <c r="D16" s="16" t="n">
        <f aca="false">E429</f>
        <v>1109.50868171777</v>
      </c>
      <c r="E16" s="10" t="n">
        <f aca="false">D16/D$4-1</f>
        <v>-0.0239620483783822</v>
      </c>
      <c r="F16" s="13" t="n">
        <f aca="false">F420</f>
        <v>2421.47711418565</v>
      </c>
      <c r="G16" s="16" t="n">
        <f aca="false">F429</f>
        <v>1259.56124621296</v>
      </c>
      <c r="H16" s="10" t="n">
        <f aca="false">G16/G$4-1</f>
        <v>-0.0279881771258278</v>
      </c>
    </row>
    <row r="17" customFormat="false" ht="17.15" hidden="false" customHeight="false" outlineLevel="0" collapsed="false">
      <c r="A17" s="5" t="s">
        <v>1057</v>
      </c>
      <c r="C17" s="13" t="n">
        <f aca="false">E452</f>
        <v>2129.06605122556</v>
      </c>
      <c r="D17" s="16" t="n">
        <f aca="false">E461</f>
        <v>1130.25695107948</v>
      </c>
      <c r="E17" s="10" t="n">
        <f aca="false">D17/D$4-1</f>
        <v>-0.00570973664690766</v>
      </c>
      <c r="F17" s="13" t="n">
        <f aca="false">F452</f>
        <v>2432.59078534544</v>
      </c>
      <c r="G17" s="16" t="n">
        <f aca="false">F461</f>
        <v>1287.52826427686</v>
      </c>
      <c r="H17" s="10" t="n">
        <f aca="false">G17/G$4-1</f>
        <v>-0.00640584257053667</v>
      </c>
    </row>
    <row r="18" customFormat="false" ht="17.15" hidden="false" customHeight="false" outlineLevel="0" collapsed="false">
      <c r="A18" s="5" t="s">
        <v>1058</v>
      </c>
      <c r="C18" s="13" t="n">
        <f aca="false">E484</f>
        <v>2191.6396732156</v>
      </c>
      <c r="D18" s="16" t="n">
        <f aca="false">E493</f>
        <v>1143.23800856713</v>
      </c>
      <c r="E18" s="10" t="n">
        <f aca="false">D18/D$4-1</f>
        <v>0.00570973664690722</v>
      </c>
      <c r="F18" s="13" t="n">
        <f aca="false">F484</f>
        <v>2512.61754281706</v>
      </c>
      <c r="G18" s="16" t="n">
        <f aca="false">F493</f>
        <v>1304.13001923769</v>
      </c>
      <c r="H18" s="10" t="n">
        <f aca="false">G18/G$4-1</f>
        <v>0.00640584257053689</v>
      </c>
    </row>
    <row r="19" customFormat="false" ht="17.15" hidden="false" customHeight="false" outlineLevel="0" collapsed="false">
      <c r="A19" s="5" t="s">
        <v>1059</v>
      </c>
      <c r="C19" s="13" t="n">
        <f aca="false">E516</f>
        <v>2143.056370501</v>
      </c>
      <c r="D19" s="16" t="n">
        <f aca="false">E525</f>
        <v>1133.15927849811</v>
      </c>
      <c r="E19" s="10" t="n">
        <f aca="false">D19/D$4-1</f>
        <v>-0.00315655093930611</v>
      </c>
      <c r="F19" s="13" t="n">
        <f aca="false">F516</f>
        <v>2430.57055565742</v>
      </c>
      <c r="G19" s="16" t="n">
        <f aca="false">F525</f>
        <v>1287.10916247511</v>
      </c>
      <c r="H19" s="10" t="n">
        <f aca="false">G19/G$4-1</f>
        <v>-0.00672926622898851</v>
      </c>
    </row>
    <row r="20" customFormat="false" ht="17.15" hidden="false" customHeight="false" outlineLevel="0" collapsed="false">
      <c r="A20" s="5" t="s">
        <v>1060</v>
      </c>
      <c r="C20" s="13" t="n">
        <f aca="false">E548</f>
        <v>2177.64935394016</v>
      </c>
      <c r="D20" s="16" t="n">
        <f aca="false">E557</f>
        <v>1140.33568114849</v>
      </c>
      <c r="E20" s="10" t="n">
        <f aca="false">D20/D$4-1</f>
        <v>0.00315655093930567</v>
      </c>
      <c r="F20" s="13" t="n">
        <f aca="false">F548</f>
        <v>2514.63777250508</v>
      </c>
      <c r="G20" s="16" t="n">
        <f aca="false">F557</f>
        <v>1304.54912103944</v>
      </c>
      <c r="H20" s="10" t="n">
        <f aca="false">G20/G$4-1</f>
        <v>0.00672926622898862</v>
      </c>
    </row>
    <row r="21" customFormat="false" ht="17.15" hidden="false" customHeight="false" outlineLevel="0" collapsed="false">
      <c r="A21" s="5" t="s">
        <v>1061</v>
      </c>
      <c r="C21" s="13" t="n">
        <f aca="false">E580</f>
        <v>2034.42747140588</v>
      </c>
      <c r="D21" s="16" t="n">
        <f aca="false">E589</f>
        <v>1058.00074382956</v>
      </c>
      <c r="E21" s="10" t="n">
        <f aca="false">D21/D$4-1</f>
        <v>-0.0692737282390867</v>
      </c>
      <c r="F21" s="13" t="n">
        <f aca="false">F580</f>
        <v>2328.27299580917</v>
      </c>
      <c r="G21" s="16" t="n">
        <f aca="false">F589</f>
        <v>1206.97712475545</v>
      </c>
      <c r="H21" s="10" t="n">
        <f aca="false">G21/G$4-1</f>
        <v>-0.0685676947204139</v>
      </c>
    </row>
    <row r="22" customFormat="false" ht="17.15" hidden="false" customHeight="false" outlineLevel="0" collapsed="false">
      <c r="A22" s="5" t="s">
        <v>1062</v>
      </c>
      <c r="C22" s="13" t="n">
        <f aca="false">E612</f>
        <v>2286.27825303529</v>
      </c>
      <c r="D22" s="16" t="n">
        <f aca="false">E621</f>
        <v>1215.49421581705</v>
      </c>
      <c r="E22" s="10" t="n">
        <f aca="false">D22/D$4-1</f>
        <v>0.0692737282390865</v>
      </c>
      <c r="F22" s="13" t="n">
        <f aca="false">F612</f>
        <v>2616.93533235333</v>
      </c>
      <c r="G22" s="16" t="n">
        <f aca="false">F621</f>
        <v>1384.6811587591</v>
      </c>
      <c r="H22" s="10" t="n">
        <f aca="false">G22/G$4-1</f>
        <v>0.0685676947204137</v>
      </c>
    </row>
    <row r="23" customFormat="false" ht="17.15" hidden="false" customHeight="false" outlineLevel="0" collapsed="false">
      <c r="A23" s="5" t="s">
        <v>1063</v>
      </c>
      <c r="C23" s="13" t="n">
        <f aca="false">E644</f>
        <v>2160.35286222058</v>
      </c>
      <c r="D23" s="16" t="n">
        <f aca="false">E653</f>
        <v>1088.15258489468</v>
      </c>
      <c r="E23" s="10" t="n">
        <f aca="false">D23/D$4-1</f>
        <v>-0.0427490676611615</v>
      </c>
      <c r="F23" s="13" t="n">
        <f aca="false">F644</f>
        <v>2472.60416408125</v>
      </c>
      <c r="G23" s="16" t="n">
        <f aca="false">F653</f>
        <v>1240.43365409899</v>
      </c>
      <c r="H23" s="10" t="n">
        <f aca="false">G23/G$4-1</f>
        <v>-0.0427490676611612</v>
      </c>
    </row>
    <row r="24" customFormat="false" ht="17.15" hidden="false" customHeight="false" outlineLevel="0" collapsed="false">
      <c r="A24" s="5" t="s">
        <v>1064</v>
      </c>
      <c r="B24" s="5" t="s">
        <v>1065</v>
      </c>
      <c r="C24" s="13" t="n">
        <f aca="false">E676</f>
        <v>2160.35286222058</v>
      </c>
      <c r="D24" s="16" t="n">
        <f aca="false">E685</f>
        <v>1179.04633903088</v>
      </c>
      <c r="E24" s="10" t="n">
        <f aca="false">D24/D$4-1</f>
        <v>0.0372104270810902</v>
      </c>
      <c r="F24" s="13" t="n">
        <f aca="false">F676</f>
        <v>2472.60416408125</v>
      </c>
      <c r="G24" s="16" t="n">
        <f aca="false">F685</f>
        <v>1344.04749754619</v>
      </c>
      <c r="H24" s="10" t="n">
        <f aca="false">G24/G$4-1</f>
        <v>0.03721042708109</v>
      </c>
    </row>
    <row r="25" customFormat="false" ht="17.15" hidden="false" customHeight="false" outlineLevel="0" collapsed="false">
      <c r="A25" s="5" t="s">
        <v>1066</v>
      </c>
      <c r="B25" s="0" t="s">
        <v>1067</v>
      </c>
      <c r="C25" s="13" t="n">
        <f aca="false">PL!E89</f>
        <v>2083.99075634796</v>
      </c>
      <c r="D25" s="16" t="n">
        <f aca="false">PL!E98</f>
        <v>1089.48148710254</v>
      </c>
      <c r="E25" s="10" t="n">
        <f aca="false">D25/D$4-1</f>
        <v>-0.0415800285988882</v>
      </c>
      <c r="F25" s="13" t="n">
        <f aca="false">PL!F89</f>
        <v>2188.26343081766</v>
      </c>
      <c r="G25" s="16" t="n">
        <f aca="false">PL!F98</f>
        <v>1115.73746871027</v>
      </c>
      <c r="H25" s="10" t="n">
        <f aca="false">G25/G$4-1</f>
        <v>-0.138977946431107</v>
      </c>
    </row>
    <row r="26" customFormat="false" ht="17.15" hidden="false" customHeight="false" outlineLevel="0" collapsed="false">
      <c r="A26" s="5" t="s">
        <v>1068</v>
      </c>
      <c r="B26" s="0" t="s">
        <v>1069</v>
      </c>
      <c r="C26" s="13" t="n">
        <f aca="false">PL!E120</f>
        <v>1984.7688008674</v>
      </c>
      <c r="D26" s="16" t="n">
        <f aca="false">PL!E129</f>
        <v>1037.47316027225</v>
      </c>
      <c r="E26" s="10" t="n">
        <f aca="false">D26/D$4-1</f>
        <v>-0.0873319020390411</v>
      </c>
      <c r="F26" s="13" t="n">
        <f aca="false">PL!F120</f>
        <v>1693.3184247797</v>
      </c>
      <c r="G26" s="16" t="n">
        <f aca="false">PL!F129</f>
        <v>809.236578149569</v>
      </c>
      <c r="H26" s="10" t="n">
        <f aca="false">G26/G$4-1</f>
        <v>-0.375506729959659</v>
      </c>
    </row>
    <row r="28" customFormat="false" ht="17.15" hidden="false" customHeight="false" outlineLevel="0" collapsed="false">
      <c r="A28" s="5" t="s">
        <v>1070</v>
      </c>
    </row>
    <row r="50" customFormat="false" ht="17.15" hidden="false" customHeight="false" outlineLevel="0" collapsed="false">
      <c r="A50" s="4" t="s">
        <v>1071</v>
      </c>
    </row>
    <row r="51" customFormat="false" ht="17.15" hidden="false" customHeight="false" outlineLevel="0" collapsed="false">
      <c r="A51" s="6" t="s">
        <v>23</v>
      </c>
      <c r="B51" s="6" t="s">
        <v>24</v>
      </c>
      <c r="C51" s="14" t="s">
        <v>675</v>
      </c>
      <c r="D51" s="14" t="s">
        <v>676</v>
      </c>
      <c r="E51" s="14" t="s">
        <v>677</v>
      </c>
      <c r="F51" s="14" t="s">
        <v>678</v>
      </c>
      <c r="G51" s="14" t="s">
        <v>679</v>
      </c>
      <c r="H51" s="6" t="s">
        <v>478</v>
      </c>
    </row>
    <row r="52" customFormat="false" ht="17.15" hidden="false" customHeight="false" outlineLevel="0" collapsed="false">
      <c r="A52" s="1" t="s">
        <v>680</v>
      </c>
    </row>
    <row r="53" customFormat="false" ht="17.15" hidden="false" customHeight="false" outlineLevel="0" collapsed="false">
      <c r="A53" s="5" t="s">
        <v>681</v>
      </c>
      <c r="B53" s="5" t="s">
        <v>34</v>
      </c>
      <c r="C53" s="19" t="n">
        <f aca="false">u_bw_26*tt_bw+u_rb_26*tt_rb+u_ru_26*tt_ru+u_hp_26*tt_hp+u_amd_26*tt_amd+u_tpu_26*tt_tpu+u_trn_26*tt_trn+u_oth_26*tt_oth</f>
        <v>14.885</v>
      </c>
      <c r="D53" s="19" t="n">
        <f aca="false">u_bw_27*tt_bw+u_rb_27*tt_rb+u_ru_27*tt_ru+u_hp_27*tt_hp+u_amd_27*tt_amd+u_tpu_27*tt_tpu+u_trn_27*tt_trn+u_oth_27*tt_oth</f>
        <v>24.31</v>
      </c>
      <c r="E53" s="19" t="n">
        <f aca="false">u_bw_28*um28_A*tt_bw+u_rb_28*um28_A*tt_rb+u_ru_28*um28_A*tt_ru+u_hp_28*um28_A*tt_hp+u_amd_28*um28_A*tt_amd+u_tpu_28*um28_A*tt_tpu+u_trn_28*um28_A*tt_trn+u_oth_28*um28_A*tt_oth</f>
        <v>28.1</v>
      </c>
      <c r="F5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9" t="n">
        <f aca="false">F53*(1+cy30g)</f>
        <v>31.99</v>
      </c>
      <c r="H53" s="8" t="s">
        <v>682</v>
      </c>
    </row>
    <row r="54" customFormat="false" ht="17.15" hidden="false" customHeight="false" outlineLevel="0" collapsed="false">
      <c r="A54" s="5" t="s">
        <v>683</v>
      </c>
      <c r="B54" s="0" t="s">
        <v>684</v>
      </c>
      <c r="C54" s="21" t="n">
        <f aca="false">(mk_soc26-nonai26)/C53</f>
        <v>0.450117568021498</v>
      </c>
      <c r="H54" s="5" t="s">
        <v>685</v>
      </c>
    </row>
    <row r="55" customFormat="false" ht="17.15" hidden="false" customHeight="false" outlineLevel="0" collapsed="false">
      <c r="A55" s="0" t="s">
        <v>686</v>
      </c>
      <c r="B55" s="0" t="s">
        <v>155</v>
      </c>
      <c r="C55" s="19" t="n">
        <f aca="false">$C$54*C53*(1-0)^0</f>
        <v>6.7</v>
      </c>
      <c r="D55" s="19" t="n">
        <f aca="false">$C$54*D53*(1-0)^1</f>
        <v>10.9423580786026</v>
      </c>
      <c r="E55" s="19" t="n">
        <f aca="false">$C$54*E53*(1-0)^2</f>
        <v>12.6483036614041</v>
      </c>
      <c r="F55" s="19" t="n">
        <f aca="false">$C$54*F53*(1-0)^3</f>
        <v>14.3992610010077</v>
      </c>
      <c r="G55" s="19" t="n">
        <f aca="false">$C$54*G53*(1-0)^4</f>
        <v>14.3992610010077</v>
      </c>
    </row>
    <row r="56" customFormat="false" ht="17.15" hidden="false" customHeight="false" outlineLevel="0" collapsed="false">
      <c r="A56" s="5" t="s">
        <v>687</v>
      </c>
      <c r="B56" s="0" t="s">
        <v>155</v>
      </c>
      <c r="C56" s="19" t="n">
        <f aca="false">nonai26*(1+g_nonai)^0</f>
        <v>4.3</v>
      </c>
      <c r="D56" s="19" t="n">
        <f aca="false">nonai26*(1+g_nonai)^1</f>
        <v>4.472</v>
      </c>
      <c r="E56" s="19" t="n">
        <f aca="false">nonai26*(1+g_nonai)^2</f>
        <v>4.65088</v>
      </c>
      <c r="F56" s="19" t="n">
        <f aca="false">nonai26*(1+g_nonai)^3</f>
        <v>4.8369152</v>
      </c>
      <c r="G56" s="19" t="n">
        <f aca="false">nonai26*(1+g_nonai)^4</f>
        <v>5.030391808</v>
      </c>
    </row>
    <row r="57" customFormat="false" ht="17.15" hidden="false" customHeight="false" outlineLevel="0" collapsed="false">
      <c r="A57" s="0" t="s">
        <v>688</v>
      </c>
      <c r="B57" s="0" t="s">
        <v>155</v>
      </c>
      <c r="C57" s="19" t="n">
        <f aca="false">C55+C56</f>
        <v>11</v>
      </c>
      <c r="D57" s="19" t="n">
        <f aca="false">D55+D56</f>
        <v>15.4143580786026</v>
      </c>
      <c r="E57" s="19" t="n">
        <f aca="false">E55+E56</f>
        <v>17.2991836614041</v>
      </c>
      <c r="F57" s="19" t="n">
        <f aca="false">F55+F56</f>
        <v>19.2361762010077</v>
      </c>
      <c r="G57" s="19" t="n">
        <f aca="false">G55+G56</f>
        <v>19.4296528090077</v>
      </c>
      <c r="H57" s="8" t="s">
        <v>689</v>
      </c>
    </row>
    <row r="58" customFormat="false" ht="17.15" hidden="false" customHeight="false" outlineLevel="0" collapsed="false">
      <c r="A58" s="5" t="s">
        <v>690</v>
      </c>
      <c r="B58" s="0" t="s">
        <v>155</v>
      </c>
      <c r="C58" s="19" t="n">
        <f aca="false">mk_mem26*(w_hbm*hsA_26/hsA_26+(1-w_hbm)*drA_26/drA_26)</f>
        <v>2.75</v>
      </c>
      <c r="D58" s="19" t="n">
        <f aca="false">mk_mem26*(w_hbm*hsA_27/hsA_26+(1-w_hbm)*drA_27/drA_26)</f>
        <v>3.88007408374579</v>
      </c>
      <c r="E58" s="19" t="n">
        <f aca="false">mk_mem26*(w_hbm*hsA_28/hsA_26+(1-w_hbm)*drA_28/drA_26)</f>
        <v>5.04607694610671</v>
      </c>
      <c r="F58" s="19" t="n">
        <f aca="false">mk_mem26*(w_hbm*hsA_29/hsA_26+(1-w_hbm)*drA_29/drA_26)</f>
        <v>6.20223782078096</v>
      </c>
      <c r="G58" s="19" t="n">
        <f aca="false">F58*(1+cy30g)</f>
        <v>6.20223782078096</v>
      </c>
      <c r="H58" s="8" t="s">
        <v>691</v>
      </c>
    </row>
    <row r="59" customFormat="false" ht="17.15" hidden="false" customHeight="false" outlineLevel="0" collapsed="false">
      <c r="A59" s="1" t="s">
        <v>692</v>
      </c>
    </row>
    <row r="60" customFormat="false" ht="17.15" hidden="false" customHeight="false" outlineLevel="0" collapsed="false">
      <c r="A60" s="0" t="s">
        <v>693</v>
      </c>
      <c r="B60" s="0" t="s">
        <v>155</v>
      </c>
      <c r="C60" s="19" t="n">
        <f aca="false">fmk_soc25</f>
        <v>7.925</v>
      </c>
      <c r="D60" s="19" t="n">
        <f aca="false">0.75*C57+0.25*D57</f>
        <v>12.1035895196507</v>
      </c>
      <c r="E60" s="19" t="n">
        <f aca="false">0.75*D57+0.25*E57</f>
        <v>15.885564474303</v>
      </c>
      <c r="F60" s="19" t="n">
        <f aca="false">0.75*E57+0.25*F57</f>
        <v>17.783431796305</v>
      </c>
      <c r="G60" s="19" t="n">
        <f aca="false">0.75*F57+0.25*G57</f>
        <v>19.2845453530077</v>
      </c>
    </row>
    <row r="61" customFormat="false" ht="17.15" hidden="false" customHeight="false" outlineLevel="0" collapsed="false">
      <c r="A61" s="5" t="s">
        <v>694</v>
      </c>
      <c r="B61" s="0" t="s">
        <v>155</v>
      </c>
      <c r="C61" s="19" t="n">
        <f aca="false">fmk_mem25</f>
        <v>2.2625</v>
      </c>
      <c r="D61" s="19" t="n">
        <f aca="false">0.75*C58+0.25*D58</f>
        <v>3.03251852093645</v>
      </c>
      <c r="E61" s="19" t="n">
        <f aca="false">0.75*D58+0.25*E58</f>
        <v>4.17157479933602</v>
      </c>
      <c r="F61" s="19" t="n">
        <f aca="false">0.75*E58+0.25*F58</f>
        <v>5.33511716477527</v>
      </c>
      <c r="G61" s="19" t="n">
        <f aca="false">0.75*F58+0.25*G58</f>
        <v>6.20223782078096</v>
      </c>
    </row>
    <row r="62" customFormat="false" ht="17.15" hidden="false" customHeight="false" outlineLevel="0" collapsed="false">
      <c r="A62" s="0" t="s">
        <v>695</v>
      </c>
      <c r="B62" s="0" t="s">
        <v>45</v>
      </c>
      <c r="C62" s="10" t="n">
        <f aca="false">a25_soc/(C60*fx)</f>
        <v>0.645552050473186</v>
      </c>
      <c r="D62" s="10" t="n">
        <f aca="false">sh_soc_lo</f>
        <v>0.61</v>
      </c>
      <c r="E62" s="10" t="n">
        <f aca="false">sh_soc_lo</f>
        <v>0.61</v>
      </c>
      <c r="F62" s="10" t="n">
        <f aca="false">sh_soc_lo</f>
        <v>0.61</v>
      </c>
      <c r="G62" s="10" t="n">
        <f aca="false">sh_soc_lo</f>
        <v>0.61</v>
      </c>
      <c r="H62" s="8" t="s">
        <v>696</v>
      </c>
    </row>
    <row r="63" customFormat="false" ht="17.15" hidden="false" customHeight="false" outlineLevel="0" collapsed="false">
      <c r="A63" s="0" t="s">
        <v>697</v>
      </c>
      <c r="B63" s="0" t="s">
        <v>354</v>
      </c>
      <c r="C63" s="16" t="n">
        <f aca="false">a25_soc</f>
        <v>767.4</v>
      </c>
      <c r="D63" s="16" t="n">
        <f aca="false">D60*D62*fx</f>
        <v>1107.47844104803</v>
      </c>
      <c r="E63" s="16" t="n">
        <f aca="false">E60*E62*fx</f>
        <v>1453.52914939872</v>
      </c>
      <c r="F63" s="16" t="n">
        <f aca="false">F60*F62*fx</f>
        <v>1627.18400936191</v>
      </c>
      <c r="G63" s="16" t="n">
        <f aca="false">G60*G62*fx</f>
        <v>1764.53589980021</v>
      </c>
      <c r="H63" s="5" t="s">
        <v>698</v>
      </c>
    </row>
    <row r="64" customFormat="false" ht="15" hidden="false" customHeight="false" outlineLevel="0" collapsed="false">
      <c r="A64" s="5" t="s">
        <v>699</v>
      </c>
      <c r="B64" s="0" t="s">
        <v>354</v>
      </c>
      <c r="C64" s="16" t="n">
        <f aca="false">a25_mem</f>
        <v>171.5</v>
      </c>
      <c r="D64" s="16" t="n">
        <f aca="false">D61*sh_mem*fx</f>
        <v>229.868254736177</v>
      </c>
      <c r="E64" s="16" t="n">
        <f aca="false">E61*sh_mem*fx</f>
        <v>316.209979264587</v>
      </c>
      <c r="F64" s="16" t="n">
        <f aca="false">F61*sh_mem*fx</f>
        <v>404.407776247054</v>
      </c>
      <c r="G64" s="16" t="n">
        <f aca="false">G61*sh_mem*fx</f>
        <v>470.136480116656</v>
      </c>
    </row>
    <row r="65" customFormat="false" ht="15" hidden="false" customHeight="false" outlineLevel="0" collapsed="false">
      <c r="A65" s="5" t="s">
        <v>700</v>
      </c>
      <c r="B65" s="0" t="s">
        <v>354</v>
      </c>
      <c r="C65" s="16" t="n">
        <f aca="false">a25_oth</f>
        <v>80.5</v>
      </c>
      <c r="D65" s="16" t="n">
        <f aca="false">C65*(1+g_oth_26)</f>
        <v>104</v>
      </c>
      <c r="E65" s="16" t="n">
        <f aca="false">D65*(1+g_oth_A)</f>
        <v>119.6</v>
      </c>
      <c r="F65" s="16" t="n">
        <f aca="false">E65*(1+g_oth_A)</f>
        <v>137.54</v>
      </c>
      <c r="G65" s="16" t="n">
        <f aca="false">F65*(1+g_oth_A)</f>
        <v>158.171</v>
      </c>
    </row>
    <row r="66" customFormat="false" ht="15" hidden="false" customHeight="false" outlineLevel="0" collapsed="false">
      <c r="A66" s="5" t="s">
        <v>701</v>
      </c>
      <c r="B66" s="0" t="s">
        <v>354</v>
      </c>
      <c r="C66" s="16" t="n">
        <f aca="false">a25_svc</f>
        <v>109.2</v>
      </c>
      <c r="D66" s="16" t="n">
        <f aca="false">C66*(1+g_svc_26)</f>
        <v>135.6</v>
      </c>
      <c r="E66" s="16" t="n">
        <f aca="false">D66*(1+g_svc_A)</f>
        <v>151.872</v>
      </c>
      <c r="F66" s="16" t="n">
        <f aca="false">E66*(1+g_svc_A)</f>
        <v>170.09664</v>
      </c>
      <c r="G66" s="16" t="n">
        <f aca="false">F66*(1+g_svc_A)</f>
        <v>190.5082368</v>
      </c>
    </row>
    <row r="67" customFormat="false" ht="17.15" hidden="false" customHeight="false" outlineLevel="0" collapsed="false">
      <c r="A67" s="5" t="s">
        <v>702</v>
      </c>
      <c r="B67" s="0" t="s">
        <v>354</v>
      </c>
      <c r="C67" s="16" t="n">
        <f aca="false">C63+C64+C65</f>
        <v>1019.4</v>
      </c>
      <c r="D67" s="16" t="n">
        <f aca="false">D63+D64+D65</f>
        <v>1441.34669578421</v>
      </c>
      <c r="E67" s="16" t="n">
        <f aca="false">E63+E64+E65</f>
        <v>1889.33912866331</v>
      </c>
      <c r="F67" s="16" t="n">
        <f aca="false">F63+F64+F65</f>
        <v>2169.13178560896</v>
      </c>
      <c r="G67" s="16" t="n">
        <f aca="false">G63+G64+G65</f>
        <v>2392.84337991686</v>
      </c>
      <c r="H67" s="5" t="s">
        <v>703</v>
      </c>
    </row>
    <row r="68" customFormat="false" ht="15" hidden="false" customHeight="false" outlineLevel="0" collapsed="false">
      <c r="A68" s="5" t="s">
        <v>566</v>
      </c>
      <c r="B68" s="0" t="s">
        <v>354</v>
      </c>
      <c r="C68" s="16" t="n">
        <f aca="false">C67+C66</f>
        <v>1128.6</v>
      </c>
      <c r="D68" s="16" t="n">
        <f aca="false">D67+D66</f>
        <v>1576.94669578421</v>
      </c>
      <c r="E68" s="16" t="n">
        <f aca="false">E67+E66</f>
        <v>2041.21112866331</v>
      </c>
      <c r="F68" s="16" t="n">
        <f aca="false">F67+F66</f>
        <v>2339.22842560896</v>
      </c>
      <c r="G68" s="16" t="n">
        <f aca="false">G67+G66</f>
        <v>2583.35161671686</v>
      </c>
    </row>
    <row r="69" customFormat="false" ht="17.15" hidden="false" customHeight="false" outlineLevel="0" collapsed="false">
      <c r="A69" s="5" t="s">
        <v>704</v>
      </c>
      <c r="B69" s="0" t="s">
        <v>354</v>
      </c>
      <c r="C69" s="17" t="n">
        <f aca="false">C67+C66-a25_rev</f>
        <v>0</v>
      </c>
    </row>
    <row r="70" customFormat="false" ht="17.15" hidden="false" customHeight="false" outlineLevel="0" collapsed="false">
      <c r="A70" s="0" t="s">
        <v>705</v>
      </c>
      <c r="B70" s="0" t="s">
        <v>45</v>
      </c>
      <c r="C70" s="10" t="n">
        <f aca="false">C63/C68</f>
        <v>0.679957469431154</v>
      </c>
      <c r="D70" s="10" t="n">
        <f aca="false">D63/D68</f>
        <v>0.702292882827779</v>
      </c>
      <c r="E70" s="10" t="n">
        <f aca="false">E63/E68</f>
        <v>0.712091526931155</v>
      </c>
      <c r="F70" s="10" t="n">
        <f aca="false">F63/F68</f>
        <v>0.695607146163295</v>
      </c>
      <c r="G70" s="10" t="n">
        <f aca="false">G63/G68</f>
        <v>0.683041320578236</v>
      </c>
    </row>
    <row r="71" customFormat="false" ht="17.15" hidden="false" customHeight="false" outlineLevel="0" collapsed="false">
      <c r="A71" s="5" t="s">
        <v>570</v>
      </c>
      <c r="B71" s="0" t="s">
        <v>45</v>
      </c>
      <c r="C71" s="10" t="n">
        <f aca="false">a25_gp/a25_rev</f>
        <v>0.643</v>
      </c>
      <c r="D71" s="10" t="n">
        <f aca="false">gm_a+gm_b*D70+0</f>
        <v>0.653790422860252</v>
      </c>
      <c r="E71" s="10" t="n">
        <f aca="false">gm_a+gm_b*E70+0</f>
        <v>0.658524228832633</v>
      </c>
      <c r="F71" s="10" t="n">
        <f aca="false">gm_a+gm_b*F70+0</f>
        <v>0.650560488206212</v>
      </c>
      <c r="G71" s="10" t="n">
        <f aca="false">gm_a+gm_b*G70+0</f>
        <v>0.644489833983557</v>
      </c>
      <c r="H71" s="5" t="s">
        <v>706</v>
      </c>
    </row>
    <row r="72" customFormat="false" ht="15" hidden="false" customHeight="false" outlineLevel="0" collapsed="false">
      <c r="A72" s="5" t="s">
        <v>574</v>
      </c>
      <c r="B72" s="0" t="s">
        <v>354</v>
      </c>
      <c r="C72" s="16" t="n">
        <f aca="false">C68*C71</f>
        <v>725.6898</v>
      </c>
      <c r="D72" s="16" t="n">
        <f aca="false">D68*D71</f>
        <v>1030.99264706484</v>
      </c>
      <c r="E72" s="16" t="n">
        <f aca="false">E68*E71</f>
        <v>1344.1869843876</v>
      </c>
      <c r="F72" s="16" t="n">
        <f aca="false">F68*F71</f>
        <v>1521.80958659001</v>
      </c>
      <c r="G72" s="16" t="n">
        <f aca="false">G68*G71</f>
        <v>1664.94385457901</v>
      </c>
    </row>
    <row r="73" customFormat="false" ht="17.15" hidden="false" customHeight="false" outlineLevel="0" collapsed="false">
      <c r="A73" s="5" t="s">
        <v>707</v>
      </c>
      <c r="B73" s="0" t="s">
        <v>354</v>
      </c>
      <c r="C73" s="16" t="n">
        <f aca="false">opex25</f>
        <v>226.5898</v>
      </c>
      <c r="D73" s="16" t="n">
        <f aca="false">opex_fix+opex_var*D68</f>
        <v>278.07246921755</v>
      </c>
      <c r="E73" s="16" t="n">
        <f aca="false">opex_fix+opex_var*E68</f>
        <v>331.382937326569</v>
      </c>
      <c r="F73" s="16" t="n">
        <f aca="false">opex_fix+opex_var*F68</f>
        <v>365.603610890194</v>
      </c>
      <c r="G73" s="16" t="n">
        <f aca="false">opex_fix+opex_var*G68</f>
        <v>393.635742306169</v>
      </c>
      <c r="H73" s="5" t="s">
        <v>708</v>
      </c>
    </row>
    <row r="74" customFormat="false" ht="15" hidden="false" customHeight="false" outlineLevel="0" collapsed="false">
      <c r="A74" s="5" t="s">
        <v>577</v>
      </c>
      <c r="B74" s="0" t="s">
        <v>354</v>
      </c>
      <c r="C74" s="16" t="n">
        <f aca="false">C72-C73</f>
        <v>499.1</v>
      </c>
      <c r="D74" s="16" t="n">
        <f aca="false">D72-D73</f>
        <v>752.920177847287</v>
      </c>
      <c r="E74" s="16" t="n">
        <f aca="false">E72-E73</f>
        <v>1012.80404706103</v>
      </c>
      <c r="F74" s="16" t="n">
        <f aca="false">F72-F73</f>
        <v>1156.20597569982</v>
      </c>
      <c r="G74" s="16" t="n">
        <f aca="false">G72-G73</f>
        <v>1271.30811227284</v>
      </c>
    </row>
    <row r="75" customFormat="false" ht="15" hidden="false" customHeight="false" outlineLevel="0" collapsed="false">
      <c r="A75" s="5" t="s">
        <v>580</v>
      </c>
      <c r="B75" s="0" t="s">
        <v>45</v>
      </c>
      <c r="C75" s="10" t="n">
        <f aca="false">C74/C68</f>
        <v>0.442229310650363</v>
      </c>
      <c r="D75" s="10" t="n">
        <f aca="false">D74/D68</f>
        <v>0.477454424972089</v>
      </c>
      <c r="E75" s="10" t="n">
        <f aca="false">E74/E68</f>
        <v>0.49617799591572</v>
      </c>
      <c r="F75" s="10" t="n">
        <f aca="false">F74/F68</f>
        <v>0.494268094146825</v>
      </c>
      <c r="G75" s="10" t="n">
        <f aca="false">G74/G68</f>
        <v>0.492115786347551</v>
      </c>
    </row>
    <row r="76" customFormat="false" ht="15" hidden="false" customHeight="false" outlineLevel="0" collapsed="false">
      <c r="A76" s="5" t="s">
        <v>600</v>
      </c>
      <c r="B76" s="0" t="s">
        <v>354</v>
      </c>
      <c r="C76" s="16" t="n">
        <f aca="false">a25_ni</f>
        <v>375.4</v>
      </c>
      <c r="D76" s="16" t="n">
        <f aca="false">D74*nioi</f>
        <v>566.311830823225</v>
      </c>
      <c r="E76" s="16" t="n">
        <f aca="false">E74*nioi</f>
        <v>761.784490616528</v>
      </c>
      <c r="F76" s="16" t="n">
        <f aca="false">F74*nioi</f>
        <v>869.6448072084</v>
      </c>
      <c r="G76" s="16" t="n">
        <f aca="false">G74*nioi</f>
        <v>956.21932548031</v>
      </c>
    </row>
    <row r="77" customFormat="false" ht="15" hidden="false" customHeight="false" outlineLevel="0" collapsed="false">
      <c r="A77" s="0" t="s">
        <v>670</v>
      </c>
      <c r="B77" s="0" t="s">
        <v>403</v>
      </c>
      <c r="C77" s="16" t="n">
        <f aca="false">a25_eps</f>
        <v>515.15</v>
      </c>
      <c r="D77" s="16" t="n">
        <f aca="false">D76*1000/shares</f>
        <v>782.231087048007</v>
      </c>
      <c r="E77" s="16" t="n">
        <f aca="false">E76*1000/shares</f>
        <v>1052.23214094796</v>
      </c>
      <c r="F77" s="16" t="n">
        <f aca="false">F76*1000/shares</f>
        <v>1201.21665461131</v>
      </c>
      <c r="G77" s="16" t="n">
        <f aca="false">G76*1000/shares</f>
        <v>1320.79967557708</v>
      </c>
    </row>
    <row r="78" customFormat="false" ht="17.15" hidden="false" customHeight="false" outlineLevel="0" collapsed="false">
      <c r="A78" s="5" t="s">
        <v>709</v>
      </c>
      <c r="B78" s="0" t="s">
        <v>155</v>
      </c>
      <c r="C78" s="17" t="n">
        <f aca="false">C68/fx</f>
        <v>7.524</v>
      </c>
      <c r="D78" s="17" t="n">
        <f aca="false">D68/fx</f>
        <v>10.5129779718947</v>
      </c>
      <c r="E78" s="17" t="n">
        <f aca="false">E68/fx</f>
        <v>13.6080741910887</v>
      </c>
      <c r="F78" s="17" t="n">
        <f aca="false">F68/fx</f>
        <v>15.5948561707264</v>
      </c>
      <c r="G78" s="17" t="n">
        <f aca="false">G68/fx</f>
        <v>17.2223441114458</v>
      </c>
      <c r="H78" s="8" t="s">
        <v>710</v>
      </c>
    </row>
    <row r="82" customFormat="false" ht="17.15" hidden="false" customHeight="false" outlineLevel="0" collapsed="false">
      <c r="A82" s="4" t="s">
        <v>1072</v>
      </c>
    </row>
    <row r="83" customFormat="false" ht="17.15" hidden="false" customHeight="false" outlineLevel="0" collapsed="false">
      <c r="A83" s="6" t="s">
        <v>23</v>
      </c>
      <c r="B83" s="6" t="s">
        <v>24</v>
      </c>
      <c r="C83" s="14" t="s">
        <v>675</v>
      </c>
      <c r="D83" s="14" t="s">
        <v>676</v>
      </c>
      <c r="E83" s="14" t="s">
        <v>677</v>
      </c>
      <c r="F83" s="14" t="s">
        <v>678</v>
      </c>
      <c r="G83" s="14" t="s">
        <v>679</v>
      </c>
      <c r="H83" s="6" t="s">
        <v>478</v>
      </c>
    </row>
    <row r="84" customFormat="false" ht="17.15" hidden="false" customHeight="false" outlineLevel="0" collapsed="false">
      <c r="A84" s="1" t="s">
        <v>680</v>
      </c>
    </row>
    <row r="85" customFormat="false" ht="17.15" hidden="false" customHeight="false" outlineLevel="0" collapsed="false">
      <c r="A85" s="5" t="s">
        <v>681</v>
      </c>
      <c r="B85" s="5" t="s">
        <v>34</v>
      </c>
      <c r="C85" s="19" t="n">
        <f aca="false">u_bw_26*tt_bw+u_rb_26*tt_rb+u_ru_26*tt_ru+u_hp_26*tt_hp+u_amd_26*tt_amd+u_tpu_26*tt_tpu+u_trn_26*tt_trn+u_oth_26*tt_oth</f>
        <v>14.885</v>
      </c>
      <c r="D85" s="19" t="n">
        <f aca="false">u_bw_27*tt_bw+u_rb_27*tt_rb+u_ru_27*tt_ru+u_hp_27*tt_hp+u_amd_27*tt_amd+u_tpu_27*tt_tpu+u_trn_27*tt_trn+u_oth_27*tt_oth</f>
        <v>24.31</v>
      </c>
      <c r="E85" s="19" t="n">
        <f aca="false">u_bw_28*um28_A*tt_bw+u_rb_28*um28_A*tt_rb+u_ru_28*um28_A*tt_ru+u_hp_28*um28_A*tt_hp+u_amd_28*um28_A*tt_amd+u_tpu_28*um28_A*tt_tpu+u_trn_28*um28_A*tt_trn+u_oth_28*um28_A*tt_oth</f>
        <v>28.1</v>
      </c>
      <c r="F8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9" t="n">
        <f aca="false">F85*(1+cy30g)</f>
        <v>31.99</v>
      </c>
      <c r="H85" s="8" t="s">
        <v>682</v>
      </c>
    </row>
    <row r="86" customFormat="false" ht="17.15" hidden="false" customHeight="false" outlineLevel="0" collapsed="false">
      <c r="A86" s="5" t="s">
        <v>683</v>
      </c>
      <c r="B86" s="0" t="s">
        <v>684</v>
      </c>
      <c r="C86" s="21" t="n">
        <f aca="false">(mk_soc26-nonai26)/C85</f>
        <v>0.450117568021498</v>
      </c>
      <c r="H86" s="5" t="s">
        <v>685</v>
      </c>
    </row>
    <row r="87" customFormat="false" ht="17.15" hidden="false" customHeight="false" outlineLevel="0" collapsed="false">
      <c r="A87" s="0" t="s">
        <v>686</v>
      </c>
      <c r="B87" s="0" t="s">
        <v>155</v>
      </c>
      <c r="C87" s="19" t="n">
        <f aca="false">$C$86*C85*(1-0)^0</f>
        <v>6.7</v>
      </c>
      <c r="D87" s="19" t="n">
        <f aca="false">$C$86*D85*(1-0)^1</f>
        <v>10.9423580786026</v>
      </c>
      <c r="E87" s="19" t="n">
        <f aca="false">$C$86*E85*(1-0)^2</f>
        <v>12.6483036614041</v>
      </c>
      <c r="F87" s="19" t="n">
        <f aca="false">$C$86*F85*(1-0)^3</f>
        <v>14.3992610010077</v>
      </c>
      <c r="G87" s="19" t="n">
        <f aca="false">$C$86*G85*(1-0)^4</f>
        <v>14.3992610010077</v>
      </c>
    </row>
    <row r="88" customFormat="false" ht="17.15" hidden="false" customHeight="false" outlineLevel="0" collapsed="false">
      <c r="A88" s="5" t="s">
        <v>687</v>
      </c>
      <c r="B88" s="0" t="s">
        <v>155</v>
      </c>
      <c r="C88" s="19" t="n">
        <f aca="false">nonai26*(1+g_nonai)^0</f>
        <v>4.3</v>
      </c>
      <c r="D88" s="19" t="n">
        <f aca="false">nonai26*(1+g_nonai)^1</f>
        <v>4.472</v>
      </c>
      <c r="E88" s="19" t="n">
        <f aca="false">nonai26*(1+g_nonai)^2</f>
        <v>4.65088</v>
      </c>
      <c r="F88" s="19" t="n">
        <f aca="false">nonai26*(1+g_nonai)^3</f>
        <v>4.8369152</v>
      </c>
      <c r="G88" s="19" t="n">
        <f aca="false">nonai26*(1+g_nonai)^4</f>
        <v>5.030391808</v>
      </c>
    </row>
    <row r="89" customFormat="false" ht="17.15" hidden="false" customHeight="false" outlineLevel="0" collapsed="false">
      <c r="A89" s="0" t="s">
        <v>688</v>
      </c>
      <c r="B89" s="0" t="s">
        <v>155</v>
      </c>
      <c r="C89" s="19" t="n">
        <f aca="false">C87+C88</f>
        <v>11</v>
      </c>
      <c r="D89" s="19" t="n">
        <f aca="false">D87+D88</f>
        <v>15.4143580786026</v>
      </c>
      <c r="E89" s="19" t="n">
        <f aca="false">E87+E88</f>
        <v>17.2991836614041</v>
      </c>
      <c r="F89" s="19" t="n">
        <f aca="false">F87+F88</f>
        <v>19.2361762010077</v>
      </c>
      <c r="G89" s="19" t="n">
        <f aca="false">G87+G88</f>
        <v>19.4296528090077</v>
      </c>
      <c r="H89" s="8" t="s">
        <v>689</v>
      </c>
    </row>
    <row r="90" customFormat="false" ht="17.15" hidden="false" customHeight="false" outlineLevel="0" collapsed="false">
      <c r="A90" s="5" t="s">
        <v>690</v>
      </c>
      <c r="B90" s="0" t="s">
        <v>155</v>
      </c>
      <c r="C90" s="19" t="n">
        <f aca="false">mk_mem26*(w_hbm*hsA_26/hsA_26+(1-w_hbm)*drA_26/drA_26)</f>
        <v>2.75</v>
      </c>
      <c r="D90" s="19" t="n">
        <f aca="false">mk_mem26*(w_hbm*hsA_27/hsA_26+(1-w_hbm)*drA_27/drA_26)</f>
        <v>3.88007408374579</v>
      </c>
      <c r="E90" s="19" t="n">
        <f aca="false">mk_mem26*(w_hbm*hsA_28/hsA_26+(1-w_hbm)*drA_28/drA_26)</f>
        <v>5.04607694610671</v>
      </c>
      <c r="F90" s="19" t="n">
        <f aca="false">mk_mem26*(w_hbm*hsA_29/hsA_26+(1-w_hbm)*drA_29/drA_26)</f>
        <v>6.20223782078096</v>
      </c>
      <c r="G90" s="19" t="n">
        <f aca="false">F90*(1+cy30g)</f>
        <v>6.20223782078096</v>
      </c>
      <c r="H90" s="8" t="s">
        <v>691</v>
      </c>
    </row>
    <row r="91" customFormat="false" ht="17.15" hidden="false" customHeight="false" outlineLevel="0" collapsed="false">
      <c r="A91" s="1" t="s">
        <v>692</v>
      </c>
    </row>
    <row r="92" customFormat="false" ht="17.15" hidden="false" customHeight="false" outlineLevel="0" collapsed="false">
      <c r="A92" s="0" t="s">
        <v>693</v>
      </c>
      <c r="B92" s="0" t="s">
        <v>155</v>
      </c>
      <c r="C92" s="19" t="n">
        <f aca="false">fmk_soc25</f>
        <v>7.925</v>
      </c>
      <c r="D92" s="19" t="n">
        <f aca="false">0.75*C89+0.25*D89</f>
        <v>12.1035895196507</v>
      </c>
      <c r="E92" s="19" t="n">
        <f aca="false">0.75*D89+0.25*E89</f>
        <v>15.885564474303</v>
      </c>
      <c r="F92" s="19" t="n">
        <f aca="false">0.75*E89+0.25*F89</f>
        <v>17.783431796305</v>
      </c>
      <c r="G92" s="19" t="n">
        <f aca="false">0.75*F89+0.25*G89</f>
        <v>19.2845453530077</v>
      </c>
    </row>
    <row r="93" customFormat="false" ht="17.15" hidden="false" customHeight="false" outlineLevel="0" collapsed="false">
      <c r="A93" s="5" t="s">
        <v>694</v>
      </c>
      <c r="B93" s="0" t="s">
        <v>155</v>
      </c>
      <c r="C93" s="19" t="n">
        <f aca="false">fmk_mem25</f>
        <v>2.2625</v>
      </c>
      <c r="D93" s="19" t="n">
        <f aca="false">0.75*C90+0.25*D90</f>
        <v>3.03251852093645</v>
      </c>
      <c r="E93" s="19" t="n">
        <f aca="false">0.75*D90+0.25*E90</f>
        <v>4.17157479933602</v>
      </c>
      <c r="F93" s="19" t="n">
        <f aca="false">0.75*E90+0.25*F90</f>
        <v>5.33511716477527</v>
      </c>
      <c r="G93" s="19" t="n">
        <f aca="false">0.75*F90+0.25*G90</f>
        <v>6.20223782078096</v>
      </c>
    </row>
    <row r="94" customFormat="false" ht="17.15" hidden="false" customHeight="false" outlineLevel="0" collapsed="false">
      <c r="A94" s="0" t="s">
        <v>695</v>
      </c>
      <c r="B94" s="0" t="s">
        <v>45</v>
      </c>
      <c r="C94" s="10" t="n">
        <f aca="false">a25_soc/(C92*fx)</f>
        <v>0.645552050473186</v>
      </c>
      <c r="D94" s="10" t="n">
        <f aca="false">sh_soc_hi</f>
        <v>0.71</v>
      </c>
      <c r="E94" s="10" t="n">
        <f aca="false">sh_soc_hi</f>
        <v>0.71</v>
      </c>
      <c r="F94" s="10" t="n">
        <f aca="false">sh_soc_hi</f>
        <v>0.71</v>
      </c>
      <c r="G94" s="10" t="n">
        <f aca="false">sh_soc_hi</f>
        <v>0.71</v>
      </c>
      <c r="H94" s="8" t="s">
        <v>696</v>
      </c>
    </row>
    <row r="95" customFormat="false" ht="17.15" hidden="false" customHeight="false" outlineLevel="0" collapsed="false">
      <c r="A95" s="0" t="s">
        <v>697</v>
      </c>
      <c r="B95" s="0" t="s">
        <v>354</v>
      </c>
      <c r="C95" s="16" t="n">
        <f aca="false">a25_soc</f>
        <v>767.4</v>
      </c>
      <c r="D95" s="16" t="n">
        <f aca="false">D92*D94*fx</f>
        <v>1289.03228384279</v>
      </c>
      <c r="E95" s="16" t="n">
        <f aca="false">E92*E94*fx</f>
        <v>1691.81261651327</v>
      </c>
      <c r="F95" s="16" t="n">
        <f aca="false">F92*F94*fx</f>
        <v>1893.93548630648</v>
      </c>
      <c r="G95" s="16" t="n">
        <f aca="false">G92*G94*fx</f>
        <v>2053.80408009532</v>
      </c>
      <c r="H95" s="5" t="s">
        <v>698</v>
      </c>
    </row>
    <row r="96" customFormat="false" ht="15" hidden="false" customHeight="false" outlineLevel="0" collapsed="false">
      <c r="A96" s="5" t="s">
        <v>699</v>
      </c>
      <c r="B96" s="0" t="s">
        <v>354</v>
      </c>
      <c r="C96" s="16" t="n">
        <f aca="false">a25_mem</f>
        <v>171.5</v>
      </c>
      <c r="D96" s="16" t="n">
        <f aca="false">D93*sh_mem*fx</f>
        <v>229.868254736177</v>
      </c>
      <c r="E96" s="16" t="n">
        <f aca="false">E93*sh_mem*fx</f>
        <v>316.209979264587</v>
      </c>
      <c r="F96" s="16" t="n">
        <f aca="false">F93*sh_mem*fx</f>
        <v>404.407776247054</v>
      </c>
      <c r="G96" s="16" t="n">
        <f aca="false">G93*sh_mem*fx</f>
        <v>470.136480116656</v>
      </c>
    </row>
    <row r="97" customFormat="false" ht="15" hidden="false" customHeight="false" outlineLevel="0" collapsed="false">
      <c r="A97" s="5" t="s">
        <v>700</v>
      </c>
      <c r="B97" s="0" t="s">
        <v>354</v>
      </c>
      <c r="C97" s="16" t="n">
        <f aca="false">a25_oth</f>
        <v>80.5</v>
      </c>
      <c r="D97" s="16" t="n">
        <f aca="false">C97*(1+g_oth_26)</f>
        <v>104</v>
      </c>
      <c r="E97" s="16" t="n">
        <f aca="false">D97*(1+g_oth_A)</f>
        <v>119.6</v>
      </c>
      <c r="F97" s="16" t="n">
        <f aca="false">E97*(1+g_oth_A)</f>
        <v>137.54</v>
      </c>
      <c r="G97" s="16" t="n">
        <f aca="false">F97*(1+g_oth_A)</f>
        <v>158.171</v>
      </c>
    </row>
    <row r="98" customFormat="false" ht="15" hidden="false" customHeight="false" outlineLevel="0" collapsed="false">
      <c r="A98" s="5" t="s">
        <v>701</v>
      </c>
      <c r="B98" s="0" t="s">
        <v>354</v>
      </c>
      <c r="C98" s="16" t="n">
        <f aca="false">a25_svc</f>
        <v>109.2</v>
      </c>
      <c r="D98" s="16" t="n">
        <f aca="false">C98*(1+g_svc_26)</f>
        <v>135.6</v>
      </c>
      <c r="E98" s="16" t="n">
        <f aca="false">D98*(1+g_svc_A)</f>
        <v>151.872</v>
      </c>
      <c r="F98" s="16" t="n">
        <f aca="false">E98*(1+g_svc_A)</f>
        <v>170.09664</v>
      </c>
      <c r="G98" s="16" t="n">
        <f aca="false">F98*(1+g_svc_A)</f>
        <v>190.5082368</v>
      </c>
    </row>
    <row r="99" customFormat="false" ht="17.15" hidden="false" customHeight="false" outlineLevel="0" collapsed="false">
      <c r="A99" s="5" t="s">
        <v>702</v>
      </c>
      <c r="B99" s="0" t="s">
        <v>354</v>
      </c>
      <c r="C99" s="16" t="n">
        <f aca="false">C95+C96+C97</f>
        <v>1019.4</v>
      </c>
      <c r="D99" s="16" t="n">
        <f aca="false">D95+D96+D97</f>
        <v>1622.90053857897</v>
      </c>
      <c r="E99" s="16" t="n">
        <f aca="false">E95+E96+E97</f>
        <v>2127.62259577786</v>
      </c>
      <c r="F99" s="16" t="n">
        <f aca="false">F95+F96+F97</f>
        <v>2435.88326255354</v>
      </c>
      <c r="G99" s="16" t="n">
        <f aca="false">G95+G96+G97</f>
        <v>2682.11156021198</v>
      </c>
      <c r="H99" s="5" t="s">
        <v>703</v>
      </c>
    </row>
    <row r="100" customFormat="false" ht="15" hidden="false" customHeight="false" outlineLevel="0" collapsed="false">
      <c r="A100" s="5" t="s">
        <v>566</v>
      </c>
      <c r="B100" s="0" t="s">
        <v>354</v>
      </c>
      <c r="C100" s="16" t="n">
        <f aca="false">C99+C98</f>
        <v>1128.6</v>
      </c>
      <c r="D100" s="16" t="n">
        <f aca="false">D99+D98</f>
        <v>1758.50053857897</v>
      </c>
      <c r="E100" s="16" t="n">
        <f aca="false">E99+E98</f>
        <v>2279.49459577786</v>
      </c>
      <c r="F100" s="16" t="n">
        <f aca="false">F99+F98</f>
        <v>2605.97990255354</v>
      </c>
      <c r="G100" s="16" t="n">
        <f aca="false">G99+G98</f>
        <v>2872.61979701198</v>
      </c>
    </row>
    <row r="101" customFormat="false" ht="17.15" hidden="false" customHeight="false" outlineLevel="0" collapsed="false">
      <c r="A101" s="5" t="s">
        <v>704</v>
      </c>
      <c r="B101" s="0" t="s">
        <v>354</v>
      </c>
      <c r="C101" s="17" t="n">
        <f aca="false">C99+C98-a25_rev</f>
        <v>0</v>
      </c>
    </row>
    <row r="102" customFormat="false" ht="17.15" hidden="false" customHeight="false" outlineLevel="0" collapsed="false">
      <c r="A102" s="0" t="s">
        <v>705</v>
      </c>
      <c r="B102" s="0" t="s">
        <v>45</v>
      </c>
      <c r="C102" s="10" t="n">
        <f aca="false">C95/C100</f>
        <v>0.679957469431154</v>
      </c>
      <c r="D102" s="10" t="n">
        <f aca="false">D95/D100</f>
        <v>0.733029223229269</v>
      </c>
      <c r="E102" s="10" t="n">
        <f aca="false">E95/E100</f>
        <v>0.742187597043174</v>
      </c>
      <c r="F102" s="10" t="n">
        <f aca="false">F95/F100</f>
        <v>0.726765192797788</v>
      </c>
      <c r="G102" s="10" t="n">
        <f aca="false">G95/G100</f>
        <v>0.714958548371641</v>
      </c>
    </row>
    <row r="103" customFormat="false" ht="17.15" hidden="false" customHeight="false" outlineLevel="0" collapsed="false">
      <c r="A103" s="5" t="s">
        <v>570</v>
      </c>
      <c r="B103" s="0" t="s">
        <v>45</v>
      </c>
      <c r="C103" s="10" t="n">
        <f aca="false">a25_gp/a25_rev</f>
        <v>0.643</v>
      </c>
      <c r="D103" s="10" t="n">
        <f aca="false">gm_a+gm_b*D102+0</f>
        <v>0.668639403007574</v>
      </c>
      <c r="E103" s="10" t="n">
        <f aca="false">gm_a+gm_b*E102+0</f>
        <v>0.673063889109955</v>
      </c>
      <c r="F103" s="10" t="n">
        <f aca="false">gm_a+gm_b*F102+0</f>
        <v>0.665613198120972</v>
      </c>
      <c r="G103" s="10" t="n">
        <f aca="false">gm_a+gm_b*G102+0</f>
        <v>0.659909310592388</v>
      </c>
      <c r="H103" s="5" t="s">
        <v>706</v>
      </c>
    </row>
    <row r="104" customFormat="false" ht="15" hidden="false" customHeight="false" outlineLevel="0" collapsed="false">
      <c r="A104" s="5" t="s">
        <v>574</v>
      </c>
      <c r="B104" s="0" t="s">
        <v>354</v>
      </c>
      <c r="C104" s="16" t="n">
        <f aca="false">C100*C103</f>
        <v>725.6898</v>
      </c>
      <c r="D104" s="16" t="n">
        <f aca="false">D100*D103</f>
        <v>1175.80275030394</v>
      </c>
      <c r="E104" s="16" t="n">
        <f aca="false">E100*E103</f>
        <v>1534.24549783937</v>
      </c>
      <c r="F104" s="16" t="n">
        <f aca="false">F100*F103</f>
        <v>1734.57461717764</v>
      </c>
      <c r="G104" s="16" t="n">
        <f aca="false">G100*G103</f>
        <v>1895.66854984022</v>
      </c>
    </row>
    <row r="105" customFormat="false" ht="17.15" hidden="false" customHeight="false" outlineLevel="0" collapsed="false">
      <c r="A105" s="5" t="s">
        <v>707</v>
      </c>
      <c r="B105" s="0" t="s">
        <v>354</v>
      </c>
      <c r="C105" s="16" t="n">
        <f aca="false">opex25</f>
        <v>226.5898</v>
      </c>
      <c r="D105" s="16" t="n">
        <f aca="false">opex_fix+opex_var*D100</f>
        <v>298.919899390821</v>
      </c>
      <c r="E105" s="16" t="n">
        <f aca="false">opex_fix+opex_var*E100</f>
        <v>358.744506025123</v>
      </c>
      <c r="F105" s="16" t="n">
        <f aca="false">opex_fix+opex_var*F100</f>
        <v>396.234098813853</v>
      </c>
      <c r="G105" s="16" t="n">
        <f aca="false">opex_fix+opex_var*G100</f>
        <v>426.85177396499</v>
      </c>
      <c r="H105" s="5" t="s">
        <v>708</v>
      </c>
    </row>
    <row r="106" customFormat="false" ht="15" hidden="false" customHeight="false" outlineLevel="0" collapsed="false">
      <c r="A106" s="5" t="s">
        <v>577</v>
      </c>
      <c r="B106" s="0" t="s">
        <v>354</v>
      </c>
      <c r="C106" s="16" t="n">
        <f aca="false">C104-C105</f>
        <v>499.1</v>
      </c>
      <c r="D106" s="16" t="n">
        <f aca="false">D104-D105</f>
        <v>876.882850913121</v>
      </c>
      <c r="E106" s="16" t="n">
        <f aca="false">E104-E105</f>
        <v>1175.50099181425</v>
      </c>
      <c r="F106" s="16" t="n">
        <f aca="false">F104-F105</f>
        <v>1338.34051836379</v>
      </c>
      <c r="G106" s="16" t="n">
        <f aca="false">G104-G105</f>
        <v>1468.81677587523</v>
      </c>
    </row>
    <row r="107" customFormat="false" ht="15" hidden="false" customHeight="false" outlineLevel="0" collapsed="false">
      <c r="A107" s="5" t="s">
        <v>580</v>
      </c>
      <c r="B107" s="0" t="s">
        <v>45</v>
      </c>
      <c r="C107" s="10" t="n">
        <f aca="false">C106/C100</f>
        <v>0.442229310650363</v>
      </c>
      <c r="D107" s="10" t="n">
        <f aca="false">D106/D100</f>
        <v>0.498653728944389</v>
      </c>
      <c r="E107" s="10" t="n">
        <f aca="false">E106/E100</f>
        <v>0.515684921557411</v>
      </c>
      <c r="F107" s="10" t="n">
        <f aca="false">F106/F100</f>
        <v>0.513565172568053</v>
      </c>
      <c r="G107" s="10" t="n">
        <f aca="false">G106/G100</f>
        <v>0.511316108523326</v>
      </c>
    </row>
    <row r="108" customFormat="false" ht="15" hidden="false" customHeight="false" outlineLevel="0" collapsed="false">
      <c r="A108" s="5" t="s">
        <v>600</v>
      </c>
      <c r="B108" s="0" t="s">
        <v>354</v>
      </c>
      <c r="C108" s="16" t="n">
        <f aca="false">a25_ni</f>
        <v>375.4</v>
      </c>
      <c r="D108" s="16" t="n">
        <f aca="false">D106*nioi</f>
        <v>659.550835970318</v>
      </c>
      <c r="E108" s="16" t="n">
        <f aca="false">E106*nioi</f>
        <v>884.157628385229</v>
      </c>
      <c r="F108" s="16" t="n">
        <f aca="false">F106*nioi</f>
        <v>1006.63800960482</v>
      </c>
      <c r="G108" s="16" t="n">
        <f aca="false">G106*nioi</f>
        <v>1104.77623254571</v>
      </c>
    </row>
    <row r="109" customFormat="false" ht="15" hidden="false" customHeight="false" outlineLevel="0" collapsed="false">
      <c r="A109" s="0" t="s">
        <v>670</v>
      </c>
      <c r="B109" s="0" t="s">
        <v>403</v>
      </c>
      <c r="C109" s="16" t="n">
        <f aca="false">a25_eps</f>
        <v>515.15</v>
      </c>
      <c r="D109" s="16" t="n">
        <f aca="false">D108*1000/shares</f>
        <v>911.019581975728</v>
      </c>
      <c r="E109" s="16" t="n">
        <f aca="false">E108*1000/shares</f>
        <v>1221.26281869865</v>
      </c>
      <c r="F109" s="16" t="n">
        <f aca="false">F108*1000/shares</f>
        <v>1390.44162890324</v>
      </c>
      <c r="G109" s="16" t="n">
        <f aca="false">G108*1000/shares</f>
        <v>1525.9972797545</v>
      </c>
    </row>
    <row r="110" customFormat="false" ht="17.15" hidden="false" customHeight="false" outlineLevel="0" collapsed="false">
      <c r="A110" s="5" t="s">
        <v>709</v>
      </c>
      <c r="B110" s="0" t="s">
        <v>155</v>
      </c>
      <c r="C110" s="17" t="n">
        <f aca="false">C100/fx</f>
        <v>7.524</v>
      </c>
      <c r="D110" s="17" t="n">
        <f aca="false">D100/fx</f>
        <v>11.7233369238598</v>
      </c>
      <c r="E110" s="17" t="n">
        <f aca="false">E100/fx</f>
        <v>15.196630638519</v>
      </c>
      <c r="F110" s="17" t="n">
        <f aca="false">F100/fx</f>
        <v>17.3731993503569</v>
      </c>
      <c r="G110" s="17" t="n">
        <f aca="false">G100/fx</f>
        <v>19.1507986467465</v>
      </c>
      <c r="H110" s="8" t="s">
        <v>710</v>
      </c>
    </row>
    <row r="114" customFormat="false" ht="17.15" hidden="false" customHeight="false" outlineLevel="0" collapsed="false">
      <c r="A114" s="4" t="s">
        <v>1073</v>
      </c>
    </row>
    <row r="115" customFormat="false" ht="17.15" hidden="false" customHeight="false" outlineLevel="0" collapsed="false">
      <c r="A115" s="6" t="s">
        <v>23</v>
      </c>
      <c r="B115" s="6" t="s">
        <v>24</v>
      </c>
      <c r="C115" s="14" t="s">
        <v>675</v>
      </c>
      <c r="D115" s="14" t="s">
        <v>676</v>
      </c>
      <c r="E115" s="14" t="s">
        <v>677</v>
      </c>
      <c r="F115" s="14" t="s">
        <v>678</v>
      </c>
      <c r="G115" s="14" t="s">
        <v>679</v>
      </c>
      <c r="H115" s="6" t="s">
        <v>478</v>
      </c>
    </row>
    <row r="116" customFormat="false" ht="17.15" hidden="false" customHeight="false" outlineLevel="0" collapsed="false">
      <c r="A116" s="1" t="s">
        <v>680</v>
      </c>
    </row>
    <row r="117" customFormat="false" ht="17.15" hidden="false" customHeight="false" outlineLevel="0" collapsed="false">
      <c r="A117" s="5" t="s">
        <v>681</v>
      </c>
      <c r="B117" s="5" t="s">
        <v>34</v>
      </c>
      <c r="C117" s="19" t="n">
        <f aca="false">u_bw_26*tt_bw+u_rb_26*tt_rb+u_ru_26*tt_ru+u_hp_26*tt_hp+u_amd_26*tt_amd+u_tpu_26*tt_tpu+u_trn_26*tt_trn+u_oth_26*tt_oth</f>
        <v>14.885</v>
      </c>
      <c r="D117" s="19" t="n">
        <f aca="false">u_bw_27*tt_bw+u_rb_27*tt_rb+u_ru_27*tt_ru+u_hp_27*tt_hp+u_amd_27*tt_amd+u_tpu_27*tt_tpu+u_trn_27*tt_trn+u_oth_27*tt_oth</f>
        <v>24.31</v>
      </c>
      <c r="E117" s="19" t="n">
        <f aca="false">u_bw_28*um28_A*tt_bw+u_rb_28*um28_A*tt_rb+u_ru_28*um28_A*tt_ru+u_hp_28*um28_A*tt_hp+u_amd_28*um28_A*tt_amd+u_tpu_28*um28_A*tt_tpu+u_trn_28*um28_A*tt_trn+u_oth_28*um28_A*tt_oth</f>
        <v>28.1</v>
      </c>
      <c r="F11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9" t="n">
        <f aca="false">F117*(1+cy30g)</f>
        <v>31.99</v>
      </c>
      <c r="H117" s="8" t="s">
        <v>682</v>
      </c>
    </row>
    <row r="118" customFormat="false" ht="17.15" hidden="false" customHeight="false" outlineLevel="0" collapsed="false">
      <c r="A118" s="5" t="s">
        <v>683</v>
      </c>
      <c r="B118" s="0" t="s">
        <v>684</v>
      </c>
      <c r="C118" s="21" t="n">
        <f aca="false">(mk_soc26-nonai26)/C117</f>
        <v>0.450117568021498</v>
      </c>
      <c r="H118" s="5" t="s">
        <v>685</v>
      </c>
    </row>
    <row r="119" customFormat="false" ht="17.15" hidden="false" customHeight="false" outlineLevel="0" collapsed="false">
      <c r="A119" s="0" t="s">
        <v>686</v>
      </c>
      <c r="B119" s="0" t="s">
        <v>155</v>
      </c>
      <c r="C119" s="19" t="n">
        <f aca="false">$C$118*C117*(1-eff_par_lo)^0</f>
        <v>6.7</v>
      </c>
      <c r="D119" s="19" t="n">
        <f aca="false">$C$118*D117*(1-eff_par_lo)^1</f>
        <v>10.3952401746725</v>
      </c>
      <c r="E119" s="19" t="n">
        <f aca="false">$C$118*E117*(1-eff_par_lo)^2</f>
        <v>11.4150940544172</v>
      </c>
      <c r="F119" s="19" t="n">
        <f aca="false">$C$118*F117*(1-eff_par_lo)^3</f>
        <v>12.345566400739</v>
      </c>
      <c r="G119" s="19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687</v>
      </c>
      <c r="B120" s="0" t="s">
        <v>155</v>
      </c>
      <c r="C120" s="19" t="n">
        <f aca="false">nonai26*(1+g_nonai)^0</f>
        <v>4.3</v>
      </c>
      <c r="D120" s="19" t="n">
        <f aca="false">nonai26*(1+g_nonai)^1</f>
        <v>4.472</v>
      </c>
      <c r="E120" s="19" t="n">
        <f aca="false">nonai26*(1+g_nonai)^2</f>
        <v>4.65088</v>
      </c>
      <c r="F120" s="19" t="n">
        <f aca="false">nonai26*(1+g_nonai)^3</f>
        <v>4.8369152</v>
      </c>
      <c r="G120" s="19" t="n">
        <f aca="false">nonai26*(1+g_nonai)^4</f>
        <v>5.030391808</v>
      </c>
    </row>
    <row r="121" customFormat="false" ht="17.15" hidden="false" customHeight="false" outlineLevel="0" collapsed="false">
      <c r="A121" s="0" t="s">
        <v>688</v>
      </c>
      <c r="B121" s="0" t="s">
        <v>155</v>
      </c>
      <c r="C121" s="19" t="n">
        <f aca="false">C119+C120</f>
        <v>11</v>
      </c>
      <c r="D121" s="19" t="n">
        <f aca="false">D119+D120</f>
        <v>14.8672401746725</v>
      </c>
      <c r="E121" s="19" t="n">
        <f aca="false">E119+E120</f>
        <v>16.0659740544172</v>
      </c>
      <c r="F121" s="19" t="n">
        <f aca="false">F119+F120</f>
        <v>17.182481600739</v>
      </c>
      <c r="G121" s="19" t="n">
        <f aca="false">G119+G120</f>
        <v>16.758679888702</v>
      </c>
      <c r="H121" s="8" t="s">
        <v>689</v>
      </c>
    </row>
    <row r="122" customFormat="false" ht="17.15" hidden="false" customHeight="false" outlineLevel="0" collapsed="false">
      <c r="A122" s="5" t="s">
        <v>690</v>
      </c>
      <c r="B122" s="0" t="s">
        <v>155</v>
      </c>
      <c r="C122" s="19" t="n">
        <f aca="false">mk_mem26*(w_hbm*hsA_26/hsA_26+(1-w_hbm)*drA_26/drA_26)</f>
        <v>2.75</v>
      </c>
      <c r="D122" s="19" t="n">
        <f aca="false">mk_mem26*(w_hbm*hsA_27/hsA_26+(1-w_hbm)*drA_27/drA_26)</f>
        <v>3.88007408374579</v>
      </c>
      <c r="E122" s="19" t="n">
        <f aca="false">mk_mem26*(w_hbm*hsA_28/hsA_26+(1-w_hbm)*drA_28/drA_26)</f>
        <v>5.04607694610671</v>
      </c>
      <c r="F122" s="19" t="n">
        <f aca="false">mk_mem26*(w_hbm*hsA_29/hsA_26+(1-w_hbm)*drA_29/drA_26)</f>
        <v>6.20223782078096</v>
      </c>
      <c r="G122" s="19" t="n">
        <f aca="false">F122*(1+cy30g)</f>
        <v>6.20223782078096</v>
      </c>
      <c r="H122" s="8" t="s">
        <v>691</v>
      </c>
    </row>
    <row r="123" customFormat="false" ht="17.15" hidden="false" customHeight="false" outlineLevel="0" collapsed="false">
      <c r="A123" s="1" t="s">
        <v>692</v>
      </c>
    </row>
    <row r="124" customFormat="false" ht="17.15" hidden="false" customHeight="false" outlineLevel="0" collapsed="false">
      <c r="A124" s="0" t="s">
        <v>693</v>
      </c>
      <c r="B124" s="0" t="s">
        <v>155</v>
      </c>
      <c r="C124" s="19" t="n">
        <f aca="false">fmk_soc25</f>
        <v>7.925</v>
      </c>
      <c r="D124" s="19" t="n">
        <f aca="false">0.75*C121+0.25*D121</f>
        <v>11.9668100436681</v>
      </c>
      <c r="E124" s="19" t="n">
        <f aca="false">0.75*D121+0.25*E121</f>
        <v>15.1669236446087</v>
      </c>
      <c r="F124" s="19" t="n">
        <f aca="false">0.75*E121+0.25*F121</f>
        <v>16.3451009409977</v>
      </c>
      <c r="G124" s="19" t="n">
        <f aca="false">0.75*F121+0.25*G121</f>
        <v>17.0765311727298</v>
      </c>
    </row>
    <row r="125" customFormat="false" ht="17.15" hidden="false" customHeight="false" outlineLevel="0" collapsed="false">
      <c r="A125" s="5" t="s">
        <v>694</v>
      </c>
      <c r="B125" s="0" t="s">
        <v>155</v>
      </c>
      <c r="C125" s="19" t="n">
        <f aca="false">fmk_mem25</f>
        <v>2.2625</v>
      </c>
      <c r="D125" s="19" t="n">
        <f aca="false">0.75*C122+0.25*D122</f>
        <v>3.03251852093645</v>
      </c>
      <c r="E125" s="19" t="n">
        <f aca="false">0.75*D122+0.25*E122</f>
        <v>4.17157479933602</v>
      </c>
      <c r="F125" s="19" t="n">
        <f aca="false">0.75*E122+0.25*F122</f>
        <v>5.33511716477527</v>
      </c>
      <c r="G125" s="19" t="n">
        <f aca="false">0.75*F122+0.25*G122</f>
        <v>6.20223782078096</v>
      </c>
    </row>
    <row r="126" customFormat="false" ht="17.15" hidden="false" customHeight="false" outlineLevel="0" collapsed="false">
      <c r="A126" s="0" t="s">
        <v>695</v>
      </c>
      <c r="B126" s="0" t="s">
        <v>45</v>
      </c>
      <c r="C126" s="10" t="n">
        <f aca="false">a25_soc/(C124*fx)</f>
        <v>0.645552050473186</v>
      </c>
      <c r="D126" s="10" t="n">
        <f aca="false">sh_soc</f>
        <v>0.66</v>
      </c>
      <c r="E126" s="10" t="n">
        <f aca="false">sh_soc</f>
        <v>0.66</v>
      </c>
      <c r="F126" s="10" t="n">
        <f aca="false">sh_soc</f>
        <v>0.66</v>
      </c>
      <c r="G126" s="10" t="n">
        <f aca="false">sh_soc</f>
        <v>0.66</v>
      </c>
      <c r="H126" s="8" t="s">
        <v>696</v>
      </c>
    </row>
    <row r="127" customFormat="false" ht="17.15" hidden="false" customHeight="false" outlineLevel="0" collapsed="false">
      <c r="A127" s="0" t="s">
        <v>697</v>
      </c>
      <c r="B127" s="0" t="s">
        <v>354</v>
      </c>
      <c r="C127" s="16" t="n">
        <f aca="false">a25_soc</f>
        <v>767.4</v>
      </c>
      <c r="D127" s="16" t="n">
        <f aca="false">D124*D126*fx</f>
        <v>1184.71419432314</v>
      </c>
      <c r="E127" s="16" t="n">
        <f aca="false">E124*E126*fx</f>
        <v>1501.52544081626</v>
      </c>
      <c r="F127" s="16" t="n">
        <f aca="false">F124*F126*fx</f>
        <v>1618.16499315877</v>
      </c>
      <c r="G127" s="16" t="n">
        <f aca="false">G124*G126*fx</f>
        <v>1690.57658610025</v>
      </c>
      <c r="H127" s="5" t="s">
        <v>698</v>
      </c>
    </row>
    <row r="128" customFormat="false" ht="15" hidden="false" customHeight="false" outlineLevel="0" collapsed="false">
      <c r="A128" s="5" t="s">
        <v>699</v>
      </c>
      <c r="B128" s="0" t="s">
        <v>354</v>
      </c>
      <c r="C128" s="16" t="n">
        <f aca="false">a25_mem</f>
        <v>171.5</v>
      </c>
      <c r="D128" s="16" t="n">
        <f aca="false">D125*sh_mem*fx</f>
        <v>229.868254736177</v>
      </c>
      <c r="E128" s="16" t="n">
        <f aca="false">E125*sh_mem*fx</f>
        <v>316.209979264587</v>
      </c>
      <c r="F128" s="16" t="n">
        <f aca="false">F125*sh_mem*fx</f>
        <v>404.407776247054</v>
      </c>
      <c r="G128" s="16" t="n">
        <f aca="false">G125*sh_mem*fx</f>
        <v>470.136480116656</v>
      </c>
    </row>
    <row r="129" customFormat="false" ht="15" hidden="false" customHeight="false" outlineLevel="0" collapsed="false">
      <c r="A129" s="5" t="s">
        <v>700</v>
      </c>
      <c r="B129" s="0" t="s">
        <v>354</v>
      </c>
      <c r="C129" s="16" t="n">
        <f aca="false">a25_oth</f>
        <v>80.5</v>
      </c>
      <c r="D129" s="16" t="n">
        <f aca="false">C129*(1+g_oth_26)</f>
        <v>104</v>
      </c>
      <c r="E129" s="16" t="n">
        <f aca="false">D129*(1+g_oth_A)</f>
        <v>119.6</v>
      </c>
      <c r="F129" s="16" t="n">
        <f aca="false">E129*(1+g_oth_A)</f>
        <v>137.54</v>
      </c>
      <c r="G129" s="16" t="n">
        <f aca="false">F129*(1+g_oth_A)</f>
        <v>158.171</v>
      </c>
    </row>
    <row r="130" customFormat="false" ht="15" hidden="false" customHeight="false" outlineLevel="0" collapsed="false">
      <c r="A130" s="5" t="s">
        <v>701</v>
      </c>
      <c r="B130" s="0" t="s">
        <v>354</v>
      </c>
      <c r="C130" s="16" t="n">
        <f aca="false">a25_svc</f>
        <v>109.2</v>
      </c>
      <c r="D130" s="16" t="n">
        <f aca="false">C130*(1+g_svc_26)</f>
        <v>135.6</v>
      </c>
      <c r="E130" s="16" t="n">
        <f aca="false">D130*(1+g_svc_A)</f>
        <v>151.872</v>
      </c>
      <c r="F130" s="16" t="n">
        <f aca="false">E130*(1+g_svc_A)</f>
        <v>170.09664</v>
      </c>
      <c r="G130" s="16" t="n">
        <f aca="false">F130*(1+g_svc_A)</f>
        <v>190.5082368</v>
      </c>
    </row>
    <row r="131" customFormat="false" ht="17.15" hidden="false" customHeight="false" outlineLevel="0" collapsed="false">
      <c r="A131" s="5" t="s">
        <v>702</v>
      </c>
      <c r="B131" s="0" t="s">
        <v>354</v>
      </c>
      <c r="C131" s="16" t="n">
        <f aca="false">C127+C128+C129</f>
        <v>1019.4</v>
      </c>
      <c r="D131" s="16" t="n">
        <f aca="false">D127+D128+D129</f>
        <v>1518.58244905932</v>
      </c>
      <c r="E131" s="16" t="n">
        <f aca="false">E127+E128+E129</f>
        <v>1937.33542008085</v>
      </c>
      <c r="F131" s="16" t="n">
        <f aca="false">F127+F128+F129</f>
        <v>2160.11276940582</v>
      </c>
      <c r="G131" s="16" t="n">
        <f aca="false">G127+G128+G129</f>
        <v>2318.8840662169</v>
      </c>
      <c r="H131" s="5" t="s">
        <v>703</v>
      </c>
    </row>
    <row r="132" customFormat="false" ht="15" hidden="false" customHeight="false" outlineLevel="0" collapsed="false">
      <c r="A132" s="5" t="s">
        <v>566</v>
      </c>
      <c r="B132" s="0" t="s">
        <v>354</v>
      </c>
      <c r="C132" s="16" t="n">
        <f aca="false">C131+C130</f>
        <v>1128.6</v>
      </c>
      <c r="D132" s="16" t="n">
        <f aca="false">D131+D130</f>
        <v>1654.18244905932</v>
      </c>
      <c r="E132" s="16" t="n">
        <f aca="false">E131+E130</f>
        <v>2089.20742008085</v>
      </c>
      <c r="F132" s="16" t="n">
        <f aca="false">F131+F130</f>
        <v>2330.20940940582</v>
      </c>
      <c r="G132" s="16" t="n">
        <f aca="false">G131+G130</f>
        <v>2509.3923030169</v>
      </c>
    </row>
    <row r="133" customFormat="false" ht="17.15" hidden="false" customHeight="false" outlineLevel="0" collapsed="false">
      <c r="A133" s="5" t="s">
        <v>704</v>
      </c>
      <c r="B133" s="0" t="s">
        <v>354</v>
      </c>
      <c r="C133" s="17" t="n">
        <f aca="false">C131+C130-a25_rev</f>
        <v>0</v>
      </c>
    </row>
    <row r="134" customFormat="false" ht="17.15" hidden="false" customHeight="false" outlineLevel="0" collapsed="false">
      <c r="A134" s="0" t="s">
        <v>705</v>
      </c>
      <c r="B134" s="0" t="s">
        <v>45</v>
      </c>
      <c r="C134" s="10" t="n">
        <f aca="false">C127/C132</f>
        <v>0.679957469431154</v>
      </c>
      <c r="D134" s="10" t="n">
        <f aca="false">D127/D132</f>
        <v>0.716193183525101</v>
      </c>
      <c r="E134" s="10" t="n">
        <f aca="false">E127/E132</f>
        <v>0.718705776355205</v>
      </c>
      <c r="F134" s="10" t="n">
        <f aca="false">F127/F132</f>
        <v>0.694429001370904</v>
      </c>
      <c r="G134" s="10" t="n">
        <f aca="false">G127/G132</f>
        <v>0.673699598132887</v>
      </c>
    </row>
    <row r="135" customFormat="false" ht="17.15" hidden="false" customHeight="false" outlineLevel="0" collapsed="false">
      <c r="A135" s="5" t="s">
        <v>570</v>
      </c>
      <c r="B135" s="0" t="s">
        <v>45</v>
      </c>
      <c r="C135" s="10" t="n">
        <f aca="false">a25_gp/a25_rev</f>
        <v>0.643</v>
      </c>
      <c r="D135" s="10" t="n">
        <f aca="false">gm_a+gm_b*D134+0</f>
        <v>0.660505773041835</v>
      </c>
      <c r="E135" s="10" t="n">
        <f aca="false">gm_a+gm_b*E134+0</f>
        <v>0.66171962740983</v>
      </c>
      <c r="F135" s="10" t="n">
        <f aca="false">gm_a+gm_b*F134+0</f>
        <v>0.649991316717206</v>
      </c>
      <c r="G135" s="10" t="n">
        <f aca="false">gm_a+gm_b*G134+0</f>
        <v>0.639976770641571</v>
      </c>
      <c r="H135" s="5" t="s">
        <v>706</v>
      </c>
    </row>
    <row r="136" customFormat="false" ht="15" hidden="false" customHeight="false" outlineLevel="0" collapsed="false">
      <c r="A136" s="5" t="s">
        <v>574</v>
      </c>
      <c r="B136" s="0" t="s">
        <v>354</v>
      </c>
      <c r="C136" s="16" t="n">
        <f aca="false">C132*C135</f>
        <v>725.6898</v>
      </c>
      <c r="D136" s="16" t="n">
        <f aca="false">D132*D135</f>
        <v>1092.59705726816</v>
      </c>
      <c r="E136" s="16" t="n">
        <f aca="false">E132*E135</f>
        <v>1382.46955559775</v>
      </c>
      <c r="F136" s="16" t="n">
        <f aca="false">F132*F135</f>
        <v>1514.61588224651</v>
      </c>
      <c r="G136" s="16" t="n">
        <f aca="false">G132*G135</f>
        <v>1605.95278235757</v>
      </c>
    </row>
    <row r="137" customFormat="false" ht="17.15" hidden="false" customHeight="false" outlineLevel="0" collapsed="false">
      <c r="A137" s="5" t="s">
        <v>707</v>
      </c>
      <c r="B137" s="0" t="s">
        <v>354</v>
      </c>
      <c r="C137" s="16" t="n">
        <f aca="false">opex25</f>
        <v>226.5898</v>
      </c>
      <c r="D137" s="16" t="n">
        <f aca="false">opex_fix+opex_var*D132</f>
        <v>286.941281623262</v>
      </c>
      <c r="E137" s="16" t="n">
        <f aca="false">opex_fix+opex_var*E132</f>
        <v>336.894246360298</v>
      </c>
      <c r="F137" s="16" t="n">
        <f aca="false">opex_fix+opex_var*F132</f>
        <v>364.567977010833</v>
      </c>
      <c r="G137" s="16" t="n">
        <f aca="false">opex_fix+opex_var*G132</f>
        <v>385.143156281614</v>
      </c>
      <c r="H137" s="5" t="s">
        <v>708</v>
      </c>
    </row>
    <row r="138" customFormat="false" ht="15" hidden="false" customHeight="false" outlineLevel="0" collapsed="false">
      <c r="A138" s="5" t="s">
        <v>577</v>
      </c>
      <c r="B138" s="0" t="s">
        <v>354</v>
      </c>
      <c r="C138" s="16" t="n">
        <f aca="false">C136-C137</f>
        <v>499.1</v>
      </c>
      <c r="D138" s="16" t="n">
        <f aca="false">D136-D137</f>
        <v>805.655775644902</v>
      </c>
      <c r="E138" s="16" t="n">
        <f aca="false">E136-E137</f>
        <v>1045.57530923745</v>
      </c>
      <c r="F138" s="16" t="n">
        <f aca="false">F136-F137</f>
        <v>1150.04790523568</v>
      </c>
      <c r="G138" s="16" t="n">
        <f aca="false">G136-G137</f>
        <v>1220.80962607596</v>
      </c>
    </row>
    <row r="139" customFormat="false" ht="15" hidden="false" customHeight="false" outlineLevel="0" collapsed="false">
      <c r="A139" s="5" t="s">
        <v>580</v>
      </c>
      <c r="B139" s="0" t="s">
        <v>45</v>
      </c>
      <c r="C139" s="10" t="n">
        <f aca="false">C138/C132</f>
        <v>0.442229310650363</v>
      </c>
      <c r="D139" s="10" t="n">
        <f aca="false">D138/D132</f>
        <v>0.48704166587129</v>
      </c>
      <c r="E139" s="10" t="n">
        <f aca="false">E138/E132</f>
        <v>0.500465056359502</v>
      </c>
      <c r="F139" s="10" t="n">
        <f aca="false">F138/F132</f>
        <v>0.49353843504088</v>
      </c>
      <c r="G139" s="10" t="n">
        <f aca="false">G138/G132</f>
        <v>0.486496122829517</v>
      </c>
    </row>
    <row r="140" customFormat="false" ht="15" hidden="false" customHeight="false" outlineLevel="0" collapsed="false">
      <c r="A140" s="5" t="s">
        <v>600</v>
      </c>
      <c r="B140" s="0" t="s">
        <v>354</v>
      </c>
      <c r="C140" s="16" t="n">
        <f aca="false">a25_ni</f>
        <v>375.4</v>
      </c>
      <c r="D140" s="16" t="n">
        <f aca="false">D138*nioi</f>
        <v>605.977115161483</v>
      </c>
      <c r="E140" s="16" t="n">
        <f aca="false">E138*nioi</f>
        <v>786.433522516007</v>
      </c>
      <c r="F140" s="16" t="n">
        <f aca="false">F138*nioi</f>
        <v>865.012990634091</v>
      </c>
      <c r="G140" s="16" t="n">
        <f aca="false">G138*nioi</f>
        <v>918.236693305778</v>
      </c>
    </row>
    <row r="141" customFormat="false" ht="15" hidden="false" customHeight="false" outlineLevel="0" collapsed="false">
      <c r="A141" s="0" t="s">
        <v>670</v>
      </c>
      <c r="B141" s="0" t="s">
        <v>403</v>
      </c>
      <c r="C141" s="16" t="n">
        <f aca="false">a25_eps</f>
        <v>515.15</v>
      </c>
      <c r="D141" s="16" t="n">
        <f aca="false">D140*1000/shares</f>
        <v>837.019662523961</v>
      </c>
      <c r="E141" s="16" t="n">
        <f aca="false">E140*1000/shares</f>
        <v>1086.27917646438</v>
      </c>
      <c r="F141" s="16" t="n">
        <f aca="false">F140*1000/shares</f>
        <v>1194.81885269949</v>
      </c>
      <c r="G141" s="16" t="n">
        <f aca="false">G140*1000/shares</f>
        <v>1268.33530164436</v>
      </c>
    </row>
    <row r="142" customFormat="false" ht="17.15" hidden="false" customHeight="false" outlineLevel="0" collapsed="false">
      <c r="A142" s="5" t="s">
        <v>709</v>
      </c>
      <c r="B142" s="0" t="s">
        <v>155</v>
      </c>
      <c r="C142" s="17" t="n">
        <f aca="false">C132/fx</f>
        <v>7.524</v>
      </c>
      <c r="D142" s="17" t="n">
        <f aca="false">D132/fx</f>
        <v>11.0278829937288</v>
      </c>
      <c r="E142" s="17" t="n">
        <f aca="false">E132/fx</f>
        <v>13.9280494672056</v>
      </c>
      <c r="F142" s="17" t="n">
        <f aca="false">F132/fx</f>
        <v>15.5347293960388</v>
      </c>
      <c r="G142" s="17" t="n">
        <f aca="false">G132/fx</f>
        <v>16.7292820201127</v>
      </c>
      <c r="H142" s="8" t="s">
        <v>710</v>
      </c>
    </row>
    <row r="146" customFormat="false" ht="17.15" hidden="false" customHeight="false" outlineLevel="0" collapsed="false">
      <c r="A146" s="4" t="s">
        <v>1074</v>
      </c>
    </row>
    <row r="147" customFormat="false" ht="17.15" hidden="false" customHeight="false" outlineLevel="0" collapsed="false">
      <c r="A147" s="6" t="s">
        <v>23</v>
      </c>
      <c r="B147" s="6" t="s">
        <v>24</v>
      </c>
      <c r="C147" s="14" t="s">
        <v>675</v>
      </c>
      <c r="D147" s="14" t="s">
        <v>676</v>
      </c>
      <c r="E147" s="14" t="s">
        <v>677</v>
      </c>
      <c r="F147" s="14" t="s">
        <v>678</v>
      </c>
      <c r="G147" s="14" t="s">
        <v>679</v>
      </c>
      <c r="H147" s="6" t="s">
        <v>478</v>
      </c>
    </row>
    <row r="148" customFormat="false" ht="17.15" hidden="false" customHeight="false" outlineLevel="0" collapsed="false">
      <c r="A148" s="1" t="s">
        <v>680</v>
      </c>
    </row>
    <row r="149" customFormat="false" ht="17.15" hidden="false" customHeight="false" outlineLevel="0" collapsed="false">
      <c r="A149" s="5" t="s">
        <v>681</v>
      </c>
      <c r="B149" s="5" t="s">
        <v>34</v>
      </c>
      <c r="C149" s="19" t="n">
        <f aca="false">u_bw_26*tt_bw+u_rb_26*tt_rb+u_ru_26*tt_ru+u_hp_26*tt_hp+u_amd_26*tt_amd+u_tpu_26*tt_tpu+u_trn_26*tt_trn+u_oth_26*tt_oth</f>
        <v>14.885</v>
      </c>
      <c r="D149" s="19" t="n">
        <f aca="false">u_bw_27*tt_bw+u_rb_27*tt_rb+u_ru_27*tt_ru+u_hp_27*tt_hp+u_amd_27*tt_amd+u_tpu_27*tt_tpu+u_trn_27*tt_trn+u_oth_27*tt_oth</f>
        <v>24.31</v>
      </c>
      <c r="E149" s="19" t="n">
        <f aca="false">u_bw_28*um28_A*tt_bw+u_rb_28*um28_A*tt_rb+u_ru_28*um28_A*tt_ru+u_hp_28*um28_A*tt_hp+u_amd_28*um28_A*tt_amd+u_tpu_28*um28_A*tt_tpu+u_trn_28*um28_A*tt_trn+u_oth_28*um28_A*tt_oth</f>
        <v>28.1</v>
      </c>
      <c r="F14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9" t="n">
        <f aca="false">F149*(1+cy30g)</f>
        <v>31.99</v>
      </c>
      <c r="H149" s="8" t="s">
        <v>682</v>
      </c>
    </row>
    <row r="150" customFormat="false" ht="17.15" hidden="false" customHeight="false" outlineLevel="0" collapsed="false">
      <c r="A150" s="5" t="s">
        <v>683</v>
      </c>
      <c r="B150" s="0" t="s">
        <v>684</v>
      </c>
      <c r="C150" s="21" t="n">
        <f aca="false">(mk_soc26-nonai26)/C149</f>
        <v>0.450117568021498</v>
      </c>
      <c r="H150" s="5" t="s">
        <v>685</v>
      </c>
    </row>
    <row r="151" customFormat="false" ht="17.15" hidden="false" customHeight="false" outlineLevel="0" collapsed="false">
      <c r="A151" s="0" t="s">
        <v>686</v>
      </c>
      <c r="B151" s="0" t="s">
        <v>155</v>
      </c>
      <c r="C151" s="19" t="n">
        <f aca="false">$C$150*C149*(1-eff_par_hi)^0</f>
        <v>6.7</v>
      </c>
      <c r="D151" s="19" t="n">
        <f aca="false">$C$150*D149*(1-eff_par_hi)^1</f>
        <v>9.84812227074236</v>
      </c>
      <c r="E151" s="19" t="n">
        <f aca="false">$C$150*E149*(1-eff_par_hi)^2</f>
        <v>10.2451259657373</v>
      </c>
      <c r="F151" s="19" t="n">
        <f aca="false">$C$150*F149*(1-eff_par_hi)^3</f>
        <v>10.4970612697346</v>
      </c>
      <c r="G151" s="19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687</v>
      </c>
      <c r="B152" s="0" t="s">
        <v>155</v>
      </c>
      <c r="C152" s="19" t="n">
        <f aca="false">nonai26*(1+g_nonai)^0</f>
        <v>4.3</v>
      </c>
      <c r="D152" s="19" t="n">
        <f aca="false">nonai26*(1+g_nonai)^1</f>
        <v>4.472</v>
      </c>
      <c r="E152" s="19" t="n">
        <f aca="false">nonai26*(1+g_nonai)^2</f>
        <v>4.65088</v>
      </c>
      <c r="F152" s="19" t="n">
        <f aca="false">nonai26*(1+g_nonai)^3</f>
        <v>4.8369152</v>
      </c>
      <c r="G152" s="19" t="n">
        <f aca="false">nonai26*(1+g_nonai)^4</f>
        <v>5.030391808</v>
      </c>
    </row>
    <row r="153" customFormat="false" ht="17.15" hidden="false" customHeight="false" outlineLevel="0" collapsed="false">
      <c r="A153" s="0" t="s">
        <v>688</v>
      </c>
      <c r="B153" s="0" t="s">
        <v>155</v>
      </c>
      <c r="C153" s="19" t="n">
        <f aca="false">C151+C152</f>
        <v>11</v>
      </c>
      <c r="D153" s="19" t="n">
        <f aca="false">D151+D152</f>
        <v>14.3201222707424</v>
      </c>
      <c r="E153" s="19" t="n">
        <f aca="false">E151+E152</f>
        <v>14.8960059657373</v>
      </c>
      <c r="F153" s="19" t="n">
        <f aca="false">F151+F152</f>
        <v>15.3339764697346</v>
      </c>
      <c r="G153" s="19" t="n">
        <f aca="false">G151+G152</f>
        <v>14.4777469507612</v>
      </c>
      <c r="H153" s="8" t="s">
        <v>689</v>
      </c>
    </row>
    <row r="154" customFormat="false" ht="17.15" hidden="false" customHeight="false" outlineLevel="0" collapsed="false">
      <c r="A154" s="5" t="s">
        <v>690</v>
      </c>
      <c r="B154" s="0" t="s">
        <v>155</v>
      </c>
      <c r="C154" s="19" t="n">
        <f aca="false">mk_mem26*(w_hbm*hsA_26/hsA_26+(1-w_hbm)*drA_26/drA_26)</f>
        <v>2.75</v>
      </c>
      <c r="D154" s="19" t="n">
        <f aca="false">mk_mem26*(w_hbm*hsA_27/hsA_26+(1-w_hbm)*drA_27/drA_26)</f>
        <v>3.88007408374579</v>
      </c>
      <c r="E154" s="19" t="n">
        <f aca="false">mk_mem26*(w_hbm*hsA_28/hsA_26+(1-w_hbm)*drA_28/drA_26)</f>
        <v>5.04607694610671</v>
      </c>
      <c r="F154" s="19" t="n">
        <f aca="false">mk_mem26*(w_hbm*hsA_29/hsA_26+(1-w_hbm)*drA_29/drA_26)</f>
        <v>6.20223782078096</v>
      </c>
      <c r="G154" s="19" t="n">
        <f aca="false">F154*(1+cy30g)</f>
        <v>6.20223782078096</v>
      </c>
      <c r="H154" s="8" t="s">
        <v>691</v>
      </c>
    </row>
    <row r="155" customFormat="false" ht="17.15" hidden="false" customHeight="false" outlineLevel="0" collapsed="false">
      <c r="A155" s="1" t="s">
        <v>692</v>
      </c>
    </row>
    <row r="156" customFormat="false" ht="17.15" hidden="false" customHeight="false" outlineLevel="0" collapsed="false">
      <c r="A156" s="0" t="s">
        <v>693</v>
      </c>
      <c r="B156" s="0" t="s">
        <v>155</v>
      </c>
      <c r="C156" s="19" t="n">
        <f aca="false">fmk_soc25</f>
        <v>7.925</v>
      </c>
      <c r="D156" s="19" t="n">
        <f aca="false">0.75*C153+0.25*D153</f>
        <v>11.8300305676856</v>
      </c>
      <c r="E156" s="19" t="n">
        <f aca="false">0.75*D153+0.25*E153</f>
        <v>14.4640931944911</v>
      </c>
      <c r="F156" s="19" t="n">
        <f aca="false">0.75*E153+0.25*F153</f>
        <v>15.0054985917367</v>
      </c>
      <c r="G156" s="19" t="n">
        <f aca="false">0.75*F153+0.25*G153</f>
        <v>15.1199190899913</v>
      </c>
    </row>
    <row r="157" customFormat="false" ht="17.15" hidden="false" customHeight="false" outlineLevel="0" collapsed="false">
      <c r="A157" s="5" t="s">
        <v>694</v>
      </c>
      <c r="B157" s="0" t="s">
        <v>155</v>
      </c>
      <c r="C157" s="19" t="n">
        <f aca="false">fmk_mem25</f>
        <v>2.2625</v>
      </c>
      <c r="D157" s="19" t="n">
        <f aca="false">0.75*C154+0.25*D154</f>
        <v>3.03251852093645</v>
      </c>
      <c r="E157" s="19" t="n">
        <f aca="false">0.75*D154+0.25*E154</f>
        <v>4.17157479933602</v>
      </c>
      <c r="F157" s="19" t="n">
        <f aca="false">0.75*E154+0.25*F154</f>
        <v>5.33511716477527</v>
      </c>
      <c r="G157" s="19" t="n">
        <f aca="false">0.75*F154+0.25*G154</f>
        <v>6.20223782078096</v>
      </c>
    </row>
    <row r="158" customFormat="false" ht="17.15" hidden="false" customHeight="false" outlineLevel="0" collapsed="false">
      <c r="A158" s="0" t="s">
        <v>695</v>
      </c>
      <c r="B158" s="0" t="s">
        <v>45</v>
      </c>
      <c r="C158" s="10" t="n">
        <f aca="false">a25_soc/(C156*fx)</f>
        <v>0.645552050473186</v>
      </c>
      <c r="D158" s="10" t="n">
        <f aca="false">sh_soc</f>
        <v>0.66</v>
      </c>
      <c r="E158" s="10" t="n">
        <f aca="false">sh_soc</f>
        <v>0.66</v>
      </c>
      <c r="F158" s="10" t="n">
        <f aca="false">sh_soc</f>
        <v>0.66</v>
      </c>
      <c r="G158" s="10" t="n">
        <f aca="false">sh_soc</f>
        <v>0.66</v>
      </c>
      <c r="H158" s="8" t="s">
        <v>696</v>
      </c>
    </row>
    <row r="159" customFormat="false" ht="17.15" hidden="false" customHeight="false" outlineLevel="0" collapsed="false">
      <c r="A159" s="0" t="s">
        <v>697</v>
      </c>
      <c r="B159" s="0" t="s">
        <v>354</v>
      </c>
      <c r="C159" s="16" t="n">
        <f aca="false">a25_soc</f>
        <v>767.4</v>
      </c>
      <c r="D159" s="16" t="n">
        <f aca="false">D156*D158*fx</f>
        <v>1171.17302620087</v>
      </c>
      <c r="E159" s="16" t="n">
        <f aca="false">E156*E158*fx</f>
        <v>1431.94522625462</v>
      </c>
      <c r="F159" s="16" t="n">
        <f aca="false">F156*F158*fx</f>
        <v>1485.54436058193</v>
      </c>
      <c r="G159" s="16" t="n">
        <f aca="false">G156*G158*fx</f>
        <v>1496.87198990914</v>
      </c>
      <c r="H159" s="5" t="s">
        <v>698</v>
      </c>
    </row>
    <row r="160" customFormat="false" ht="15" hidden="false" customHeight="false" outlineLevel="0" collapsed="false">
      <c r="A160" s="5" t="s">
        <v>699</v>
      </c>
      <c r="B160" s="0" t="s">
        <v>354</v>
      </c>
      <c r="C160" s="16" t="n">
        <f aca="false">a25_mem</f>
        <v>171.5</v>
      </c>
      <c r="D160" s="16" t="n">
        <f aca="false">D157*sh_mem*fx</f>
        <v>229.868254736177</v>
      </c>
      <c r="E160" s="16" t="n">
        <f aca="false">E157*sh_mem*fx</f>
        <v>316.209979264587</v>
      </c>
      <c r="F160" s="16" t="n">
        <f aca="false">F157*sh_mem*fx</f>
        <v>404.407776247054</v>
      </c>
      <c r="G160" s="16" t="n">
        <f aca="false">G157*sh_mem*fx</f>
        <v>470.136480116656</v>
      </c>
    </row>
    <row r="161" customFormat="false" ht="15" hidden="false" customHeight="false" outlineLevel="0" collapsed="false">
      <c r="A161" s="5" t="s">
        <v>700</v>
      </c>
      <c r="B161" s="0" t="s">
        <v>354</v>
      </c>
      <c r="C161" s="16" t="n">
        <f aca="false">a25_oth</f>
        <v>80.5</v>
      </c>
      <c r="D161" s="16" t="n">
        <f aca="false">C161*(1+g_oth_26)</f>
        <v>104</v>
      </c>
      <c r="E161" s="16" t="n">
        <f aca="false">D161*(1+g_oth_A)</f>
        <v>119.6</v>
      </c>
      <c r="F161" s="16" t="n">
        <f aca="false">E161*(1+g_oth_A)</f>
        <v>137.54</v>
      </c>
      <c r="G161" s="16" t="n">
        <f aca="false">F161*(1+g_oth_A)</f>
        <v>158.171</v>
      </c>
    </row>
    <row r="162" customFormat="false" ht="15" hidden="false" customHeight="false" outlineLevel="0" collapsed="false">
      <c r="A162" s="5" t="s">
        <v>701</v>
      </c>
      <c r="B162" s="0" t="s">
        <v>354</v>
      </c>
      <c r="C162" s="16" t="n">
        <f aca="false">a25_svc</f>
        <v>109.2</v>
      </c>
      <c r="D162" s="16" t="n">
        <f aca="false">C162*(1+g_svc_26)</f>
        <v>135.6</v>
      </c>
      <c r="E162" s="16" t="n">
        <f aca="false">D162*(1+g_svc_A)</f>
        <v>151.872</v>
      </c>
      <c r="F162" s="16" t="n">
        <f aca="false">E162*(1+g_svc_A)</f>
        <v>170.09664</v>
      </c>
      <c r="G162" s="16" t="n">
        <f aca="false">F162*(1+g_svc_A)</f>
        <v>190.5082368</v>
      </c>
    </row>
    <row r="163" customFormat="false" ht="17.15" hidden="false" customHeight="false" outlineLevel="0" collapsed="false">
      <c r="A163" s="5" t="s">
        <v>702</v>
      </c>
      <c r="B163" s="0" t="s">
        <v>354</v>
      </c>
      <c r="C163" s="16" t="n">
        <f aca="false">C159+C160+C161</f>
        <v>1019.4</v>
      </c>
      <c r="D163" s="16" t="n">
        <f aca="false">D159+D160+D161</f>
        <v>1505.04128093705</v>
      </c>
      <c r="E163" s="16" t="n">
        <f aca="false">E159+E160+E161</f>
        <v>1867.75520551921</v>
      </c>
      <c r="F163" s="16" t="n">
        <f aca="false">F159+F160+F161</f>
        <v>2027.49213682898</v>
      </c>
      <c r="G163" s="16" t="n">
        <f aca="false">G159+G160+G161</f>
        <v>2125.17947002579</v>
      </c>
      <c r="H163" s="5" t="s">
        <v>703</v>
      </c>
    </row>
    <row r="164" customFormat="false" ht="15" hidden="false" customHeight="false" outlineLevel="0" collapsed="false">
      <c r="A164" s="5" t="s">
        <v>566</v>
      </c>
      <c r="B164" s="0" t="s">
        <v>354</v>
      </c>
      <c r="C164" s="16" t="n">
        <f aca="false">C163+C162</f>
        <v>1128.6</v>
      </c>
      <c r="D164" s="16" t="n">
        <f aca="false">D163+D162</f>
        <v>1640.64128093705</v>
      </c>
      <c r="E164" s="16" t="n">
        <f aca="false">E163+E162</f>
        <v>2019.62720551921</v>
      </c>
      <c r="F164" s="16" t="n">
        <f aca="false">F163+F162</f>
        <v>2197.58877682898</v>
      </c>
      <c r="G164" s="16" t="n">
        <f aca="false">G163+G162</f>
        <v>2315.68770682579</v>
      </c>
    </row>
    <row r="165" customFormat="false" ht="17.15" hidden="false" customHeight="false" outlineLevel="0" collapsed="false">
      <c r="A165" s="5" t="s">
        <v>704</v>
      </c>
      <c r="B165" s="0" t="s">
        <v>354</v>
      </c>
      <c r="C165" s="17" t="n">
        <f aca="false">C163+C162-a25_rev</f>
        <v>0</v>
      </c>
    </row>
    <row r="166" customFormat="false" ht="17.15" hidden="false" customHeight="false" outlineLevel="0" collapsed="false">
      <c r="A166" s="0" t="s">
        <v>705</v>
      </c>
      <c r="B166" s="0" t="s">
        <v>45</v>
      </c>
      <c r="C166" s="10" t="n">
        <f aca="false">C159/C164</f>
        <v>0.679957469431154</v>
      </c>
      <c r="D166" s="10" t="n">
        <f aca="false">D159/D164</f>
        <v>0.713850760558676</v>
      </c>
      <c r="E166" s="10" t="n">
        <f aca="false">E159/E164</f>
        <v>0.709014625244412</v>
      </c>
      <c r="F166" s="10" t="n">
        <f aca="false">F159/F164</f>
        <v>0.67598832695419</v>
      </c>
      <c r="G166" s="10" t="n">
        <f aca="false">G159/G164</f>
        <v>0.646404947220176</v>
      </c>
    </row>
    <row r="167" customFormat="false" ht="17.15" hidden="false" customHeight="false" outlineLevel="0" collapsed="false">
      <c r="A167" s="5" t="s">
        <v>570</v>
      </c>
      <c r="B167" s="0" t="s">
        <v>45</v>
      </c>
      <c r="C167" s="10" t="n">
        <f aca="false">a25_gp/a25_rev</f>
        <v>0.643</v>
      </c>
      <c r="D167" s="10" t="n">
        <f aca="false">gm_a+gm_b*D166+0</f>
        <v>0.659374129141789</v>
      </c>
      <c r="E167" s="10" t="n">
        <f aca="false">gm_a+gm_b*E166+0</f>
        <v>0.657037752190818</v>
      </c>
      <c r="F167" s="10" t="n">
        <f aca="false">gm_a+gm_b*F166+0</f>
        <v>0.641082474456215</v>
      </c>
      <c r="G167" s="10" t="n">
        <f aca="false">gm_a+gm_b*G166+0</f>
        <v>0.626790499138952</v>
      </c>
      <c r="H167" s="5" t="s">
        <v>706</v>
      </c>
    </row>
    <row r="168" customFormat="false" ht="15" hidden="false" customHeight="false" outlineLevel="0" collapsed="false">
      <c r="A168" s="5" t="s">
        <v>574</v>
      </c>
      <c r="B168" s="0" t="s">
        <v>354</v>
      </c>
      <c r="C168" s="16" t="n">
        <f aca="false">C164*C167</f>
        <v>725.6898</v>
      </c>
      <c r="D168" s="16" t="n">
        <f aca="false">D164*D167</f>
        <v>1081.79641585194</v>
      </c>
      <c r="E168" s="16" t="n">
        <f aca="false">E164*E167</f>
        <v>1326.97131937776</v>
      </c>
      <c r="F168" s="16" t="n">
        <f aca="false">F164*F167</f>
        <v>1408.83565088673</v>
      </c>
      <c r="G168" s="16" t="n">
        <f aca="false">G164*G167</f>
        <v>1451.45105361127</v>
      </c>
    </row>
    <row r="169" customFormat="false" ht="17.15" hidden="false" customHeight="false" outlineLevel="0" collapsed="false">
      <c r="A169" s="5" t="s">
        <v>707</v>
      </c>
      <c r="B169" s="0" t="s">
        <v>354</v>
      </c>
      <c r="C169" s="16" t="n">
        <f aca="false">opex25</f>
        <v>226.5898</v>
      </c>
      <c r="D169" s="16" t="n">
        <f aca="false">opex_fix+opex_var*D164</f>
        <v>285.386378942338</v>
      </c>
      <c r="E169" s="16" t="n">
        <f aca="false">opex_fix+opex_var*E164</f>
        <v>328.904502699765</v>
      </c>
      <c r="F169" s="16" t="n">
        <f aca="false">opex_fix+opex_var*F164</f>
        <v>349.339440205329</v>
      </c>
      <c r="G169" s="16" t="n">
        <f aca="false">opex_fix+opex_var*G164</f>
        <v>362.900481705452</v>
      </c>
      <c r="H169" s="5" t="s">
        <v>708</v>
      </c>
    </row>
    <row r="170" customFormat="false" ht="15" hidden="false" customHeight="false" outlineLevel="0" collapsed="false">
      <c r="A170" s="5" t="s">
        <v>577</v>
      </c>
      <c r="B170" s="0" t="s">
        <v>354</v>
      </c>
      <c r="C170" s="16" t="n">
        <f aca="false">C168-C169</f>
        <v>499.1</v>
      </c>
      <c r="D170" s="16" t="n">
        <f aca="false">D168-D169</f>
        <v>796.410036909599</v>
      </c>
      <c r="E170" s="16" t="n">
        <f aca="false">E168-E169</f>
        <v>998.066816677996</v>
      </c>
      <c r="F170" s="16" t="n">
        <f aca="false">F168-F169</f>
        <v>1059.4962106814</v>
      </c>
      <c r="G170" s="16" t="n">
        <f aca="false">G168-G169</f>
        <v>1088.55057190582</v>
      </c>
    </row>
    <row r="171" customFormat="false" ht="15" hidden="false" customHeight="false" outlineLevel="0" collapsed="false">
      <c r="A171" s="5" t="s">
        <v>580</v>
      </c>
      <c r="B171" s="0" t="s">
        <v>45</v>
      </c>
      <c r="C171" s="10" t="n">
        <f aca="false">C170/C164</f>
        <v>0.442229310650363</v>
      </c>
      <c r="D171" s="10" t="n">
        <f aca="false">D170/D164</f>
        <v>0.48542606245695</v>
      </c>
      <c r="E171" s="10" t="n">
        <f aca="false">E170/E164</f>
        <v>0.494183685954762</v>
      </c>
      <c r="F171" s="10" t="n">
        <f aca="false">F170/F164</f>
        <v>0.482117592632688</v>
      </c>
      <c r="G171" s="10" t="n">
        <f aca="false">G170/G164</f>
        <v>0.47007658618957</v>
      </c>
    </row>
    <row r="172" customFormat="false" ht="15" hidden="false" customHeight="false" outlineLevel="0" collapsed="false">
      <c r="A172" s="5" t="s">
        <v>600</v>
      </c>
      <c r="B172" s="0" t="s">
        <v>354</v>
      </c>
      <c r="C172" s="16" t="n">
        <f aca="false">a25_ni</f>
        <v>375.4</v>
      </c>
      <c r="D172" s="16" t="n">
        <f aca="false">D170*nioi</f>
        <v>599.022896926194</v>
      </c>
      <c r="E172" s="16" t="n">
        <f aca="false">E170*nioi</f>
        <v>750.699825648006</v>
      </c>
      <c r="F172" s="16" t="n">
        <f aca="false">F170*nioi</f>
        <v>796.904182508111</v>
      </c>
      <c r="G172" s="16" t="n">
        <f aca="false">G170*nioi</f>
        <v>818.757532946195</v>
      </c>
    </row>
    <row r="173" customFormat="false" ht="15" hidden="false" customHeight="false" outlineLevel="0" collapsed="false">
      <c r="A173" s="0" t="s">
        <v>670</v>
      </c>
      <c r="B173" s="0" t="s">
        <v>403</v>
      </c>
      <c r="C173" s="16" t="n">
        <f aca="false">a25_eps</f>
        <v>515.15</v>
      </c>
      <c r="D173" s="16" t="n">
        <f aca="false">D172*1000/shares</f>
        <v>827.413990536054</v>
      </c>
      <c r="E173" s="16" t="n">
        <f aca="false">E172*1000/shares</f>
        <v>1036.92119553598</v>
      </c>
      <c r="F173" s="16" t="n">
        <f aca="false">F172*1000/shares</f>
        <v>1100.74201354802</v>
      </c>
      <c r="G173" s="16" t="n">
        <f aca="false">G172*1000/shares</f>
        <v>1130.92745050768</v>
      </c>
    </row>
    <row r="174" customFormat="false" ht="17.15" hidden="false" customHeight="false" outlineLevel="0" collapsed="false">
      <c r="A174" s="5" t="s">
        <v>709</v>
      </c>
      <c r="B174" s="0" t="s">
        <v>155</v>
      </c>
      <c r="C174" s="17" t="n">
        <f aca="false">C164/fx</f>
        <v>7.524</v>
      </c>
      <c r="D174" s="17" t="n">
        <f aca="false">D164/fx</f>
        <v>10.9376085395803</v>
      </c>
      <c r="E174" s="17" t="n">
        <f aca="false">E164/fx</f>
        <v>13.464181370128</v>
      </c>
      <c r="F174" s="17" t="n">
        <f aca="false">F164/fx</f>
        <v>14.6505918455265</v>
      </c>
      <c r="G174" s="17" t="n">
        <f aca="false">G164/fx</f>
        <v>15.4379180455053</v>
      </c>
      <c r="H174" s="8" t="s">
        <v>710</v>
      </c>
    </row>
    <row r="178" customFormat="false" ht="17.15" hidden="false" customHeight="false" outlineLevel="0" collapsed="false">
      <c r="A178" s="4" t="s">
        <v>1075</v>
      </c>
    </row>
    <row r="179" customFormat="false" ht="17.15" hidden="false" customHeight="false" outlineLevel="0" collapsed="false">
      <c r="A179" s="6" t="s">
        <v>23</v>
      </c>
      <c r="B179" s="6" t="s">
        <v>24</v>
      </c>
      <c r="C179" s="14" t="s">
        <v>675</v>
      </c>
      <c r="D179" s="14" t="s">
        <v>676</v>
      </c>
      <c r="E179" s="14" t="s">
        <v>677</v>
      </c>
      <c r="F179" s="14" t="s">
        <v>678</v>
      </c>
      <c r="G179" s="14" t="s">
        <v>679</v>
      </c>
      <c r="H179" s="6" t="s">
        <v>478</v>
      </c>
    </row>
    <row r="180" customFormat="false" ht="17.15" hidden="false" customHeight="false" outlineLevel="0" collapsed="false">
      <c r="A180" s="1" t="s">
        <v>680</v>
      </c>
    </row>
    <row r="181" customFormat="false" ht="17.15" hidden="false" customHeight="false" outlineLevel="0" collapsed="false">
      <c r="A181" s="5" t="s">
        <v>681</v>
      </c>
      <c r="B181" s="5" t="s">
        <v>34</v>
      </c>
      <c r="C181" s="19" t="n">
        <f aca="false">u_bw_26*tt_bw_lo+u_rb_26*tt_rb_lo+u_ru_26*tt_ru_lo+u_hp_26*tt_hp_lo+u_amd_26*tt_amd_lo+u_tpu_26*tt_tpu_lo+u_trn_26*tt_trn_lo+u_oth_26*tt_oth_lo</f>
        <v>12.435</v>
      </c>
      <c r="D181" s="19" t="n">
        <f aca="false">u_bw_27*tt_bw_lo+u_rb_27*tt_rb_lo+u_ru_27*tt_ru_lo+u_hp_27*tt_hp_lo+u_amd_27*tt_amd_lo+u_tpu_27*tt_tpu_lo+u_trn_27*tt_trn_lo+u_oth_27*tt_oth_lo</f>
        <v>19.75</v>
      </c>
      <c r="E181" s="19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9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9" t="n">
        <f aca="false">F181*(1+cy30g)</f>
        <v>25.525</v>
      </c>
      <c r="H181" s="8" t="s">
        <v>682</v>
      </c>
    </row>
    <row r="182" customFormat="false" ht="17.15" hidden="false" customHeight="false" outlineLevel="0" collapsed="false">
      <c r="A182" s="5" t="s">
        <v>683</v>
      </c>
      <c r="B182" s="0" t="s">
        <v>684</v>
      </c>
      <c r="C182" s="21" t="n">
        <f aca="false">(mk_soc26-nonai26)/C181</f>
        <v>0.538801769199839</v>
      </c>
      <c r="H182" s="5" t="s">
        <v>685</v>
      </c>
    </row>
    <row r="183" customFormat="false" ht="17.15" hidden="false" customHeight="false" outlineLevel="0" collapsed="false">
      <c r="A183" s="0" t="s">
        <v>686</v>
      </c>
      <c r="B183" s="0" t="s">
        <v>155</v>
      </c>
      <c r="C183" s="19" t="n">
        <f aca="false">$C$182*C181*(1-0)^0</f>
        <v>6.7</v>
      </c>
      <c r="D183" s="19" t="n">
        <f aca="false">$C$182*D181*(1-0)^1</f>
        <v>10.6413349416968</v>
      </c>
      <c r="E183" s="19" t="n">
        <f aca="false">$C$182*E181*(1-0)^2</f>
        <v>12.0960997185364</v>
      </c>
      <c r="F183" s="19" t="n">
        <f aca="false">$C$182*F181*(1-0)^3</f>
        <v>13.7529151588259</v>
      </c>
      <c r="G183" s="19" t="n">
        <f aca="false">$C$182*G181*(1-0)^4</f>
        <v>13.7529151588259</v>
      </c>
    </row>
    <row r="184" customFormat="false" ht="17.15" hidden="false" customHeight="false" outlineLevel="0" collapsed="false">
      <c r="A184" s="5" t="s">
        <v>687</v>
      </c>
      <c r="B184" s="0" t="s">
        <v>155</v>
      </c>
      <c r="C184" s="19" t="n">
        <f aca="false">nonai26*(1+g_nonai)^0</f>
        <v>4.3</v>
      </c>
      <c r="D184" s="19" t="n">
        <f aca="false">nonai26*(1+g_nonai)^1</f>
        <v>4.472</v>
      </c>
      <c r="E184" s="19" t="n">
        <f aca="false">nonai26*(1+g_nonai)^2</f>
        <v>4.65088</v>
      </c>
      <c r="F184" s="19" t="n">
        <f aca="false">nonai26*(1+g_nonai)^3</f>
        <v>4.8369152</v>
      </c>
      <c r="G184" s="19" t="n">
        <f aca="false">nonai26*(1+g_nonai)^4</f>
        <v>5.030391808</v>
      </c>
    </row>
    <row r="185" customFormat="false" ht="17.15" hidden="false" customHeight="false" outlineLevel="0" collapsed="false">
      <c r="A185" s="0" t="s">
        <v>688</v>
      </c>
      <c r="B185" s="0" t="s">
        <v>155</v>
      </c>
      <c r="C185" s="19" t="n">
        <f aca="false">C183+C184</f>
        <v>11</v>
      </c>
      <c r="D185" s="19" t="n">
        <f aca="false">D183+D184</f>
        <v>15.1133349416968</v>
      </c>
      <c r="E185" s="19" t="n">
        <f aca="false">E183+E184</f>
        <v>16.7469797185364</v>
      </c>
      <c r="F185" s="19" t="n">
        <f aca="false">F183+F184</f>
        <v>18.5898303588259</v>
      </c>
      <c r="G185" s="19" t="n">
        <f aca="false">G183+G184</f>
        <v>18.7833069668259</v>
      </c>
      <c r="H185" s="8" t="s">
        <v>689</v>
      </c>
    </row>
    <row r="186" customFormat="false" ht="17.15" hidden="false" customHeight="false" outlineLevel="0" collapsed="false">
      <c r="A186" s="5" t="s">
        <v>690</v>
      </c>
      <c r="B186" s="0" t="s">
        <v>155</v>
      </c>
      <c r="C186" s="19" t="n">
        <f aca="false">mk_mem26*(w_hbm*hsA_26/hsA_26+(1-w_hbm)*drA_26/drA_26)</f>
        <v>2.75</v>
      </c>
      <c r="D186" s="19" t="n">
        <f aca="false">mk_mem26*(w_hbm*hsA_27/hsA_26+(1-w_hbm)*drA_27/drA_26)</f>
        <v>3.88007408374579</v>
      </c>
      <c r="E186" s="19" t="n">
        <f aca="false">mk_mem26*(w_hbm*hsA_28/hsA_26+(1-w_hbm)*drA_28/drA_26)</f>
        <v>5.04607694610671</v>
      </c>
      <c r="F186" s="19" t="n">
        <f aca="false">mk_mem26*(w_hbm*hsA_29/hsA_26+(1-w_hbm)*drA_29/drA_26)</f>
        <v>6.20223782078096</v>
      </c>
      <c r="G186" s="19" t="n">
        <f aca="false">F186*(1+cy30g)</f>
        <v>6.20223782078096</v>
      </c>
      <c r="H186" s="8" t="s">
        <v>691</v>
      </c>
    </row>
    <row r="187" customFormat="false" ht="17.15" hidden="false" customHeight="false" outlineLevel="0" collapsed="false">
      <c r="A187" s="1" t="s">
        <v>692</v>
      </c>
    </row>
    <row r="188" customFormat="false" ht="17.15" hidden="false" customHeight="false" outlineLevel="0" collapsed="false">
      <c r="A188" s="0" t="s">
        <v>693</v>
      </c>
      <c r="B188" s="0" t="s">
        <v>155</v>
      </c>
      <c r="C188" s="19" t="n">
        <f aca="false">fmk_soc25</f>
        <v>7.925</v>
      </c>
      <c r="D188" s="19" t="n">
        <f aca="false">0.75*C185+0.25*D185</f>
        <v>12.0283337354242</v>
      </c>
      <c r="E188" s="19" t="n">
        <f aca="false">0.75*D185+0.25*E185</f>
        <v>15.5217461359067</v>
      </c>
      <c r="F188" s="19" t="n">
        <f aca="false">0.75*E185+0.25*F185</f>
        <v>17.2076923786088</v>
      </c>
      <c r="G188" s="19" t="n">
        <f aca="false">0.75*F185+0.25*G185</f>
        <v>18.6381995108259</v>
      </c>
    </row>
    <row r="189" customFormat="false" ht="17.15" hidden="false" customHeight="false" outlineLevel="0" collapsed="false">
      <c r="A189" s="5" t="s">
        <v>694</v>
      </c>
      <c r="B189" s="0" t="s">
        <v>155</v>
      </c>
      <c r="C189" s="19" t="n">
        <f aca="false">fmk_mem25</f>
        <v>2.2625</v>
      </c>
      <c r="D189" s="19" t="n">
        <f aca="false">0.75*C186+0.25*D186</f>
        <v>3.03251852093645</v>
      </c>
      <c r="E189" s="19" t="n">
        <f aca="false">0.75*D186+0.25*E186</f>
        <v>4.17157479933602</v>
      </c>
      <c r="F189" s="19" t="n">
        <f aca="false">0.75*E186+0.25*F186</f>
        <v>5.33511716477527</v>
      </c>
      <c r="G189" s="19" t="n">
        <f aca="false">0.75*F186+0.25*G186</f>
        <v>6.20223782078096</v>
      </c>
    </row>
    <row r="190" customFormat="false" ht="17.15" hidden="false" customHeight="false" outlineLevel="0" collapsed="false">
      <c r="A190" s="0" t="s">
        <v>695</v>
      </c>
      <c r="B190" s="0" t="s">
        <v>45</v>
      </c>
      <c r="C190" s="10" t="n">
        <f aca="false">a25_soc/(C188*fx)</f>
        <v>0.645552050473186</v>
      </c>
      <c r="D190" s="10" t="n">
        <f aca="false">sh_soc</f>
        <v>0.66</v>
      </c>
      <c r="E190" s="10" t="n">
        <f aca="false">sh_soc</f>
        <v>0.66</v>
      </c>
      <c r="F190" s="10" t="n">
        <f aca="false">sh_soc</f>
        <v>0.66</v>
      </c>
      <c r="G190" s="10" t="n">
        <f aca="false">sh_soc</f>
        <v>0.66</v>
      </c>
      <c r="H190" s="8" t="s">
        <v>696</v>
      </c>
    </row>
    <row r="191" customFormat="false" ht="17.15" hidden="false" customHeight="false" outlineLevel="0" collapsed="false">
      <c r="A191" s="0" t="s">
        <v>697</v>
      </c>
      <c r="B191" s="0" t="s">
        <v>354</v>
      </c>
      <c r="C191" s="16" t="n">
        <f aca="false">a25_soc</f>
        <v>767.4</v>
      </c>
      <c r="D191" s="16" t="n">
        <f aca="false">D188*D190*fx</f>
        <v>1190.805039807</v>
      </c>
      <c r="E191" s="16" t="n">
        <f aca="false">E188*E190*fx</f>
        <v>1536.65286745477</v>
      </c>
      <c r="F191" s="16" t="n">
        <f aca="false">F188*F190*fx</f>
        <v>1703.56154548227</v>
      </c>
      <c r="G191" s="16" t="n">
        <f aca="false">G188*G190*fx</f>
        <v>1845.18175157176</v>
      </c>
      <c r="H191" s="5" t="s">
        <v>698</v>
      </c>
    </row>
    <row r="192" customFormat="false" ht="15" hidden="false" customHeight="false" outlineLevel="0" collapsed="false">
      <c r="A192" s="5" t="s">
        <v>699</v>
      </c>
      <c r="B192" s="0" t="s">
        <v>354</v>
      </c>
      <c r="C192" s="16" t="n">
        <f aca="false">a25_mem</f>
        <v>171.5</v>
      </c>
      <c r="D192" s="16" t="n">
        <f aca="false">D189*sh_mem*fx</f>
        <v>229.868254736177</v>
      </c>
      <c r="E192" s="16" t="n">
        <f aca="false">E189*sh_mem*fx</f>
        <v>316.209979264587</v>
      </c>
      <c r="F192" s="16" t="n">
        <f aca="false">F189*sh_mem*fx</f>
        <v>404.407776247054</v>
      </c>
      <c r="G192" s="16" t="n">
        <f aca="false">G189*sh_mem*fx</f>
        <v>470.136480116656</v>
      </c>
    </row>
    <row r="193" customFormat="false" ht="15" hidden="false" customHeight="false" outlineLevel="0" collapsed="false">
      <c r="A193" s="5" t="s">
        <v>700</v>
      </c>
      <c r="B193" s="0" t="s">
        <v>354</v>
      </c>
      <c r="C193" s="16" t="n">
        <f aca="false">a25_oth</f>
        <v>80.5</v>
      </c>
      <c r="D193" s="16" t="n">
        <f aca="false">C193*(1+g_oth_26)</f>
        <v>104</v>
      </c>
      <c r="E193" s="16" t="n">
        <f aca="false">D193*(1+g_oth_A)</f>
        <v>119.6</v>
      </c>
      <c r="F193" s="16" t="n">
        <f aca="false">E193*(1+g_oth_A)</f>
        <v>137.54</v>
      </c>
      <c r="G193" s="16" t="n">
        <f aca="false">F193*(1+g_oth_A)</f>
        <v>158.171</v>
      </c>
    </row>
    <row r="194" customFormat="false" ht="15" hidden="false" customHeight="false" outlineLevel="0" collapsed="false">
      <c r="A194" s="5" t="s">
        <v>701</v>
      </c>
      <c r="B194" s="0" t="s">
        <v>354</v>
      </c>
      <c r="C194" s="16" t="n">
        <f aca="false">a25_svc</f>
        <v>109.2</v>
      </c>
      <c r="D194" s="16" t="n">
        <f aca="false">C194*(1+g_svc_26)</f>
        <v>135.6</v>
      </c>
      <c r="E194" s="16" t="n">
        <f aca="false">D194*(1+g_svc_A)</f>
        <v>151.872</v>
      </c>
      <c r="F194" s="16" t="n">
        <f aca="false">E194*(1+g_svc_A)</f>
        <v>170.09664</v>
      </c>
      <c r="G194" s="16" t="n">
        <f aca="false">F194*(1+g_svc_A)</f>
        <v>190.5082368</v>
      </c>
    </row>
    <row r="195" customFormat="false" ht="17.15" hidden="false" customHeight="false" outlineLevel="0" collapsed="false">
      <c r="A195" s="5" t="s">
        <v>702</v>
      </c>
      <c r="B195" s="0" t="s">
        <v>354</v>
      </c>
      <c r="C195" s="16" t="n">
        <f aca="false">C191+C192+C193</f>
        <v>1019.4</v>
      </c>
      <c r="D195" s="16" t="n">
        <f aca="false">D191+D192+D193</f>
        <v>1524.67329454317</v>
      </c>
      <c r="E195" s="16" t="n">
        <f aca="false">E191+E192+E193</f>
        <v>1972.46284671935</v>
      </c>
      <c r="F195" s="16" t="n">
        <f aca="false">F191+F192+F193</f>
        <v>2245.50932172932</v>
      </c>
      <c r="G195" s="16" t="n">
        <f aca="false">G191+G192+G193</f>
        <v>2473.48923168842</v>
      </c>
      <c r="H195" s="5" t="s">
        <v>703</v>
      </c>
    </row>
    <row r="196" customFormat="false" ht="15" hidden="false" customHeight="false" outlineLevel="0" collapsed="false">
      <c r="A196" s="5" t="s">
        <v>566</v>
      </c>
      <c r="B196" s="0" t="s">
        <v>354</v>
      </c>
      <c r="C196" s="16" t="n">
        <f aca="false">C195+C194</f>
        <v>1128.6</v>
      </c>
      <c r="D196" s="16" t="n">
        <f aca="false">D195+D194</f>
        <v>1660.27329454317</v>
      </c>
      <c r="E196" s="16" t="n">
        <f aca="false">E195+E194</f>
        <v>2124.33484671935</v>
      </c>
      <c r="F196" s="16" t="n">
        <f aca="false">F195+F194</f>
        <v>2415.60596172932</v>
      </c>
      <c r="G196" s="16" t="n">
        <f aca="false">G195+G194</f>
        <v>2663.99746848842</v>
      </c>
    </row>
    <row r="197" customFormat="false" ht="17.15" hidden="false" customHeight="false" outlineLevel="0" collapsed="false">
      <c r="A197" s="5" t="s">
        <v>704</v>
      </c>
      <c r="B197" s="0" t="s">
        <v>354</v>
      </c>
      <c r="C197" s="17" t="n">
        <f aca="false">C195+C194-a25_rev</f>
        <v>0</v>
      </c>
    </row>
    <row r="198" customFormat="false" ht="17.15" hidden="false" customHeight="false" outlineLevel="0" collapsed="false">
      <c r="A198" s="0" t="s">
        <v>705</v>
      </c>
      <c r="B198" s="0" t="s">
        <v>45</v>
      </c>
      <c r="C198" s="10" t="n">
        <f aca="false">C191/C196</f>
        <v>0.679957469431154</v>
      </c>
      <c r="D198" s="10" t="n">
        <f aca="false">D191/D196</f>
        <v>0.717234351549724</v>
      </c>
      <c r="E198" s="10" t="n">
        <f aca="false">E191/E196</f>
        <v>0.723357181579846</v>
      </c>
      <c r="F198" s="10" t="n">
        <f aca="false">F191/F196</f>
        <v>0.705231553685476</v>
      </c>
      <c r="G198" s="10" t="n">
        <f aca="false">G191/G196</f>
        <v>0.692636450821682</v>
      </c>
    </row>
    <row r="199" customFormat="false" ht="17.15" hidden="false" customHeight="false" outlineLevel="0" collapsed="false">
      <c r="A199" s="5" t="s">
        <v>570</v>
      </c>
      <c r="B199" s="0" t="s">
        <v>45</v>
      </c>
      <c r="C199" s="10" t="n">
        <f aca="false">a25_gp/a25_rev</f>
        <v>0.643</v>
      </c>
      <c r="D199" s="10" t="n">
        <f aca="false">gm_a+gm_b*D198+0</f>
        <v>0.661008769921936</v>
      </c>
      <c r="E199" s="10" t="n">
        <f aca="false">gm_a+gm_b*E198+0</f>
        <v>0.663966759727329</v>
      </c>
      <c r="F199" s="10" t="n">
        <f aca="false">gm_a+gm_b*F198+0</f>
        <v>0.655210119045792</v>
      </c>
      <c r="G199" s="10" t="n">
        <f aca="false">gm_a+gm_b*G198+0</f>
        <v>0.649125320727743</v>
      </c>
      <c r="H199" s="5" t="s">
        <v>706</v>
      </c>
    </row>
    <row r="200" customFormat="false" ht="15" hidden="false" customHeight="false" outlineLevel="0" collapsed="false">
      <c r="A200" s="5" t="s">
        <v>574</v>
      </c>
      <c r="B200" s="0" t="s">
        <v>354</v>
      </c>
      <c r="C200" s="16" t="n">
        <f aca="false">C196*C199</f>
        <v>725.6898</v>
      </c>
      <c r="D200" s="16" t="n">
        <f aca="false">D196*D199</f>
        <v>1097.45520816022</v>
      </c>
      <c r="E200" s="16" t="n">
        <f aca="false">E196*E199</f>
        <v>1410.4877247521</v>
      </c>
      <c r="F200" s="16" t="n">
        <f aca="false">F196*F199</f>
        <v>1582.72946975239</v>
      </c>
      <c r="G200" s="16" t="n">
        <f aca="false">G196*G199</f>
        <v>1729.26821115044</v>
      </c>
    </row>
    <row r="201" customFormat="false" ht="17.15" hidden="false" customHeight="false" outlineLevel="0" collapsed="false">
      <c r="A201" s="5" t="s">
        <v>707</v>
      </c>
      <c r="B201" s="0" t="s">
        <v>354</v>
      </c>
      <c r="C201" s="16" t="n">
        <f aca="false">opex25</f>
        <v>226.5898</v>
      </c>
      <c r="D201" s="16" t="n">
        <f aca="false">opex_fix+opex_var*D196</f>
        <v>287.640680071492</v>
      </c>
      <c r="E201" s="16" t="n">
        <f aca="false">opex_fix+opex_var*E196</f>
        <v>340.927851833694</v>
      </c>
      <c r="F201" s="16" t="n">
        <f aca="false">opex_fix+opex_var*F196</f>
        <v>374.373876099483</v>
      </c>
      <c r="G201" s="16" t="n">
        <f aca="false">opex_fix+opex_var*G196</f>
        <v>402.896128854263</v>
      </c>
      <c r="H201" s="5" t="s">
        <v>708</v>
      </c>
    </row>
    <row r="202" customFormat="false" ht="15" hidden="false" customHeight="false" outlineLevel="0" collapsed="false">
      <c r="A202" s="5" t="s">
        <v>577</v>
      </c>
      <c r="B202" s="0" t="s">
        <v>354</v>
      </c>
      <c r="C202" s="16" t="n">
        <f aca="false">C200-C201</f>
        <v>499.1</v>
      </c>
      <c r="D202" s="16" t="n">
        <f aca="false">D200-D201</f>
        <v>809.814528088731</v>
      </c>
      <c r="E202" s="16" t="n">
        <f aca="false">E200-E201</f>
        <v>1069.55987291841</v>
      </c>
      <c r="F202" s="16" t="n">
        <f aca="false">F200-F201</f>
        <v>1208.35559365291</v>
      </c>
      <c r="G202" s="16" t="n">
        <f aca="false">G200-G201</f>
        <v>1326.37208229618</v>
      </c>
    </row>
    <row r="203" customFormat="false" ht="15" hidden="false" customHeight="false" outlineLevel="0" collapsed="false">
      <c r="A203" s="5" t="s">
        <v>580</v>
      </c>
      <c r="B203" s="0" t="s">
        <v>45</v>
      </c>
      <c r="C203" s="10" t="n">
        <f aca="false">C202/C196</f>
        <v>0.442229310650363</v>
      </c>
      <c r="D203" s="10" t="n">
        <f aca="false">D202/D196</f>
        <v>0.48775977470116</v>
      </c>
      <c r="E203" s="10" t="n">
        <f aca="false">E202/E196</f>
        <v>0.503479889043927</v>
      </c>
      <c r="F203" s="10" t="n">
        <f aca="false">F202/F196</f>
        <v>0.500228767769663</v>
      </c>
      <c r="G203" s="10" t="n">
        <f aca="false">G202/G196</f>
        <v>0.497887891405834</v>
      </c>
    </row>
    <row r="204" customFormat="false" ht="15" hidden="false" customHeight="false" outlineLevel="0" collapsed="false">
      <c r="A204" s="5" t="s">
        <v>600</v>
      </c>
      <c r="B204" s="0" t="s">
        <v>354</v>
      </c>
      <c r="C204" s="16" t="n">
        <f aca="false">a25_ni</f>
        <v>375.4</v>
      </c>
      <c r="D204" s="16" t="n">
        <f aca="false">D202*nioi</f>
        <v>609.105136935503</v>
      </c>
      <c r="E204" s="16" t="n">
        <f aca="false">E202*nioi</f>
        <v>804.473605076277</v>
      </c>
      <c r="F204" s="16" t="n">
        <f aca="false">F202*nioi</f>
        <v>908.869344534768</v>
      </c>
      <c r="G204" s="16" t="n">
        <f aca="false">G202*nioi</f>
        <v>997.635904015198</v>
      </c>
    </row>
    <row r="205" customFormat="false" ht="15" hidden="false" customHeight="false" outlineLevel="0" collapsed="false">
      <c r="A205" s="0" t="s">
        <v>670</v>
      </c>
      <c r="B205" s="0" t="s">
        <v>403</v>
      </c>
      <c r="C205" s="16" t="n">
        <f aca="false">a25_eps</f>
        <v>515.15</v>
      </c>
      <c r="D205" s="16" t="n">
        <f aca="false">D204*1000/shares</f>
        <v>841.340313690731</v>
      </c>
      <c r="E205" s="16" t="n">
        <f aca="false">E204*1000/shares</f>
        <v>1111.19745050263</v>
      </c>
      <c r="F205" s="16" t="n">
        <f aca="false">F204*1000/shares</f>
        <v>1255.39643826011</v>
      </c>
      <c r="G205" s="16" t="n">
        <f aca="false">G204*1000/shares</f>
        <v>1378.00726596427</v>
      </c>
    </row>
    <row r="206" customFormat="false" ht="17.15" hidden="false" customHeight="false" outlineLevel="0" collapsed="false">
      <c r="A206" s="5" t="s">
        <v>709</v>
      </c>
      <c r="B206" s="0" t="s">
        <v>155</v>
      </c>
      <c r="C206" s="17" t="n">
        <f aca="false">C196/fx</f>
        <v>7.524</v>
      </c>
      <c r="D206" s="17" t="n">
        <f aca="false">D196/fx</f>
        <v>11.0684886302878</v>
      </c>
      <c r="E206" s="17" t="n">
        <f aca="false">E196/fx</f>
        <v>14.1622323114623</v>
      </c>
      <c r="F206" s="17" t="n">
        <f aca="false">F196/fx</f>
        <v>16.1040397448621</v>
      </c>
      <c r="G206" s="17" t="n">
        <f aca="false">G196/fx</f>
        <v>17.7599831232561</v>
      </c>
      <c r="H206" s="8" t="s">
        <v>710</v>
      </c>
    </row>
    <row r="210" customFormat="false" ht="17.15" hidden="false" customHeight="false" outlineLevel="0" collapsed="false">
      <c r="A210" s="4" t="s">
        <v>1076</v>
      </c>
    </row>
    <row r="211" customFormat="false" ht="17.15" hidden="false" customHeight="false" outlineLevel="0" collapsed="false">
      <c r="A211" s="6" t="s">
        <v>23</v>
      </c>
      <c r="B211" s="6" t="s">
        <v>24</v>
      </c>
      <c r="C211" s="14" t="s">
        <v>675</v>
      </c>
      <c r="D211" s="14" t="s">
        <v>676</v>
      </c>
      <c r="E211" s="14" t="s">
        <v>677</v>
      </c>
      <c r="F211" s="14" t="s">
        <v>678</v>
      </c>
      <c r="G211" s="14" t="s">
        <v>679</v>
      </c>
      <c r="H211" s="6" t="s">
        <v>478</v>
      </c>
    </row>
    <row r="212" customFormat="false" ht="17.15" hidden="false" customHeight="false" outlineLevel="0" collapsed="false">
      <c r="A212" s="1" t="s">
        <v>680</v>
      </c>
    </row>
    <row r="213" customFormat="false" ht="17.15" hidden="false" customHeight="false" outlineLevel="0" collapsed="false">
      <c r="A213" s="5" t="s">
        <v>681</v>
      </c>
      <c r="B213" s="5" t="s">
        <v>34</v>
      </c>
      <c r="C213" s="19" t="n">
        <f aca="false">u_bw_26*tt_bw_hi+u_rb_26*tt_rb_hi+u_ru_26*tt_ru_hi+u_hp_26*tt_hp_hi+u_amd_26*tt_amd_hi+u_tpu_26*tt_tpu_hi+u_trn_26*tt_trn_hi+u_oth_26*tt_oth_hi</f>
        <v>18.315</v>
      </c>
      <c r="D213" s="19" t="n">
        <f aca="false">u_bw_27*tt_bw_hi+u_rb_27*tt_rb_hi+u_ru_27*tt_ru_hi+u_hp_27*tt_hp_hi+u_amd_27*tt_amd_hi+u_tpu_27*tt_tpu_hi+u_trn_27*tt_trn_hi+u_oth_27*tt_oth_hi</f>
        <v>31</v>
      </c>
      <c r="E213" s="19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9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9" t="n">
        <f aca="false">F213*(1+cy30g)</f>
        <v>41.445</v>
      </c>
      <c r="H213" s="8" t="s">
        <v>682</v>
      </c>
    </row>
    <row r="214" customFormat="false" ht="17.15" hidden="false" customHeight="false" outlineLevel="0" collapsed="false">
      <c r="A214" s="5" t="s">
        <v>683</v>
      </c>
      <c r="B214" s="0" t="s">
        <v>684</v>
      </c>
      <c r="C214" s="21" t="n">
        <f aca="false">(mk_soc26-nonai26)/C213</f>
        <v>0.365820365820366</v>
      </c>
      <c r="H214" s="5" t="s">
        <v>685</v>
      </c>
    </row>
    <row r="215" customFormat="false" ht="17.15" hidden="false" customHeight="false" outlineLevel="0" collapsed="false">
      <c r="A215" s="0" t="s">
        <v>686</v>
      </c>
      <c r="B215" s="0" t="s">
        <v>155</v>
      </c>
      <c r="C215" s="19" t="n">
        <f aca="false">$C$214*C213*(1-0)^0</f>
        <v>6.7</v>
      </c>
      <c r="D215" s="19" t="n">
        <f aca="false">$C$214*D213*(1-0)^1</f>
        <v>11.3404313404313</v>
      </c>
      <c r="E215" s="19" t="n">
        <f aca="false">$C$214*E213*(1-0)^2</f>
        <v>13.2975702975703</v>
      </c>
      <c r="F215" s="19" t="n">
        <f aca="false">$C$214*F213*(1-0)^3</f>
        <v>15.1614250614251</v>
      </c>
      <c r="G215" s="19" t="n">
        <f aca="false">$C$214*G213*(1-0)^4</f>
        <v>15.1614250614251</v>
      </c>
    </row>
    <row r="216" customFormat="false" ht="17.15" hidden="false" customHeight="false" outlineLevel="0" collapsed="false">
      <c r="A216" s="5" t="s">
        <v>687</v>
      </c>
      <c r="B216" s="0" t="s">
        <v>155</v>
      </c>
      <c r="C216" s="19" t="n">
        <f aca="false">nonai26*(1+g_nonai)^0</f>
        <v>4.3</v>
      </c>
      <c r="D216" s="19" t="n">
        <f aca="false">nonai26*(1+g_nonai)^1</f>
        <v>4.472</v>
      </c>
      <c r="E216" s="19" t="n">
        <f aca="false">nonai26*(1+g_nonai)^2</f>
        <v>4.65088</v>
      </c>
      <c r="F216" s="19" t="n">
        <f aca="false">nonai26*(1+g_nonai)^3</f>
        <v>4.8369152</v>
      </c>
      <c r="G216" s="19" t="n">
        <f aca="false">nonai26*(1+g_nonai)^4</f>
        <v>5.030391808</v>
      </c>
    </row>
    <row r="217" customFormat="false" ht="17.15" hidden="false" customHeight="false" outlineLevel="0" collapsed="false">
      <c r="A217" s="0" t="s">
        <v>688</v>
      </c>
      <c r="B217" s="0" t="s">
        <v>155</v>
      </c>
      <c r="C217" s="19" t="n">
        <f aca="false">C215+C216</f>
        <v>11</v>
      </c>
      <c r="D217" s="19" t="n">
        <f aca="false">D215+D216</f>
        <v>15.8124313404313</v>
      </c>
      <c r="E217" s="19" t="n">
        <f aca="false">E215+E216</f>
        <v>17.9484502975703</v>
      </c>
      <c r="F217" s="19" t="n">
        <f aca="false">F215+F216</f>
        <v>19.9983402614251</v>
      </c>
      <c r="G217" s="19" t="n">
        <f aca="false">G215+G216</f>
        <v>20.1918168694251</v>
      </c>
      <c r="H217" s="8" t="s">
        <v>689</v>
      </c>
    </row>
    <row r="218" customFormat="false" ht="17.15" hidden="false" customHeight="false" outlineLevel="0" collapsed="false">
      <c r="A218" s="5" t="s">
        <v>690</v>
      </c>
      <c r="B218" s="0" t="s">
        <v>155</v>
      </c>
      <c r="C218" s="19" t="n">
        <f aca="false">mk_mem26*(w_hbm*hsA_26/hsA_26+(1-w_hbm)*drA_26/drA_26)</f>
        <v>2.75</v>
      </c>
      <c r="D218" s="19" t="n">
        <f aca="false">mk_mem26*(w_hbm*hsA_27/hsA_26+(1-w_hbm)*drA_27/drA_26)</f>
        <v>3.88007408374579</v>
      </c>
      <c r="E218" s="19" t="n">
        <f aca="false">mk_mem26*(w_hbm*hsA_28/hsA_26+(1-w_hbm)*drA_28/drA_26)</f>
        <v>5.04607694610671</v>
      </c>
      <c r="F218" s="19" t="n">
        <f aca="false">mk_mem26*(w_hbm*hsA_29/hsA_26+(1-w_hbm)*drA_29/drA_26)</f>
        <v>6.20223782078096</v>
      </c>
      <c r="G218" s="19" t="n">
        <f aca="false">F218*(1+cy30g)</f>
        <v>6.20223782078096</v>
      </c>
      <c r="H218" s="8" t="s">
        <v>691</v>
      </c>
    </row>
    <row r="219" customFormat="false" ht="17.15" hidden="false" customHeight="false" outlineLevel="0" collapsed="false">
      <c r="A219" s="1" t="s">
        <v>692</v>
      </c>
    </row>
    <row r="220" customFormat="false" ht="17.15" hidden="false" customHeight="false" outlineLevel="0" collapsed="false">
      <c r="A220" s="0" t="s">
        <v>693</v>
      </c>
      <c r="B220" s="0" t="s">
        <v>155</v>
      </c>
      <c r="C220" s="19" t="n">
        <f aca="false">fmk_soc25</f>
        <v>7.925</v>
      </c>
      <c r="D220" s="19" t="n">
        <f aca="false">0.75*C217+0.25*D217</f>
        <v>12.2031078351078</v>
      </c>
      <c r="E220" s="19" t="n">
        <f aca="false">0.75*D217+0.25*E217</f>
        <v>16.3464360797161</v>
      </c>
      <c r="F220" s="19" t="n">
        <f aca="false">0.75*E217+0.25*F217</f>
        <v>18.460922788534</v>
      </c>
      <c r="G220" s="19" t="n">
        <f aca="false">0.75*F217+0.25*G217</f>
        <v>20.0467094134251</v>
      </c>
    </row>
    <row r="221" customFormat="false" ht="17.15" hidden="false" customHeight="false" outlineLevel="0" collapsed="false">
      <c r="A221" s="5" t="s">
        <v>694</v>
      </c>
      <c r="B221" s="0" t="s">
        <v>155</v>
      </c>
      <c r="C221" s="19" t="n">
        <f aca="false">fmk_mem25</f>
        <v>2.2625</v>
      </c>
      <c r="D221" s="19" t="n">
        <f aca="false">0.75*C218+0.25*D218</f>
        <v>3.03251852093645</v>
      </c>
      <c r="E221" s="19" t="n">
        <f aca="false">0.75*D218+0.25*E218</f>
        <v>4.17157479933602</v>
      </c>
      <c r="F221" s="19" t="n">
        <f aca="false">0.75*E218+0.25*F218</f>
        <v>5.33511716477527</v>
      </c>
      <c r="G221" s="19" t="n">
        <f aca="false">0.75*F218+0.25*G218</f>
        <v>6.20223782078096</v>
      </c>
    </row>
    <row r="222" customFormat="false" ht="17.15" hidden="false" customHeight="false" outlineLevel="0" collapsed="false">
      <c r="A222" s="0" t="s">
        <v>695</v>
      </c>
      <c r="B222" s="0" t="s">
        <v>45</v>
      </c>
      <c r="C222" s="10" t="n">
        <f aca="false">a25_soc/(C220*fx)</f>
        <v>0.645552050473186</v>
      </c>
      <c r="D222" s="10" t="n">
        <f aca="false">sh_soc</f>
        <v>0.66</v>
      </c>
      <c r="E222" s="10" t="n">
        <f aca="false">sh_soc</f>
        <v>0.66</v>
      </c>
      <c r="F222" s="10" t="n">
        <f aca="false">sh_soc</f>
        <v>0.66</v>
      </c>
      <c r="G222" s="10" t="n">
        <f aca="false">sh_soc</f>
        <v>0.66</v>
      </c>
      <c r="H222" s="8" t="s">
        <v>696</v>
      </c>
    </row>
    <row r="223" customFormat="false" ht="17.15" hidden="false" customHeight="false" outlineLevel="0" collapsed="false">
      <c r="A223" s="0" t="s">
        <v>697</v>
      </c>
      <c r="B223" s="0" t="s">
        <v>354</v>
      </c>
      <c r="C223" s="16" t="n">
        <f aca="false">a25_soc</f>
        <v>767.4</v>
      </c>
      <c r="D223" s="16" t="n">
        <f aca="false">D220*D222*fx</f>
        <v>1208.10767567568</v>
      </c>
      <c r="E223" s="16" t="n">
        <f aca="false">E220*E222*fx</f>
        <v>1618.29717189189</v>
      </c>
      <c r="F223" s="16" t="n">
        <f aca="false">F220*F222*fx</f>
        <v>1827.63135606487</v>
      </c>
      <c r="G223" s="16" t="n">
        <f aca="false">G220*G222*fx</f>
        <v>1984.62423192908</v>
      </c>
      <c r="H223" s="5" t="s">
        <v>698</v>
      </c>
    </row>
    <row r="224" customFormat="false" ht="15" hidden="false" customHeight="false" outlineLevel="0" collapsed="false">
      <c r="A224" s="5" t="s">
        <v>699</v>
      </c>
      <c r="B224" s="0" t="s">
        <v>354</v>
      </c>
      <c r="C224" s="16" t="n">
        <f aca="false">a25_mem</f>
        <v>171.5</v>
      </c>
      <c r="D224" s="16" t="n">
        <f aca="false">D221*sh_mem*fx</f>
        <v>229.868254736177</v>
      </c>
      <c r="E224" s="16" t="n">
        <f aca="false">E221*sh_mem*fx</f>
        <v>316.209979264587</v>
      </c>
      <c r="F224" s="16" t="n">
        <f aca="false">F221*sh_mem*fx</f>
        <v>404.407776247054</v>
      </c>
      <c r="G224" s="16" t="n">
        <f aca="false">G221*sh_mem*fx</f>
        <v>470.136480116656</v>
      </c>
    </row>
    <row r="225" customFormat="false" ht="15" hidden="false" customHeight="false" outlineLevel="0" collapsed="false">
      <c r="A225" s="5" t="s">
        <v>700</v>
      </c>
      <c r="B225" s="0" t="s">
        <v>354</v>
      </c>
      <c r="C225" s="16" t="n">
        <f aca="false">a25_oth</f>
        <v>80.5</v>
      </c>
      <c r="D225" s="16" t="n">
        <f aca="false">C225*(1+g_oth_26)</f>
        <v>104</v>
      </c>
      <c r="E225" s="16" t="n">
        <f aca="false">D225*(1+g_oth_A)</f>
        <v>119.6</v>
      </c>
      <c r="F225" s="16" t="n">
        <f aca="false">E225*(1+g_oth_A)</f>
        <v>137.54</v>
      </c>
      <c r="G225" s="16" t="n">
        <f aca="false">F225*(1+g_oth_A)</f>
        <v>158.171</v>
      </c>
    </row>
    <row r="226" customFormat="false" ht="15" hidden="false" customHeight="false" outlineLevel="0" collapsed="false">
      <c r="A226" s="5" t="s">
        <v>701</v>
      </c>
      <c r="B226" s="0" t="s">
        <v>354</v>
      </c>
      <c r="C226" s="16" t="n">
        <f aca="false">a25_svc</f>
        <v>109.2</v>
      </c>
      <c r="D226" s="16" t="n">
        <f aca="false">C226*(1+g_svc_26)</f>
        <v>135.6</v>
      </c>
      <c r="E226" s="16" t="n">
        <f aca="false">D226*(1+g_svc_A)</f>
        <v>151.872</v>
      </c>
      <c r="F226" s="16" t="n">
        <f aca="false">E226*(1+g_svc_A)</f>
        <v>170.09664</v>
      </c>
      <c r="G226" s="16" t="n">
        <f aca="false">F226*(1+g_svc_A)</f>
        <v>190.5082368</v>
      </c>
    </row>
    <row r="227" customFormat="false" ht="17.15" hidden="false" customHeight="false" outlineLevel="0" collapsed="false">
      <c r="A227" s="5" t="s">
        <v>702</v>
      </c>
      <c r="B227" s="0" t="s">
        <v>354</v>
      </c>
      <c r="C227" s="16" t="n">
        <f aca="false">C223+C224+C225</f>
        <v>1019.4</v>
      </c>
      <c r="D227" s="16" t="n">
        <f aca="false">D223+D224+D225</f>
        <v>1541.97593041185</v>
      </c>
      <c r="E227" s="16" t="n">
        <f aca="false">E223+E224+E225</f>
        <v>2054.10715115648</v>
      </c>
      <c r="F227" s="16" t="n">
        <f aca="false">F223+F224+F225</f>
        <v>2369.57913231192</v>
      </c>
      <c r="G227" s="16" t="n">
        <f aca="false">G223+G224+G225</f>
        <v>2612.93171204574</v>
      </c>
      <c r="H227" s="5" t="s">
        <v>703</v>
      </c>
    </row>
    <row r="228" customFormat="false" ht="15" hidden="false" customHeight="false" outlineLevel="0" collapsed="false">
      <c r="A228" s="5" t="s">
        <v>566</v>
      </c>
      <c r="B228" s="0" t="s">
        <v>354</v>
      </c>
      <c r="C228" s="16" t="n">
        <f aca="false">C227+C226</f>
        <v>1128.6</v>
      </c>
      <c r="D228" s="16" t="n">
        <f aca="false">D227+D226</f>
        <v>1677.57593041185</v>
      </c>
      <c r="E228" s="16" t="n">
        <f aca="false">E227+E226</f>
        <v>2205.97915115648</v>
      </c>
      <c r="F228" s="16" t="n">
        <f aca="false">F227+F226</f>
        <v>2539.67577231192</v>
      </c>
      <c r="G228" s="16" t="n">
        <f aca="false">G227+G226</f>
        <v>2803.43994884574</v>
      </c>
    </row>
    <row r="229" customFormat="false" ht="17.15" hidden="false" customHeight="false" outlineLevel="0" collapsed="false">
      <c r="A229" s="5" t="s">
        <v>704</v>
      </c>
      <c r="B229" s="0" t="s">
        <v>354</v>
      </c>
      <c r="C229" s="17" t="n">
        <f aca="false">C227+C226-a25_rev</f>
        <v>0</v>
      </c>
    </row>
    <row r="230" customFormat="false" ht="17.15" hidden="false" customHeight="false" outlineLevel="0" collapsed="false">
      <c r="A230" s="0" t="s">
        <v>705</v>
      </c>
      <c r="B230" s="0" t="s">
        <v>45</v>
      </c>
      <c r="C230" s="10" t="n">
        <f aca="false">C223/C228</f>
        <v>0.679957469431154</v>
      </c>
      <c r="D230" s="10" t="n">
        <f aca="false">D223/D228</f>
        <v>0.72015081629067</v>
      </c>
      <c r="E230" s="10" t="n">
        <f aca="false">E223/E228</f>
        <v>0.733595859708603</v>
      </c>
      <c r="F230" s="10" t="n">
        <f aca="false">F223/F228</f>
        <v>0.719631764018891</v>
      </c>
      <c r="G230" s="10" t="n">
        <f aca="false">G223/G228</f>
        <v>0.707924645486418</v>
      </c>
    </row>
    <row r="231" customFormat="false" ht="17.15" hidden="false" customHeight="false" outlineLevel="0" collapsed="false">
      <c r="A231" s="5" t="s">
        <v>570</v>
      </c>
      <c r="B231" s="0" t="s">
        <v>45</v>
      </c>
      <c r="C231" s="10" t="n">
        <f aca="false">a25_gp/a25_rev</f>
        <v>0.643</v>
      </c>
      <c r="D231" s="10" t="n">
        <f aca="false">gm_a+gm_b*D230+0</f>
        <v>0.662417738148894</v>
      </c>
      <c r="E231" s="10" t="n">
        <f aca="false">gm_a+gm_b*E230+0</f>
        <v>0.668913149775162</v>
      </c>
      <c r="F231" s="10" t="n">
        <f aca="false">gm_a+gm_b*F230+0</f>
        <v>0.662166979705358</v>
      </c>
      <c r="G231" s="10" t="n">
        <f aca="false">gm_a+gm_b*G230+0</f>
        <v>0.656511173958796</v>
      </c>
      <c r="H231" s="5" t="s">
        <v>706</v>
      </c>
    </row>
    <row r="232" customFormat="false" ht="15" hidden="false" customHeight="false" outlineLevel="0" collapsed="false">
      <c r="A232" s="5" t="s">
        <v>574</v>
      </c>
      <c r="B232" s="0" t="s">
        <v>354</v>
      </c>
      <c r="C232" s="16" t="n">
        <f aca="false">C228*C231</f>
        <v>725.6898</v>
      </c>
      <c r="D232" s="16" t="n">
        <f aca="false">D228*D231</f>
        <v>1111.25605339645</v>
      </c>
      <c r="E232" s="16" t="n">
        <f aca="false">E228*E231</f>
        <v>1475.60846233842</v>
      </c>
      <c r="F232" s="16" t="n">
        <f aca="false">F228*F231</f>
        <v>1681.68943558266</v>
      </c>
      <c r="G232" s="16" t="n">
        <f aca="false">G228*G231</f>
        <v>1840.4896519397</v>
      </c>
    </row>
    <row r="233" customFormat="false" ht="17.15" hidden="false" customHeight="false" outlineLevel="0" collapsed="false">
      <c r="A233" s="5" t="s">
        <v>707</v>
      </c>
      <c r="B233" s="0" t="s">
        <v>354</v>
      </c>
      <c r="C233" s="16" t="n">
        <f aca="false">opex25</f>
        <v>226.5898</v>
      </c>
      <c r="D233" s="16" t="n">
        <f aca="false">opex_fix+opex_var*D228</f>
        <v>289.627503856288</v>
      </c>
      <c r="E233" s="16" t="n">
        <f aca="false">opex_fix+opex_var*E228</f>
        <v>350.302888514809</v>
      </c>
      <c r="F233" s="16" t="n">
        <f aca="false">opex_fix+opex_var*F228</f>
        <v>388.620540741308</v>
      </c>
      <c r="G233" s="16" t="n">
        <f aca="false">opex_fix+opex_var*G228</f>
        <v>418.908003500855</v>
      </c>
      <c r="H233" s="5" t="s">
        <v>708</v>
      </c>
    </row>
    <row r="234" customFormat="false" ht="15" hidden="false" customHeight="false" outlineLevel="0" collapsed="false">
      <c r="A234" s="5" t="s">
        <v>577</v>
      </c>
      <c r="B234" s="0" t="s">
        <v>354</v>
      </c>
      <c r="C234" s="16" t="n">
        <f aca="false">C232-C233</f>
        <v>499.1</v>
      </c>
      <c r="D234" s="16" t="n">
        <f aca="false">D232-D233</f>
        <v>821.628549540158</v>
      </c>
      <c r="E234" s="16" t="n">
        <f aca="false">E232-E233</f>
        <v>1125.30557382361</v>
      </c>
      <c r="F234" s="16" t="n">
        <f aca="false">F232-F233</f>
        <v>1293.06889484135</v>
      </c>
      <c r="G234" s="16" t="n">
        <f aca="false">G232-G233</f>
        <v>1421.58164843885</v>
      </c>
    </row>
    <row r="235" customFormat="false" ht="15" hidden="false" customHeight="false" outlineLevel="0" collapsed="false">
      <c r="A235" s="5" t="s">
        <v>580</v>
      </c>
      <c r="B235" s="0" t="s">
        <v>45</v>
      </c>
      <c r="C235" s="10" t="n">
        <f aca="false">C234/C228</f>
        <v>0.442229310650363</v>
      </c>
      <c r="D235" s="10" t="n">
        <f aca="false">D234/D228</f>
        <v>0.489771303131682</v>
      </c>
      <c r="E235" s="10" t="n">
        <f aca="false">E234/E228</f>
        <v>0.510116141956134</v>
      </c>
      <c r="F235" s="10" t="n">
        <f aca="false">F234/F228</f>
        <v>0.509147234044069</v>
      </c>
      <c r="G235" s="10" t="n">
        <f aca="false">G234/G228</f>
        <v>0.507084751012468</v>
      </c>
    </row>
    <row r="236" customFormat="false" ht="15" hidden="false" customHeight="false" outlineLevel="0" collapsed="false">
      <c r="A236" s="5" t="s">
        <v>600</v>
      </c>
      <c r="B236" s="0" t="s">
        <v>354</v>
      </c>
      <c r="C236" s="16" t="n">
        <f aca="false">a25_ni</f>
        <v>375.4</v>
      </c>
      <c r="D236" s="16" t="n">
        <f aca="false">D234*nioi</f>
        <v>617.991098972902</v>
      </c>
      <c r="E236" s="16" t="n">
        <f aca="false">E234*nioi</f>
        <v>846.402950137013</v>
      </c>
      <c r="F236" s="16" t="n">
        <f aca="false">F234*nioi</f>
        <v>972.586782455303</v>
      </c>
      <c r="G236" s="16" t="n">
        <f aca="false">G234*nioi</f>
        <v>1069.24814831485</v>
      </c>
    </row>
    <row r="237" customFormat="false" ht="15" hidden="false" customHeight="false" outlineLevel="0" collapsed="false">
      <c r="A237" s="0" t="s">
        <v>670</v>
      </c>
      <c r="B237" s="0" t="s">
        <v>403</v>
      </c>
      <c r="C237" s="16" t="n">
        <f aca="false">a25_eps</f>
        <v>515.15</v>
      </c>
      <c r="D237" s="16" t="n">
        <f aca="false">D236*1000/shares</f>
        <v>853.61425070857</v>
      </c>
      <c r="E237" s="16" t="n">
        <f aca="false">E236*1000/shares</f>
        <v>1169.11331130743</v>
      </c>
      <c r="F237" s="16" t="n">
        <f aca="false">F236*1000/shares</f>
        <v>1343.40759751144</v>
      </c>
      <c r="G237" s="16" t="n">
        <f aca="false">G236*1000/shares</f>
        <v>1476.92330595417</v>
      </c>
    </row>
    <row r="238" customFormat="false" ht="17.15" hidden="false" customHeight="false" outlineLevel="0" collapsed="false">
      <c r="A238" s="5" t="s">
        <v>709</v>
      </c>
      <c r="B238" s="0" t="s">
        <v>155</v>
      </c>
      <c r="C238" s="17" t="n">
        <f aca="false">C228/fx</f>
        <v>7.524</v>
      </c>
      <c r="D238" s="17" t="n">
        <f aca="false">D228/fx</f>
        <v>11.183839536079</v>
      </c>
      <c r="E238" s="17" t="n">
        <f aca="false">E228/fx</f>
        <v>14.7065276743765</v>
      </c>
      <c r="F238" s="17" t="n">
        <f aca="false">F228/fx</f>
        <v>16.9311718154128</v>
      </c>
      <c r="G238" s="17" t="n">
        <f aca="false">G228/fx</f>
        <v>18.6895996589716</v>
      </c>
      <c r="H238" s="8" t="s">
        <v>710</v>
      </c>
    </row>
    <row r="242" customFormat="false" ht="17.15" hidden="false" customHeight="false" outlineLevel="0" collapsed="false">
      <c r="A242" s="4" t="s">
        <v>1077</v>
      </c>
    </row>
    <row r="243" customFormat="false" ht="17.15" hidden="false" customHeight="false" outlineLevel="0" collapsed="false">
      <c r="A243" s="6" t="s">
        <v>23</v>
      </c>
      <c r="B243" s="6" t="s">
        <v>24</v>
      </c>
      <c r="C243" s="14" t="s">
        <v>675</v>
      </c>
      <c r="D243" s="14" t="s">
        <v>676</v>
      </c>
      <c r="E243" s="14" t="s">
        <v>677</v>
      </c>
      <c r="F243" s="14" t="s">
        <v>678</v>
      </c>
      <c r="G243" s="14" t="s">
        <v>679</v>
      </c>
      <c r="H243" s="6" t="s">
        <v>478</v>
      </c>
    </row>
    <row r="244" customFormat="false" ht="17.15" hidden="false" customHeight="false" outlineLevel="0" collapsed="false">
      <c r="A244" s="1" t="s">
        <v>680</v>
      </c>
    </row>
    <row r="245" customFormat="false" ht="17.15" hidden="false" customHeight="false" outlineLevel="0" collapsed="false">
      <c r="A245" s="5" t="s">
        <v>681</v>
      </c>
      <c r="B245" s="5" t="s">
        <v>34</v>
      </c>
      <c r="C245" s="19" t="n">
        <f aca="false">u_bw_26*tt_bw+u_rb_26*tt_rb+u_ru_26*tt_ru+u_hp_26*tt_hp+u_amd_26*tt_amd+u_tpu_26*tt_tpu+u_trn_26*tt_trn+u_oth_26*tt_oth</f>
        <v>14.885</v>
      </c>
      <c r="D245" s="19" t="n">
        <f aca="false">u_bw_27*tt_bw+u_rb_27*tt_rb+u_ru_27*tt_ru+u_hp_27*tt_hp+u_amd_27*tt_amd+u_tpu_27*tt_tpu+u_trn_27*tt_trn+u_oth_27*tt_oth</f>
        <v>24.31</v>
      </c>
      <c r="E245" s="19" t="n">
        <f aca="false">u_bw_28*um28_A*tt_bw+u_rb_28*um28_A*tt_rb+u_ru_28*um28_A*tt_ru+u_hp_28*um28_A*tt_hp+u_amd_28*um28_A*tt_amd+u_tpu_28*um28_A*tt_tpu+u_trn_28*um28_A*tt_trn+u_oth_28*um28_A*tt_oth</f>
        <v>28.1</v>
      </c>
      <c r="F24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9" t="n">
        <f aca="false">F245*(1+cy30g)</f>
        <v>31.99</v>
      </c>
      <c r="H245" s="8" t="s">
        <v>682</v>
      </c>
    </row>
    <row r="246" customFormat="false" ht="17.15" hidden="false" customHeight="false" outlineLevel="0" collapsed="false">
      <c r="A246" s="5" t="s">
        <v>683</v>
      </c>
      <c r="B246" s="0" t="s">
        <v>684</v>
      </c>
      <c r="C246" s="21" t="n">
        <f aca="false">(mk_soc26-nonai26)/C245</f>
        <v>0.450117568021498</v>
      </c>
      <c r="H246" s="5" t="s">
        <v>685</v>
      </c>
    </row>
    <row r="247" customFormat="false" ht="17.15" hidden="false" customHeight="false" outlineLevel="0" collapsed="false">
      <c r="A247" s="0" t="s">
        <v>686</v>
      </c>
      <c r="B247" s="0" t="s">
        <v>155</v>
      </c>
      <c r="C247" s="19" t="n">
        <f aca="false">$C$246*C245*(1-0)^0</f>
        <v>6.7</v>
      </c>
      <c r="D247" s="19" t="n">
        <f aca="false">$C$246*D245*(1-0)^1</f>
        <v>10.9423580786026</v>
      </c>
      <c r="E247" s="19" t="n">
        <f aca="false">$C$246*E245*(1-0)^2</f>
        <v>12.6483036614041</v>
      </c>
      <c r="F247" s="19" t="n">
        <f aca="false">$C$246*F245*(1-0)^3</f>
        <v>14.3992610010077</v>
      </c>
      <c r="G247" s="19" t="n">
        <f aca="false">$C$246*G245*(1-0)^4</f>
        <v>14.3992610010077</v>
      </c>
    </row>
    <row r="248" customFormat="false" ht="17.15" hidden="false" customHeight="false" outlineLevel="0" collapsed="false">
      <c r="A248" s="5" t="s">
        <v>687</v>
      </c>
      <c r="B248" s="0" t="s">
        <v>155</v>
      </c>
      <c r="C248" s="19" t="n">
        <f aca="false">nonai26*(1+g_nonai)^0</f>
        <v>4.3</v>
      </c>
      <c r="D248" s="19" t="n">
        <f aca="false">nonai26*(1+g_nonai)^1</f>
        <v>4.472</v>
      </c>
      <c r="E248" s="19" t="n">
        <f aca="false">nonai26*(1+g_nonai)^2</f>
        <v>4.65088</v>
      </c>
      <c r="F248" s="19" t="n">
        <f aca="false">nonai26*(1+g_nonai)^3</f>
        <v>4.8369152</v>
      </c>
      <c r="G248" s="19" t="n">
        <f aca="false">nonai26*(1+g_nonai)^4</f>
        <v>5.030391808</v>
      </c>
    </row>
    <row r="249" customFormat="false" ht="17.15" hidden="false" customHeight="false" outlineLevel="0" collapsed="false">
      <c r="A249" s="0" t="s">
        <v>688</v>
      </c>
      <c r="B249" s="0" t="s">
        <v>155</v>
      </c>
      <c r="C249" s="19" t="n">
        <f aca="false">C247+C248</f>
        <v>11</v>
      </c>
      <c r="D249" s="19" t="n">
        <f aca="false">D247+D248</f>
        <v>15.4143580786026</v>
      </c>
      <c r="E249" s="19" t="n">
        <f aca="false">E247+E248</f>
        <v>17.2991836614041</v>
      </c>
      <c r="F249" s="19" t="n">
        <f aca="false">F247+F248</f>
        <v>19.2361762010077</v>
      </c>
      <c r="G249" s="19" t="n">
        <f aca="false">G247+G248</f>
        <v>19.4296528090077</v>
      </c>
      <c r="H249" s="8" t="s">
        <v>689</v>
      </c>
    </row>
    <row r="250" customFormat="false" ht="17.15" hidden="false" customHeight="false" outlineLevel="0" collapsed="false">
      <c r="A250" s="5" t="s">
        <v>690</v>
      </c>
      <c r="B250" s="0" t="s">
        <v>155</v>
      </c>
      <c r="C250" s="19" t="n">
        <f aca="false">mk_mem26*(w_hbm*hsA_26/hsA_26+(1-w_hbm)*drA_26/drA_26)</f>
        <v>2.75</v>
      </c>
      <c r="D250" s="19" t="n">
        <f aca="false">mk_mem26*(w_hbm*hsA_27/hsA_26+(1-w_hbm)*drA_27/drA_26)</f>
        <v>3.88007408374579</v>
      </c>
      <c r="E250" s="19" t="n">
        <f aca="false">mk_mem26*(w_hbm*hsA_28/hsA_26+(1-w_hbm)*drA_28/drA_26)</f>
        <v>5.04607694610671</v>
      </c>
      <c r="F250" s="19" t="n">
        <f aca="false">mk_mem26*(w_hbm*hsA_29/hsA_26+(1-w_hbm)*drA_29/drA_26)</f>
        <v>6.20223782078096</v>
      </c>
      <c r="G250" s="19" t="n">
        <f aca="false">F250*(1+cy30g)</f>
        <v>6.20223782078096</v>
      </c>
      <c r="H250" s="8" t="s">
        <v>691</v>
      </c>
    </row>
    <row r="251" customFormat="false" ht="17.15" hidden="false" customHeight="false" outlineLevel="0" collapsed="false">
      <c r="A251" s="1" t="s">
        <v>692</v>
      </c>
    </row>
    <row r="252" customFormat="false" ht="17.15" hidden="false" customHeight="false" outlineLevel="0" collapsed="false">
      <c r="A252" s="0" t="s">
        <v>693</v>
      </c>
      <c r="B252" s="0" t="s">
        <v>155</v>
      </c>
      <c r="C252" s="19" t="n">
        <f aca="false">fmk_soc25</f>
        <v>7.925</v>
      </c>
      <c r="D252" s="19" t="n">
        <f aca="false">0.75*C249+0.25*D249</f>
        <v>12.1035895196507</v>
      </c>
      <c r="E252" s="19" t="n">
        <f aca="false">0.75*D249+0.25*E249</f>
        <v>15.885564474303</v>
      </c>
      <c r="F252" s="19" t="n">
        <f aca="false">0.75*E249+0.25*F249</f>
        <v>17.783431796305</v>
      </c>
      <c r="G252" s="19" t="n">
        <f aca="false">0.75*F249+0.25*G249</f>
        <v>19.2845453530077</v>
      </c>
    </row>
    <row r="253" customFormat="false" ht="17.15" hidden="false" customHeight="false" outlineLevel="0" collapsed="false">
      <c r="A253" s="5" t="s">
        <v>694</v>
      </c>
      <c r="B253" s="0" t="s">
        <v>155</v>
      </c>
      <c r="C253" s="19" t="n">
        <f aca="false">fmk_mem25</f>
        <v>2.2625</v>
      </c>
      <c r="D253" s="19" t="n">
        <f aca="false">0.75*C250+0.25*D250</f>
        <v>3.03251852093645</v>
      </c>
      <c r="E253" s="19" t="n">
        <f aca="false">0.75*D250+0.25*E250</f>
        <v>4.17157479933602</v>
      </c>
      <c r="F253" s="19" t="n">
        <f aca="false">0.75*E250+0.25*F250</f>
        <v>5.33511716477527</v>
      </c>
      <c r="G253" s="19" t="n">
        <f aca="false">0.75*F250+0.25*G250</f>
        <v>6.20223782078096</v>
      </c>
    </row>
    <row r="254" customFormat="false" ht="17.15" hidden="false" customHeight="false" outlineLevel="0" collapsed="false">
      <c r="A254" s="0" t="s">
        <v>695</v>
      </c>
      <c r="B254" s="0" t="s">
        <v>45</v>
      </c>
      <c r="C254" s="10" t="n">
        <f aca="false">a25_soc/(C252*fx)</f>
        <v>0.645552050473186</v>
      </c>
      <c r="D254" s="10" t="n">
        <f aca="false">sh_soc</f>
        <v>0.66</v>
      </c>
      <c r="E254" s="10" t="n">
        <f aca="false">sh_soc</f>
        <v>0.66</v>
      </c>
      <c r="F254" s="10" t="n">
        <f aca="false">sh_soc</f>
        <v>0.66</v>
      </c>
      <c r="G254" s="10" t="n">
        <f aca="false">sh_soc</f>
        <v>0.66</v>
      </c>
      <c r="H254" s="8" t="s">
        <v>696</v>
      </c>
    </row>
    <row r="255" customFormat="false" ht="17.15" hidden="false" customHeight="false" outlineLevel="0" collapsed="false">
      <c r="A255" s="0" t="s">
        <v>697</v>
      </c>
      <c r="B255" s="0" t="s">
        <v>354</v>
      </c>
      <c r="C255" s="16" t="n">
        <f aca="false">a25_soc</f>
        <v>767.4</v>
      </c>
      <c r="D255" s="16" t="n">
        <f aca="false">D252*D254*fx</f>
        <v>1198.25536244542</v>
      </c>
      <c r="E255" s="16" t="n">
        <f aca="false">E252*E254*fx</f>
        <v>1572.670882956</v>
      </c>
      <c r="F255" s="16" t="n">
        <f aca="false">F252*F254*fx</f>
        <v>1760.5597478342</v>
      </c>
      <c r="G255" s="16" t="n">
        <f aca="false">G252*G254*fx</f>
        <v>1909.16998994777</v>
      </c>
      <c r="H255" s="5" t="s">
        <v>698</v>
      </c>
    </row>
    <row r="256" customFormat="false" ht="15" hidden="false" customHeight="false" outlineLevel="0" collapsed="false">
      <c r="A256" s="5" t="s">
        <v>699</v>
      </c>
      <c r="B256" s="0" t="s">
        <v>354</v>
      </c>
      <c r="C256" s="16" t="n">
        <f aca="false">a25_mem</f>
        <v>171.5</v>
      </c>
      <c r="D256" s="16" t="n">
        <f aca="false">D253*sh_mem*fx</f>
        <v>229.868254736177</v>
      </c>
      <c r="E256" s="16" t="n">
        <f aca="false">E253*sh_mem*fx</f>
        <v>316.209979264587</v>
      </c>
      <c r="F256" s="16" t="n">
        <f aca="false">F253*sh_mem*fx</f>
        <v>404.407776247054</v>
      </c>
      <c r="G256" s="16" t="n">
        <f aca="false">G253*sh_mem*fx</f>
        <v>470.136480116656</v>
      </c>
    </row>
    <row r="257" customFormat="false" ht="15" hidden="false" customHeight="false" outlineLevel="0" collapsed="false">
      <c r="A257" s="5" t="s">
        <v>700</v>
      </c>
      <c r="B257" s="0" t="s">
        <v>354</v>
      </c>
      <c r="C257" s="16" t="n">
        <f aca="false">a25_oth</f>
        <v>80.5</v>
      </c>
      <c r="D257" s="16" t="n">
        <f aca="false">C257*(1+g_oth_26)</f>
        <v>104</v>
      </c>
      <c r="E257" s="16" t="n">
        <f aca="false">D257*(1+g_oth_A)</f>
        <v>119.6</v>
      </c>
      <c r="F257" s="16" t="n">
        <f aca="false">E257*(1+g_oth_A)</f>
        <v>137.54</v>
      </c>
      <c r="G257" s="16" t="n">
        <f aca="false">F257*(1+g_oth_A)</f>
        <v>158.171</v>
      </c>
    </row>
    <row r="258" customFormat="false" ht="15" hidden="false" customHeight="false" outlineLevel="0" collapsed="false">
      <c r="A258" s="5" t="s">
        <v>701</v>
      </c>
      <c r="B258" s="0" t="s">
        <v>354</v>
      </c>
      <c r="C258" s="16" t="n">
        <f aca="false">a25_svc</f>
        <v>109.2</v>
      </c>
      <c r="D258" s="16" t="n">
        <f aca="false">C258*(1+g_svc_26)</f>
        <v>135.6</v>
      </c>
      <c r="E258" s="16" t="n">
        <f aca="false">D258*(1+g_svc_A)</f>
        <v>151.872</v>
      </c>
      <c r="F258" s="16" t="n">
        <f aca="false">E258*(1+g_svc_A)</f>
        <v>170.09664</v>
      </c>
      <c r="G258" s="16" t="n">
        <f aca="false">F258*(1+g_svc_A)</f>
        <v>190.5082368</v>
      </c>
    </row>
    <row r="259" customFormat="false" ht="17.15" hidden="false" customHeight="false" outlineLevel="0" collapsed="false">
      <c r="A259" s="5" t="s">
        <v>702</v>
      </c>
      <c r="B259" s="0" t="s">
        <v>354</v>
      </c>
      <c r="C259" s="16" t="n">
        <f aca="false">C255+C256+C257</f>
        <v>1019.4</v>
      </c>
      <c r="D259" s="16" t="n">
        <f aca="false">D255+D256+D257</f>
        <v>1532.12361718159</v>
      </c>
      <c r="E259" s="16" t="n">
        <f aca="false">E255+E256+E257</f>
        <v>2008.48086222058</v>
      </c>
      <c r="F259" s="16" t="n">
        <f aca="false">F255+F256+F257</f>
        <v>2302.50752408125</v>
      </c>
      <c r="G259" s="16" t="n">
        <f aca="false">G255+G256+G257</f>
        <v>2537.47747006442</v>
      </c>
      <c r="H259" s="5" t="s">
        <v>703</v>
      </c>
    </row>
    <row r="260" customFormat="false" ht="15" hidden="false" customHeight="false" outlineLevel="0" collapsed="false">
      <c r="A260" s="5" t="s">
        <v>566</v>
      </c>
      <c r="B260" s="0" t="s">
        <v>354</v>
      </c>
      <c r="C260" s="16" t="n">
        <f aca="false">C259+C258</f>
        <v>1128.6</v>
      </c>
      <c r="D260" s="16" t="n">
        <f aca="false">D259+D258</f>
        <v>1667.72361718159</v>
      </c>
      <c r="E260" s="16" t="n">
        <f aca="false">E259+E258</f>
        <v>2160.35286222058</v>
      </c>
      <c r="F260" s="16" t="n">
        <f aca="false">F259+F258</f>
        <v>2472.60416408125</v>
      </c>
      <c r="G260" s="16" t="n">
        <f aca="false">G259+G258</f>
        <v>2727.98570686442</v>
      </c>
    </row>
    <row r="261" customFormat="false" ht="17.15" hidden="false" customHeight="false" outlineLevel="0" collapsed="false">
      <c r="A261" s="5" t="s">
        <v>704</v>
      </c>
      <c r="B261" s="0" t="s">
        <v>354</v>
      </c>
      <c r="C261" s="17" t="n">
        <f aca="false">C259+C258-a25_rev</f>
        <v>0</v>
      </c>
    </row>
    <row r="262" customFormat="false" ht="17.15" hidden="false" customHeight="false" outlineLevel="0" collapsed="false">
      <c r="A262" s="0" t="s">
        <v>705</v>
      </c>
      <c r="B262" s="0" t="s">
        <v>45</v>
      </c>
      <c r="C262" s="10" t="n">
        <f aca="false">C255/C260</f>
        <v>0.679957469431154</v>
      </c>
      <c r="D262" s="10" t="n">
        <f aca="false">D255/D260</f>
        <v>0.718497567642793</v>
      </c>
      <c r="E262" s="10" t="n">
        <f aca="false">E255/E260</f>
        <v>0.727969449092441</v>
      </c>
      <c r="F262" s="10" t="n">
        <f aca="false">F255/F260</f>
        <v>0.712026523860672</v>
      </c>
      <c r="G262" s="10" t="n">
        <f aca="false">G255/G260</f>
        <v>0.699846038468503</v>
      </c>
    </row>
    <row r="263" customFormat="false" ht="17.15" hidden="false" customHeight="false" outlineLevel="0" collapsed="false">
      <c r="A263" s="5" t="s">
        <v>570</v>
      </c>
      <c r="B263" s="0" t="s">
        <v>45</v>
      </c>
      <c r="C263" s="10" t="n">
        <f aca="false">a25_gp/a25_rev</f>
        <v>0.643</v>
      </c>
      <c r="D263" s="10" t="n">
        <f aca="false">gm_a+gm_b*D262+0</f>
        <v>0.661619040059589</v>
      </c>
      <c r="E263" s="10" t="n">
        <f aca="false">gm_a+gm_b*E262+0</f>
        <v>0.666194984292585</v>
      </c>
      <c r="F263" s="10" t="n">
        <f aca="false">gm_a+gm_b*F262+0</f>
        <v>0.658492825311898</v>
      </c>
      <c r="G263" s="10" t="n">
        <f aca="false">gm_a+gm_b*G262+0</f>
        <v>0.652608332122062</v>
      </c>
      <c r="H263" s="5" t="s">
        <v>706</v>
      </c>
    </row>
    <row r="264" customFormat="false" ht="15" hidden="false" customHeight="false" outlineLevel="0" collapsed="false">
      <c r="A264" s="5" t="s">
        <v>574</v>
      </c>
      <c r="B264" s="0" t="s">
        <v>354</v>
      </c>
      <c r="C264" s="16" t="n">
        <f aca="false">C260*C263</f>
        <v>725.6898</v>
      </c>
      <c r="D264" s="16" t="n">
        <f aca="false">D260*D263</f>
        <v>1103.39769868439</v>
      </c>
      <c r="E264" s="16" t="n">
        <f aca="false">E260*E263</f>
        <v>1439.21624111348</v>
      </c>
      <c r="F264" s="16" t="n">
        <f aca="false">F260*F263</f>
        <v>1628.19210188383</v>
      </c>
      <c r="G264" s="16" t="n">
        <f aca="false">G260*G263</f>
        <v>1780.30620220961</v>
      </c>
    </row>
    <row r="265" customFormat="false" ht="17.15" hidden="false" customHeight="false" outlineLevel="0" collapsed="false">
      <c r="A265" s="5" t="s">
        <v>707</v>
      </c>
      <c r="B265" s="0" t="s">
        <v>354</v>
      </c>
      <c r="C265" s="16" t="n">
        <f aca="false">opex25</f>
        <v>226.5898</v>
      </c>
      <c r="D265" s="16" t="n">
        <f aca="false">(1-phi_lo)*opex25+phi_lo*opex25/a25_rev*D260</f>
        <v>264.473877093176</v>
      </c>
      <c r="E265" s="16" t="n">
        <f aca="false">(1-phi_lo)*opex25+phi_lo*opex25/a25_rev*E260</f>
        <v>299.090806685271</v>
      </c>
      <c r="F265" s="16" t="n">
        <f aca="false">(1-phi_lo)*opex25+phi_lo*opex25/a25_rev*F260</f>
        <v>321.032624878981</v>
      </c>
      <c r="G265" s="16" t="n">
        <f aca="false">(1-phi_lo)*opex25+phi_lo*opex25/a25_rev*G260</f>
        <v>338.978219816094</v>
      </c>
      <c r="H265" s="5" t="s">
        <v>708</v>
      </c>
    </row>
    <row r="266" customFormat="false" ht="15" hidden="false" customHeight="false" outlineLevel="0" collapsed="false">
      <c r="A266" s="5" t="s">
        <v>577</v>
      </c>
      <c r="B266" s="0" t="s">
        <v>354</v>
      </c>
      <c r="C266" s="16" t="n">
        <f aca="false">C264-C265</f>
        <v>499.1</v>
      </c>
      <c r="D266" s="16" t="n">
        <f aca="false">D264-D265</f>
        <v>838.923821591213</v>
      </c>
      <c r="E266" s="16" t="n">
        <f aca="false">E264-E265</f>
        <v>1140.12543442821</v>
      </c>
      <c r="F266" s="16" t="n">
        <f aca="false">F264-F265</f>
        <v>1307.15947700485</v>
      </c>
      <c r="G266" s="16" t="n">
        <f aca="false">G264-G265</f>
        <v>1441.32798239352</v>
      </c>
    </row>
    <row r="267" customFormat="false" ht="15" hidden="false" customHeight="false" outlineLevel="0" collapsed="false">
      <c r="A267" s="5" t="s">
        <v>580</v>
      </c>
      <c r="B267" s="0" t="s">
        <v>45</v>
      </c>
      <c r="C267" s="10" t="n">
        <f aca="false">C266/C260</f>
        <v>0.442229310650363</v>
      </c>
      <c r="D267" s="10" t="n">
        <f aca="false">D266/D260</f>
        <v>0.503035282913947</v>
      </c>
      <c r="E267" s="10" t="n">
        <f aca="false">E266/E260</f>
        <v>0.527749634963012</v>
      </c>
      <c r="F267" s="10" t="n">
        <f aca="false">F266/F260</f>
        <v>0.528656990873648</v>
      </c>
      <c r="G267" s="10" t="n">
        <f aca="false">G266/G260</f>
        <v>0.528348802842592</v>
      </c>
    </row>
    <row r="268" customFormat="false" ht="15" hidden="false" customHeight="false" outlineLevel="0" collapsed="false">
      <c r="A268" s="5" t="s">
        <v>600</v>
      </c>
      <c r="B268" s="0" t="s">
        <v>354</v>
      </c>
      <c r="C268" s="16" t="n">
        <f aca="false">a25_ni</f>
        <v>375.4</v>
      </c>
      <c r="D268" s="16" t="n">
        <f aca="false">D266*nioi</f>
        <v>630.999804899502</v>
      </c>
      <c r="E268" s="16" t="n">
        <f aca="false">E266*nioi</f>
        <v>857.549765747046</v>
      </c>
      <c r="F268" s="16" t="n">
        <f aca="false">F266*nioi</f>
        <v>983.185068458463</v>
      </c>
      <c r="G268" s="16" t="n">
        <f aca="false">G266*nioi</f>
        <v>1084.10042995497</v>
      </c>
    </row>
    <row r="269" customFormat="false" ht="15" hidden="false" customHeight="false" outlineLevel="0" collapsed="false">
      <c r="A269" s="0" t="s">
        <v>670</v>
      </c>
      <c r="B269" s="0" t="s">
        <v>403</v>
      </c>
      <c r="C269" s="16" t="n">
        <f aca="false">a25_eps</f>
        <v>515.15</v>
      </c>
      <c r="D269" s="16" t="n">
        <f aca="false">D268*1000/shares</f>
        <v>871.582821422094</v>
      </c>
      <c r="E269" s="16" t="n">
        <f aca="false">E268*1000/shares</f>
        <v>1184.51010370551</v>
      </c>
      <c r="F269" s="16" t="n">
        <f aca="false">F268*1000/shares</f>
        <v>1358.04672092344</v>
      </c>
      <c r="G269" s="16" t="n">
        <f aca="false">G268*1000/shares</f>
        <v>1497.43835752144</v>
      </c>
    </row>
    <row r="270" customFormat="false" ht="17.15" hidden="false" customHeight="false" outlineLevel="0" collapsed="false">
      <c r="A270" s="5" t="s">
        <v>709</v>
      </c>
      <c r="B270" s="0" t="s">
        <v>155</v>
      </c>
      <c r="C270" s="17" t="n">
        <f aca="false">C260/fx</f>
        <v>7.524</v>
      </c>
      <c r="D270" s="17" t="n">
        <f aca="false">D260/fx</f>
        <v>11.1181574478773</v>
      </c>
      <c r="E270" s="17" t="n">
        <f aca="false">E260/fx</f>
        <v>14.4023524148039</v>
      </c>
      <c r="F270" s="17" t="n">
        <f aca="false">F260/fx</f>
        <v>16.4840277605417</v>
      </c>
      <c r="G270" s="17" t="n">
        <f aca="false">G260/fx</f>
        <v>18.1865713790961</v>
      </c>
      <c r="H270" s="8" t="s">
        <v>710</v>
      </c>
    </row>
    <row r="274" customFormat="false" ht="17.15" hidden="false" customHeight="false" outlineLevel="0" collapsed="false">
      <c r="A274" s="4" t="s">
        <v>1078</v>
      </c>
    </row>
    <row r="275" customFormat="false" ht="17.15" hidden="false" customHeight="false" outlineLevel="0" collapsed="false">
      <c r="A275" s="6" t="s">
        <v>23</v>
      </c>
      <c r="B275" s="6" t="s">
        <v>24</v>
      </c>
      <c r="C275" s="14" t="s">
        <v>675</v>
      </c>
      <c r="D275" s="14" t="s">
        <v>676</v>
      </c>
      <c r="E275" s="14" t="s">
        <v>677</v>
      </c>
      <c r="F275" s="14" t="s">
        <v>678</v>
      </c>
      <c r="G275" s="14" t="s">
        <v>679</v>
      </c>
      <c r="H275" s="6" t="s">
        <v>478</v>
      </c>
    </row>
    <row r="276" customFormat="false" ht="17.15" hidden="false" customHeight="false" outlineLevel="0" collapsed="false">
      <c r="A276" s="1" t="s">
        <v>680</v>
      </c>
    </row>
    <row r="277" customFormat="false" ht="17.15" hidden="false" customHeight="false" outlineLevel="0" collapsed="false">
      <c r="A277" s="5" t="s">
        <v>681</v>
      </c>
      <c r="B277" s="5" t="s">
        <v>34</v>
      </c>
      <c r="C277" s="19" t="n">
        <f aca="false">u_bw_26*tt_bw+u_rb_26*tt_rb+u_ru_26*tt_ru+u_hp_26*tt_hp+u_amd_26*tt_amd+u_tpu_26*tt_tpu+u_trn_26*tt_trn+u_oth_26*tt_oth</f>
        <v>14.885</v>
      </c>
      <c r="D277" s="19" t="n">
        <f aca="false">u_bw_27*tt_bw+u_rb_27*tt_rb+u_ru_27*tt_ru+u_hp_27*tt_hp+u_amd_27*tt_amd+u_tpu_27*tt_tpu+u_trn_27*tt_trn+u_oth_27*tt_oth</f>
        <v>24.31</v>
      </c>
      <c r="E277" s="19" t="n">
        <f aca="false">u_bw_28*um28_A*tt_bw+u_rb_28*um28_A*tt_rb+u_ru_28*um28_A*tt_ru+u_hp_28*um28_A*tt_hp+u_amd_28*um28_A*tt_amd+u_tpu_28*um28_A*tt_tpu+u_trn_28*um28_A*tt_trn+u_oth_28*um28_A*tt_oth</f>
        <v>28.1</v>
      </c>
      <c r="F27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9" t="n">
        <f aca="false">F277*(1+cy30g)</f>
        <v>31.99</v>
      </c>
      <c r="H277" s="8" t="s">
        <v>682</v>
      </c>
    </row>
    <row r="278" customFormat="false" ht="17.15" hidden="false" customHeight="false" outlineLevel="0" collapsed="false">
      <c r="A278" s="5" t="s">
        <v>683</v>
      </c>
      <c r="B278" s="0" t="s">
        <v>684</v>
      </c>
      <c r="C278" s="21" t="n">
        <f aca="false">(mk_soc26-nonai26)/C277</f>
        <v>0.450117568021498</v>
      </c>
      <c r="H278" s="5" t="s">
        <v>685</v>
      </c>
    </row>
    <row r="279" customFormat="false" ht="17.15" hidden="false" customHeight="false" outlineLevel="0" collapsed="false">
      <c r="A279" s="0" t="s">
        <v>686</v>
      </c>
      <c r="B279" s="0" t="s">
        <v>155</v>
      </c>
      <c r="C279" s="19" t="n">
        <f aca="false">$C$278*C277*(1-0)^0</f>
        <v>6.7</v>
      </c>
      <c r="D279" s="19" t="n">
        <f aca="false">$C$278*D277*(1-0)^1</f>
        <v>10.9423580786026</v>
      </c>
      <c r="E279" s="19" t="n">
        <f aca="false">$C$278*E277*(1-0)^2</f>
        <v>12.6483036614041</v>
      </c>
      <c r="F279" s="19" t="n">
        <f aca="false">$C$278*F277*(1-0)^3</f>
        <v>14.3992610010077</v>
      </c>
      <c r="G279" s="19" t="n">
        <f aca="false">$C$278*G277*(1-0)^4</f>
        <v>14.3992610010077</v>
      </c>
    </row>
    <row r="280" customFormat="false" ht="17.15" hidden="false" customHeight="false" outlineLevel="0" collapsed="false">
      <c r="A280" s="5" t="s">
        <v>687</v>
      </c>
      <c r="B280" s="0" t="s">
        <v>155</v>
      </c>
      <c r="C280" s="19" t="n">
        <f aca="false">nonai26*(1+g_nonai)^0</f>
        <v>4.3</v>
      </c>
      <c r="D280" s="19" t="n">
        <f aca="false">nonai26*(1+g_nonai)^1</f>
        <v>4.472</v>
      </c>
      <c r="E280" s="19" t="n">
        <f aca="false">nonai26*(1+g_nonai)^2</f>
        <v>4.65088</v>
      </c>
      <c r="F280" s="19" t="n">
        <f aca="false">nonai26*(1+g_nonai)^3</f>
        <v>4.8369152</v>
      </c>
      <c r="G280" s="19" t="n">
        <f aca="false">nonai26*(1+g_nonai)^4</f>
        <v>5.030391808</v>
      </c>
    </row>
    <row r="281" customFormat="false" ht="17.15" hidden="false" customHeight="false" outlineLevel="0" collapsed="false">
      <c r="A281" s="0" t="s">
        <v>688</v>
      </c>
      <c r="B281" s="0" t="s">
        <v>155</v>
      </c>
      <c r="C281" s="19" t="n">
        <f aca="false">C279+C280</f>
        <v>11</v>
      </c>
      <c r="D281" s="19" t="n">
        <f aca="false">D279+D280</f>
        <v>15.4143580786026</v>
      </c>
      <c r="E281" s="19" t="n">
        <f aca="false">E279+E280</f>
        <v>17.2991836614041</v>
      </c>
      <c r="F281" s="19" t="n">
        <f aca="false">F279+F280</f>
        <v>19.2361762010077</v>
      </c>
      <c r="G281" s="19" t="n">
        <f aca="false">G279+G280</f>
        <v>19.4296528090077</v>
      </c>
      <c r="H281" s="8" t="s">
        <v>689</v>
      </c>
    </row>
    <row r="282" customFormat="false" ht="17.15" hidden="false" customHeight="false" outlineLevel="0" collapsed="false">
      <c r="A282" s="5" t="s">
        <v>690</v>
      </c>
      <c r="B282" s="0" t="s">
        <v>155</v>
      </c>
      <c r="C282" s="19" t="n">
        <f aca="false">mk_mem26*(w_hbm*hsA_26/hsA_26+(1-w_hbm)*drA_26/drA_26)</f>
        <v>2.75</v>
      </c>
      <c r="D282" s="19" t="n">
        <f aca="false">mk_mem26*(w_hbm*hsA_27/hsA_26+(1-w_hbm)*drA_27/drA_26)</f>
        <v>3.88007408374579</v>
      </c>
      <c r="E282" s="19" t="n">
        <f aca="false">mk_mem26*(w_hbm*hsA_28/hsA_26+(1-w_hbm)*drA_28/drA_26)</f>
        <v>5.04607694610671</v>
      </c>
      <c r="F282" s="19" t="n">
        <f aca="false">mk_mem26*(w_hbm*hsA_29/hsA_26+(1-w_hbm)*drA_29/drA_26)</f>
        <v>6.20223782078096</v>
      </c>
      <c r="G282" s="19" t="n">
        <f aca="false">F282*(1+cy30g)</f>
        <v>6.20223782078096</v>
      </c>
      <c r="H282" s="8" t="s">
        <v>691</v>
      </c>
    </row>
    <row r="283" customFormat="false" ht="17.15" hidden="false" customHeight="false" outlineLevel="0" collapsed="false">
      <c r="A283" s="1" t="s">
        <v>692</v>
      </c>
    </row>
    <row r="284" customFormat="false" ht="17.15" hidden="false" customHeight="false" outlineLevel="0" collapsed="false">
      <c r="A284" s="0" t="s">
        <v>693</v>
      </c>
      <c r="B284" s="0" t="s">
        <v>155</v>
      </c>
      <c r="C284" s="19" t="n">
        <f aca="false">fmk_soc25</f>
        <v>7.925</v>
      </c>
      <c r="D284" s="19" t="n">
        <f aca="false">0.75*C281+0.25*D281</f>
        <v>12.1035895196507</v>
      </c>
      <c r="E284" s="19" t="n">
        <f aca="false">0.75*D281+0.25*E281</f>
        <v>15.885564474303</v>
      </c>
      <c r="F284" s="19" t="n">
        <f aca="false">0.75*E281+0.25*F281</f>
        <v>17.783431796305</v>
      </c>
      <c r="G284" s="19" t="n">
        <f aca="false">0.75*F281+0.25*G281</f>
        <v>19.2845453530077</v>
      </c>
    </row>
    <row r="285" customFormat="false" ht="17.15" hidden="false" customHeight="false" outlineLevel="0" collapsed="false">
      <c r="A285" s="5" t="s">
        <v>694</v>
      </c>
      <c r="B285" s="0" t="s">
        <v>155</v>
      </c>
      <c r="C285" s="19" t="n">
        <f aca="false">fmk_mem25</f>
        <v>2.2625</v>
      </c>
      <c r="D285" s="19" t="n">
        <f aca="false">0.75*C282+0.25*D282</f>
        <v>3.03251852093645</v>
      </c>
      <c r="E285" s="19" t="n">
        <f aca="false">0.75*D282+0.25*E282</f>
        <v>4.17157479933602</v>
      </c>
      <c r="F285" s="19" t="n">
        <f aca="false">0.75*E282+0.25*F282</f>
        <v>5.33511716477527</v>
      </c>
      <c r="G285" s="19" t="n">
        <f aca="false">0.75*F282+0.25*G282</f>
        <v>6.20223782078096</v>
      </c>
    </row>
    <row r="286" customFormat="false" ht="17.15" hidden="false" customHeight="false" outlineLevel="0" collapsed="false">
      <c r="A286" s="0" t="s">
        <v>695</v>
      </c>
      <c r="B286" s="0" t="s">
        <v>45</v>
      </c>
      <c r="C286" s="10" t="n">
        <f aca="false">a25_soc/(C284*fx)</f>
        <v>0.645552050473186</v>
      </c>
      <c r="D286" s="10" t="n">
        <f aca="false">sh_soc</f>
        <v>0.66</v>
      </c>
      <c r="E286" s="10" t="n">
        <f aca="false">sh_soc</f>
        <v>0.66</v>
      </c>
      <c r="F286" s="10" t="n">
        <f aca="false">sh_soc</f>
        <v>0.66</v>
      </c>
      <c r="G286" s="10" t="n">
        <f aca="false">sh_soc</f>
        <v>0.66</v>
      </c>
      <c r="H286" s="8" t="s">
        <v>696</v>
      </c>
    </row>
    <row r="287" customFormat="false" ht="17.15" hidden="false" customHeight="false" outlineLevel="0" collapsed="false">
      <c r="A287" s="0" t="s">
        <v>697</v>
      </c>
      <c r="B287" s="0" t="s">
        <v>354</v>
      </c>
      <c r="C287" s="16" t="n">
        <f aca="false">a25_soc</f>
        <v>767.4</v>
      </c>
      <c r="D287" s="16" t="n">
        <f aca="false">D284*D286*fx</f>
        <v>1198.25536244542</v>
      </c>
      <c r="E287" s="16" t="n">
        <f aca="false">E284*E286*fx</f>
        <v>1572.670882956</v>
      </c>
      <c r="F287" s="16" t="n">
        <f aca="false">F284*F286*fx</f>
        <v>1760.5597478342</v>
      </c>
      <c r="G287" s="16" t="n">
        <f aca="false">G284*G286*fx</f>
        <v>1909.16998994777</v>
      </c>
      <c r="H287" s="5" t="s">
        <v>698</v>
      </c>
    </row>
    <row r="288" customFormat="false" ht="15" hidden="false" customHeight="false" outlineLevel="0" collapsed="false">
      <c r="A288" s="5" t="s">
        <v>699</v>
      </c>
      <c r="B288" s="0" t="s">
        <v>354</v>
      </c>
      <c r="C288" s="16" t="n">
        <f aca="false">a25_mem</f>
        <v>171.5</v>
      </c>
      <c r="D288" s="16" t="n">
        <f aca="false">D285*sh_mem*fx</f>
        <v>229.868254736177</v>
      </c>
      <c r="E288" s="16" t="n">
        <f aca="false">E285*sh_mem*fx</f>
        <v>316.209979264587</v>
      </c>
      <c r="F288" s="16" t="n">
        <f aca="false">F285*sh_mem*fx</f>
        <v>404.407776247054</v>
      </c>
      <c r="G288" s="16" t="n">
        <f aca="false">G285*sh_mem*fx</f>
        <v>470.136480116656</v>
      </c>
    </row>
    <row r="289" customFormat="false" ht="15" hidden="false" customHeight="false" outlineLevel="0" collapsed="false">
      <c r="A289" s="5" t="s">
        <v>700</v>
      </c>
      <c r="B289" s="0" t="s">
        <v>354</v>
      </c>
      <c r="C289" s="16" t="n">
        <f aca="false">a25_oth</f>
        <v>80.5</v>
      </c>
      <c r="D289" s="16" t="n">
        <f aca="false">C289*(1+g_oth_26)</f>
        <v>104</v>
      </c>
      <c r="E289" s="16" t="n">
        <f aca="false">D289*(1+g_oth_A)</f>
        <v>119.6</v>
      </c>
      <c r="F289" s="16" t="n">
        <f aca="false">E289*(1+g_oth_A)</f>
        <v>137.54</v>
      </c>
      <c r="G289" s="16" t="n">
        <f aca="false">F289*(1+g_oth_A)</f>
        <v>158.171</v>
      </c>
    </row>
    <row r="290" customFormat="false" ht="15" hidden="false" customHeight="false" outlineLevel="0" collapsed="false">
      <c r="A290" s="5" t="s">
        <v>701</v>
      </c>
      <c r="B290" s="0" t="s">
        <v>354</v>
      </c>
      <c r="C290" s="16" t="n">
        <f aca="false">a25_svc</f>
        <v>109.2</v>
      </c>
      <c r="D290" s="16" t="n">
        <f aca="false">C290*(1+g_svc_26)</f>
        <v>135.6</v>
      </c>
      <c r="E290" s="16" t="n">
        <f aca="false">D290*(1+g_svc_A)</f>
        <v>151.872</v>
      </c>
      <c r="F290" s="16" t="n">
        <f aca="false">E290*(1+g_svc_A)</f>
        <v>170.09664</v>
      </c>
      <c r="G290" s="16" t="n">
        <f aca="false">F290*(1+g_svc_A)</f>
        <v>190.5082368</v>
      </c>
    </row>
    <row r="291" customFormat="false" ht="17.15" hidden="false" customHeight="false" outlineLevel="0" collapsed="false">
      <c r="A291" s="5" t="s">
        <v>702</v>
      </c>
      <c r="B291" s="0" t="s">
        <v>354</v>
      </c>
      <c r="C291" s="16" t="n">
        <f aca="false">C287+C288+C289</f>
        <v>1019.4</v>
      </c>
      <c r="D291" s="16" t="n">
        <f aca="false">D287+D288+D289</f>
        <v>1532.12361718159</v>
      </c>
      <c r="E291" s="16" t="n">
        <f aca="false">E287+E288+E289</f>
        <v>2008.48086222058</v>
      </c>
      <c r="F291" s="16" t="n">
        <f aca="false">F287+F288+F289</f>
        <v>2302.50752408125</v>
      </c>
      <c r="G291" s="16" t="n">
        <f aca="false">G287+G288+G289</f>
        <v>2537.47747006442</v>
      </c>
      <c r="H291" s="5" t="s">
        <v>703</v>
      </c>
    </row>
    <row r="292" customFormat="false" ht="15" hidden="false" customHeight="false" outlineLevel="0" collapsed="false">
      <c r="A292" s="5" t="s">
        <v>566</v>
      </c>
      <c r="B292" s="0" t="s">
        <v>354</v>
      </c>
      <c r="C292" s="16" t="n">
        <f aca="false">C291+C290</f>
        <v>1128.6</v>
      </c>
      <c r="D292" s="16" t="n">
        <f aca="false">D291+D290</f>
        <v>1667.72361718159</v>
      </c>
      <c r="E292" s="16" t="n">
        <f aca="false">E291+E290</f>
        <v>2160.35286222058</v>
      </c>
      <c r="F292" s="16" t="n">
        <f aca="false">F291+F290</f>
        <v>2472.60416408125</v>
      </c>
      <c r="G292" s="16" t="n">
        <f aca="false">G291+G290</f>
        <v>2727.98570686442</v>
      </c>
    </row>
    <row r="293" customFormat="false" ht="17.15" hidden="false" customHeight="false" outlineLevel="0" collapsed="false">
      <c r="A293" s="5" t="s">
        <v>704</v>
      </c>
      <c r="B293" s="0" t="s">
        <v>354</v>
      </c>
      <c r="C293" s="17" t="n">
        <f aca="false">C291+C290-a25_rev</f>
        <v>0</v>
      </c>
    </row>
    <row r="294" customFormat="false" ht="17.15" hidden="false" customHeight="false" outlineLevel="0" collapsed="false">
      <c r="A294" s="0" t="s">
        <v>705</v>
      </c>
      <c r="B294" s="0" t="s">
        <v>45</v>
      </c>
      <c r="C294" s="10" t="n">
        <f aca="false">C287/C292</f>
        <v>0.679957469431154</v>
      </c>
      <c r="D294" s="10" t="n">
        <f aca="false">D287/D292</f>
        <v>0.718497567642793</v>
      </c>
      <c r="E294" s="10" t="n">
        <f aca="false">E287/E292</f>
        <v>0.727969449092441</v>
      </c>
      <c r="F294" s="10" t="n">
        <f aca="false">F287/F292</f>
        <v>0.712026523860672</v>
      </c>
      <c r="G294" s="10" t="n">
        <f aca="false">G287/G292</f>
        <v>0.699846038468503</v>
      </c>
    </row>
    <row r="295" customFormat="false" ht="17.15" hidden="false" customHeight="false" outlineLevel="0" collapsed="false">
      <c r="A295" s="5" t="s">
        <v>570</v>
      </c>
      <c r="B295" s="0" t="s">
        <v>45</v>
      </c>
      <c r="C295" s="10" t="n">
        <f aca="false">a25_gp/a25_rev</f>
        <v>0.643</v>
      </c>
      <c r="D295" s="10" t="n">
        <f aca="false">gm_a+gm_b*D294+0</f>
        <v>0.661619040059589</v>
      </c>
      <c r="E295" s="10" t="n">
        <f aca="false">gm_a+gm_b*E294+0</f>
        <v>0.666194984292585</v>
      </c>
      <c r="F295" s="10" t="n">
        <f aca="false">gm_a+gm_b*F294+0</f>
        <v>0.658492825311898</v>
      </c>
      <c r="G295" s="10" t="n">
        <f aca="false">gm_a+gm_b*G294+0</f>
        <v>0.652608332122062</v>
      </c>
      <c r="H295" s="5" t="s">
        <v>706</v>
      </c>
    </row>
    <row r="296" customFormat="false" ht="15" hidden="false" customHeight="false" outlineLevel="0" collapsed="false">
      <c r="A296" s="5" t="s">
        <v>574</v>
      </c>
      <c r="B296" s="0" t="s">
        <v>354</v>
      </c>
      <c r="C296" s="16" t="n">
        <f aca="false">C292*C295</f>
        <v>725.6898</v>
      </c>
      <c r="D296" s="16" t="n">
        <f aca="false">D292*D295</f>
        <v>1103.39769868439</v>
      </c>
      <c r="E296" s="16" t="n">
        <f aca="false">E292*E295</f>
        <v>1439.21624111348</v>
      </c>
      <c r="F296" s="16" t="n">
        <f aca="false">F292*F295</f>
        <v>1628.19210188383</v>
      </c>
      <c r="G296" s="16" t="n">
        <f aca="false">G292*G295</f>
        <v>1780.30620220961</v>
      </c>
    </row>
    <row r="297" customFormat="false" ht="17.15" hidden="false" customHeight="false" outlineLevel="0" collapsed="false">
      <c r="A297" s="5" t="s">
        <v>707</v>
      </c>
      <c r="B297" s="0" t="s">
        <v>354</v>
      </c>
      <c r="C297" s="16" t="n">
        <f aca="false">opex25</f>
        <v>226.5898</v>
      </c>
      <c r="D297" s="16" t="n">
        <f aca="false">(1-phi_hi)*opex25+phi_hi*opex25/a25_rev*D292</f>
        <v>307.769965199663</v>
      </c>
      <c r="E297" s="16" t="n">
        <f aca="false">(1-phi_hi)*opex25+phi_hi*opex25/a25_rev*E292</f>
        <v>381.949100039865</v>
      </c>
      <c r="F297" s="16" t="n">
        <f aca="false">(1-phi_hi)*opex25+phi_hi*opex25/a25_rev*F292</f>
        <v>428.967281883531</v>
      </c>
      <c r="G297" s="16" t="n">
        <f aca="false">(1-phi_hi)*opex25+phi_hi*opex25/a25_rev*G292</f>
        <v>467.422128177344</v>
      </c>
      <c r="H297" s="5" t="s">
        <v>708</v>
      </c>
    </row>
    <row r="298" customFormat="false" ht="15" hidden="false" customHeight="false" outlineLevel="0" collapsed="false">
      <c r="A298" s="5" t="s">
        <v>577</v>
      </c>
      <c r="B298" s="0" t="s">
        <v>354</v>
      </c>
      <c r="C298" s="16" t="n">
        <f aca="false">C296-C297</f>
        <v>499.1</v>
      </c>
      <c r="D298" s="16" t="n">
        <f aca="false">D296-D297</f>
        <v>795.627733484726</v>
      </c>
      <c r="E298" s="16" t="n">
        <f aca="false">E296-E297</f>
        <v>1057.26714107362</v>
      </c>
      <c r="F298" s="16" t="n">
        <f aca="false">F296-F297</f>
        <v>1199.2248200003</v>
      </c>
      <c r="G298" s="16" t="n">
        <f aca="false">G296-G297</f>
        <v>1312.88407403227</v>
      </c>
    </row>
    <row r="299" customFormat="false" ht="15" hidden="false" customHeight="false" outlineLevel="0" collapsed="false">
      <c r="A299" s="5" t="s">
        <v>580</v>
      </c>
      <c r="B299" s="0" t="s">
        <v>45</v>
      </c>
      <c r="C299" s="10" t="n">
        <f aca="false">C298/C292</f>
        <v>0.442229310650363</v>
      </c>
      <c r="D299" s="10" t="n">
        <f aca="false">D298/D292</f>
        <v>0.477074093865335</v>
      </c>
      <c r="E299" s="10" t="n">
        <f aca="false">E298/E292</f>
        <v>0.48939557956605</v>
      </c>
      <c r="F299" s="10" t="n">
        <f aca="false">F298/F292</f>
        <v>0.485004772466641</v>
      </c>
      <c r="G299" s="10" t="n">
        <f aca="false">G298/G292</f>
        <v>0.481265012030181</v>
      </c>
    </row>
    <row r="300" customFormat="false" ht="15" hidden="false" customHeight="false" outlineLevel="0" collapsed="false">
      <c r="A300" s="5" t="s">
        <v>600</v>
      </c>
      <c r="B300" s="0" t="s">
        <v>354</v>
      </c>
      <c r="C300" s="16" t="n">
        <f aca="false">a25_ni</f>
        <v>375.4</v>
      </c>
      <c r="D300" s="16" t="n">
        <f aca="false">D298*nioi</f>
        <v>598.434484372202</v>
      </c>
      <c r="E300" s="16" t="n">
        <f aca="false">E298*nioi</f>
        <v>795.22757916056</v>
      </c>
      <c r="F300" s="16" t="n">
        <f aca="false">F298*nioi</f>
        <v>902.001597732139</v>
      </c>
      <c r="G300" s="16" t="n">
        <f aca="false">G298*nioi</f>
        <v>987.49084630678</v>
      </c>
    </row>
    <row r="301" customFormat="false" ht="15" hidden="false" customHeight="false" outlineLevel="0" collapsed="false">
      <c r="A301" s="0" t="s">
        <v>670</v>
      </c>
      <c r="B301" s="0" t="s">
        <v>403</v>
      </c>
      <c r="C301" s="16" t="n">
        <f aca="false">a25_eps</f>
        <v>515.15</v>
      </c>
      <c r="D301" s="16" t="n">
        <f aca="false">D300*1000/shares</f>
        <v>826.60123232284</v>
      </c>
      <c r="E301" s="16" t="n">
        <f aca="false">E300*1000/shares</f>
        <v>1098.4261670696</v>
      </c>
      <c r="F301" s="16" t="n">
        <f aca="false">F300*1000/shares</f>
        <v>1245.91020690383</v>
      </c>
      <c r="G301" s="16" t="n">
        <f aca="false">G300*1000/shares</f>
        <v>1363.99417443502</v>
      </c>
    </row>
    <row r="302" customFormat="false" ht="17.15" hidden="false" customHeight="false" outlineLevel="0" collapsed="false">
      <c r="A302" s="5" t="s">
        <v>709</v>
      </c>
      <c r="B302" s="0" t="s">
        <v>155</v>
      </c>
      <c r="C302" s="17" t="n">
        <f aca="false">C292/fx</f>
        <v>7.524</v>
      </c>
      <c r="D302" s="17" t="n">
        <f aca="false">D292/fx</f>
        <v>11.1181574478773</v>
      </c>
      <c r="E302" s="17" t="n">
        <f aca="false">E292/fx</f>
        <v>14.4023524148039</v>
      </c>
      <c r="F302" s="17" t="n">
        <f aca="false">F292/fx</f>
        <v>16.4840277605417</v>
      </c>
      <c r="G302" s="17" t="n">
        <f aca="false">G292/fx</f>
        <v>18.1865713790961</v>
      </c>
      <c r="H302" s="8" t="s">
        <v>710</v>
      </c>
    </row>
    <row r="306" customFormat="false" ht="17.15" hidden="false" customHeight="false" outlineLevel="0" collapsed="false">
      <c r="A306" s="4" t="s">
        <v>1079</v>
      </c>
    </row>
    <row r="307" customFormat="false" ht="17.15" hidden="false" customHeight="false" outlineLevel="0" collapsed="false">
      <c r="A307" s="6" t="s">
        <v>23</v>
      </c>
      <c r="B307" s="6" t="s">
        <v>24</v>
      </c>
      <c r="C307" s="14" t="s">
        <v>675</v>
      </c>
      <c r="D307" s="14" t="s">
        <v>676</v>
      </c>
      <c r="E307" s="14" t="s">
        <v>677</v>
      </c>
      <c r="F307" s="14" t="s">
        <v>678</v>
      </c>
      <c r="G307" s="14" t="s">
        <v>679</v>
      </c>
      <c r="H307" s="6" t="s">
        <v>478</v>
      </c>
    </row>
    <row r="308" customFormat="false" ht="17.15" hidden="false" customHeight="false" outlineLevel="0" collapsed="false">
      <c r="A308" s="1" t="s">
        <v>680</v>
      </c>
    </row>
    <row r="309" customFormat="false" ht="17.15" hidden="false" customHeight="false" outlineLevel="0" collapsed="false">
      <c r="A309" s="5" t="s">
        <v>681</v>
      </c>
      <c r="B309" s="5" t="s">
        <v>34</v>
      </c>
      <c r="C309" s="19" t="n">
        <f aca="false">u_bw_26*tt_bw+u_rb_26*tt_rb+u_ru_26*tt_ru+u_hp_26*tt_hp+u_amd_26*tt_amd+u_tpu_26*tt_tpu+u_trn_26*tt_trn+u_oth_26*tt_oth</f>
        <v>14.885</v>
      </c>
      <c r="D309" s="19" t="n">
        <f aca="false">u_bw_27*tt_bw+u_rb_27*tt_rb+u_ru_27*tt_ru+u_hp_27*tt_hp+u_amd_27*tt_amd+u_tpu_27*tt_tpu+u_trn_27*tt_trn+u_oth_27*tt_oth</f>
        <v>24.31</v>
      </c>
      <c r="E309" s="19" t="n">
        <f aca="false">u_bw_28*um28_A*tt_bw+u_rb_28*um28_A*tt_rb+u_ru_28*um28_A*tt_ru+u_hp_28*um28_A*tt_hp+u_amd_28*um28_A*tt_amd+u_tpu_28*um28_A*tt_tpu+u_trn_28*um28_A*tt_trn+u_oth_28*um28_A*tt_oth</f>
        <v>28.1</v>
      </c>
      <c r="F30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9" t="n">
        <f aca="false">F309*(1+cy30g)</f>
        <v>31.99</v>
      </c>
      <c r="H309" s="8" t="s">
        <v>682</v>
      </c>
    </row>
    <row r="310" customFormat="false" ht="17.15" hidden="false" customHeight="false" outlineLevel="0" collapsed="false">
      <c r="A310" s="5" t="s">
        <v>683</v>
      </c>
      <c r="B310" s="0" t="s">
        <v>684</v>
      </c>
      <c r="C310" s="21" t="n">
        <f aca="false">(mk_soc26_lo-nonai26)/C309</f>
        <v>0.416526704736312</v>
      </c>
      <c r="H310" s="5" t="s">
        <v>685</v>
      </c>
    </row>
    <row r="311" customFormat="false" ht="17.15" hidden="false" customHeight="false" outlineLevel="0" collapsed="false">
      <c r="A311" s="0" t="s">
        <v>686</v>
      </c>
      <c r="B311" s="0" t="s">
        <v>155</v>
      </c>
      <c r="C311" s="19" t="n">
        <f aca="false">$C$310*C309*(1-0)^0</f>
        <v>6.2</v>
      </c>
      <c r="D311" s="19" t="n">
        <f aca="false">$C$310*D309*(1-0)^1</f>
        <v>10.1257641921397</v>
      </c>
      <c r="E311" s="19" t="n">
        <f aca="false">$C$310*E309*(1-0)^2</f>
        <v>11.7044004030904</v>
      </c>
      <c r="F311" s="19" t="n">
        <f aca="false">$C$310*F309*(1-0)^3</f>
        <v>13.3246892845146</v>
      </c>
      <c r="G311" s="19" t="n">
        <f aca="false">$C$310*G309*(1-0)^4</f>
        <v>13.3246892845146</v>
      </c>
    </row>
    <row r="312" customFormat="false" ht="17.15" hidden="false" customHeight="false" outlineLevel="0" collapsed="false">
      <c r="A312" s="5" t="s">
        <v>687</v>
      </c>
      <c r="B312" s="0" t="s">
        <v>155</v>
      </c>
      <c r="C312" s="19" t="n">
        <f aca="false">nonai26*(1+g_nonai)^0</f>
        <v>4.3</v>
      </c>
      <c r="D312" s="19" t="n">
        <f aca="false">nonai26*(1+g_nonai)^1</f>
        <v>4.472</v>
      </c>
      <c r="E312" s="19" t="n">
        <f aca="false">nonai26*(1+g_nonai)^2</f>
        <v>4.65088</v>
      </c>
      <c r="F312" s="19" t="n">
        <f aca="false">nonai26*(1+g_nonai)^3</f>
        <v>4.8369152</v>
      </c>
      <c r="G312" s="19" t="n">
        <f aca="false">nonai26*(1+g_nonai)^4</f>
        <v>5.030391808</v>
      </c>
    </row>
    <row r="313" customFormat="false" ht="17.15" hidden="false" customHeight="false" outlineLevel="0" collapsed="false">
      <c r="A313" s="0" t="s">
        <v>688</v>
      </c>
      <c r="B313" s="0" t="s">
        <v>155</v>
      </c>
      <c r="C313" s="19" t="n">
        <f aca="false">C311+C312</f>
        <v>10.5</v>
      </c>
      <c r="D313" s="19" t="n">
        <f aca="false">D311+D312</f>
        <v>14.5977641921397</v>
      </c>
      <c r="E313" s="19" t="n">
        <f aca="false">E311+E312</f>
        <v>16.3552804030904</v>
      </c>
      <c r="F313" s="19" t="n">
        <f aca="false">F311+F312</f>
        <v>18.1616044845146</v>
      </c>
      <c r="G313" s="19" t="n">
        <f aca="false">G311+G312</f>
        <v>18.3550810925146</v>
      </c>
      <c r="H313" s="8" t="s">
        <v>689</v>
      </c>
    </row>
    <row r="314" customFormat="false" ht="17.15" hidden="false" customHeight="false" outlineLevel="0" collapsed="false">
      <c r="A314" s="5" t="s">
        <v>690</v>
      </c>
      <c r="B314" s="0" t="s">
        <v>155</v>
      </c>
      <c r="C314" s="19" t="n">
        <f aca="false">mk_mem26*(w_hbm*hsA_26/hsA_26+(1-w_hbm)*drA_26/drA_26)</f>
        <v>2.75</v>
      </c>
      <c r="D314" s="19" t="n">
        <f aca="false">mk_mem26*(w_hbm*hsA_27/hsA_26+(1-w_hbm)*drA_27/drA_26)</f>
        <v>3.88007408374579</v>
      </c>
      <c r="E314" s="19" t="n">
        <f aca="false">mk_mem26*(w_hbm*hsA_28/hsA_26+(1-w_hbm)*drA_28/drA_26)</f>
        <v>5.04607694610671</v>
      </c>
      <c r="F314" s="19" t="n">
        <f aca="false">mk_mem26*(w_hbm*hsA_29/hsA_26+(1-w_hbm)*drA_29/drA_26)</f>
        <v>6.20223782078096</v>
      </c>
      <c r="G314" s="19" t="n">
        <f aca="false">F314*(1+cy30g)</f>
        <v>6.20223782078096</v>
      </c>
      <c r="H314" s="8" t="s">
        <v>691</v>
      </c>
    </row>
    <row r="315" customFormat="false" ht="17.15" hidden="false" customHeight="false" outlineLevel="0" collapsed="false">
      <c r="A315" s="1" t="s">
        <v>692</v>
      </c>
    </row>
    <row r="316" customFormat="false" ht="17.15" hidden="false" customHeight="false" outlineLevel="0" collapsed="false">
      <c r="A316" s="0" t="s">
        <v>693</v>
      </c>
      <c r="B316" s="0" t="s">
        <v>155</v>
      </c>
      <c r="C316" s="19" t="n">
        <f aca="false">fmk_soc25</f>
        <v>7.925</v>
      </c>
      <c r="D316" s="19" t="n">
        <f aca="false">0.75*C313+0.25*D313</f>
        <v>11.5244410480349</v>
      </c>
      <c r="E316" s="19" t="n">
        <f aca="false">0.75*D313+0.25*E313</f>
        <v>15.0371432448774</v>
      </c>
      <c r="F316" s="19" t="n">
        <f aca="false">0.75*E313+0.25*F313</f>
        <v>16.8068614234464</v>
      </c>
      <c r="G316" s="19" t="n">
        <f aca="false">0.75*F313+0.25*G313</f>
        <v>18.2099736365146</v>
      </c>
    </row>
    <row r="317" customFormat="false" ht="17.15" hidden="false" customHeight="false" outlineLevel="0" collapsed="false">
      <c r="A317" s="5" t="s">
        <v>694</v>
      </c>
      <c r="B317" s="0" t="s">
        <v>155</v>
      </c>
      <c r="C317" s="19" t="n">
        <f aca="false">fmk_mem25</f>
        <v>2.2625</v>
      </c>
      <c r="D317" s="19" t="n">
        <f aca="false">0.75*C314+0.25*D314</f>
        <v>3.03251852093645</v>
      </c>
      <c r="E317" s="19" t="n">
        <f aca="false">0.75*D314+0.25*E314</f>
        <v>4.17157479933602</v>
      </c>
      <c r="F317" s="19" t="n">
        <f aca="false">0.75*E314+0.25*F314</f>
        <v>5.33511716477527</v>
      </c>
      <c r="G317" s="19" t="n">
        <f aca="false">0.75*F314+0.25*G314</f>
        <v>6.20223782078096</v>
      </c>
    </row>
    <row r="318" customFormat="false" ht="17.15" hidden="false" customHeight="false" outlineLevel="0" collapsed="false">
      <c r="A318" s="0" t="s">
        <v>695</v>
      </c>
      <c r="B318" s="0" t="s">
        <v>45</v>
      </c>
      <c r="C318" s="10" t="n">
        <f aca="false">a25_soc/(C316*fx)</f>
        <v>0.645552050473186</v>
      </c>
      <c r="D318" s="10" t="n">
        <f aca="false">sh_soc</f>
        <v>0.66</v>
      </c>
      <c r="E318" s="10" t="n">
        <f aca="false">sh_soc</f>
        <v>0.66</v>
      </c>
      <c r="F318" s="10" t="n">
        <f aca="false">sh_soc</f>
        <v>0.66</v>
      </c>
      <c r="G318" s="10" t="n">
        <f aca="false">sh_soc</f>
        <v>0.66</v>
      </c>
      <c r="H318" s="8" t="s">
        <v>696</v>
      </c>
    </row>
    <row r="319" customFormat="false" ht="17.15" hidden="false" customHeight="false" outlineLevel="0" collapsed="false">
      <c r="A319" s="0" t="s">
        <v>697</v>
      </c>
      <c r="B319" s="0" t="s">
        <v>354</v>
      </c>
      <c r="C319" s="16" t="n">
        <f aca="false">a25_soc</f>
        <v>767.4</v>
      </c>
      <c r="D319" s="16" t="n">
        <f aca="false">D316*D318*fx</f>
        <v>1140.91966375546</v>
      </c>
      <c r="E319" s="16" t="n">
        <f aca="false">E316*E318*fx</f>
        <v>1488.67718124286</v>
      </c>
      <c r="F319" s="16" t="n">
        <f aca="false">F316*F318*fx</f>
        <v>1663.8792809212</v>
      </c>
      <c r="G319" s="16" t="n">
        <f aca="false">G316*G318*fx</f>
        <v>1802.78739001495</v>
      </c>
      <c r="H319" s="5" t="s">
        <v>698</v>
      </c>
    </row>
    <row r="320" customFormat="false" ht="15" hidden="false" customHeight="false" outlineLevel="0" collapsed="false">
      <c r="A320" s="5" t="s">
        <v>699</v>
      </c>
      <c r="B320" s="0" t="s">
        <v>354</v>
      </c>
      <c r="C320" s="16" t="n">
        <f aca="false">a25_mem</f>
        <v>171.5</v>
      </c>
      <c r="D320" s="16" t="n">
        <f aca="false">D317*sh_mem*fx</f>
        <v>229.868254736177</v>
      </c>
      <c r="E320" s="16" t="n">
        <f aca="false">E317*sh_mem*fx</f>
        <v>316.209979264587</v>
      </c>
      <c r="F320" s="16" t="n">
        <f aca="false">F317*sh_mem*fx</f>
        <v>404.407776247054</v>
      </c>
      <c r="G320" s="16" t="n">
        <f aca="false">G317*sh_mem*fx</f>
        <v>470.136480116656</v>
      </c>
    </row>
    <row r="321" customFormat="false" ht="15" hidden="false" customHeight="false" outlineLevel="0" collapsed="false">
      <c r="A321" s="5" t="s">
        <v>700</v>
      </c>
      <c r="B321" s="0" t="s">
        <v>354</v>
      </c>
      <c r="C321" s="16" t="n">
        <f aca="false">a25_oth</f>
        <v>80.5</v>
      </c>
      <c r="D321" s="16" t="n">
        <f aca="false">C321*(1+g_oth_26)</f>
        <v>104</v>
      </c>
      <c r="E321" s="16" t="n">
        <f aca="false">D321*(1+g_oth_A)</f>
        <v>119.6</v>
      </c>
      <c r="F321" s="16" t="n">
        <f aca="false">E321*(1+g_oth_A)</f>
        <v>137.54</v>
      </c>
      <c r="G321" s="16" t="n">
        <f aca="false">F321*(1+g_oth_A)</f>
        <v>158.171</v>
      </c>
    </row>
    <row r="322" customFormat="false" ht="15" hidden="false" customHeight="false" outlineLevel="0" collapsed="false">
      <c r="A322" s="5" t="s">
        <v>701</v>
      </c>
      <c r="B322" s="0" t="s">
        <v>354</v>
      </c>
      <c r="C322" s="16" t="n">
        <f aca="false">a25_svc</f>
        <v>109.2</v>
      </c>
      <c r="D322" s="16" t="n">
        <f aca="false">C322*(1+g_svc_26)</f>
        <v>135.6</v>
      </c>
      <c r="E322" s="16" t="n">
        <f aca="false">D322*(1+g_svc_A)</f>
        <v>151.872</v>
      </c>
      <c r="F322" s="16" t="n">
        <f aca="false">E322*(1+g_svc_A)</f>
        <v>170.09664</v>
      </c>
      <c r="G322" s="16" t="n">
        <f aca="false">F322*(1+g_svc_A)</f>
        <v>190.5082368</v>
      </c>
    </row>
    <row r="323" customFormat="false" ht="17.15" hidden="false" customHeight="false" outlineLevel="0" collapsed="false">
      <c r="A323" s="5" t="s">
        <v>702</v>
      </c>
      <c r="B323" s="0" t="s">
        <v>354</v>
      </c>
      <c r="C323" s="16" t="n">
        <f aca="false">C319+C320+C321</f>
        <v>1019.4</v>
      </c>
      <c r="D323" s="16" t="n">
        <f aca="false">D319+D320+D321</f>
        <v>1474.78791849164</v>
      </c>
      <c r="E323" s="16" t="n">
        <f aca="false">E319+E320+E321</f>
        <v>1924.48716050745</v>
      </c>
      <c r="F323" s="16" t="n">
        <f aca="false">F319+F320+F321</f>
        <v>2205.82705716825</v>
      </c>
      <c r="G323" s="16" t="n">
        <f aca="false">G319+G320+G321</f>
        <v>2431.0948701316</v>
      </c>
      <c r="H323" s="5" t="s">
        <v>703</v>
      </c>
    </row>
    <row r="324" customFormat="false" ht="15" hidden="false" customHeight="false" outlineLevel="0" collapsed="false">
      <c r="A324" s="5" t="s">
        <v>566</v>
      </c>
      <c r="B324" s="0" t="s">
        <v>354</v>
      </c>
      <c r="C324" s="16" t="n">
        <f aca="false">C323+C322</f>
        <v>1128.6</v>
      </c>
      <c r="D324" s="16" t="n">
        <f aca="false">D323+D322</f>
        <v>1610.38791849164</v>
      </c>
      <c r="E324" s="16" t="n">
        <f aca="false">E323+E322</f>
        <v>2076.35916050745</v>
      </c>
      <c r="F324" s="16" t="n">
        <f aca="false">F323+F322</f>
        <v>2375.92369716825</v>
      </c>
      <c r="G324" s="16" t="n">
        <f aca="false">G323+G322</f>
        <v>2621.6031069316</v>
      </c>
    </row>
    <row r="325" customFormat="false" ht="17.15" hidden="false" customHeight="false" outlineLevel="0" collapsed="false">
      <c r="A325" s="5" t="s">
        <v>704</v>
      </c>
      <c r="B325" s="0" t="s">
        <v>354</v>
      </c>
      <c r="C325" s="17" t="n">
        <f aca="false">C323+C322-a25_rev</f>
        <v>0</v>
      </c>
    </row>
    <row r="326" customFormat="false" ht="17.15" hidden="false" customHeight="false" outlineLevel="0" collapsed="false">
      <c r="A326" s="0" t="s">
        <v>705</v>
      </c>
      <c r="B326" s="0" t="s">
        <v>45</v>
      </c>
      <c r="C326" s="10" t="n">
        <f aca="false">C319/C324</f>
        <v>0.679957469431154</v>
      </c>
      <c r="D326" s="10" t="n">
        <f aca="false">D319/D324</f>
        <v>0.708475051665873</v>
      </c>
      <c r="E326" s="10" t="n">
        <f aca="false">E319/E324</f>
        <v>0.716965161691506</v>
      </c>
      <c r="F326" s="10" t="n">
        <f aca="false">F319/F324</f>
        <v>0.700308382337486</v>
      </c>
      <c r="G326" s="10" t="n">
        <f aca="false">G319/G324</f>
        <v>0.687666025893973</v>
      </c>
    </row>
    <row r="327" customFormat="false" ht="17.15" hidden="false" customHeight="false" outlineLevel="0" collapsed="false">
      <c r="A327" s="5" t="s">
        <v>570</v>
      </c>
      <c r="B327" s="0" t="s">
        <v>45</v>
      </c>
      <c r="C327" s="10" t="n">
        <f aca="false">a25_gp/a25_rev</f>
        <v>0.643</v>
      </c>
      <c r="D327" s="10" t="n">
        <f aca="false">gm_a+gm_b*D326+0</f>
        <v>0.656777079734334</v>
      </c>
      <c r="E327" s="10" t="n">
        <f aca="false">gm_a+gm_b*E326+0</f>
        <v>0.66087872207602</v>
      </c>
      <c r="F327" s="10" t="n">
        <f aca="false">gm_a+gm_b*F326+0</f>
        <v>0.652831694267395</v>
      </c>
      <c r="G327" s="10" t="n">
        <f aca="false">gm_a+gm_b*G326+0</f>
        <v>0.646724067354335</v>
      </c>
      <c r="H327" s="5" t="s">
        <v>706</v>
      </c>
    </row>
    <row r="328" customFormat="false" ht="15" hidden="false" customHeight="false" outlineLevel="0" collapsed="false">
      <c r="A328" s="5" t="s">
        <v>574</v>
      </c>
      <c r="B328" s="0" t="s">
        <v>354</v>
      </c>
      <c r="C328" s="16" t="n">
        <f aca="false">C324*C327</f>
        <v>725.6898</v>
      </c>
      <c r="D328" s="16" t="n">
        <f aca="false">D324*D327</f>
        <v>1057.66587434639</v>
      </c>
      <c r="E328" s="16" t="n">
        <f aca="false">E324*E327</f>
        <v>1372.221588567</v>
      </c>
      <c r="F328" s="16" t="n">
        <f aca="false">F324*F327</f>
        <v>1551.0782926724</v>
      </c>
      <c r="G328" s="16" t="n">
        <f aca="false">G324*G327</f>
        <v>1695.45382430357</v>
      </c>
    </row>
    <row r="329" customFormat="false" ht="17.15" hidden="false" customHeight="false" outlineLevel="0" collapsed="false">
      <c r="A329" s="5" t="s">
        <v>707</v>
      </c>
      <c r="B329" s="0" t="s">
        <v>354</v>
      </c>
      <c r="C329" s="16" t="n">
        <f aca="false">opex25</f>
        <v>226.5898</v>
      </c>
      <c r="D329" s="16" t="n">
        <f aca="false">opex_fix+opex_var*D324</f>
        <v>281.912451586251</v>
      </c>
      <c r="E329" s="16" t="n">
        <f aca="false">opex_fix+opex_var*E324</f>
        <v>335.418908850603</v>
      </c>
      <c r="F329" s="16" t="n">
        <f aca="false">opex_fix+opex_var*F324</f>
        <v>369.817248562332</v>
      </c>
      <c r="G329" s="16" t="n">
        <f aca="false">opex_fix+opex_var*G324</f>
        <v>398.028077158463</v>
      </c>
      <c r="H329" s="5" t="s">
        <v>708</v>
      </c>
    </row>
    <row r="330" customFormat="false" ht="15" hidden="false" customHeight="false" outlineLevel="0" collapsed="false">
      <c r="A330" s="5" t="s">
        <v>577</v>
      </c>
      <c r="B330" s="0" t="s">
        <v>354</v>
      </c>
      <c r="C330" s="16" t="n">
        <f aca="false">C328-C329</f>
        <v>499.1</v>
      </c>
      <c r="D330" s="16" t="n">
        <f aca="false">D328-D329</f>
        <v>775.753422760138</v>
      </c>
      <c r="E330" s="16" t="n">
        <f aca="false">E328-E329</f>
        <v>1036.8026797164</v>
      </c>
      <c r="F330" s="16" t="n">
        <f aca="false">F328-F329</f>
        <v>1181.26104411007</v>
      </c>
      <c r="G330" s="16" t="n">
        <f aca="false">G328-G329</f>
        <v>1297.4257471451</v>
      </c>
    </row>
    <row r="331" customFormat="false" ht="15" hidden="false" customHeight="false" outlineLevel="0" collapsed="false">
      <c r="A331" s="5" t="s">
        <v>580</v>
      </c>
      <c r="B331" s="0" t="s">
        <v>45</v>
      </c>
      <c r="C331" s="10" t="n">
        <f aca="false">C330/C324</f>
        <v>0.442229310650363</v>
      </c>
      <c r="D331" s="10" t="n">
        <f aca="false">D330/D324</f>
        <v>0.481718357330168</v>
      </c>
      <c r="E331" s="10" t="n">
        <f aca="false">E330/E324</f>
        <v>0.4993368678389</v>
      </c>
      <c r="F331" s="10" t="n">
        <f aca="false">F330/F324</f>
        <v>0.497179705525879</v>
      </c>
      <c r="G331" s="10" t="n">
        <f aca="false">G330/G324</f>
        <v>0.494897852277742</v>
      </c>
    </row>
    <row r="332" customFormat="false" ht="15" hidden="false" customHeight="false" outlineLevel="0" collapsed="false">
      <c r="A332" s="5" t="s">
        <v>600</v>
      </c>
      <c r="B332" s="0" t="s">
        <v>354</v>
      </c>
      <c r="C332" s="16" t="n">
        <f aca="false">a25_ni</f>
        <v>375.4</v>
      </c>
      <c r="D332" s="16" t="n">
        <f aca="false">D330*nioi</f>
        <v>583.485944508427</v>
      </c>
      <c r="E332" s="16" t="n">
        <f aca="false">E330*nioi</f>
        <v>779.83515521045</v>
      </c>
      <c r="F332" s="16" t="n">
        <f aca="false">F330*nioi</f>
        <v>888.490074051131</v>
      </c>
      <c r="G332" s="16" t="n">
        <f aca="false">G330*nioi</f>
        <v>975.863805806997</v>
      </c>
    </row>
    <row r="333" customFormat="false" ht="15" hidden="false" customHeight="false" outlineLevel="0" collapsed="false">
      <c r="A333" s="0" t="s">
        <v>670</v>
      </c>
      <c r="B333" s="0" t="s">
        <v>403</v>
      </c>
      <c r="C333" s="16" t="n">
        <f aca="false">a25_eps</f>
        <v>515.15</v>
      </c>
      <c r="D333" s="16" t="n">
        <f aca="false">D332*1000/shares</f>
        <v>805.953221896458</v>
      </c>
      <c r="E333" s="16" t="n">
        <f aca="false">E332*1000/shares</f>
        <v>1077.16503166069</v>
      </c>
      <c r="F333" s="16" t="n">
        <f aca="false">F332*1000/shares</f>
        <v>1227.24710773935</v>
      </c>
      <c r="G333" s="16" t="n">
        <f aca="false">G332*1000/shares</f>
        <v>1347.93406049377</v>
      </c>
    </row>
    <row r="334" customFormat="false" ht="17.15" hidden="false" customHeight="false" outlineLevel="0" collapsed="false">
      <c r="A334" s="5" t="s">
        <v>709</v>
      </c>
      <c r="B334" s="0" t="s">
        <v>155</v>
      </c>
      <c r="C334" s="17" t="n">
        <f aca="false">C324/fx</f>
        <v>7.524</v>
      </c>
      <c r="D334" s="17" t="n">
        <f aca="false">D324/fx</f>
        <v>10.7359194566109</v>
      </c>
      <c r="E334" s="17" t="n">
        <f aca="false">E324/fx</f>
        <v>13.842394403383</v>
      </c>
      <c r="F334" s="17" t="n">
        <f aca="false">F324/fx</f>
        <v>15.839491314455</v>
      </c>
      <c r="G334" s="17" t="n">
        <f aca="false">G324/fx</f>
        <v>17.4773540462107</v>
      </c>
      <c r="H334" s="8" t="s">
        <v>710</v>
      </c>
    </row>
    <row r="338" customFormat="false" ht="17.15" hidden="false" customHeight="false" outlineLevel="0" collapsed="false">
      <c r="A338" s="4" t="s">
        <v>1080</v>
      </c>
    </row>
    <row r="339" customFormat="false" ht="17.15" hidden="false" customHeight="false" outlineLevel="0" collapsed="false">
      <c r="A339" s="6" t="s">
        <v>23</v>
      </c>
      <c r="B339" s="6" t="s">
        <v>24</v>
      </c>
      <c r="C339" s="14" t="s">
        <v>675</v>
      </c>
      <c r="D339" s="14" t="s">
        <v>676</v>
      </c>
      <c r="E339" s="14" t="s">
        <v>677</v>
      </c>
      <c r="F339" s="14" t="s">
        <v>678</v>
      </c>
      <c r="G339" s="14" t="s">
        <v>679</v>
      </c>
      <c r="H339" s="6" t="s">
        <v>478</v>
      </c>
    </row>
    <row r="340" customFormat="false" ht="17.15" hidden="false" customHeight="false" outlineLevel="0" collapsed="false">
      <c r="A340" s="1" t="s">
        <v>680</v>
      </c>
    </row>
    <row r="341" customFormat="false" ht="17.15" hidden="false" customHeight="false" outlineLevel="0" collapsed="false">
      <c r="A341" s="5" t="s">
        <v>681</v>
      </c>
      <c r="B341" s="5" t="s">
        <v>34</v>
      </c>
      <c r="C341" s="19" t="n">
        <f aca="false">u_bw_26*tt_bw+u_rb_26*tt_rb+u_ru_26*tt_ru+u_hp_26*tt_hp+u_amd_26*tt_amd+u_tpu_26*tt_tpu+u_trn_26*tt_trn+u_oth_26*tt_oth</f>
        <v>14.885</v>
      </c>
      <c r="D341" s="19" t="n">
        <f aca="false">u_bw_27*tt_bw+u_rb_27*tt_rb+u_ru_27*tt_ru+u_hp_27*tt_hp+u_amd_27*tt_amd+u_tpu_27*tt_tpu+u_trn_27*tt_trn+u_oth_27*tt_oth</f>
        <v>24.31</v>
      </c>
      <c r="E341" s="19" t="n">
        <f aca="false">u_bw_28*um28_A*tt_bw+u_rb_28*um28_A*tt_rb+u_ru_28*um28_A*tt_ru+u_hp_28*um28_A*tt_hp+u_amd_28*um28_A*tt_amd+u_tpu_28*um28_A*tt_tpu+u_trn_28*um28_A*tt_trn+u_oth_28*um28_A*tt_oth</f>
        <v>28.1</v>
      </c>
      <c r="F34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9" t="n">
        <f aca="false">F341*(1+cy30g)</f>
        <v>31.99</v>
      </c>
      <c r="H341" s="8" t="s">
        <v>682</v>
      </c>
    </row>
    <row r="342" customFormat="false" ht="17.15" hidden="false" customHeight="false" outlineLevel="0" collapsed="false">
      <c r="A342" s="5" t="s">
        <v>683</v>
      </c>
      <c r="B342" s="0" t="s">
        <v>684</v>
      </c>
      <c r="C342" s="21" t="n">
        <f aca="false">(mk_soc26_hi-nonai26)/C341</f>
        <v>0.483708431306685</v>
      </c>
      <c r="H342" s="5" t="s">
        <v>685</v>
      </c>
    </row>
    <row r="343" customFormat="false" ht="17.15" hidden="false" customHeight="false" outlineLevel="0" collapsed="false">
      <c r="A343" s="0" t="s">
        <v>686</v>
      </c>
      <c r="B343" s="0" t="s">
        <v>155</v>
      </c>
      <c r="C343" s="19" t="n">
        <f aca="false">$C$342*C341*(1-0)^0</f>
        <v>7.2</v>
      </c>
      <c r="D343" s="19" t="n">
        <f aca="false">$C$342*D341*(1-0)^1</f>
        <v>11.7589519650655</v>
      </c>
      <c r="E343" s="19" t="n">
        <f aca="false">$C$342*E341*(1-0)^2</f>
        <v>13.5922069197178</v>
      </c>
      <c r="F343" s="19" t="n">
        <f aca="false">$C$342*F341*(1-0)^3</f>
        <v>15.4738327175008</v>
      </c>
      <c r="G343" s="19" t="n">
        <f aca="false">$C$342*G341*(1-0)^4</f>
        <v>15.4738327175008</v>
      </c>
    </row>
    <row r="344" customFormat="false" ht="17.15" hidden="false" customHeight="false" outlineLevel="0" collapsed="false">
      <c r="A344" s="5" t="s">
        <v>687</v>
      </c>
      <c r="B344" s="0" t="s">
        <v>155</v>
      </c>
      <c r="C344" s="19" t="n">
        <f aca="false">nonai26*(1+g_nonai)^0</f>
        <v>4.3</v>
      </c>
      <c r="D344" s="19" t="n">
        <f aca="false">nonai26*(1+g_nonai)^1</f>
        <v>4.472</v>
      </c>
      <c r="E344" s="19" t="n">
        <f aca="false">nonai26*(1+g_nonai)^2</f>
        <v>4.65088</v>
      </c>
      <c r="F344" s="19" t="n">
        <f aca="false">nonai26*(1+g_nonai)^3</f>
        <v>4.8369152</v>
      </c>
      <c r="G344" s="19" t="n">
        <f aca="false">nonai26*(1+g_nonai)^4</f>
        <v>5.030391808</v>
      </c>
    </row>
    <row r="345" customFormat="false" ht="17.15" hidden="false" customHeight="false" outlineLevel="0" collapsed="false">
      <c r="A345" s="0" t="s">
        <v>688</v>
      </c>
      <c r="B345" s="0" t="s">
        <v>155</v>
      </c>
      <c r="C345" s="19" t="n">
        <f aca="false">C343+C344</f>
        <v>11.5</v>
      </c>
      <c r="D345" s="19" t="n">
        <f aca="false">D343+D344</f>
        <v>16.2309519650655</v>
      </c>
      <c r="E345" s="19" t="n">
        <f aca="false">E343+E344</f>
        <v>18.2430869197178</v>
      </c>
      <c r="F345" s="19" t="n">
        <f aca="false">F343+F344</f>
        <v>20.3107479175008</v>
      </c>
      <c r="G345" s="19" t="n">
        <f aca="false">G343+G344</f>
        <v>20.5042245255008</v>
      </c>
      <c r="H345" s="8" t="s">
        <v>689</v>
      </c>
    </row>
    <row r="346" customFormat="false" ht="17.15" hidden="false" customHeight="false" outlineLevel="0" collapsed="false">
      <c r="A346" s="5" t="s">
        <v>690</v>
      </c>
      <c r="B346" s="0" t="s">
        <v>155</v>
      </c>
      <c r="C346" s="19" t="n">
        <f aca="false">mk_mem26*(w_hbm*hsA_26/hsA_26+(1-w_hbm)*drA_26/drA_26)</f>
        <v>2.75</v>
      </c>
      <c r="D346" s="19" t="n">
        <f aca="false">mk_mem26*(w_hbm*hsA_27/hsA_26+(1-w_hbm)*drA_27/drA_26)</f>
        <v>3.88007408374579</v>
      </c>
      <c r="E346" s="19" t="n">
        <f aca="false">mk_mem26*(w_hbm*hsA_28/hsA_26+(1-w_hbm)*drA_28/drA_26)</f>
        <v>5.04607694610671</v>
      </c>
      <c r="F346" s="19" t="n">
        <f aca="false">mk_mem26*(w_hbm*hsA_29/hsA_26+(1-w_hbm)*drA_29/drA_26)</f>
        <v>6.20223782078096</v>
      </c>
      <c r="G346" s="19" t="n">
        <f aca="false">F346*(1+cy30g)</f>
        <v>6.20223782078096</v>
      </c>
      <c r="H346" s="8" t="s">
        <v>691</v>
      </c>
    </row>
    <row r="347" customFormat="false" ht="17.15" hidden="false" customHeight="false" outlineLevel="0" collapsed="false">
      <c r="A347" s="1" t="s">
        <v>692</v>
      </c>
    </row>
    <row r="348" customFormat="false" ht="17.15" hidden="false" customHeight="false" outlineLevel="0" collapsed="false">
      <c r="A348" s="0" t="s">
        <v>693</v>
      </c>
      <c r="B348" s="0" t="s">
        <v>155</v>
      </c>
      <c r="C348" s="19" t="n">
        <f aca="false">fmk_soc25</f>
        <v>7.925</v>
      </c>
      <c r="D348" s="19" t="n">
        <f aca="false">0.75*C345+0.25*D345</f>
        <v>12.6827379912664</v>
      </c>
      <c r="E348" s="19" t="n">
        <f aca="false">0.75*D345+0.25*E345</f>
        <v>16.7339857037286</v>
      </c>
      <c r="F348" s="19" t="n">
        <f aca="false">0.75*E345+0.25*F345</f>
        <v>18.7600021691636</v>
      </c>
      <c r="G348" s="19" t="n">
        <f aca="false">0.75*F345+0.25*G345</f>
        <v>20.3591170695008</v>
      </c>
    </row>
    <row r="349" customFormat="false" ht="17.15" hidden="false" customHeight="false" outlineLevel="0" collapsed="false">
      <c r="A349" s="5" t="s">
        <v>694</v>
      </c>
      <c r="B349" s="0" t="s">
        <v>155</v>
      </c>
      <c r="C349" s="19" t="n">
        <f aca="false">fmk_mem25</f>
        <v>2.2625</v>
      </c>
      <c r="D349" s="19" t="n">
        <f aca="false">0.75*C346+0.25*D346</f>
        <v>3.03251852093645</v>
      </c>
      <c r="E349" s="19" t="n">
        <f aca="false">0.75*D346+0.25*E346</f>
        <v>4.17157479933602</v>
      </c>
      <c r="F349" s="19" t="n">
        <f aca="false">0.75*E346+0.25*F346</f>
        <v>5.33511716477527</v>
      </c>
      <c r="G349" s="19" t="n">
        <f aca="false">0.75*F346+0.25*G346</f>
        <v>6.20223782078096</v>
      </c>
    </row>
    <row r="350" customFormat="false" ht="17.15" hidden="false" customHeight="false" outlineLevel="0" collapsed="false">
      <c r="A350" s="0" t="s">
        <v>695</v>
      </c>
      <c r="B350" s="0" t="s">
        <v>45</v>
      </c>
      <c r="C350" s="10" t="n">
        <f aca="false">a25_soc/(C348*fx)</f>
        <v>0.645552050473186</v>
      </c>
      <c r="D350" s="10" t="n">
        <f aca="false">sh_soc</f>
        <v>0.66</v>
      </c>
      <c r="E350" s="10" t="n">
        <f aca="false">sh_soc</f>
        <v>0.66</v>
      </c>
      <c r="F350" s="10" t="n">
        <f aca="false">sh_soc</f>
        <v>0.66</v>
      </c>
      <c r="G350" s="10" t="n">
        <f aca="false">sh_soc</f>
        <v>0.66</v>
      </c>
      <c r="H350" s="8" t="s">
        <v>696</v>
      </c>
    </row>
    <row r="351" customFormat="false" ht="17.15" hidden="false" customHeight="false" outlineLevel="0" collapsed="false">
      <c r="A351" s="0" t="s">
        <v>697</v>
      </c>
      <c r="B351" s="0" t="s">
        <v>354</v>
      </c>
      <c r="C351" s="16" t="n">
        <f aca="false">a25_soc</f>
        <v>767.4</v>
      </c>
      <c r="D351" s="16" t="n">
        <f aca="false">D348*D350*fx</f>
        <v>1255.59106113537</v>
      </c>
      <c r="E351" s="16" t="n">
        <f aca="false">E348*E350*fx</f>
        <v>1656.66458466913</v>
      </c>
      <c r="F351" s="16" t="n">
        <f aca="false">F348*F350*fx</f>
        <v>1857.2402147472</v>
      </c>
      <c r="G351" s="16" t="n">
        <f aca="false">G348*G350*fx</f>
        <v>2015.55258988058</v>
      </c>
      <c r="H351" s="5" t="s">
        <v>698</v>
      </c>
    </row>
    <row r="352" customFormat="false" ht="15" hidden="false" customHeight="false" outlineLevel="0" collapsed="false">
      <c r="A352" s="5" t="s">
        <v>699</v>
      </c>
      <c r="B352" s="0" t="s">
        <v>354</v>
      </c>
      <c r="C352" s="16" t="n">
        <f aca="false">a25_mem</f>
        <v>171.5</v>
      </c>
      <c r="D352" s="16" t="n">
        <f aca="false">D349*sh_mem*fx</f>
        <v>229.868254736177</v>
      </c>
      <c r="E352" s="16" t="n">
        <f aca="false">E349*sh_mem*fx</f>
        <v>316.209979264587</v>
      </c>
      <c r="F352" s="16" t="n">
        <f aca="false">F349*sh_mem*fx</f>
        <v>404.407776247054</v>
      </c>
      <c r="G352" s="16" t="n">
        <f aca="false">G349*sh_mem*fx</f>
        <v>470.136480116656</v>
      </c>
    </row>
    <row r="353" customFormat="false" ht="15" hidden="false" customHeight="false" outlineLevel="0" collapsed="false">
      <c r="A353" s="5" t="s">
        <v>700</v>
      </c>
      <c r="B353" s="0" t="s">
        <v>354</v>
      </c>
      <c r="C353" s="16" t="n">
        <f aca="false">a25_oth</f>
        <v>80.5</v>
      </c>
      <c r="D353" s="16" t="n">
        <f aca="false">C353*(1+g_oth_26)</f>
        <v>104</v>
      </c>
      <c r="E353" s="16" t="n">
        <f aca="false">D353*(1+g_oth_A)</f>
        <v>119.6</v>
      </c>
      <c r="F353" s="16" t="n">
        <f aca="false">E353*(1+g_oth_A)</f>
        <v>137.54</v>
      </c>
      <c r="G353" s="16" t="n">
        <f aca="false">F353*(1+g_oth_A)</f>
        <v>158.171</v>
      </c>
    </row>
    <row r="354" customFormat="false" ht="15" hidden="false" customHeight="false" outlineLevel="0" collapsed="false">
      <c r="A354" s="5" t="s">
        <v>701</v>
      </c>
      <c r="B354" s="0" t="s">
        <v>354</v>
      </c>
      <c r="C354" s="16" t="n">
        <f aca="false">a25_svc</f>
        <v>109.2</v>
      </c>
      <c r="D354" s="16" t="n">
        <f aca="false">C354*(1+g_svc_26)</f>
        <v>135.6</v>
      </c>
      <c r="E354" s="16" t="n">
        <f aca="false">D354*(1+g_svc_A)</f>
        <v>151.872</v>
      </c>
      <c r="F354" s="16" t="n">
        <f aca="false">E354*(1+g_svc_A)</f>
        <v>170.09664</v>
      </c>
      <c r="G354" s="16" t="n">
        <f aca="false">F354*(1+g_svc_A)</f>
        <v>190.5082368</v>
      </c>
    </row>
    <row r="355" customFormat="false" ht="17.15" hidden="false" customHeight="false" outlineLevel="0" collapsed="false">
      <c r="A355" s="5" t="s">
        <v>702</v>
      </c>
      <c r="B355" s="0" t="s">
        <v>354</v>
      </c>
      <c r="C355" s="16" t="n">
        <f aca="false">C351+C352+C353</f>
        <v>1019.4</v>
      </c>
      <c r="D355" s="16" t="n">
        <f aca="false">D351+D352+D353</f>
        <v>1589.45931587155</v>
      </c>
      <c r="E355" s="16" t="n">
        <f aca="false">E351+E352+E353</f>
        <v>2092.47456393372</v>
      </c>
      <c r="F355" s="16" t="n">
        <f aca="false">F351+F352+F353</f>
        <v>2399.18799099425</v>
      </c>
      <c r="G355" s="16" t="n">
        <f aca="false">G351+G352+G353</f>
        <v>2643.86006999724</v>
      </c>
      <c r="H355" s="5" t="s">
        <v>703</v>
      </c>
    </row>
    <row r="356" customFormat="false" ht="15" hidden="false" customHeight="false" outlineLevel="0" collapsed="false">
      <c r="A356" s="5" t="s">
        <v>566</v>
      </c>
      <c r="B356" s="0" t="s">
        <v>354</v>
      </c>
      <c r="C356" s="16" t="n">
        <f aca="false">C355+C354</f>
        <v>1128.6</v>
      </c>
      <c r="D356" s="16" t="n">
        <f aca="false">D355+D354</f>
        <v>1725.05931587155</v>
      </c>
      <c r="E356" s="16" t="n">
        <f aca="false">E355+E354</f>
        <v>2244.34656393372</v>
      </c>
      <c r="F356" s="16" t="n">
        <f aca="false">F355+F354</f>
        <v>2569.28463099425</v>
      </c>
      <c r="G356" s="16" t="n">
        <f aca="false">G355+G354</f>
        <v>2834.36830679724</v>
      </c>
    </row>
    <row r="357" customFormat="false" ht="17.15" hidden="false" customHeight="false" outlineLevel="0" collapsed="false">
      <c r="A357" s="5" t="s">
        <v>704</v>
      </c>
      <c r="B357" s="0" t="s">
        <v>354</v>
      </c>
      <c r="C357" s="17" t="n">
        <f aca="false">C355+C354-a25_rev</f>
        <v>0</v>
      </c>
    </row>
    <row r="358" customFormat="false" ht="17.15" hidden="false" customHeight="false" outlineLevel="0" collapsed="false">
      <c r="A358" s="0" t="s">
        <v>705</v>
      </c>
      <c r="B358" s="0" t="s">
        <v>45</v>
      </c>
      <c r="C358" s="10" t="n">
        <f aca="false">C351/C356</f>
        <v>0.679957469431154</v>
      </c>
      <c r="D358" s="10" t="n">
        <f aca="false">D351/D356</f>
        <v>0.727853848028995</v>
      </c>
      <c r="E358" s="10" t="n">
        <f aca="false">E351/E356</f>
        <v>0.738150075078181</v>
      </c>
      <c r="F358" s="10" t="n">
        <f aca="false">F351/F356</f>
        <v>0.722862773685176</v>
      </c>
      <c r="G358" s="10" t="n">
        <f aca="false">G351/G356</f>
        <v>0.711111744033754</v>
      </c>
    </row>
    <row r="359" customFormat="false" ht="17.15" hidden="false" customHeight="false" outlineLevel="0" collapsed="false">
      <c r="A359" s="5" t="s">
        <v>570</v>
      </c>
      <c r="B359" s="0" t="s">
        <v>45</v>
      </c>
      <c r="C359" s="10" t="n">
        <f aca="false">a25_gp/a25_rev</f>
        <v>0.643</v>
      </c>
      <c r="D359" s="10" t="n">
        <f aca="false">gm_a+gm_b*D358+0</f>
        <v>0.666139136463152</v>
      </c>
      <c r="E359" s="10" t="n">
        <f aca="false">gm_a+gm_b*E358+0</f>
        <v>0.671113328870205</v>
      </c>
      <c r="F359" s="10" t="n">
        <f aca="false">gm_a+gm_b*F358+0</f>
        <v>0.663727907186111</v>
      </c>
      <c r="G359" s="10" t="n">
        <f aca="false">gm_a+gm_b*G358+0</f>
        <v>0.658050887614968</v>
      </c>
      <c r="H359" s="5" t="s">
        <v>706</v>
      </c>
    </row>
    <row r="360" customFormat="false" ht="15" hidden="false" customHeight="false" outlineLevel="0" collapsed="false">
      <c r="A360" s="5" t="s">
        <v>574</v>
      </c>
      <c r="B360" s="0" t="s">
        <v>354</v>
      </c>
      <c r="C360" s="16" t="n">
        <f aca="false">C356*C359</f>
        <v>725.6898</v>
      </c>
      <c r="D360" s="16" t="n">
        <f aca="false">D356*D359</f>
        <v>1149.12952302239</v>
      </c>
      <c r="E360" s="16" t="n">
        <f aca="false">E356*E359</f>
        <v>1506.21089365996</v>
      </c>
      <c r="F360" s="16" t="n">
        <f aca="false">F356*F359</f>
        <v>1705.30591109525</v>
      </c>
      <c r="G360" s="16" t="n">
        <f aca="false">G356*G359</f>
        <v>1865.15858011566</v>
      </c>
    </row>
    <row r="361" customFormat="false" ht="17.15" hidden="false" customHeight="false" outlineLevel="0" collapsed="false">
      <c r="A361" s="5" t="s">
        <v>707</v>
      </c>
      <c r="B361" s="0" t="s">
        <v>354</v>
      </c>
      <c r="C361" s="16" t="n">
        <f aca="false">opex25</f>
        <v>226.5898</v>
      </c>
      <c r="D361" s="16" t="n">
        <f aca="false">opex_fix+opex_var*D356</f>
        <v>295.07991702212</v>
      </c>
      <c r="E361" s="16" t="n">
        <f aca="false">opex_fix+opex_var*E356</f>
        <v>354.708534501089</v>
      </c>
      <c r="F361" s="16" t="n">
        <f aca="false">opex_fix+opex_var*F356</f>
        <v>392.020461141715</v>
      </c>
      <c r="G361" s="16" t="n">
        <f aca="false">opex_fix+opex_var*G356</f>
        <v>422.459439112696</v>
      </c>
      <c r="H361" s="5" t="s">
        <v>708</v>
      </c>
    </row>
    <row r="362" customFormat="false" ht="15" hidden="false" customHeight="false" outlineLevel="0" collapsed="false">
      <c r="A362" s="5" t="s">
        <v>577</v>
      </c>
      <c r="B362" s="0" t="s">
        <v>354</v>
      </c>
      <c r="C362" s="16" t="n">
        <f aca="false">C360-C361</f>
        <v>499.1</v>
      </c>
      <c r="D362" s="16" t="n">
        <f aca="false">D360-D361</f>
        <v>854.04960600027</v>
      </c>
      <c r="E362" s="16" t="n">
        <f aca="false">E360-E361</f>
        <v>1151.50235915888</v>
      </c>
      <c r="F362" s="16" t="n">
        <f aca="false">F360-F361</f>
        <v>1313.28544995354</v>
      </c>
      <c r="G362" s="16" t="n">
        <f aca="false">G360-G361</f>
        <v>1442.69914100296</v>
      </c>
    </row>
    <row r="363" customFormat="false" ht="15" hidden="false" customHeight="false" outlineLevel="0" collapsed="false">
      <c r="A363" s="5" t="s">
        <v>580</v>
      </c>
      <c r="B363" s="0" t="s">
        <v>45</v>
      </c>
      <c r="C363" s="10" t="n">
        <f aca="false">C362/C356</f>
        <v>0.442229310650363</v>
      </c>
      <c r="D363" s="10" t="n">
        <f aca="false">D362/D356</f>
        <v>0.495084196898343</v>
      </c>
      <c r="E363" s="10" t="n">
        <f aca="false">E362/E356</f>
        <v>0.513067980526417</v>
      </c>
      <c r="F363" s="10" t="n">
        <f aca="false">F362/F356</f>
        <v>0.511148291672662</v>
      </c>
      <c r="G363" s="10" t="n">
        <f aca="false">G362/G356</f>
        <v>0.509002001448843</v>
      </c>
    </row>
    <row r="364" customFormat="false" ht="15" hidden="false" customHeight="false" outlineLevel="0" collapsed="false">
      <c r="A364" s="5" t="s">
        <v>600</v>
      </c>
      <c r="B364" s="0" t="s">
        <v>354</v>
      </c>
      <c r="C364" s="16" t="n">
        <f aca="false">a25_ni</f>
        <v>375.4</v>
      </c>
      <c r="D364" s="16" t="n">
        <f aca="false">D362*nioi</f>
        <v>642.376722285116</v>
      </c>
      <c r="E364" s="16" t="n">
        <f aca="false">E362*nioi</f>
        <v>866.106963791308</v>
      </c>
      <c r="F364" s="16" t="n">
        <f aca="false">F362*nioi</f>
        <v>987.792742762088</v>
      </c>
      <c r="G364" s="16" t="n">
        <f aca="false">G362*nioi</f>
        <v>1085.13175221902</v>
      </c>
    </row>
    <row r="365" customFormat="false" ht="15" hidden="false" customHeight="false" outlineLevel="0" collapsed="false">
      <c r="A365" s="0" t="s">
        <v>670</v>
      </c>
      <c r="B365" s="0" t="s">
        <v>403</v>
      </c>
      <c r="C365" s="16" t="n">
        <f aca="false">a25_eps</f>
        <v>515.15</v>
      </c>
      <c r="D365" s="16" t="n">
        <f aca="false">D364*1000/shares</f>
        <v>887.297447127277</v>
      </c>
      <c r="E365" s="16" t="n">
        <f aca="false">E364*1000/shares</f>
        <v>1196.32992798592</v>
      </c>
      <c r="F365" s="16" t="n">
        <f aca="false">F364*1000/shares</f>
        <v>1364.4111757752</v>
      </c>
      <c r="G365" s="16" t="n">
        <f aca="false">G364*1000/shares</f>
        <v>1498.8628948378</v>
      </c>
    </row>
    <row r="366" customFormat="false" ht="17.15" hidden="false" customHeight="false" outlineLevel="0" collapsed="false">
      <c r="A366" s="5" t="s">
        <v>709</v>
      </c>
      <c r="B366" s="0" t="s">
        <v>155</v>
      </c>
      <c r="C366" s="17" t="n">
        <f aca="false">C356/fx</f>
        <v>7.524</v>
      </c>
      <c r="D366" s="17" t="n">
        <f aca="false">D356/fx</f>
        <v>11.5003954391437</v>
      </c>
      <c r="E366" s="17" t="n">
        <f aca="false">E356/fx</f>
        <v>14.9623104262248</v>
      </c>
      <c r="F366" s="17" t="n">
        <f aca="false">F356/fx</f>
        <v>17.1285642066283</v>
      </c>
      <c r="G366" s="17" t="n">
        <f aca="false">G356/fx</f>
        <v>18.8957887119816</v>
      </c>
      <c r="H366" s="8" t="s">
        <v>710</v>
      </c>
    </row>
    <row r="370" customFormat="false" ht="17.15" hidden="false" customHeight="false" outlineLevel="0" collapsed="false">
      <c r="A370" s="4" t="s">
        <v>1081</v>
      </c>
    </row>
    <row r="371" customFormat="false" ht="17.15" hidden="false" customHeight="false" outlineLevel="0" collapsed="false">
      <c r="A371" s="6" t="s">
        <v>23</v>
      </c>
      <c r="B371" s="6" t="s">
        <v>24</v>
      </c>
      <c r="C371" s="14" t="s">
        <v>675</v>
      </c>
      <c r="D371" s="14" t="s">
        <v>676</v>
      </c>
      <c r="E371" s="14" t="s">
        <v>677</v>
      </c>
      <c r="F371" s="14" t="s">
        <v>678</v>
      </c>
      <c r="G371" s="14" t="s">
        <v>679</v>
      </c>
      <c r="H371" s="6" t="s">
        <v>478</v>
      </c>
    </row>
    <row r="372" customFormat="false" ht="17.15" hidden="false" customHeight="false" outlineLevel="0" collapsed="false">
      <c r="A372" s="1" t="s">
        <v>680</v>
      </c>
    </row>
    <row r="373" customFormat="false" ht="17.15" hidden="false" customHeight="false" outlineLevel="0" collapsed="false">
      <c r="A373" s="5" t="s">
        <v>681</v>
      </c>
      <c r="B373" s="5" t="s">
        <v>34</v>
      </c>
      <c r="C373" s="19" t="n">
        <f aca="false">u_bw_26*tt_bw+u_rb_26*tt_rb+u_ru_26*tt_ru+u_hp_26*tt_hp+u_amd_26*tt_amd+u_tpu_26*tt_tpu+u_trn_26*tt_trn+u_oth_26*tt_oth</f>
        <v>14.885</v>
      </c>
      <c r="D373" s="19" t="n">
        <f aca="false">u_bw_27*tt_bw+u_rb_27*tt_rb+u_ru_27*tt_ru+u_hp_27*tt_hp+u_amd_27*tt_amd+u_tpu_27*tt_tpu+u_trn_27*tt_trn+u_oth_27*tt_oth</f>
        <v>24.31</v>
      </c>
      <c r="E373" s="19" t="n">
        <f aca="false">u_bw_28*um28_A*tt_bw+u_rb_28*um28_A*tt_rb+u_ru_28*um28_A*tt_ru+u_hp_28*um28_A*tt_hp+u_amd_28*um28_A*tt_amd+u_tpu_28*um28_A*tt_tpu+u_trn_28*um28_A*tt_trn+u_oth_28*um28_A*tt_oth</f>
        <v>28.1</v>
      </c>
      <c r="F37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9" t="n">
        <f aca="false">F373*(1+cy30g)</f>
        <v>31.99</v>
      </c>
      <c r="H373" s="8" t="s">
        <v>682</v>
      </c>
    </row>
    <row r="374" customFormat="false" ht="17.15" hidden="false" customHeight="false" outlineLevel="0" collapsed="false">
      <c r="A374" s="5" t="s">
        <v>683</v>
      </c>
      <c r="B374" s="0" t="s">
        <v>684</v>
      </c>
      <c r="C374" s="21" t="n">
        <f aca="false">(mk_soc26-nonai26_lo)/C373</f>
        <v>0.490426603963722</v>
      </c>
      <c r="H374" s="5" t="s">
        <v>685</v>
      </c>
    </row>
    <row r="375" customFormat="false" ht="17.15" hidden="false" customHeight="false" outlineLevel="0" collapsed="false">
      <c r="A375" s="0" t="s">
        <v>686</v>
      </c>
      <c r="B375" s="0" t="s">
        <v>155</v>
      </c>
      <c r="C375" s="19" t="n">
        <f aca="false">$C$374*C373*(1-0)^0</f>
        <v>7.3</v>
      </c>
      <c r="D375" s="19" t="n">
        <f aca="false">$C$374*D373*(1-0)^1</f>
        <v>11.9222707423581</v>
      </c>
      <c r="E375" s="19" t="n">
        <f aca="false">$C$374*E373*(1-0)^2</f>
        <v>13.7809875713806</v>
      </c>
      <c r="F375" s="19" t="n">
        <f aca="false">$C$374*F373*(1-0)^3</f>
        <v>15.6887470607995</v>
      </c>
      <c r="G375" s="19" t="n">
        <f aca="false">$C$374*G373*(1-0)^4</f>
        <v>15.6887470607995</v>
      </c>
    </row>
    <row r="376" customFormat="false" ht="17.15" hidden="false" customHeight="false" outlineLevel="0" collapsed="false">
      <c r="A376" s="5" t="s">
        <v>687</v>
      </c>
      <c r="B376" s="0" t="s">
        <v>155</v>
      </c>
      <c r="C376" s="19" t="n">
        <f aca="false">nonai26_lo*(1+g_nonai)^0</f>
        <v>3.7</v>
      </c>
      <c r="D376" s="19" t="n">
        <f aca="false">nonai26_lo*(1+g_nonai)^1</f>
        <v>3.848</v>
      </c>
      <c r="E376" s="19" t="n">
        <f aca="false">nonai26_lo*(1+g_nonai)^2</f>
        <v>4.00192</v>
      </c>
      <c r="F376" s="19" t="n">
        <f aca="false">nonai26_lo*(1+g_nonai)^3</f>
        <v>4.1619968</v>
      </c>
      <c r="G376" s="19" t="n">
        <f aca="false">nonai26_lo*(1+g_nonai)^4</f>
        <v>4.328476672</v>
      </c>
    </row>
    <row r="377" customFormat="false" ht="17.15" hidden="false" customHeight="false" outlineLevel="0" collapsed="false">
      <c r="A377" s="0" t="s">
        <v>688</v>
      </c>
      <c r="B377" s="0" t="s">
        <v>155</v>
      </c>
      <c r="C377" s="19" t="n">
        <f aca="false">C375+C376</f>
        <v>11</v>
      </c>
      <c r="D377" s="19" t="n">
        <f aca="false">D375+D376</f>
        <v>15.7702707423581</v>
      </c>
      <c r="E377" s="19" t="n">
        <f aca="false">E375+E376</f>
        <v>17.7829075713806</v>
      </c>
      <c r="F377" s="19" t="n">
        <f aca="false">F375+F376</f>
        <v>19.8507438607995</v>
      </c>
      <c r="G377" s="19" t="n">
        <f aca="false">G375+G376</f>
        <v>20.0172237327995</v>
      </c>
      <c r="H377" s="8" t="s">
        <v>689</v>
      </c>
    </row>
    <row r="378" customFormat="false" ht="17.15" hidden="false" customHeight="false" outlineLevel="0" collapsed="false">
      <c r="A378" s="5" t="s">
        <v>690</v>
      </c>
      <c r="B378" s="0" t="s">
        <v>155</v>
      </c>
      <c r="C378" s="19" t="n">
        <f aca="false">mk_mem26*(w_hbm*hsA_26/hsA_26+(1-w_hbm)*drA_26/drA_26)</f>
        <v>2.75</v>
      </c>
      <c r="D378" s="19" t="n">
        <f aca="false">mk_mem26*(w_hbm*hsA_27/hsA_26+(1-w_hbm)*drA_27/drA_26)</f>
        <v>3.88007408374579</v>
      </c>
      <c r="E378" s="19" t="n">
        <f aca="false">mk_mem26*(w_hbm*hsA_28/hsA_26+(1-w_hbm)*drA_28/drA_26)</f>
        <v>5.04607694610671</v>
      </c>
      <c r="F378" s="19" t="n">
        <f aca="false">mk_mem26*(w_hbm*hsA_29/hsA_26+(1-w_hbm)*drA_29/drA_26)</f>
        <v>6.20223782078096</v>
      </c>
      <c r="G378" s="19" t="n">
        <f aca="false">F378*(1+cy30g)</f>
        <v>6.20223782078096</v>
      </c>
      <c r="H378" s="8" t="s">
        <v>691</v>
      </c>
    </row>
    <row r="379" customFormat="false" ht="17.15" hidden="false" customHeight="false" outlineLevel="0" collapsed="false">
      <c r="A379" s="1" t="s">
        <v>692</v>
      </c>
    </row>
    <row r="380" customFormat="false" ht="17.15" hidden="false" customHeight="false" outlineLevel="0" collapsed="false">
      <c r="A380" s="0" t="s">
        <v>693</v>
      </c>
      <c r="B380" s="0" t="s">
        <v>155</v>
      </c>
      <c r="C380" s="19" t="n">
        <f aca="false">fmk_soc25</f>
        <v>7.925</v>
      </c>
      <c r="D380" s="19" t="n">
        <f aca="false">0.75*C377+0.25*D377</f>
        <v>12.1925676855895</v>
      </c>
      <c r="E380" s="19" t="n">
        <f aca="false">0.75*D377+0.25*E377</f>
        <v>16.2734299496137</v>
      </c>
      <c r="F380" s="19" t="n">
        <f aca="false">0.75*E377+0.25*F377</f>
        <v>18.2998666437353</v>
      </c>
      <c r="G380" s="19" t="n">
        <f aca="false">0.75*F377+0.25*G377</f>
        <v>19.8923638287995</v>
      </c>
    </row>
    <row r="381" customFormat="false" ht="17.15" hidden="false" customHeight="false" outlineLevel="0" collapsed="false">
      <c r="A381" s="5" t="s">
        <v>694</v>
      </c>
      <c r="B381" s="0" t="s">
        <v>155</v>
      </c>
      <c r="C381" s="19" t="n">
        <f aca="false">fmk_mem25</f>
        <v>2.2625</v>
      </c>
      <c r="D381" s="19" t="n">
        <f aca="false">0.75*C378+0.25*D378</f>
        <v>3.03251852093645</v>
      </c>
      <c r="E381" s="19" t="n">
        <f aca="false">0.75*D378+0.25*E378</f>
        <v>4.17157479933602</v>
      </c>
      <c r="F381" s="19" t="n">
        <f aca="false">0.75*E378+0.25*F378</f>
        <v>5.33511716477527</v>
      </c>
      <c r="G381" s="19" t="n">
        <f aca="false">0.75*F378+0.25*G378</f>
        <v>6.20223782078096</v>
      </c>
    </row>
    <row r="382" customFormat="false" ht="17.15" hidden="false" customHeight="false" outlineLevel="0" collapsed="false">
      <c r="A382" s="0" t="s">
        <v>695</v>
      </c>
      <c r="B382" s="0" t="s">
        <v>45</v>
      </c>
      <c r="C382" s="10" t="n">
        <f aca="false">a25_soc/(C380*fx)</f>
        <v>0.645552050473186</v>
      </c>
      <c r="D382" s="10" t="n">
        <f aca="false">sh_soc</f>
        <v>0.66</v>
      </c>
      <c r="E382" s="10" t="n">
        <f aca="false">sh_soc</f>
        <v>0.66</v>
      </c>
      <c r="F382" s="10" t="n">
        <f aca="false">sh_soc</f>
        <v>0.66</v>
      </c>
      <c r="G382" s="10" t="n">
        <f aca="false">sh_soc</f>
        <v>0.66</v>
      </c>
      <c r="H382" s="8" t="s">
        <v>696</v>
      </c>
    </row>
    <row r="383" customFormat="false" ht="17.15" hidden="false" customHeight="false" outlineLevel="0" collapsed="false">
      <c r="A383" s="0" t="s">
        <v>697</v>
      </c>
      <c r="B383" s="0" t="s">
        <v>354</v>
      </c>
      <c r="C383" s="16" t="n">
        <f aca="false">a25_soc</f>
        <v>767.4</v>
      </c>
      <c r="D383" s="16" t="n">
        <f aca="false">D380*D382*fx</f>
        <v>1207.06420087336</v>
      </c>
      <c r="E383" s="16" t="n">
        <f aca="false">E380*E382*fx</f>
        <v>1611.06956501176</v>
      </c>
      <c r="F383" s="16" t="n">
        <f aca="false">F380*F382*fx</f>
        <v>1811.6867977298</v>
      </c>
      <c r="G383" s="16" t="n">
        <f aca="false">G380*G382*fx</f>
        <v>1969.34401905115</v>
      </c>
      <c r="H383" s="5" t="s">
        <v>698</v>
      </c>
    </row>
    <row r="384" customFormat="false" ht="15" hidden="false" customHeight="false" outlineLevel="0" collapsed="false">
      <c r="A384" s="5" t="s">
        <v>699</v>
      </c>
      <c r="B384" s="0" t="s">
        <v>354</v>
      </c>
      <c r="C384" s="16" t="n">
        <f aca="false">a25_mem</f>
        <v>171.5</v>
      </c>
      <c r="D384" s="16" t="n">
        <f aca="false">D381*sh_mem*fx</f>
        <v>229.868254736177</v>
      </c>
      <c r="E384" s="16" t="n">
        <f aca="false">E381*sh_mem*fx</f>
        <v>316.209979264587</v>
      </c>
      <c r="F384" s="16" t="n">
        <f aca="false">F381*sh_mem*fx</f>
        <v>404.407776247054</v>
      </c>
      <c r="G384" s="16" t="n">
        <f aca="false">G381*sh_mem*fx</f>
        <v>470.136480116656</v>
      </c>
    </row>
    <row r="385" customFormat="false" ht="15" hidden="false" customHeight="false" outlineLevel="0" collapsed="false">
      <c r="A385" s="5" t="s">
        <v>700</v>
      </c>
      <c r="B385" s="0" t="s">
        <v>354</v>
      </c>
      <c r="C385" s="16" t="n">
        <f aca="false">a25_oth</f>
        <v>80.5</v>
      </c>
      <c r="D385" s="16" t="n">
        <f aca="false">C385*(1+g_oth_26)</f>
        <v>104</v>
      </c>
      <c r="E385" s="16" t="n">
        <f aca="false">D385*(1+g_oth_A)</f>
        <v>119.6</v>
      </c>
      <c r="F385" s="16" t="n">
        <f aca="false">E385*(1+g_oth_A)</f>
        <v>137.54</v>
      </c>
      <c r="G385" s="16" t="n">
        <f aca="false">F385*(1+g_oth_A)</f>
        <v>158.171</v>
      </c>
    </row>
    <row r="386" customFormat="false" ht="15" hidden="false" customHeight="false" outlineLevel="0" collapsed="false">
      <c r="A386" s="5" t="s">
        <v>701</v>
      </c>
      <c r="B386" s="0" t="s">
        <v>354</v>
      </c>
      <c r="C386" s="16" t="n">
        <f aca="false">a25_svc</f>
        <v>109.2</v>
      </c>
      <c r="D386" s="16" t="n">
        <f aca="false">C386*(1+g_svc_26)</f>
        <v>135.6</v>
      </c>
      <c r="E386" s="16" t="n">
        <f aca="false">D386*(1+g_svc_A)</f>
        <v>151.872</v>
      </c>
      <c r="F386" s="16" t="n">
        <f aca="false">E386*(1+g_svc_A)</f>
        <v>170.09664</v>
      </c>
      <c r="G386" s="16" t="n">
        <f aca="false">F386*(1+g_svc_A)</f>
        <v>190.5082368</v>
      </c>
    </row>
    <row r="387" customFormat="false" ht="17.15" hidden="false" customHeight="false" outlineLevel="0" collapsed="false">
      <c r="A387" s="5" t="s">
        <v>702</v>
      </c>
      <c r="B387" s="0" t="s">
        <v>354</v>
      </c>
      <c r="C387" s="16" t="n">
        <f aca="false">C383+C384+C385</f>
        <v>1019.4</v>
      </c>
      <c r="D387" s="16" t="n">
        <f aca="false">D383+D384+D385</f>
        <v>1540.93245560954</v>
      </c>
      <c r="E387" s="16" t="n">
        <f aca="false">E383+E384+E385</f>
        <v>2046.87954427634</v>
      </c>
      <c r="F387" s="16" t="n">
        <f aca="false">F383+F384+F385</f>
        <v>2353.63457397685</v>
      </c>
      <c r="G387" s="16" t="n">
        <f aca="false">G383+G384+G385</f>
        <v>2597.6514991678</v>
      </c>
      <c r="H387" s="5" t="s">
        <v>703</v>
      </c>
    </row>
    <row r="388" customFormat="false" ht="15" hidden="false" customHeight="false" outlineLevel="0" collapsed="false">
      <c r="A388" s="5" t="s">
        <v>566</v>
      </c>
      <c r="B388" s="0" t="s">
        <v>354</v>
      </c>
      <c r="C388" s="16" t="n">
        <f aca="false">C387+C386</f>
        <v>1128.6</v>
      </c>
      <c r="D388" s="16" t="n">
        <f aca="false">D387+D386</f>
        <v>1676.53245560954</v>
      </c>
      <c r="E388" s="16" t="n">
        <f aca="false">E387+E386</f>
        <v>2198.75154427634</v>
      </c>
      <c r="F388" s="16" t="n">
        <f aca="false">F387+F386</f>
        <v>2523.73121397685</v>
      </c>
      <c r="G388" s="16" t="n">
        <f aca="false">G387+G386</f>
        <v>2788.1597359678</v>
      </c>
    </row>
    <row r="389" customFormat="false" ht="17.15" hidden="false" customHeight="false" outlineLevel="0" collapsed="false">
      <c r="A389" s="5" t="s">
        <v>704</v>
      </c>
      <c r="B389" s="0" t="s">
        <v>354</v>
      </c>
      <c r="C389" s="17" t="n">
        <f aca="false">C387+C386-a25_rev</f>
        <v>0</v>
      </c>
    </row>
    <row r="390" customFormat="false" ht="17.15" hidden="false" customHeight="false" outlineLevel="0" collapsed="false">
      <c r="A390" s="0" t="s">
        <v>705</v>
      </c>
      <c r="B390" s="0" t="s">
        <v>45</v>
      </c>
      <c r="C390" s="10" t="n">
        <f aca="false">C383/C388</f>
        <v>0.679957469431154</v>
      </c>
      <c r="D390" s="10" t="n">
        <f aca="false">D383/D388</f>
        <v>0.719976637991484</v>
      </c>
      <c r="E390" s="10" t="n">
        <f aca="false">E383/E388</f>
        <v>0.73272015167225</v>
      </c>
      <c r="F390" s="10" t="n">
        <f aca="false">F383/F388</f>
        <v>0.717860439216494</v>
      </c>
      <c r="G390" s="10" t="n">
        <f aca="false">G383/G388</f>
        <v>0.706323957571808</v>
      </c>
    </row>
    <row r="391" customFormat="false" ht="17.15" hidden="false" customHeight="false" outlineLevel="0" collapsed="false">
      <c r="A391" s="5" t="s">
        <v>570</v>
      </c>
      <c r="B391" s="0" t="s">
        <v>45</v>
      </c>
      <c r="C391" s="10" t="n">
        <f aca="false">a25_gp/a25_rev</f>
        <v>0.643</v>
      </c>
      <c r="D391" s="10" t="n">
        <f aca="false">gm_a+gm_b*D390+0</f>
        <v>0.662333591172613</v>
      </c>
      <c r="E391" s="10" t="n">
        <f aca="false">gm_a+gm_b*E390+0</f>
        <v>0.668490087983264</v>
      </c>
      <c r="F391" s="10" t="n">
        <f aca="false">gm_a+gm_b*F390+0</f>
        <v>0.66131123804966</v>
      </c>
      <c r="G391" s="10" t="n">
        <f aca="false">gm_a+gm_b*G390+0</f>
        <v>0.655737868394255</v>
      </c>
      <c r="H391" s="5" t="s">
        <v>706</v>
      </c>
    </row>
    <row r="392" customFormat="false" ht="15" hidden="false" customHeight="false" outlineLevel="0" collapsed="false">
      <c r="A392" s="5" t="s">
        <v>574</v>
      </c>
      <c r="B392" s="0" t="s">
        <v>354</v>
      </c>
      <c r="C392" s="16" t="n">
        <f aca="false">C388*C391</f>
        <v>725.6898</v>
      </c>
      <c r="D392" s="16" t="n">
        <f aca="false">D388*D391</f>
        <v>1110.42376204131</v>
      </c>
      <c r="E392" s="16" t="n">
        <f aca="false">E388*E391</f>
        <v>1469.84361328663</v>
      </c>
      <c r="F392" s="16" t="n">
        <f aca="false">F388*F391</f>
        <v>1668.9718136196</v>
      </c>
      <c r="G392" s="16" t="n">
        <f aca="false">G388*G391</f>
        <v>1828.30192200622</v>
      </c>
    </row>
    <row r="393" customFormat="false" ht="17.15" hidden="false" customHeight="false" outlineLevel="0" collapsed="false">
      <c r="A393" s="5" t="s">
        <v>707</v>
      </c>
      <c r="B393" s="0" t="s">
        <v>354</v>
      </c>
      <c r="C393" s="16" t="n">
        <f aca="false">opex25</f>
        <v>226.5898</v>
      </c>
      <c r="D393" s="16" t="n">
        <f aca="false">opex_fix+opex_var*D388</f>
        <v>289.507683929902</v>
      </c>
      <c r="E393" s="16" t="n">
        <f aca="false">opex_fix+opex_var*E388</f>
        <v>349.472958244901</v>
      </c>
      <c r="F393" s="16" t="n">
        <f aca="false">opex_fix+opex_var*F388</f>
        <v>386.789662025567</v>
      </c>
      <c r="G393" s="16" t="n">
        <f aca="false">opex_fix+opex_var*G388</f>
        <v>417.153410119069</v>
      </c>
      <c r="H393" s="5" t="s">
        <v>708</v>
      </c>
    </row>
    <row r="394" customFormat="false" ht="15" hidden="false" customHeight="false" outlineLevel="0" collapsed="false">
      <c r="A394" s="5" t="s">
        <v>577</v>
      </c>
      <c r="B394" s="0" t="s">
        <v>354</v>
      </c>
      <c r="C394" s="16" t="n">
        <f aca="false">C392-C393</f>
        <v>499.1</v>
      </c>
      <c r="D394" s="16" t="n">
        <f aca="false">D392-D393</f>
        <v>820.916078111405</v>
      </c>
      <c r="E394" s="16" t="n">
        <f aca="false">E392-E393</f>
        <v>1120.37065504173</v>
      </c>
      <c r="F394" s="16" t="n">
        <f aca="false">F392-F393</f>
        <v>1282.18215159404</v>
      </c>
      <c r="G394" s="16" t="n">
        <f aca="false">G392-G393</f>
        <v>1411.14851188715</v>
      </c>
    </row>
    <row r="395" customFormat="false" ht="15" hidden="false" customHeight="false" outlineLevel="0" collapsed="false">
      <c r="A395" s="5" t="s">
        <v>580</v>
      </c>
      <c r="B395" s="0" t="s">
        <v>45</v>
      </c>
      <c r="C395" s="10" t="n">
        <f aca="false">C394/C388</f>
        <v>0.442229310650363</v>
      </c>
      <c r="D395" s="10" t="n">
        <f aca="false">D394/D388</f>
        <v>0.489651169808665</v>
      </c>
      <c r="E395" s="10" t="n">
        <f aca="false">E394/E388</f>
        <v>0.509548547200892</v>
      </c>
      <c r="F395" s="10" t="n">
        <f aca="false">F394/F388</f>
        <v>0.508050201421251</v>
      </c>
      <c r="G395" s="10" t="n">
        <f aca="false">G394/G388</f>
        <v>0.506121831429905</v>
      </c>
    </row>
    <row r="396" customFormat="false" ht="15" hidden="false" customHeight="false" outlineLevel="0" collapsed="false">
      <c r="A396" s="5" t="s">
        <v>600</v>
      </c>
      <c r="B396" s="0" t="s">
        <v>354</v>
      </c>
      <c r="C396" s="16" t="n">
        <f aca="false">a25_ni</f>
        <v>375.4</v>
      </c>
      <c r="D396" s="16" t="n">
        <f aca="false">D394*nioi</f>
        <v>617.455210825528</v>
      </c>
      <c r="E396" s="16" t="n">
        <f aca="false">E394*nioi</f>
        <v>842.691131842647</v>
      </c>
      <c r="F396" s="16" t="n">
        <f aca="false">F394*nioi</f>
        <v>964.398276314167</v>
      </c>
      <c r="G396" s="16" t="n">
        <f aca="false">G394*nioi</f>
        <v>1061.40082420844</v>
      </c>
    </row>
    <row r="397" customFormat="false" ht="15" hidden="false" customHeight="false" outlineLevel="0" collapsed="false">
      <c r="A397" s="0" t="s">
        <v>670</v>
      </c>
      <c r="B397" s="0" t="s">
        <v>403</v>
      </c>
      <c r="C397" s="16" t="n">
        <f aca="false">a25_eps</f>
        <v>515.15</v>
      </c>
      <c r="D397" s="16" t="n">
        <f aca="false">D396*1000/shares</f>
        <v>852.874043025734</v>
      </c>
      <c r="E397" s="16" t="n">
        <f aca="false">E396*1000/shares</f>
        <v>1163.98627792883</v>
      </c>
      <c r="F397" s="16" t="n">
        <f aca="false">F396*1000/shares</f>
        <v>1332.09703730159</v>
      </c>
      <c r="G397" s="16" t="n">
        <f aca="false">G396*1000/shares</f>
        <v>1466.08401118392</v>
      </c>
    </row>
    <row r="398" customFormat="false" ht="17.15" hidden="false" customHeight="false" outlineLevel="0" collapsed="false">
      <c r="A398" s="5" t="s">
        <v>709</v>
      </c>
      <c r="B398" s="0" t="s">
        <v>155</v>
      </c>
      <c r="C398" s="17" t="n">
        <f aca="false">C388/fx</f>
        <v>7.524</v>
      </c>
      <c r="D398" s="17" t="n">
        <f aca="false">D388/fx</f>
        <v>11.1768830373969</v>
      </c>
      <c r="E398" s="17" t="n">
        <f aca="false">E388/fx</f>
        <v>14.658343628509</v>
      </c>
      <c r="F398" s="17" t="n">
        <f aca="false">F388/fx</f>
        <v>16.8248747598457</v>
      </c>
      <c r="G398" s="17" t="n">
        <f aca="false">G388/fx</f>
        <v>18.5877315731187</v>
      </c>
      <c r="H398" s="8" t="s">
        <v>710</v>
      </c>
    </row>
    <row r="402" customFormat="false" ht="17.15" hidden="false" customHeight="false" outlineLevel="0" collapsed="false">
      <c r="A402" s="4" t="s">
        <v>1082</v>
      </c>
    </row>
    <row r="403" customFormat="false" ht="17.15" hidden="false" customHeight="false" outlineLevel="0" collapsed="false">
      <c r="A403" s="6" t="s">
        <v>23</v>
      </c>
      <c r="B403" s="6" t="s">
        <v>24</v>
      </c>
      <c r="C403" s="14" t="s">
        <v>675</v>
      </c>
      <c r="D403" s="14" t="s">
        <v>676</v>
      </c>
      <c r="E403" s="14" t="s">
        <v>677</v>
      </c>
      <c r="F403" s="14" t="s">
        <v>678</v>
      </c>
      <c r="G403" s="14" t="s">
        <v>679</v>
      </c>
      <c r="H403" s="6" t="s">
        <v>478</v>
      </c>
    </row>
    <row r="404" customFormat="false" ht="17.15" hidden="false" customHeight="false" outlineLevel="0" collapsed="false">
      <c r="A404" s="1" t="s">
        <v>680</v>
      </c>
    </row>
    <row r="405" customFormat="false" ht="17.15" hidden="false" customHeight="false" outlineLevel="0" collapsed="false">
      <c r="A405" s="5" t="s">
        <v>681</v>
      </c>
      <c r="B405" s="5" t="s">
        <v>34</v>
      </c>
      <c r="C405" s="19" t="n">
        <f aca="false">u_bw_26*tt_bw+u_rb_26*tt_rb+u_ru_26*tt_ru+u_hp_26*tt_hp+u_amd_26*tt_amd+u_tpu_26*tt_tpu+u_trn_26*tt_trn+u_oth_26*tt_oth</f>
        <v>14.885</v>
      </c>
      <c r="D405" s="19" t="n">
        <f aca="false">u_bw_27*tt_bw+u_rb_27*tt_rb+u_ru_27*tt_ru+u_hp_27*tt_hp+u_amd_27*tt_amd+u_tpu_27*tt_tpu+u_trn_27*tt_trn+u_oth_27*tt_oth</f>
        <v>24.31</v>
      </c>
      <c r="E405" s="19" t="n">
        <f aca="false">u_bw_28*um28_A*tt_bw+u_rb_28*um28_A*tt_rb+u_ru_28*um28_A*tt_ru+u_hp_28*um28_A*tt_hp+u_amd_28*um28_A*tt_amd+u_tpu_28*um28_A*tt_tpu+u_trn_28*um28_A*tt_trn+u_oth_28*um28_A*tt_oth</f>
        <v>28.1</v>
      </c>
      <c r="F40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9" t="n">
        <f aca="false">F405*(1+cy30g)</f>
        <v>31.99</v>
      </c>
      <c r="H405" s="8" t="s">
        <v>682</v>
      </c>
    </row>
    <row r="406" customFormat="false" ht="17.15" hidden="false" customHeight="false" outlineLevel="0" collapsed="false">
      <c r="A406" s="5" t="s">
        <v>683</v>
      </c>
      <c r="B406" s="0" t="s">
        <v>684</v>
      </c>
      <c r="C406" s="21" t="n">
        <f aca="false">(mk_soc26-nonai26_hi)/C405</f>
        <v>0.409808532079275</v>
      </c>
      <c r="H406" s="5" t="s">
        <v>685</v>
      </c>
    </row>
    <row r="407" customFormat="false" ht="17.15" hidden="false" customHeight="false" outlineLevel="0" collapsed="false">
      <c r="A407" s="0" t="s">
        <v>686</v>
      </c>
      <c r="B407" s="0" t="s">
        <v>155</v>
      </c>
      <c r="C407" s="19" t="n">
        <f aca="false">$C$406*C405*(1-0)^0</f>
        <v>6.1</v>
      </c>
      <c r="D407" s="19" t="n">
        <f aca="false">$C$406*D405*(1-0)^1</f>
        <v>9.96244541484716</v>
      </c>
      <c r="E407" s="19" t="n">
        <f aca="false">$C$406*E405*(1-0)^2</f>
        <v>11.5156197514276</v>
      </c>
      <c r="F407" s="19" t="n">
        <f aca="false">$C$406*F405*(1-0)^3</f>
        <v>13.109774941216</v>
      </c>
      <c r="G407" s="19" t="n">
        <f aca="false">$C$406*G405*(1-0)^4</f>
        <v>13.109774941216</v>
      </c>
    </row>
    <row r="408" customFormat="false" ht="17.15" hidden="false" customHeight="false" outlineLevel="0" collapsed="false">
      <c r="A408" s="5" t="s">
        <v>687</v>
      </c>
      <c r="B408" s="0" t="s">
        <v>155</v>
      </c>
      <c r="C408" s="19" t="n">
        <f aca="false">nonai26_hi*(1+g_nonai)^0</f>
        <v>4.9</v>
      </c>
      <c r="D408" s="19" t="n">
        <f aca="false">nonai26_hi*(1+g_nonai)^1</f>
        <v>5.096</v>
      </c>
      <c r="E408" s="19" t="n">
        <f aca="false">nonai26_hi*(1+g_nonai)^2</f>
        <v>5.29984</v>
      </c>
      <c r="F408" s="19" t="n">
        <f aca="false">nonai26_hi*(1+g_nonai)^3</f>
        <v>5.5118336</v>
      </c>
      <c r="G408" s="19" t="n">
        <f aca="false">nonai26_hi*(1+g_nonai)^4</f>
        <v>5.732306944</v>
      </c>
    </row>
    <row r="409" customFormat="false" ht="17.15" hidden="false" customHeight="false" outlineLevel="0" collapsed="false">
      <c r="A409" s="0" t="s">
        <v>688</v>
      </c>
      <c r="B409" s="0" t="s">
        <v>155</v>
      </c>
      <c r="C409" s="19" t="n">
        <f aca="false">C407+C408</f>
        <v>11</v>
      </c>
      <c r="D409" s="19" t="n">
        <f aca="false">D407+D408</f>
        <v>15.0584454148472</v>
      </c>
      <c r="E409" s="19" t="n">
        <f aca="false">E407+E408</f>
        <v>16.8154597514276</v>
      </c>
      <c r="F409" s="19" t="n">
        <f aca="false">F407+F408</f>
        <v>18.621608541216</v>
      </c>
      <c r="G409" s="19" t="n">
        <f aca="false">G407+G408</f>
        <v>18.842081885216</v>
      </c>
      <c r="H409" s="8" t="s">
        <v>689</v>
      </c>
    </row>
    <row r="410" customFormat="false" ht="17.15" hidden="false" customHeight="false" outlineLevel="0" collapsed="false">
      <c r="A410" s="5" t="s">
        <v>690</v>
      </c>
      <c r="B410" s="0" t="s">
        <v>155</v>
      </c>
      <c r="C410" s="19" t="n">
        <f aca="false">mk_mem26*(w_hbm*hsA_26/hsA_26+(1-w_hbm)*drA_26/drA_26)</f>
        <v>2.75</v>
      </c>
      <c r="D410" s="19" t="n">
        <f aca="false">mk_mem26*(w_hbm*hsA_27/hsA_26+(1-w_hbm)*drA_27/drA_26)</f>
        <v>3.88007408374579</v>
      </c>
      <c r="E410" s="19" t="n">
        <f aca="false">mk_mem26*(w_hbm*hsA_28/hsA_26+(1-w_hbm)*drA_28/drA_26)</f>
        <v>5.04607694610671</v>
      </c>
      <c r="F410" s="19" t="n">
        <f aca="false">mk_mem26*(w_hbm*hsA_29/hsA_26+(1-w_hbm)*drA_29/drA_26)</f>
        <v>6.20223782078096</v>
      </c>
      <c r="G410" s="19" t="n">
        <f aca="false">F410*(1+cy30g)</f>
        <v>6.20223782078096</v>
      </c>
      <c r="H410" s="8" t="s">
        <v>691</v>
      </c>
    </row>
    <row r="411" customFormat="false" ht="17.15" hidden="false" customHeight="false" outlineLevel="0" collapsed="false">
      <c r="A411" s="1" t="s">
        <v>692</v>
      </c>
    </row>
    <row r="412" customFormat="false" ht="17.15" hidden="false" customHeight="false" outlineLevel="0" collapsed="false">
      <c r="A412" s="0" t="s">
        <v>693</v>
      </c>
      <c r="B412" s="0" t="s">
        <v>155</v>
      </c>
      <c r="C412" s="19" t="n">
        <f aca="false">fmk_soc25</f>
        <v>7.925</v>
      </c>
      <c r="D412" s="19" t="n">
        <f aca="false">0.75*C409+0.25*D409</f>
        <v>12.0146113537118</v>
      </c>
      <c r="E412" s="19" t="n">
        <f aca="false">0.75*D409+0.25*E409</f>
        <v>15.4976989989923</v>
      </c>
      <c r="F412" s="19" t="n">
        <f aca="false">0.75*E409+0.25*F409</f>
        <v>17.2669969488747</v>
      </c>
      <c r="G412" s="19" t="n">
        <f aca="false">0.75*F409+0.25*G409</f>
        <v>18.676726877216</v>
      </c>
    </row>
    <row r="413" customFormat="false" ht="17.15" hidden="false" customHeight="false" outlineLevel="0" collapsed="false">
      <c r="A413" s="5" t="s">
        <v>694</v>
      </c>
      <c r="B413" s="0" t="s">
        <v>155</v>
      </c>
      <c r="C413" s="19" t="n">
        <f aca="false">fmk_mem25</f>
        <v>2.2625</v>
      </c>
      <c r="D413" s="19" t="n">
        <f aca="false">0.75*C410+0.25*D410</f>
        <v>3.03251852093645</v>
      </c>
      <c r="E413" s="19" t="n">
        <f aca="false">0.75*D410+0.25*E410</f>
        <v>4.17157479933602</v>
      </c>
      <c r="F413" s="19" t="n">
        <f aca="false">0.75*E410+0.25*F410</f>
        <v>5.33511716477527</v>
      </c>
      <c r="G413" s="19" t="n">
        <f aca="false">0.75*F410+0.25*G410</f>
        <v>6.20223782078096</v>
      </c>
    </row>
    <row r="414" customFormat="false" ht="17.15" hidden="false" customHeight="false" outlineLevel="0" collapsed="false">
      <c r="A414" s="0" t="s">
        <v>695</v>
      </c>
      <c r="B414" s="0" t="s">
        <v>45</v>
      </c>
      <c r="C414" s="10" t="n">
        <f aca="false">a25_soc/(C412*fx)</f>
        <v>0.645552050473186</v>
      </c>
      <c r="D414" s="10" t="n">
        <f aca="false">sh_soc</f>
        <v>0.66</v>
      </c>
      <c r="E414" s="10" t="n">
        <f aca="false">sh_soc</f>
        <v>0.66</v>
      </c>
      <c r="F414" s="10" t="n">
        <f aca="false">sh_soc</f>
        <v>0.66</v>
      </c>
      <c r="G414" s="10" t="n">
        <f aca="false">sh_soc</f>
        <v>0.66</v>
      </c>
      <c r="H414" s="8" t="s">
        <v>696</v>
      </c>
    </row>
    <row r="415" customFormat="false" ht="17.15" hidden="false" customHeight="false" outlineLevel="0" collapsed="false">
      <c r="A415" s="0" t="s">
        <v>697</v>
      </c>
      <c r="B415" s="0" t="s">
        <v>354</v>
      </c>
      <c r="C415" s="16" t="n">
        <f aca="false">a25_soc</f>
        <v>767.4</v>
      </c>
      <c r="D415" s="16" t="n">
        <f aca="false">D412*D414*fx</f>
        <v>1189.44652401747</v>
      </c>
      <c r="E415" s="16" t="n">
        <f aca="false">E412*E414*fx</f>
        <v>1534.27220090024</v>
      </c>
      <c r="F415" s="16" t="n">
        <f aca="false">F412*F414*fx</f>
        <v>1709.4326979386</v>
      </c>
      <c r="G415" s="16" t="n">
        <f aca="false">G412*G414*fx</f>
        <v>1848.99596084438</v>
      </c>
      <c r="H415" s="5" t="s">
        <v>698</v>
      </c>
    </row>
    <row r="416" customFormat="false" ht="15" hidden="false" customHeight="false" outlineLevel="0" collapsed="false">
      <c r="A416" s="5" t="s">
        <v>699</v>
      </c>
      <c r="B416" s="0" t="s">
        <v>354</v>
      </c>
      <c r="C416" s="16" t="n">
        <f aca="false">a25_mem</f>
        <v>171.5</v>
      </c>
      <c r="D416" s="16" t="n">
        <f aca="false">D413*sh_mem*fx</f>
        <v>229.868254736177</v>
      </c>
      <c r="E416" s="16" t="n">
        <f aca="false">E413*sh_mem*fx</f>
        <v>316.209979264587</v>
      </c>
      <c r="F416" s="16" t="n">
        <f aca="false">F413*sh_mem*fx</f>
        <v>404.407776247054</v>
      </c>
      <c r="G416" s="16" t="n">
        <f aca="false">G413*sh_mem*fx</f>
        <v>470.136480116656</v>
      </c>
    </row>
    <row r="417" customFormat="false" ht="15" hidden="false" customHeight="false" outlineLevel="0" collapsed="false">
      <c r="A417" s="5" t="s">
        <v>700</v>
      </c>
      <c r="B417" s="0" t="s">
        <v>354</v>
      </c>
      <c r="C417" s="16" t="n">
        <f aca="false">a25_oth</f>
        <v>80.5</v>
      </c>
      <c r="D417" s="16" t="n">
        <f aca="false">C417*(1+g_oth_26)</f>
        <v>104</v>
      </c>
      <c r="E417" s="16" t="n">
        <f aca="false">D417*(1+g_oth_A)</f>
        <v>119.6</v>
      </c>
      <c r="F417" s="16" t="n">
        <f aca="false">E417*(1+g_oth_A)</f>
        <v>137.54</v>
      </c>
      <c r="G417" s="16" t="n">
        <f aca="false">F417*(1+g_oth_A)</f>
        <v>158.171</v>
      </c>
    </row>
    <row r="418" customFormat="false" ht="15" hidden="false" customHeight="false" outlineLevel="0" collapsed="false">
      <c r="A418" s="5" t="s">
        <v>701</v>
      </c>
      <c r="B418" s="0" t="s">
        <v>354</v>
      </c>
      <c r="C418" s="16" t="n">
        <f aca="false">a25_svc</f>
        <v>109.2</v>
      </c>
      <c r="D418" s="16" t="n">
        <f aca="false">C418*(1+g_svc_26)</f>
        <v>135.6</v>
      </c>
      <c r="E418" s="16" t="n">
        <f aca="false">D418*(1+g_svc_A)</f>
        <v>151.872</v>
      </c>
      <c r="F418" s="16" t="n">
        <f aca="false">E418*(1+g_svc_A)</f>
        <v>170.09664</v>
      </c>
      <c r="G418" s="16" t="n">
        <f aca="false">F418*(1+g_svc_A)</f>
        <v>190.5082368</v>
      </c>
    </row>
    <row r="419" customFormat="false" ht="17.15" hidden="false" customHeight="false" outlineLevel="0" collapsed="false">
      <c r="A419" s="5" t="s">
        <v>702</v>
      </c>
      <c r="B419" s="0" t="s">
        <v>354</v>
      </c>
      <c r="C419" s="16" t="n">
        <f aca="false">C415+C416+C417</f>
        <v>1019.4</v>
      </c>
      <c r="D419" s="16" t="n">
        <f aca="false">D415+D416+D417</f>
        <v>1523.31477875364</v>
      </c>
      <c r="E419" s="16" t="n">
        <f aca="false">E415+E416+E417</f>
        <v>1970.08218016482</v>
      </c>
      <c r="F419" s="16" t="n">
        <f aca="false">F415+F416+F417</f>
        <v>2251.38047418565</v>
      </c>
      <c r="G419" s="16" t="n">
        <f aca="false">G415+G416+G417</f>
        <v>2477.30344096104</v>
      </c>
      <c r="H419" s="5" t="s">
        <v>703</v>
      </c>
    </row>
    <row r="420" customFormat="false" ht="15" hidden="false" customHeight="false" outlineLevel="0" collapsed="false">
      <c r="A420" s="5" t="s">
        <v>566</v>
      </c>
      <c r="B420" s="0" t="s">
        <v>354</v>
      </c>
      <c r="C420" s="16" t="n">
        <f aca="false">C419+C418</f>
        <v>1128.6</v>
      </c>
      <c r="D420" s="16" t="n">
        <f aca="false">D419+D418</f>
        <v>1658.91477875364</v>
      </c>
      <c r="E420" s="16" t="n">
        <f aca="false">E419+E418</f>
        <v>2121.95418016482</v>
      </c>
      <c r="F420" s="16" t="n">
        <f aca="false">F419+F418</f>
        <v>2421.47711418565</v>
      </c>
      <c r="G420" s="16" t="n">
        <f aca="false">G419+G418</f>
        <v>2667.81167776104</v>
      </c>
    </row>
    <row r="421" customFormat="false" ht="17.15" hidden="false" customHeight="false" outlineLevel="0" collapsed="false">
      <c r="A421" s="5" t="s">
        <v>704</v>
      </c>
      <c r="B421" s="0" t="s">
        <v>354</v>
      </c>
      <c r="C421" s="17" t="n">
        <f aca="false">C419+C418-a25_rev</f>
        <v>0</v>
      </c>
    </row>
    <row r="422" customFormat="false" ht="17.15" hidden="false" customHeight="false" outlineLevel="0" collapsed="false">
      <c r="A422" s="0" t="s">
        <v>705</v>
      </c>
      <c r="B422" s="0" t="s">
        <v>45</v>
      </c>
      <c r="C422" s="10" t="n">
        <f aca="false">C415/C420</f>
        <v>0.679957469431154</v>
      </c>
      <c r="D422" s="10" t="n">
        <f aca="false">D415/D420</f>
        <v>0.717002789565301</v>
      </c>
      <c r="E422" s="10" t="n">
        <f aca="false">E415/E420</f>
        <v>0.723046809983928</v>
      </c>
      <c r="F422" s="10" t="n">
        <f aca="false">F415/F420</f>
        <v>0.705946254013424</v>
      </c>
      <c r="G422" s="10" t="n">
        <f aca="false">G415/G420</f>
        <v>0.693075892971633</v>
      </c>
    </row>
    <row r="423" customFormat="false" ht="17.15" hidden="false" customHeight="false" outlineLevel="0" collapsed="false">
      <c r="A423" s="5" t="s">
        <v>570</v>
      </c>
      <c r="B423" s="0" t="s">
        <v>45</v>
      </c>
      <c r="C423" s="10" t="n">
        <f aca="false">a25_gp/a25_rev</f>
        <v>0.643</v>
      </c>
      <c r="D423" s="10" t="n">
        <f aca="false">gm_a+gm_b*D422+0</f>
        <v>0.660896900412923</v>
      </c>
      <c r="E423" s="10" t="n">
        <f aca="false">gm_a+gm_b*E422+0</f>
        <v>0.663816816643478</v>
      </c>
      <c r="F423" s="10" t="n">
        <f aca="false">gm_a+gm_b*F422+0</f>
        <v>0.655555396682699</v>
      </c>
      <c r="G423" s="10" t="n">
        <f aca="false">gm_a+gm_b*G422+0</f>
        <v>0.649337618863282</v>
      </c>
      <c r="H423" s="5" t="s">
        <v>706</v>
      </c>
    </row>
    <row r="424" customFormat="false" ht="15" hidden="false" customHeight="false" outlineLevel="0" collapsed="false">
      <c r="A424" s="5" t="s">
        <v>574</v>
      </c>
      <c r="B424" s="0" t="s">
        <v>354</v>
      </c>
      <c r="C424" s="16" t="n">
        <f aca="false">C420*C423</f>
        <v>725.6898</v>
      </c>
      <c r="D424" s="16" t="n">
        <f aca="false">D420*D423</f>
        <v>1096.37163532747</v>
      </c>
      <c r="E424" s="16" t="n">
        <f aca="false">E420*E423</f>
        <v>1408.58886894033</v>
      </c>
      <c r="F424" s="16" t="n">
        <f aca="false">F420*F423</f>
        <v>1587.41239014805</v>
      </c>
      <c r="G424" s="16" t="n">
        <f aca="false">G420*G423</f>
        <v>1732.31048241301</v>
      </c>
    </row>
    <row r="425" customFormat="false" ht="17.15" hidden="false" customHeight="false" outlineLevel="0" collapsed="false">
      <c r="A425" s="5" t="s">
        <v>707</v>
      </c>
      <c r="B425" s="0" t="s">
        <v>354</v>
      </c>
      <c r="C425" s="16" t="n">
        <f aca="false">opex25</f>
        <v>226.5898</v>
      </c>
      <c r="D425" s="16" t="n">
        <f aca="false">opex_fix+opex_var*D420</f>
        <v>287.484684678469</v>
      </c>
      <c r="E425" s="16" t="n">
        <f aca="false">opex_fix+opex_var*E420</f>
        <v>340.654485106791</v>
      </c>
      <c r="F425" s="16" t="n">
        <f aca="false">opex_fix+opex_var*F420</f>
        <v>375.048047678481</v>
      </c>
      <c r="G425" s="16" t="n">
        <f aca="false">opex_fix+opex_var*G420</f>
        <v>403.334106152089</v>
      </c>
      <c r="H425" s="5" t="s">
        <v>708</v>
      </c>
    </row>
    <row r="426" customFormat="false" ht="15" hidden="false" customHeight="false" outlineLevel="0" collapsed="false">
      <c r="A426" s="5" t="s">
        <v>577</v>
      </c>
      <c r="B426" s="0" t="s">
        <v>354</v>
      </c>
      <c r="C426" s="16" t="n">
        <f aca="false">C424-C425</f>
        <v>499.1</v>
      </c>
      <c r="D426" s="16" t="n">
        <f aca="false">D424-D425</f>
        <v>808.886950649004</v>
      </c>
      <c r="E426" s="16" t="n">
        <f aca="false">E424-E425</f>
        <v>1067.93438383354</v>
      </c>
      <c r="F426" s="16" t="n">
        <f aca="false">F424-F425</f>
        <v>1212.36434246957</v>
      </c>
      <c r="G426" s="16" t="n">
        <f aca="false">G424-G425</f>
        <v>1328.97637626092</v>
      </c>
    </row>
    <row r="427" customFormat="false" ht="15" hidden="false" customHeight="false" outlineLevel="0" collapsed="false">
      <c r="A427" s="5" t="s">
        <v>580</v>
      </c>
      <c r="B427" s="0" t="s">
        <v>45</v>
      </c>
      <c r="C427" s="10" t="n">
        <f aca="false">C426/C420</f>
        <v>0.442229310650363</v>
      </c>
      <c r="D427" s="10" t="n">
        <f aca="false">D426/D420</f>
        <v>0.487600063010305</v>
      </c>
      <c r="E427" s="10" t="n">
        <f aca="false">E426/E420</f>
        <v>0.503278720066704</v>
      </c>
      <c r="F427" s="10" t="n">
        <f aca="false">F426/F420</f>
        <v>0.500671402330099</v>
      </c>
      <c r="G427" s="10" t="n">
        <f aca="false">G426/G420</f>
        <v>0.498152244905182</v>
      </c>
    </row>
    <row r="428" customFormat="false" ht="15" hidden="false" customHeight="false" outlineLevel="0" collapsed="false">
      <c r="A428" s="5" t="s">
        <v>600</v>
      </c>
      <c r="B428" s="0" t="s">
        <v>354</v>
      </c>
      <c r="C428" s="16" t="n">
        <f aca="false">a25_ni</f>
        <v>375.4</v>
      </c>
      <c r="D428" s="16" t="n">
        <f aca="false">D426*nioi</f>
        <v>608.407455968015</v>
      </c>
      <c r="E428" s="16" t="n">
        <f aca="false">E426*nioi</f>
        <v>803.25098715911</v>
      </c>
      <c r="F428" s="16" t="n">
        <f aca="false">F426*nioi</f>
        <v>911.884540499051</v>
      </c>
      <c r="G428" s="16" t="n">
        <f aca="false">G426*nioi</f>
        <v>999.594733817572</v>
      </c>
    </row>
    <row r="429" customFormat="false" ht="15" hidden="false" customHeight="false" outlineLevel="0" collapsed="false">
      <c r="A429" s="0" t="s">
        <v>670</v>
      </c>
      <c r="B429" s="0" t="s">
        <v>403</v>
      </c>
      <c r="C429" s="16" t="n">
        <f aca="false">a25_eps</f>
        <v>515.15</v>
      </c>
      <c r="D429" s="16" t="n">
        <f aca="false">D428*1000/shares</f>
        <v>840.376625998001</v>
      </c>
      <c r="E429" s="16" t="n">
        <f aca="false">E428*1000/shares</f>
        <v>1109.50868171777</v>
      </c>
      <c r="F429" s="16" t="n">
        <f aca="false">F428*1000/shares</f>
        <v>1259.56124621296</v>
      </c>
      <c r="G429" s="16" t="n">
        <f aca="false">G428*1000/shares</f>
        <v>1380.71294414765</v>
      </c>
    </row>
    <row r="430" customFormat="false" ht="17.15" hidden="false" customHeight="false" outlineLevel="0" collapsed="false">
      <c r="A430" s="5" t="s">
        <v>709</v>
      </c>
      <c r="B430" s="0" t="s">
        <v>155</v>
      </c>
      <c r="C430" s="17" t="n">
        <f aca="false">C420/fx</f>
        <v>7.524</v>
      </c>
      <c r="D430" s="17" t="n">
        <f aca="false">D420/fx</f>
        <v>11.0594318583576</v>
      </c>
      <c r="E430" s="17" t="n">
        <f aca="false">E420/fx</f>
        <v>14.1463612010988</v>
      </c>
      <c r="F430" s="17" t="n">
        <f aca="false">F420/fx</f>
        <v>16.1431807612377</v>
      </c>
      <c r="G430" s="17" t="n">
        <f aca="false">G420/fx</f>
        <v>17.7854111850736</v>
      </c>
      <c r="H430" s="8" t="s">
        <v>710</v>
      </c>
    </row>
    <row r="434" customFormat="false" ht="17.15" hidden="false" customHeight="false" outlineLevel="0" collapsed="false">
      <c r="A434" s="4" t="s">
        <v>1083</v>
      </c>
    </row>
    <row r="435" customFormat="false" ht="17.15" hidden="false" customHeight="false" outlineLevel="0" collapsed="false">
      <c r="A435" s="6" t="s">
        <v>23</v>
      </c>
      <c r="B435" s="6" t="s">
        <v>24</v>
      </c>
      <c r="C435" s="14" t="s">
        <v>675</v>
      </c>
      <c r="D435" s="14" t="s">
        <v>676</v>
      </c>
      <c r="E435" s="14" t="s">
        <v>677</v>
      </c>
      <c r="F435" s="14" t="s">
        <v>678</v>
      </c>
      <c r="G435" s="14" t="s">
        <v>679</v>
      </c>
      <c r="H435" s="6" t="s">
        <v>478</v>
      </c>
    </row>
    <row r="436" customFormat="false" ht="17.15" hidden="false" customHeight="false" outlineLevel="0" collapsed="false">
      <c r="A436" s="1" t="s">
        <v>680</v>
      </c>
    </row>
    <row r="437" customFormat="false" ht="17.15" hidden="false" customHeight="false" outlineLevel="0" collapsed="false">
      <c r="A437" s="5" t="s">
        <v>681</v>
      </c>
      <c r="B437" s="5" t="s">
        <v>34</v>
      </c>
      <c r="C437" s="19" t="n">
        <f aca="false">u_bw_26*tt_bw+u_rb_26*tt_rb+u_ru_26*tt_ru+u_hp_26*tt_hp+u_amd_26*tt_amd+u_tpu_26*tt_tpu+u_trn_26*tt_trn+u_oth_26*tt_oth</f>
        <v>14.885</v>
      </c>
      <c r="D437" s="19" t="n">
        <f aca="false">u_bw_27*tt_bw+u_rb_27*tt_rb+u_ru_27*tt_ru+u_hp_27*tt_hp+u_amd_27*tt_amd+u_tpu_27*tt_tpu+u_trn_27*tt_trn+u_oth_27*tt_oth</f>
        <v>24.31</v>
      </c>
      <c r="E437" s="19" t="n">
        <f aca="false">u_bw_28*um28_A*tt_bw+u_rb_28*um28_A*tt_rb+u_ru_28*um28_A*tt_ru+u_hp_28*um28_A*tt_hp+u_amd_28*um28_A*tt_amd+u_tpu_28*um28_A*tt_tpu+u_trn_28*um28_A*tt_trn+u_oth_28*um28_A*tt_oth</f>
        <v>28.1</v>
      </c>
      <c r="F43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9" t="n">
        <f aca="false">F437*(1+cy30g)</f>
        <v>31.99</v>
      </c>
      <c r="H437" s="8" t="s">
        <v>682</v>
      </c>
    </row>
    <row r="438" customFormat="false" ht="17.15" hidden="false" customHeight="false" outlineLevel="0" collapsed="false">
      <c r="A438" s="5" t="s">
        <v>683</v>
      </c>
      <c r="B438" s="0" t="s">
        <v>684</v>
      </c>
      <c r="C438" s="21" t="n">
        <f aca="false">(mk_soc26-nonai26)/C437</f>
        <v>0.450117568021498</v>
      </c>
      <c r="H438" s="5" t="s">
        <v>685</v>
      </c>
    </row>
    <row r="439" customFormat="false" ht="17.15" hidden="false" customHeight="false" outlineLevel="0" collapsed="false">
      <c r="A439" s="0" t="s">
        <v>686</v>
      </c>
      <c r="B439" s="0" t="s">
        <v>155</v>
      </c>
      <c r="C439" s="19" t="n">
        <f aca="false">$C$438*C437*(1-0)^0</f>
        <v>6.7</v>
      </c>
      <c r="D439" s="19" t="n">
        <f aca="false">$C$438*D437*(1-0)^1</f>
        <v>10.9423580786026</v>
      </c>
      <c r="E439" s="19" t="n">
        <f aca="false">$C$438*E437*(1-0)^2</f>
        <v>12.6483036614041</v>
      </c>
      <c r="F439" s="19" t="n">
        <f aca="false">$C$438*F437*(1-0)^3</f>
        <v>14.3992610010077</v>
      </c>
      <c r="G439" s="19" t="n">
        <f aca="false">$C$438*G437*(1-0)^4</f>
        <v>14.3992610010077</v>
      </c>
    </row>
    <row r="440" customFormat="false" ht="17.15" hidden="false" customHeight="false" outlineLevel="0" collapsed="false">
      <c r="A440" s="5" t="s">
        <v>687</v>
      </c>
      <c r="B440" s="0" t="s">
        <v>155</v>
      </c>
      <c r="C440" s="19" t="n">
        <f aca="false">nonai26*(1+g_nonai)^0</f>
        <v>4.3</v>
      </c>
      <c r="D440" s="19" t="n">
        <f aca="false">nonai26*(1+g_nonai)^1</f>
        <v>4.472</v>
      </c>
      <c r="E440" s="19" t="n">
        <f aca="false">nonai26*(1+g_nonai)^2</f>
        <v>4.65088</v>
      </c>
      <c r="F440" s="19" t="n">
        <f aca="false">nonai26*(1+g_nonai)^3</f>
        <v>4.8369152</v>
      </c>
      <c r="G440" s="19" t="n">
        <f aca="false">nonai26*(1+g_nonai)^4</f>
        <v>5.030391808</v>
      </c>
    </row>
    <row r="441" customFormat="false" ht="17.15" hidden="false" customHeight="false" outlineLevel="0" collapsed="false">
      <c r="A441" s="0" t="s">
        <v>688</v>
      </c>
      <c r="B441" s="0" t="s">
        <v>155</v>
      </c>
      <c r="C441" s="19" t="n">
        <f aca="false">C439+C440</f>
        <v>11</v>
      </c>
      <c r="D441" s="19" t="n">
        <f aca="false">D439+D440</f>
        <v>15.4143580786026</v>
      </c>
      <c r="E441" s="19" t="n">
        <f aca="false">E439+E440</f>
        <v>17.2991836614041</v>
      </c>
      <c r="F441" s="19" t="n">
        <f aca="false">F439+F440</f>
        <v>19.2361762010077</v>
      </c>
      <c r="G441" s="19" t="n">
        <f aca="false">G439+G440</f>
        <v>19.4296528090077</v>
      </c>
      <c r="H441" s="8" t="s">
        <v>689</v>
      </c>
    </row>
    <row r="442" customFormat="false" ht="17.15" hidden="false" customHeight="false" outlineLevel="0" collapsed="false">
      <c r="A442" s="5" t="s">
        <v>690</v>
      </c>
      <c r="B442" s="0" t="s">
        <v>155</v>
      </c>
      <c r="C442" s="19" t="n">
        <f aca="false">mk_mem26*(w_hbm*hsA_26/hsA_26+(1-w_hbm)*drA_26/drA_26)</f>
        <v>2.75</v>
      </c>
      <c r="D442" s="19" t="n">
        <f aca="false">mk_mem26*(w_hbm*hsA_27/hsA_26+(1-w_hbm)*drA_27/drA_26)</f>
        <v>3.88007408374579</v>
      </c>
      <c r="E442" s="19" t="n">
        <f aca="false">mk_mem26*(w_hbm*hsA_28/hsA_26+(1-w_hbm)*drA_28/drA_26)</f>
        <v>5.04607694610671</v>
      </c>
      <c r="F442" s="19" t="n">
        <f aca="false">mk_mem26*(w_hbm*hsA_29/hsA_26+(1-w_hbm)*drA_29/drA_26)</f>
        <v>6.20223782078096</v>
      </c>
      <c r="G442" s="19" t="n">
        <f aca="false">F442*(1+cy30g)</f>
        <v>6.20223782078096</v>
      </c>
      <c r="H442" s="8" t="s">
        <v>691</v>
      </c>
    </row>
    <row r="443" customFormat="false" ht="17.15" hidden="false" customHeight="false" outlineLevel="0" collapsed="false">
      <c r="A443" s="1" t="s">
        <v>692</v>
      </c>
    </row>
    <row r="444" customFormat="false" ht="17.15" hidden="false" customHeight="false" outlineLevel="0" collapsed="false">
      <c r="A444" s="0" t="s">
        <v>693</v>
      </c>
      <c r="B444" s="0" t="s">
        <v>155</v>
      </c>
      <c r="C444" s="19" t="n">
        <f aca="false">fmk_soc25</f>
        <v>7.925</v>
      </c>
      <c r="D444" s="19" t="n">
        <f aca="false">0.75*C441+0.25*D441</f>
        <v>12.1035895196507</v>
      </c>
      <c r="E444" s="19" t="n">
        <f aca="false">0.75*D441+0.25*E441</f>
        <v>15.885564474303</v>
      </c>
      <c r="F444" s="19" t="n">
        <f aca="false">0.75*E441+0.25*F441</f>
        <v>17.783431796305</v>
      </c>
      <c r="G444" s="19" t="n">
        <f aca="false">0.75*F441+0.25*G441</f>
        <v>19.2845453530077</v>
      </c>
    </row>
    <row r="445" customFormat="false" ht="17.15" hidden="false" customHeight="false" outlineLevel="0" collapsed="false">
      <c r="A445" s="5" t="s">
        <v>694</v>
      </c>
      <c r="B445" s="0" t="s">
        <v>155</v>
      </c>
      <c r="C445" s="19" t="n">
        <f aca="false">fmk_mem25</f>
        <v>2.2625</v>
      </c>
      <c r="D445" s="19" t="n">
        <f aca="false">0.75*C442+0.25*D442</f>
        <v>3.03251852093645</v>
      </c>
      <c r="E445" s="19" t="n">
        <f aca="false">0.75*D442+0.25*E442</f>
        <v>4.17157479933602</v>
      </c>
      <c r="F445" s="19" t="n">
        <f aca="false">0.75*E442+0.25*F442</f>
        <v>5.33511716477527</v>
      </c>
      <c r="G445" s="19" t="n">
        <f aca="false">0.75*F442+0.25*G442</f>
        <v>6.20223782078096</v>
      </c>
    </row>
    <row r="446" customFormat="false" ht="17.15" hidden="false" customHeight="false" outlineLevel="0" collapsed="false">
      <c r="A446" s="0" t="s">
        <v>695</v>
      </c>
      <c r="B446" s="0" t="s">
        <v>45</v>
      </c>
      <c r="C446" s="10" t="n">
        <f aca="false">a25_soc/(C444*fx)</f>
        <v>0.645552050473186</v>
      </c>
      <c r="D446" s="10" t="n">
        <f aca="false">sh_soc</f>
        <v>0.66</v>
      </c>
      <c r="E446" s="10" t="n">
        <f aca="false">sh_soc</f>
        <v>0.66</v>
      </c>
      <c r="F446" s="10" t="n">
        <f aca="false">sh_soc</f>
        <v>0.66</v>
      </c>
      <c r="G446" s="10" t="n">
        <f aca="false">sh_soc</f>
        <v>0.66</v>
      </c>
      <c r="H446" s="8" t="s">
        <v>696</v>
      </c>
    </row>
    <row r="447" customFormat="false" ht="17.15" hidden="false" customHeight="false" outlineLevel="0" collapsed="false">
      <c r="A447" s="0" t="s">
        <v>697</v>
      </c>
      <c r="B447" s="0" t="s">
        <v>354</v>
      </c>
      <c r="C447" s="16" t="n">
        <f aca="false">a25_soc</f>
        <v>767.4</v>
      </c>
      <c r="D447" s="16" t="n">
        <f aca="false">D444*D446*fx</f>
        <v>1198.25536244542</v>
      </c>
      <c r="E447" s="16" t="n">
        <f aca="false">E444*E446*fx</f>
        <v>1572.670882956</v>
      </c>
      <c r="F447" s="16" t="n">
        <f aca="false">F444*F446*fx</f>
        <v>1760.5597478342</v>
      </c>
      <c r="G447" s="16" t="n">
        <f aca="false">G444*G446*fx</f>
        <v>1909.16998994777</v>
      </c>
      <c r="H447" s="5" t="s">
        <v>698</v>
      </c>
    </row>
    <row r="448" customFormat="false" ht="15" hidden="false" customHeight="false" outlineLevel="0" collapsed="false">
      <c r="A448" s="5" t="s">
        <v>699</v>
      </c>
      <c r="B448" s="0" t="s">
        <v>354</v>
      </c>
      <c r="C448" s="16" t="n">
        <f aca="false">a25_mem</f>
        <v>171.5</v>
      </c>
      <c r="D448" s="16" t="n">
        <f aca="false">D445*sh_mem_lo*fx</f>
        <v>207.124365829154</v>
      </c>
      <c r="E448" s="16" t="n">
        <f aca="false">E445*sh_mem_lo*fx</f>
        <v>284.923168269567</v>
      </c>
      <c r="F448" s="16" t="n">
        <f aca="false">F445*sh_mem_lo*fx</f>
        <v>364.394397511239</v>
      </c>
      <c r="G448" s="16" t="n">
        <f aca="false">G445*sh_mem_lo*fx</f>
        <v>423.619696460799</v>
      </c>
    </row>
    <row r="449" customFormat="false" ht="15" hidden="false" customHeight="false" outlineLevel="0" collapsed="false">
      <c r="A449" s="5" t="s">
        <v>700</v>
      </c>
      <c r="B449" s="0" t="s">
        <v>354</v>
      </c>
      <c r="C449" s="16" t="n">
        <f aca="false">a25_oth</f>
        <v>80.5</v>
      </c>
      <c r="D449" s="16" t="n">
        <f aca="false">C449*(1+g_oth_26)</f>
        <v>104</v>
      </c>
      <c r="E449" s="16" t="n">
        <f aca="false">D449*(1+g_oth_A)</f>
        <v>119.6</v>
      </c>
      <c r="F449" s="16" t="n">
        <f aca="false">E449*(1+g_oth_A)</f>
        <v>137.54</v>
      </c>
      <c r="G449" s="16" t="n">
        <f aca="false">F449*(1+g_oth_A)</f>
        <v>158.171</v>
      </c>
    </row>
    <row r="450" customFormat="false" ht="15" hidden="false" customHeight="false" outlineLevel="0" collapsed="false">
      <c r="A450" s="5" t="s">
        <v>701</v>
      </c>
      <c r="B450" s="0" t="s">
        <v>354</v>
      </c>
      <c r="C450" s="16" t="n">
        <f aca="false">a25_svc</f>
        <v>109.2</v>
      </c>
      <c r="D450" s="16" t="n">
        <f aca="false">C450*(1+g_svc_26)</f>
        <v>135.6</v>
      </c>
      <c r="E450" s="16" t="n">
        <f aca="false">D450*(1+g_svc_A)</f>
        <v>151.872</v>
      </c>
      <c r="F450" s="16" t="n">
        <f aca="false">E450*(1+g_svc_A)</f>
        <v>170.09664</v>
      </c>
      <c r="G450" s="16" t="n">
        <f aca="false">F450*(1+g_svc_A)</f>
        <v>190.5082368</v>
      </c>
    </row>
    <row r="451" customFormat="false" ht="17.15" hidden="false" customHeight="false" outlineLevel="0" collapsed="false">
      <c r="A451" s="5" t="s">
        <v>702</v>
      </c>
      <c r="B451" s="0" t="s">
        <v>354</v>
      </c>
      <c r="C451" s="16" t="n">
        <f aca="false">C447+C448+C449</f>
        <v>1019.4</v>
      </c>
      <c r="D451" s="16" t="n">
        <f aca="false">D447+D448+D449</f>
        <v>1509.37972827457</v>
      </c>
      <c r="E451" s="16" t="n">
        <f aca="false">E447+E448+E449</f>
        <v>1977.19405122556</v>
      </c>
      <c r="F451" s="16" t="n">
        <f aca="false">F447+F448+F449</f>
        <v>2262.49414534544</v>
      </c>
      <c r="G451" s="16" t="n">
        <f aca="false">G447+G448+G449</f>
        <v>2490.96068640856</v>
      </c>
      <c r="H451" s="5" t="s">
        <v>703</v>
      </c>
    </row>
    <row r="452" customFormat="false" ht="15" hidden="false" customHeight="false" outlineLevel="0" collapsed="false">
      <c r="A452" s="5" t="s">
        <v>566</v>
      </c>
      <c r="B452" s="0" t="s">
        <v>354</v>
      </c>
      <c r="C452" s="16" t="n">
        <f aca="false">C451+C450</f>
        <v>1128.6</v>
      </c>
      <c r="D452" s="16" t="n">
        <f aca="false">D451+D450</f>
        <v>1644.97972827457</v>
      </c>
      <c r="E452" s="16" t="n">
        <f aca="false">E451+E450</f>
        <v>2129.06605122556</v>
      </c>
      <c r="F452" s="16" t="n">
        <f aca="false">F451+F450</f>
        <v>2432.59078534544</v>
      </c>
      <c r="G452" s="16" t="n">
        <f aca="false">G451+G450</f>
        <v>2681.46892320856</v>
      </c>
    </row>
    <row r="453" customFormat="false" ht="17.15" hidden="false" customHeight="false" outlineLevel="0" collapsed="false">
      <c r="A453" s="5" t="s">
        <v>704</v>
      </c>
      <c r="B453" s="0" t="s">
        <v>354</v>
      </c>
      <c r="C453" s="17" t="n">
        <f aca="false">C451+C450-a25_rev</f>
        <v>0</v>
      </c>
    </row>
    <row r="454" customFormat="false" ht="17.15" hidden="false" customHeight="false" outlineLevel="0" collapsed="false">
      <c r="A454" s="0" t="s">
        <v>705</v>
      </c>
      <c r="B454" s="0" t="s">
        <v>45</v>
      </c>
      <c r="C454" s="10" t="n">
        <f aca="false">C447/C452</f>
        <v>0.679957469431154</v>
      </c>
      <c r="D454" s="10" t="n">
        <f aca="false">D447/D452</f>
        <v>0.728431689369372</v>
      </c>
      <c r="E454" s="10" t="n">
        <f aca="false">E447/E452</f>
        <v>0.738667023529267</v>
      </c>
      <c r="F454" s="10" t="n">
        <f aca="false">F447/F452</f>
        <v>0.723738558264822</v>
      </c>
      <c r="G454" s="10" t="n">
        <f aca="false">G447/G452</f>
        <v>0.711986618015066</v>
      </c>
    </row>
    <row r="455" customFormat="false" ht="17.15" hidden="false" customHeight="false" outlineLevel="0" collapsed="false">
      <c r="A455" s="5" t="s">
        <v>570</v>
      </c>
      <c r="B455" s="0" t="s">
        <v>45</v>
      </c>
      <c r="C455" s="10" t="n">
        <f aca="false">a25_gp/a25_rev</f>
        <v>0.643</v>
      </c>
      <c r="D455" s="10" t="n">
        <f aca="false">gm_a+gm_b*D454+0</f>
        <v>0.666418296391741</v>
      </c>
      <c r="E455" s="10" t="n">
        <f aca="false">gm_a+gm_b*E454+0</f>
        <v>0.671363070940572</v>
      </c>
      <c r="F455" s="10" t="n">
        <f aca="false">gm_a+gm_b*F454+0</f>
        <v>0.664151005956707</v>
      </c>
      <c r="G455" s="10" t="n">
        <f aca="false">gm_a+gm_b*G454+0</f>
        <v>0.658473546467981</v>
      </c>
      <c r="H455" s="5" t="s">
        <v>706</v>
      </c>
    </row>
    <row r="456" customFormat="false" ht="15" hidden="false" customHeight="false" outlineLevel="0" collapsed="false">
      <c r="A456" s="5" t="s">
        <v>574</v>
      </c>
      <c r="B456" s="0" t="s">
        <v>354</v>
      </c>
      <c r="C456" s="16" t="n">
        <f aca="false">C452*C455</f>
        <v>725.6898</v>
      </c>
      <c r="D456" s="16" t="n">
        <f aca="false">D452*D455</f>
        <v>1096.24458811569</v>
      </c>
      <c r="E456" s="16" t="n">
        <f aca="false">E452*E455</f>
        <v>1429.37632238611</v>
      </c>
      <c r="F456" s="16" t="n">
        <f aca="false">F452*F455</f>
        <v>1615.60761716819</v>
      </c>
      <c r="G456" s="16" t="n">
        <f aca="false">G452*G455</f>
        <v>1765.67635160882</v>
      </c>
    </row>
    <row r="457" customFormat="false" ht="17.15" hidden="false" customHeight="false" outlineLevel="0" collapsed="false">
      <c r="A457" s="5" t="s">
        <v>707</v>
      </c>
      <c r="B457" s="0" t="s">
        <v>354</v>
      </c>
      <c r="C457" s="16" t="n">
        <f aca="false">opex25</f>
        <v>226.5898</v>
      </c>
      <c r="D457" s="16" t="n">
        <f aca="false">opex_fix+opex_var*D452</f>
        <v>285.884553349099</v>
      </c>
      <c r="E457" s="16" t="n">
        <f aca="false">opex_fix+opex_var*E452</f>
        <v>341.471125686014</v>
      </c>
      <c r="F457" s="16" t="n">
        <f aca="false">opex_fix+opex_var*F452</f>
        <v>376.324206199312</v>
      </c>
      <c r="G457" s="16" t="n">
        <f aca="false">opex_fix+opex_var*G452</f>
        <v>404.902337738067</v>
      </c>
      <c r="H457" s="5" t="s">
        <v>708</v>
      </c>
    </row>
    <row r="458" customFormat="false" ht="15" hidden="false" customHeight="false" outlineLevel="0" collapsed="false">
      <c r="A458" s="5" t="s">
        <v>577</v>
      </c>
      <c r="B458" s="0" t="s">
        <v>354</v>
      </c>
      <c r="C458" s="16" t="n">
        <f aca="false">C456-C457</f>
        <v>499.1</v>
      </c>
      <c r="D458" s="16" t="n">
        <f aca="false">D456-D457</f>
        <v>810.360034766589</v>
      </c>
      <c r="E458" s="16" t="n">
        <f aca="false">E456-E457</f>
        <v>1087.9051967001</v>
      </c>
      <c r="F458" s="16" t="n">
        <f aca="false">F456-F457</f>
        <v>1239.28341096887</v>
      </c>
      <c r="G458" s="16" t="n">
        <f aca="false">G456-G457</f>
        <v>1360.77401387076</v>
      </c>
    </row>
    <row r="459" customFormat="false" ht="15" hidden="false" customHeight="false" outlineLevel="0" collapsed="false">
      <c r="A459" s="5" t="s">
        <v>580</v>
      </c>
      <c r="B459" s="0" t="s">
        <v>45</v>
      </c>
      <c r="C459" s="10" t="n">
        <f aca="false">C458/C452</f>
        <v>0.442229310650363</v>
      </c>
      <c r="D459" s="10" t="n">
        <f aca="false">D458/D452</f>
        <v>0.49262615267398</v>
      </c>
      <c r="E459" s="10" t="n">
        <f aca="false">E458/E452</f>
        <v>0.510977663691487</v>
      </c>
      <c r="F459" s="10" t="n">
        <f aca="false">F458/F452</f>
        <v>0.509450014541962</v>
      </c>
      <c r="G459" s="10" t="n">
        <f aca="false">G458/G452</f>
        <v>0.507473348690722</v>
      </c>
    </row>
    <row r="460" customFormat="false" ht="15" hidden="false" customHeight="false" outlineLevel="0" collapsed="false">
      <c r="A460" s="5" t="s">
        <v>600</v>
      </c>
      <c r="B460" s="0" t="s">
        <v>354</v>
      </c>
      <c r="C460" s="16" t="n">
        <f aca="false">a25_ni</f>
        <v>375.4</v>
      </c>
      <c r="D460" s="16" t="n">
        <f aca="false">D458*nioi</f>
        <v>609.515441898172</v>
      </c>
      <c r="E460" s="16" t="n">
        <f aca="false">E458*nioi</f>
        <v>818.272111483102</v>
      </c>
      <c r="F460" s="16" t="n">
        <f aca="false">F458*nioi</f>
        <v>932.131822235455</v>
      </c>
      <c r="G460" s="16" t="n">
        <f aca="false">G458*nioi</f>
        <v>1023.51145022457</v>
      </c>
    </row>
    <row r="461" customFormat="false" ht="15" hidden="false" customHeight="false" outlineLevel="0" collapsed="false">
      <c r="A461" s="0" t="s">
        <v>670</v>
      </c>
      <c r="B461" s="0" t="s">
        <v>403</v>
      </c>
      <c r="C461" s="16" t="n">
        <f aca="false">a25_eps</f>
        <v>515.15</v>
      </c>
      <c r="D461" s="16" t="n">
        <f aca="false">D460*1000/shares</f>
        <v>841.907056745529</v>
      </c>
      <c r="E461" s="16" t="n">
        <f aca="false">E460*1000/shares</f>
        <v>1130.25695107948</v>
      </c>
      <c r="F461" s="16" t="n">
        <f aca="false">F460*1000/shares</f>
        <v>1287.52826427686</v>
      </c>
      <c r="G461" s="16" t="n">
        <f aca="false">G460*1000/shares</f>
        <v>1413.74845224655</v>
      </c>
    </row>
    <row r="462" customFormat="false" ht="17.15" hidden="false" customHeight="false" outlineLevel="0" collapsed="false">
      <c r="A462" s="5" t="s">
        <v>709</v>
      </c>
      <c r="B462" s="0" t="s">
        <v>155</v>
      </c>
      <c r="C462" s="17" t="n">
        <f aca="false">C452/fx</f>
        <v>7.524</v>
      </c>
      <c r="D462" s="17" t="n">
        <f aca="false">D452/fx</f>
        <v>10.9665315218305</v>
      </c>
      <c r="E462" s="17" t="n">
        <f aca="false">E452/fx</f>
        <v>14.1937736748371</v>
      </c>
      <c r="F462" s="17" t="n">
        <f aca="false">F452/fx</f>
        <v>16.2172719023029</v>
      </c>
      <c r="G462" s="17" t="n">
        <f aca="false">G452/fx</f>
        <v>17.8764594880571</v>
      </c>
      <c r="H462" s="8" t="s">
        <v>710</v>
      </c>
    </row>
    <row r="466" customFormat="false" ht="17.15" hidden="false" customHeight="false" outlineLevel="0" collapsed="false">
      <c r="A466" s="4" t="s">
        <v>1084</v>
      </c>
    </row>
    <row r="467" customFormat="false" ht="17.15" hidden="false" customHeight="false" outlineLevel="0" collapsed="false">
      <c r="A467" s="6" t="s">
        <v>23</v>
      </c>
      <c r="B467" s="6" t="s">
        <v>24</v>
      </c>
      <c r="C467" s="14" t="s">
        <v>675</v>
      </c>
      <c r="D467" s="14" t="s">
        <v>676</v>
      </c>
      <c r="E467" s="14" t="s">
        <v>677</v>
      </c>
      <c r="F467" s="14" t="s">
        <v>678</v>
      </c>
      <c r="G467" s="14" t="s">
        <v>679</v>
      </c>
      <c r="H467" s="6" t="s">
        <v>478</v>
      </c>
    </row>
    <row r="468" customFormat="false" ht="17.15" hidden="false" customHeight="false" outlineLevel="0" collapsed="false">
      <c r="A468" s="1" t="s">
        <v>680</v>
      </c>
    </row>
    <row r="469" customFormat="false" ht="17.15" hidden="false" customHeight="false" outlineLevel="0" collapsed="false">
      <c r="A469" s="5" t="s">
        <v>681</v>
      </c>
      <c r="B469" s="5" t="s">
        <v>34</v>
      </c>
      <c r="C469" s="19" t="n">
        <f aca="false">u_bw_26*tt_bw+u_rb_26*tt_rb+u_ru_26*tt_ru+u_hp_26*tt_hp+u_amd_26*tt_amd+u_tpu_26*tt_tpu+u_trn_26*tt_trn+u_oth_26*tt_oth</f>
        <v>14.885</v>
      </c>
      <c r="D469" s="19" t="n">
        <f aca="false">u_bw_27*tt_bw+u_rb_27*tt_rb+u_ru_27*tt_ru+u_hp_27*tt_hp+u_amd_27*tt_amd+u_tpu_27*tt_tpu+u_trn_27*tt_trn+u_oth_27*tt_oth</f>
        <v>24.31</v>
      </c>
      <c r="E469" s="19" t="n">
        <f aca="false">u_bw_28*um28_A*tt_bw+u_rb_28*um28_A*tt_rb+u_ru_28*um28_A*tt_ru+u_hp_28*um28_A*tt_hp+u_amd_28*um28_A*tt_amd+u_tpu_28*um28_A*tt_tpu+u_trn_28*um28_A*tt_trn+u_oth_28*um28_A*tt_oth</f>
        <v>28.1</v>
      </c>
      <c r="F46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9" t="n">
        <f aca="false">F469*(1+cy30g)</f>
        <v>31.99</v>
      </c>
      <c r="H469" s="8" t="s">
        <v>682</v>
      </c>
    </row>
    <row r="470" customFormat="false" ht="17.15" hidden="false" customHeight="false" outlineLevel="0" collapsed="false">
      <c r="A470" s="5" t="s">
        <v>683</v>
      </c>
      <c r="B470" s="0" t="s">
        <v>684</v>
      </c>
      <c r="C470" s="21" t="n">
        <f aca="false">(mk_soc26-nonai26)/C469</f>
        <v>0.450117568021498</v>
      </c>
      <c r="H470" s="5" t="s">
        <v>685</v>
      </c>
    </row>
    <row r="471" customFormat="false" ht="17.15" hidden="false" customHeight="false" outlineLevel="0" collapsed="false">
      <c r="A471" s="0" t="s">
        <v>686</v>
      </c>
      <c r="B471" s="0" t="s">
        <v>155</v>
      </c>
      <c r="C471" s="19" t="n">
        <f aca="false">$C$470*C469*(1-0)^0</f>
        <v>6.7</v>
      </c>
      <c r="D471" s="19" t="n">
        <f aca="false">$C$470*D469*(1-0)^1</f>
        <v>10.9423580786026</v>
      </c>
      <c r="E471" s="19" t="n">
        <f aca="false">$C$470*E469*(1-0)^2</f>
        <v>12.6483036614041</v>
      </c>
      <c r="F471" s="19" t="n">
        <f aca="false">$C$470*F469*(1-0)^3</f>
        <v>14.3992610010077</v>
      </c>
      <c r="G471" s="19" t="n">
        <f aca="false">$C$470*G469*(1-0)^4</f>
        <v>14.3992610010077</v>
      </c>
    </row>
    <row r="472" customFormat="false" ht="17.15" hidden="false" customHeight="false" outlineLevel="0" collapsed="false">
      <c r="A472" s="5" t="s">
        <v>687</v>
      </c>
      <c r="B472" s="0" t="s">
        <v>155</v>
      </c>
      <c r="C472" s="19" t="n">
        <f aca="false">nonai26*(1+g_nonai)^0</f>
        <v>4.3</v>
      </c>
      <c r="D472" s="19" t="n">
        <f aca="false">nonai26*(1+g_nonai)^1</f>
        <v>4.472</v>
      </c>
      <c r="E472" s="19" t="n">
        <f aca="false">nonai26*(1+g_nonai)^2</f>
        <v>4.65088</v>
      </c>
      <c r="F472" s="19" t="n">
        <f aca="false">nonai26*(1+g_nonai)^3</f>
        <v>4.8369152</v>
      </c>
      <c r="G472" s="19" t="n">
        <f aca="false">nonai26*(1+g_nonai)^4</f>
        <v>5.030391808</v>
      </c>
    </row>
    <row r="473" customFormat="false" ht="17.15" hidden="false" customHeight="false" outlineLevel="0" collapsed="false">
      <c r="A473" s="0" t="s">
        <v>688</v>
      </c>
      <c r="B473" s="0" t="s">
        <v>155</v>
      </c>
      <c r="C473" s="19" t="n">
        <f aca="false">C471+C472</f>
        <v>11</v>
      </c>
      <c r="D473" s="19" t="n">
        <f aca="false">D471+D472</f>
        <v>15.4143580786026</v>
      </c>
      <c r="E473" s="19" t="n">
        <f aca="false">E471+E472</f>
        <v>17.2991836614041</v>
      </c>
      <c r="F473" s="19" t="n">
        <f aca="false">F471+F472</f>
        <v>19.2361762010077</v>
      </c>
      <c r="G473" s="19" t="n">
        <f aca="false">G471+G472</f>
        <v>19.4296528090077</v>
      </c>
      <c r="H473" s="8" t="s">
        <v>689</v>
      </c>
    </row>
    <row r="474" customFormat="false" ht="17.15" hidden="false" customHeight="false" outlineLevel="0" collapsed="false">
      <c r="A474" s="5" t="s">
        <v>690</v>
      </c>
      <c r="B474" s="0" t="s">
        <v>155</v>
      </c>
      <c r="C474" s="19" t="n">
        <f aca="false">mk_mem26*(w_hbm*hsA_26/hsA_26+(1-w_hbm)*drA_26/drA_26)</f>
        <v>2.75</v>
      </c>
      <c r="D474" s="19" t="n">
        <f aca="false">mk_mem26*(w_hbm*hsA_27/hsA_26+(1-w_hbm)*drA_27/drA_26)</f>
        <v>3.88007408374579</v>
      </c>
      <c r="E474" s="19" t="n">
        <f aca="false">mk_mem26*(w_hbm*hsA_28/hsA_26+(1-w_hbm)*drA_28/drA_26)</f>
        <v>5.04607694610671</v>
      </c>
      <c r="F474" s="19" t="n">
        <f aca="false">mk_mem26*(w_hbm*hsA_29/hsA_26+(1-w_hbm)*drA_29/drA_26)</f>
        <v>6.20223782078096</v>
      </c>
      <c r="G474" s="19" t="n">
        <f aca="false">F474*(1+cy30g)</f>
        <v>6.20223782078096</v>
      </c>
      <c r="H474" s="8" t="s">
        <v>691</v>
      </c>
    </row>
    <row r="475" customFormat="false" ht="17.15" hidden="false" customHeight="false" outlineLevel="0" collapsed="false">
      <c r="A475" s="1" t="s">
        <v>692</v>
      </c>
    </row>
    <row r="476" customFormat="false" ht="17.15" hidden="false" customHeight="false" outlineLevel="0" collapsed="false">
      <c r="A476" s="0" t="s">
        <v>693</v>
      </c>
      <c r="B476" s="0" t="s">
        <v>155</v>
      </c>
      <c r="C476" s="19" t="n">
        <f aca="false">fmk_soc25</f>
        <v>7.925</v>
      </c>
      <c r="D476" s="19" t="n">
        <f aca="false">0.75*C473+0.25*D473</f>
        <v>12.1035895196507</v>
      </c>
      <c r="E476" s="19" t="n">
        <f aca="false">0.75*D473+0.25*E473</f>
        <v>15.885564474303</v>
      </c>
      <c r="F476" s="19" t="n">
        <f aca="false">0.75*E473+0.25*F473</f>
        <v>17.783431796305</v>
      </c>
      <c r="G476" s="19" t="n">
        <f aca="false">0.75*F473+0.25*G473</f>
        <v>19.2845453530077</v>
      </c>
    </row>
    <row r="477" customFormat="false" ht="17.15" hidden="false" customHeight="false" outlineLevel="0" collapsed="false">
      <c r="A477" s="5" t="s">
        <v>694</v>
      </c>
      <c r="B477" s="0" t="s">
        <v>155</v>
      </c>
      <c r="C477" s="19" t="n">
        <f aca="false">fmk_mem25</f>
        <v>2.2625</v>
      </c>
      <c r="D477" s="19" t="n">
        <f aca="false">0.75*C474+0.25*D474</f>
        <v>3.03251852093645</v>
      </c>
      <c r="E477" s="19" t="n">
        <f aca="false">0.75*D474+0.25*E474</f>
        <v>4.17157479933602</v>
      </c>
      <c r="F477" s="19" t="n">
        <f aca="false">0.75*E474+0.25*F474</f>
        <v>5.33511716477527</v>
      </c>
      <c r="G477" s="19" t="n">
        <f aca="false">0.75*F474+0.25*G474</f>
        <v>6.20223782078096</v>
      </c>
    </row>
    <row r="478" customFormat="false" ht="17.15" hidden="false" customHeight="false" outlineLevel="0" collapsed="false">
      <c r="A478" s="0" t="s">
        <v>695</v>
      </c>
      <c r="B478" s="0" t="s">
        <v>45</v>
      </c>
      <c r="C478" s="10" t="n">
        <f aca="false">a25_soc/(C476*fx)</f>
        <v>0.645552050473186</v>
      </c>
      <c r="D478" s="10" t="n">
        <f aca="false">sh_soc</f>
        <v>0.66</v>
      </c>
      <c r="E478" s="10" t="n">
        <f aca="false">sh_soc</f>
        <v>0.66</v>
      </c>
      <c r="F478" s="10" t="n">
        <f aca="false">sh_soc</f>
        <v>0.66</v>
      </c>
      <c r="G478" s="10" t="n">
        <f aca="false">sh_soc</f>
        <v>0.66</v>
      </c>
      <c r="H478" s="8" t="s">
        <v>696</v>
      </c>
    </row>
    <row r="479" customFormat="false" ht="17.15" hidden="false" customHeight="false" outlineLevel="0" collapsed="false">
      <c r="A479" s="0" t="s">
        <v>697</v>
      </c>
      <c r="B479" s="0" t="s">
        <v>354</v>
      </c>
      <c r="C479" s="16" t="n">
        <f aca="false">a25_soc</f>
        <v>767.4</v>
      </c>
      <c r="D479" s="16" t="n">
        <f aca="false">D476*D478*fx</f>
        <v>1198.25536244542</v>
      </c>
      <c r="E479" s="16" t="n">
        <f aca="false">E476*E478*fx</f>
        <v>1572.670882956</v>
      </c>
      <c r="F479" s="16" t="n">
        <f aca="false">F476*F478*fx</f>
        <v>1760.5597478342</v>
      </c>
      <c r="G479" s="16" t="n">
        <f aca="false">G476*G478*fx</f>
        <v>1909.16998994777</v>
      </c>
      <c r="H479" s="5" t="s">
        <v>698</v>
      </c>
    </row>
    <row r="480" customFormat="false" ht="15" hidden="false" customHeight="false" outlineLevel="0" collapsed="false">
      <c r="A480" s="5" t="s">
        <v>699</v>
      </c>
      <c r="B480" s="0" t="s">
        <v>354</v>
      </c>
      <c r="C480" s="16" t="n">
        <f aca="false">a25_mem</f>
        <v>171.5</v>
      </c>
      <c r="D480" s="16" t="n">
        <f aca="false">D477*sh_mem_hi*fx</f>
        <v>252.612143643201</v>
      </c>
      <c r="E480" s="16" t="n">
        <f aca="false">E477*sh_mem_hi*fx</f>
        <v>347.496790259607</v>
      </c>
      <c r="F480" s="16" t="n">
        <f aca="false">F477*sh_mem_hi*fx</f>
        <v>444.421154982868</v>
      </c>
      <c r="G480" s="16" t="n">
        <f aca="false">G477*sh_mem_hi*fx</f>
        <v>516.653263772514</v>
      </c>
    </row>
    <row r="481" customFormat="false" ht="15" hidden="false" customHeight="false" outlineLevel="0" collapsed="false">
      <c r="A481" s="5" t="s">
        <v>700</v>
      </c>
      <c r="B481" s="0" t="s">
        <v>354</v>
      </c>
      <c r="C481" s="16" t="n">
        <f aca="false">a25_oth</f>
        <v>80.5</v>
      </c>
      <c r="D481" s="16" t="n">
        <f aca="false">C481*(1+g_oth_26)</f>
        <v>104</v>
      </c>
      <c r="E481" s="16" t="n">
        <f aca="false">D481*(1+g_oth_A)</f>
        <v>119.6</v>
      </c>
      <c r="F481" s="16" t="n">
        <f aca="false">E481*(1+g_oth_A)</f>
        <v>137.54</v>
      </c>
      <c r="G481" s="16" t="n">
        <f aca="false">F481*(1+g_oth_A)</f>
        <v>158.171</v>
      </c>
    </row>
    <row r="482" customFormat="false" ht="15" hidden="false" customHeight="false" outlineLevel="0" collapsed="false">
      <c r="A482" s="5" t="s">
        <v>701</v>
      </c>
      <c r="B482" s="0" t="s">
        <v>354</v>
      </c>
      <c r="C482" s="16" t="n">
        <f aca="false">a25_svc</f>
        <v>109.2</v>
      </c>
      <c r="D482" s="16" t="n">
        <f aca="false">C482*(1+g_svc_26)</f>
        <v>135.6</v>
      </c>
      <c r="E482" s="16" t="n">
        <f aca="false">D482*(1+g_svc_A)</f>
        <v>151.872</v>
      </c>
      <c r="F482" s="16" t="n">
        <f aca="false">E482*(1+g_svc_A)</f>
        <v>170.09664</v>
      </c>
      <c r="G482" s="16" t="n">
        <f aca="false">F482*(1+g_svc_A)</f>
        <v>190.5082368</v>
      </c>
    </row>
    <row r="483" customFormat="false" ht="17.15" hidden="false" customHeight="false" outlineLevel="0" collapsed="false">
      <c r="A483" s="5" t="s">
        <v>702</v>
      </c>
      <c r="B483" s="0" t="s">
        <v>354</v>
      </c>
      <c r="C483" s="16" t="n">
        <f aca="false">C479+C480+C481</f>
        <v>1019.4</v>
      </c>
      <c r="D483" s="16" t="n">
        <f aca="false">D479+D480+D481</f>
        <v>1554.86750608862</v>
      </c>
      <c r="E483" s="16" t="n">
        <f aca="false">E479+E480+E481</f>
        <v>2039.7676732156</v>
      </c>
      <c r="F483" s="16" t="n">
        <f aca="false">F479+F480+F481</f>
        <v>2342.52090281706</v>
      </c>
      <c r="G483" s="16" t="n">
        <f aca="false">G479+G480+G481</f>
        <v>2583.99425372028</v>
      </c>
      <c r="H483" s="5" t="s">
        <v>703</v>
      </c>
    </row>
    <row r="484" customFormat="false" ht="15" hidden="false" customHeight="false" outlineLevel="0" collapsed="false">
      <c r="A484" s="5" t="s">
        <v>566</v>
      </c>
      <c r="B484" s="0" t="s">
        <v>354</v>
      </c>
      <c r="C484" s="16" t="n">
        <f aca="false">C483+C482</f>
        <v>1128.6</v>
      </c>
      <c r="D484" s="16" t="n">
        <f aca="false">D483+D482</f>
        <v>1690.46750608862</v>
      </c>
      <c r="E484" s="16" t="n">
        <f aca="false">E483+E482</f>
        <v>2191.6396732156</v>
      </c>
      <c r="F484" s="16" t="n">
        <f aca="false">F483+F482</f>
        <v>2512.61754281706</v>
      </c>
      <c r="G484" s="16" t="n">
        <f aca="false">G483+G482</f>
        <v>2774.50249052028</v>
      </c>
    </row>
    <row r="485" customFormat="false" ht="17.15" hidden="false" customHeight="false" outlineLevel="0" collapsed="false">
      <c r="A485" s="5" t="s">
        <v>704</v>
      </c>
      <c r="B485" s="0" t="s">
        <v>354</v>
      </c>
      <c r="C485" s="17" t="n">
        <f aca="false">C483+C482-a25_rev</f>
        <v>0</v>
      </c>
    </row>
    <row r="486" customFormat="false" ht="17.15" hidden="false" customHeight="false" outlineLevel="0" collapsed="false">
      <c r="A486" s="0" t="s">
        <v>705</v>
      </c>
      <c r="B486" s="0" t="s">
        <v>45</v>
      </c>
      <c r="C486" s="10" t="n">
        <f aca="false">C479/C484</f>
        <v>0.679957469431154</v>
      </c>
      <c r="D486" s="10" t="n">
        <f aca="false">D479/D484</f>
        <v>0.708830757248878</v>
      </c>
      <c r="E486" s="10" t="n">
        <f aca="false">E479/E484</f>
        <v>0.717577301677767</v>
      </c>
      <c r="F486" s="10" t="n">
        <f aca="false">F479/F484</f>
        <v>0.700687517233647</v>
      </c>
      <c r="G486" s="10" t="n">
        <f aca="false">G479/G484</f>
        <v>0.688112552239863</v>
      </c>
    </row>
    <row r="487" customFormat="false" ht="17.15" hidden="false" customHeight="false" outlineLevel="0" collapsed="false">
      <c r="A487" s="5" t="s">
        <v>570</v>
      </c>
      <c r="B487" s="0" t="s">
        <v>45</v>
      </c>
      <c r="C487" s="10" t="n">
        <f aca="false">a25_gp/a25_rev</f>
        <v>0.643</v>
      </c>
      <c r="D487" s="10" t="n">
        <f aca="false">gm_a+gm_b*D486+0</f>
        <v>0.656948924042126</v>
      </c>
      <c r="E487" s="10" t="n">
        <f aca="false">gm_a+gm_b*E486+0</f>
        <v>0.661174451963985</v>
      </c>
      <c r="F487" s="10" t="n">
        <f aca="false">gm_a+gm_b*F486+0</f>
        <v>0.653014857470063</v>
      </c>
      <c r="G487" s="10" t="n">
        <f aca="false">gm_a+gm_b*G486+0</f>
        <v>0.646939787923497</v>
      </c>
      <c r="H487" s="5" t="s">
        <v>706</v>
      </c>
    </row>
    <row r="488" customFormat="false" ht="15" hidden="false" customHeight="false" outlineLevel="0" collapsed="false">
      <c r="A488" s="5" t="s">
        <v>574</v>
      </c>
      <c r="B488" s="0" t="s">
        <v>354</v>
      </c>
      <c r="C488" s="16" t="n">
        <f aca="false">C484*C487</f>
        <v>725.6898</v>
      </c>
      <c r="D488" s="16" t="n">
        <f aca="false">D484*D487</f>
        <v>1110.55080925309</v>
      </c>
      <c r="E488" s="16" t="n">
        <f aca="false">E484*E487</f>
        <v>1449.05615984085</v>
      </c>
      <c r="F488" s="16" t="n">
        <f aca="false">F484*F487</f>
        <v>1640.77658659947</v>
      </c>
      <c r="G488" s="16" t="n">
        <f aca="false">G484*G487</f>
        <v>1794.9360528104</v>
      </c>
    </row>
    <row r="489" customFormat="false" ht="17.15" hidden="false" customHeight="false" outlineLevel="0" collapsed="false">
      <c r="A489" s="5" t="s">
        <v>707</v>
      </c>
      <c r="B489" s="0" t="s">
        <v>354</v>
      </c>
      <c r="C489" s="16" t="n">
        <f aca="false">opex25</f>
        <v>226.5898</v>
      </c>
      <c r="D489" s="16" t="n">
        <f aca="false">opex_fix+opex_var*D484</f>
        <v>291.107815259272</v>
      </c>
      <c r="E489" s="16" t="n">
        <f aca="false">opex_fix+opex_var*E484</f>
        <v>348.656317665678</v>
      </c>
      <c r="F489" s="16" t="n">
        <f aca="false">opex_fix+opex_var*F484</f>
        <v>385.513503504735</v>
      </c>
      <c r="G489" s="16" t="n">
        <f aca="false">opex_fix+opex_var*G484</f>
        <v>415.585178533091</v>
      </c>
      <c r="H489" s="5" t="s">
        <v>708</v>
      </c>
    </row>
    <row r="490" customFormat="false" ht="15" hidden="false" customHeight="false" outlineLevel="0" collapsed="false">
      <c r="A490" s="5" t="s">
        <v>577</v>
      </c>
      <c r="B490" s="0" t="s">
        <v>354</v>
      </c>
      <c r="C490" s="16" t="n">
        <f aca="false">C488-C489</f>
        <v>499.1</v>
      </c>
      <c r="D490" s="16" t="n">
        <f aca="false">D488-D489</f>
        <v>819.442993993819</v>
      </c>
      <c r="E490" s="16" t="n">
        <f aca="false">E488-E489</f>
        <v>1100.39984217518</v>
      </c>
      <c r="F490" s="16" t="n">
        <f aca="false">F488-F489</f>
        <v>1255.26308309473</v>
      </c>
      <c r="G490" s="16" t="n">
        <f aca="false">G488-G489</f>
        <v>1379.35087427731</v>
      </c>
    </row>
    <row r="491" customFormat="false" ht="15" hidden="false" customHeight="false" outlineLevel="0" collapsed="false">
      <c r="A491" s="5" t="s">
        <v>580</v>
      </c>
      <c r="B491" s="0" t="s">
        <v>45</v>
      </c>
      <c r="C491" s="10" t="n">
        <f aca="false">C490/C484</f>
        <v>0.442229310650363</v>
      </c>
      <c r="D491" s="10" t="n">
        <f aca="false">D490/D484</f>
        <v>0.484743416269407</v>
      </c>
      <c r="E491" s="10" t="n">
        <f aca="false">E490/E484</f>
        <v>0.502089762118904</v>
      </c>
      <c r="F491" s="10" t="n">
        <f aca="false">F490/F484</f>
        <v>0.499583825116245</v>
      </c>
      <c r="G491" s="10" t="n">
        <f aca="false">G490/G484</f>
        <v>0.497152508959779</v>
      </c>
    </row>
    <row r="492" customFormat="false" ht="15" hidden="false" customHeight="false" outlineLevel="0" collapsed="false">
      <c r="A492" s="5" t="s">
        <v>600</v>
      </c>
      <c r="B492" s="0" t="s">
        <v>354</v>
      </c>
      <c r="C492" s="16" t="n">
        <f aca="false">a25_ni</f>
        <v>375.4</v>
      </c>
      <c r="D492" s="16" t="n">
        <f aca="false">D490*nioi</f>
        <v>616.347224895371</v>
      </c>
      <c r="E492" s="16" t="n">
        <f aca="false">E490*nioi</f>
        <v>827.670007518655</v>
      </c>
      <c r="F492" s="16" t="n">
        <f aca="false">F490*nioi</f>
        <v>944.150994577764</v>
      </c>
      <c r="G492" s="16" t="n">
        <f aca="false">G490*nioi</f>
        <v>1037.48410780145</v>
      </c>
    </row>
    <row r="493" customFormat="false" ht="15" hidden="false" customHeight="false" outlineLevel="0" collapsed="false">
      <c r="A493" s="0" t="s">
        <v>670</v>
      </c>
      <c r="B493" s="0" t="s">
        <v>403</v>
      </c>
      <c r="C493" s="16" t="n">
        <f aca="false">a25_eps</f>
        <v>515.15</v>
      </c>
      <c r="D493" s="16" t="n">
        <f aca="false">D492*1000/shares</f>
        <v>851.343612278206</v>
      </c>
      <c r="E493" s="16" t="n">
        <f aca="false">E492*1000/shares</f>
        <v>1143.23800856713</v>
      </c>
      <c r="F493" s="16" t="n">
        <f aca="false">F492*1000/shares</f>
        <v>1304.13001923769</v>
      </c>
      <c r="G493" s="16" t="n">
        <f aca="false">G492*1000/shares</f>
        <v>1433.04850308502</v>
      </c>
    </row>
    <row r="494" customFormat="false" ht="17.15" hidden="false" customHeight="false" outlineLevel="0" collapsed="false">
      <c r="A494" s="5" t="s">
        <v>709</v>
      </c>
      <c r="B494" s="0" t="s">
        <v>155</v>
      </c>
      <c r="C494" s="17" t="n">
        <f aca="false">C484/fx</f>
        <v>7.524</v>
      </c>
      <c r="D494" s="17" t="n">
        <f aca="false">D484/fx</f>
        <v>11.2697833739241</v>
      </c>
      <c r="E494" s="17" t="n">
        <f aca="false">E484/fx</f>
        <v>14.6109311547707</v>
      </c>
      <c r="F494" s="17" t="n">
        <f aca="false">F484/fx</f>
        <v>16.7507836187804</v>
      </c>
      <c r="G494" s="17" t="n">
        <f aca="false">G484/fx</f>
        <v>18.4966832701352</v>
      </c>
      <c r="H494" s="8" t="s">
        <v>710</v>
      </c>
    </row>
    <row r="498" customFormat="false" ht="17.15" hidden="false" customHeight="false" outlineLevel="0" collapsed="false">
      <c r="A498" s="4" t="s">
        <v>1085</v>
      </c>
    </row>
    <row r="499" customFormat="false" ht="17.15" hidden="false" customHeight="false" outlineLevel="0" collapsed="false">
      <c r="A499" s="6" t="s">
        <v>23</v>
      </c>
      <c r="B499" s="6" t="s">
        <v>24</v>
      </c>
      <c r="C499" s="14" t="s">
        <v>675</v>
      </c>
      <c r="D499" s="14" t="s">
        <v>676</v>
      </c>
      <c r="E499" s="14" t="s">
        <v>677</v>
      </c>
      <c r="F499" s="14" t="s">
        <v>678</v>
      </c>
      <c r="G499" s="14" t="s">
        <v>679</v>
      </c>
      <c r="H499" s="6" t="s">
        <v>478</v>
      </c>
    </row>
    <row r="500" customFormat="false" ht="17.15" hidden="false" customHeight="false" outlineLevel="0" collapsed="false">
      <c r="A500" s="1" t="s">
        <v>680</v>
      </c>
    </row>
    <row r="501" customFormat="false" ht="17.15" hidden="false" customHeight="false" outlineLevel="0" collapsed="false">
      <c r="A501" s="5" t="s">
        <v>681</v>
      </c>
      <c r="B501" s="5" t="s">
        <v>34</v>
      </c>
      <c r="C501" s="19" t="n">
        <f aca="false">u_bw_26*tt_bw+u_rb_26*tt_rb+u_ru_26*tt_ru+u_hp_26*tt_hp+u_amd_26*tt_amd+u_tpu_26*tt_tpu+u_trn_26*tt_trn+u_oth_26*tt_oth</f>
        <v>14.885</v>
      </c>
      <c r="D501" s="19" t="n">
        <f aca="false">u_bw_27*tt_bw+u_rb_27*tt_rb+u_ru_27*tt_ru+u_hp_27*tt_hp+u_amd_27*tt_amd+u_tpu_27*tt_tpu+u_trn_27*tt_trn+u_oth_27*tt_oth</f>
        <v>24.31</v>
      </c>
      <c r="E501" s="19" t="n">
        <f aca="false">u_bw_28*um28_A*tt_bw+u_rb_28*um28_A*tt_rb+u_ru_28*um28_A*tt_ru+u_hp_28*um28_A*tt_hp+u_amd_28*um28_A*tt_amd+u_tpu_28*um28_A*tt_tpu+u_trn_28*um28_A*tt_trn+u_oth_28*um28_A*tt_oth</f>
        <v>28.1</v>
      </c>
      <c r="F50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9" t="n">
        <f aca="false">F501*(1+cy30g)</f>
        <v>31.99</v>
      </c>
      <c r="H501" s="8" t="s">
        <v>682</v>
      </c>
    </row>
    <row r="502" customFormat="false" ht="17.15" hidden="false" customHeight="false" outlineLevel="0" collapsed="false">
      <c r="A502" s="5" t="s">
        <v>683</v>
      </c>
      <c r="B502" s="0" t="s">
        <v>684</v>
      </c>
      <c r="C502" s="21" t="n">
        <f aca="false">(mk_soc26-nonai26)/C501</f>
        <v>0.450117568021498</v>
      </c>
      <c r="H502" s="5" t="s">
        <v>685</v>
      </c>
    </row>
    <row r="503" customFormat="false" ht="17.15" hidden="false" customHeight="false" outlineLevel="0" collapsed="false">
      <c r="A503" s="0" t="s">
        <v>686</v>
      </c>
      <c r="B503" s="0" t="s">
        <v>155</v>
      </c>
      <c r="C503" s="19" t="n">
        <f aca="false">$C$502*C501*(1-0)^0</f>
        <v>6.7</v>
      </c>
      <c r="D503" s="19" t="n">
        <f aca="false">$C$502*D501*(1-0)^1</f>
        <v>10.9423580786026</v>
      </c>
      <c r="E503" s="19" t="n">
        <f aca="false">$C$502*E501*(1-0)^2</f>
        <v>12.6483036614041</v>
      </c>
      <c r="F503" s="19" t="n">
        <f aca="false">$C$502*F501*(1-0)^3</f>
        <v>14.3992610010077</v>
      </c>
      <c r="G503" s="19" t="n">
        <f aca="false">$C$502*G501*(1-0)^4</f>
        <v>14.3992610010077</v>
      </c>
    </row>
    <row r="504" customFormat="false" ht="17.15" hidden="false" customHeight="false" outlineLevel="0" collapsed="false">
      <c r="A504" s="5" t="s">
        <v>687</v>
      </c>
      <c r="B504" s="0" t="s">
        <v>155</v>
      </c>
      <c r="C504" s="19" t="n">
        <f aca="false">nonai26*(1+g_nonai)^0</f>
        <v>4.3</v>
      </c>
      <c r="D504" s="19" t="n">
        <f aca="false">nonai26*(1+g_nonai)^1</f>
        <v>4.472</v>
      </c>
      <c r="E504" s="19" t="n">
        <f aca="false">nonai26*(1+g_nonai)^2</f>
        <v>4.65088</v>
      </c>
      <c r="F504" s="19" t="n">
        <f aca="false">nonai26*(1+g_nonai)^3</f>
        <v>4.8369152</v>
      </c>
      <c r="G504" s="19" t="n">
        <f aca="false">nonai26*(1+g_nonai)^4</f>
        <v>5.030391808</v>
      </c>
    </row>
    <row r="505" customFormat="false" ht="17.15" hidden="false" customHeight="false" outlineLevel="0" collapsed="false">
      <c r="A505" s="0" t="s">
        <v>688</v>
      </c>
      <c r="B505" s="0" t="s">
        <v>155</v>
      </c>
      <c r="C505" s="19" t="n">
        <f aca="false">C503+C504</f>
        <v>11</v>
      </c>
      <c r="D505" s="19" t="n">
        <f aca="false">D503+D504</f>
        <v>15.4143580786026</v>
      </c>
      <c r="E505" s="19" t="n">
        <f aca="false">E503+E504</f>
        <v>17.2991836614041</v>
      </c>
      <c r="F505" s="19" t="n">
        <f aca="false">F503+F504</f>
        <v>19.2361762010077</v>
      </c>
      <c r="G505" s="19" t="n">
        <f aca="false">G503+G504</f>
        <v>19.4296528090077</v>
      </c>
      <c r="H505" s="8" t="s">
        <v>689</v>
      </c>
    </row>
    <row r="506" customFormat="false" ht="17.15" hidden="false" customHeight="false" outlineLevel="0" collapsed="false">
      <c r="A506" s="5" t="s">
        <v>690</v>
      </c>
      <c r="B506" s="0" t="s">
        <v>155</v>
      </c>
      <c r="C506" s="19" t="n">
        <f aca="false">mk_mem26*(w_hbm_lo*hsA_26/hsA_26+(1-w_hbm_lo)*drA_26/drA_26)</f>
        <v>2.75</v>
      </c>
      <c r="D506" s="19" t="n">
        <f aca="false">mk_mem26*(w_hbm_lo*hsA_27/hsA_26+(1-w_hbm_lo)*drA_27/drA_26)</f>
        <v>3.72710371724411</v>
      </c>
      <c r="E506" s="19" t="n">
        <f aca="false">mk_mem26*(w_hbm_lo*hsA_28/hsA_26+(1-w_hbm_lo)*drA_28/drA_26)</f>
        <v>4.59225772454939</v>
      </c>
      <c r="F506" s="19" t="n">
        <f aca="false">mk_mem26*(w_hbm_lo*hsA_29/hsA_26+(1-w_hbm_lo)*drA_29/drA_26)</f>
        <v>5.34559544909335</v>
      </c>
      <c r="G506" s="19" t="n">
        <f aca="false">F506*(1+cy30g)</f>
        <v>5.34559544909335</v>
      </c>
      <c r="H506" s="8" t="s">
        <v>691</v>
      </c>
    </row>
    <row r="507" customFormat="false" ht="17.15" hidden="false" customHeight="false" outlineLevel="0" collapsed="false">
      <c r="A507" s="1" t="s">
        <v>692</v>
      </c>
    </row>
    <row r="508" customFormat="false" ht="17.15" hidden="false" customHeight="false" outlineLevel="0" collapsed="false">
      <c r="A508" s="0" t="s">
        <v>693</v>
      </c>
      <c r="B508" s="0" t="s">
        <v>155</v>
      </c>
      <c r="C508" s="19" t="n">
        <f aca="false">fmk_soc25</f>
        <v>7.925</v>
      </c>
      <c r="D508" s="19" t="n">
        <f aca="false">0.75*C505+0.25*D505</f>
        <v>12.1035895196507</v>
      </c>
      <c r="E508" s="19" t="n">
        <f aca="false">0.75*D505+0.25*E505</f>
        <v>15.885564474303</v>
      </c>
      <c r="F508" s="19" t="n">
        <f aca="false">0.75*E505+0.25*F505</f>
        <v>17.783431796305</v>
      </c>
      <c r="G508" s="19" t="n">
        <f aca="false">0.75*F505+0.25*G505</f>
        <v>19.2845453530077</v>
      </c>
    </row>
    <row r="509" customFormat="false" ht="17.15" hidden="false" customHeight="false" outlineLevel="0" collapsed="false">
      <c r="A509" s="5" t="s">
        <v>694</v>
      </c>
      <c r="B509" s="0" t="s">
        <v>155</v>
      </c>
      <c r="C509" s="19" t="n">
        <f aca="false">fmk_mem25</f>
        <v>2.2625</v>
      </c>
      <c r="D509" s="19" t="n">
        <f aca="false">0.75*C506+0.25*D506</f>
        <v>2.99427592931103</v>
      </c>
      <c r="E509" s="19" t="n">
        <f aca="false">0.75*D506+0.25*E506</f>
        <v>3.94339221907043</v>
      </c>
      <c r="F509" s="19" t="n">
        <f aca="false">0.75*E506+0.25*F506</f>
        <v>4.78059215568538</v>
      </c>
      <c r="G509" s="19" t="n">
        <f aca="false">0.75*F506+0.25*G506</f>
        <v>5.34559544909335</v>
      </c>
    </row>
    <row r="510" customFormat="false" ht="17.15" hidden="false" customHeight="false" outlineLevel="0" collapsed="false">
      <c r="A510" s="0" t="s">
        <v>695</v>
      </c>
      <c r="B510" s="0" t="s">
        <v>45</v>
      </c>
      <c r="C510" s="10" t="n">
        <f aca="false">a25_soc/(C508*fx)</f>
        <v>0.645552050473186</v>
      </c>
      <c r="D510" s="10" t="n">
        <f aca="false">sh_soc</f>
        <v>0.66</v>
      </c>
      <c r="E510" s="10" t="n">
        <f aca="false">sh_soc</f>
        <v>0.66</v>
      </c>
      <c r="F510" s="10" t="n">
        <f aca="false">sh_soc</f>
        <v>0.66</v>
      </c>
      <c r="G510" s="10" t="n">
        <f aca="false">sh_soc</f>
        <v>0.66</v>
      </c>
      <c r="H510" s="8" t="s">
        <v>696</v>
      </c>
    </row>
    <row r="511" customFormat="false" ht="17.15" hidden="false" customHeight="false" outlineLevel="0" collapsed="false">
      <c r="A511" s="0" t="s">
        <v>697</v>
      </c>
      <c r="B511" s="0" t="s">
        <v>354</v>
      </c>
      <c r="C511" s="16" t="n">
        <f aca="false">a25_soc</f>
        <v>767.4</v>
      </c>
      <c r="D511" s="16" t="n">
        <f aca="false">D508*D510*fx</f>
        <v>1198.25536244542</v>
      </c>
      <c r="E511" s="16" t="n">
        <f aca="false">E508*E510*fx</f>
        <v>1572.670882956</v>
      </c>
      <c r="F511" s="16" t="n">
        <f aca="false">F508*F510*fx</f>
        <v>1760.5597478342</v>
      </c>
      <c r="G511" s="16" t="n">
        <f aca="false">G508*G510*fx</f>
        <v>1909.16998994777</v>
      </c>
      <c r="H511" s="5" t="s">
        <v>698</v>
      </c>
    </row>
    <row r="512" customFormat="false" ht="15" hidden="false" customHeight="false" outlineLevel="0" collapsed="false">
      <c r="A512" s="5" t="s">
        <v>699</v>
      </c>
      <c r="B512" s="0" t="s">
        <v>354</v>
      </c>
      <c r="C512" s="16" t="n">
        <f aca="false">a25_mem</f>
        <v>171.5</v>
      </c>
      <c r="D512" s="16" t="n">
        <f aca="false">D509*sh_mem*fx</f>
        <v>226.969424033963</v>
      </c>
      <c r="E512" s="16" t="n">
        <f aca="false">E509*sh_mem*fx</f>
        <v>298.913487545007</v>
      </c>
      <c r="F512" s="16" t="n">
        <f aca="false">F509*sh_mem*fx</f>
        <v>362.374167823223</v>
      </c>
      <c r="G512" s="16" t="n">
        <f aca="false">G509*sh_mem*fx</f>
        <v>405.202041776578</v>
      </c>
    </row>
    <row r="513" customFormat="false" ht="15" hidden="false" customHeight="false" outlineLevel="0" collapsed="false">
      <c r="A513" s="5" t="s">
        <v>700</v>
      </c>
      <c r="B513" s="0" t="s">
        <v>354</v>
      </c>
      <c r="C513" s="16" t="n">
        <f aca="false">a25_oth</f>
        <v>80.5</v>
      </c>
      <c r="D513" s="16" t="n">
        <f aca="false">C513*(1+g_oth_26)</f>
        <v>104</v>
      </c>
      <c r="E513" s="16" t="n">
        <f aca="false">D513*(1+g_oth_A)</f>
        <v>119.6</v>
      </c>
      <c r="F513" s="16" t="n">
        <f aca="false">E513*(1+g_oth_A)</f>
        <v>137.54</v>
      </c>
      <c r="G513" s="16" t="n">
        <f aca="false">F513*(1+g_oth_A)</f>
        <v>158.171</v>
      </c>
    </row>
    <row r="514" customFormat="false" ht="15" hidden="false" customHeight="false" outlineLevel="0" collapsed="false">
      <c r="A514" s="5" t="s">
        <v>701</v>
      </c>
      <c r="B514" s="0" t="s">
        <v>354</v>
      </c>
      <c r="C514" s="16" t="n">
        <f aca="false">a25_svc</f>
        <v>109.2</v>
      </c>
      <c r="D514" s="16" t="n">
        <f aca="false">C514*(1+g_svc_26)</f>
        <v>135.6</v>
      </c>
      <c r="E514" s="16" t="n">
        <f aca="false">D514*(1+g_svc_A)</f>
        <v>151.872</v>
      </c>
      <c r="F514" s="16" t="n">
        <f aca="false">E514*(1+g_svc_A)</f>
        <v>170.09664</v>
      </c>
      <c r="G514" s="16" t="n">
        <f aca="false">F514*(1+g_svc_A)</f>
        <v>190.5082368</v>
      </c>
    </row>
    <row r="515" customFormat="false" ht="17.15" hidden="false" customHeight="false" outlineLevel="0" collapsed="false">
      <c r="A515" s="5" t="s">
        <v>702</v>
      </c>
      <c r="B515" s="0" t="s">
        <v>354</v>
      </c>
      <c r="C515" s="16" t="n">
        <f aca="false">C511+C512+C513</f>
        <v>1019.4</v>
      </c>
      <c r="D515" s="16" t="n">
        <f aca="false">D511+D512+D513</f>
        <v>1529.22478647938</v>
      </c>
      <c r="E515" s="16" t="n">
        <f aca="false">E511+E512+E513</f>
        <v>1991.184370501</v>
      </c>
      <c r="F515" s="16" t="n">
        <f aca="false">F511+F512+F513</f>
        <v>2260.47391565742</v>
      </c>
      <c r="G515" s="16" t="n">
        <f aca="false">G511+G512+G513</f>
        <v>2472.54303172434</v>
      </c>
      <c r="H515" s="5" t="s">
        <v>703</v>
      </c>
    </row>
    <row r="516" customFormat="false" ht="15" hidden="false" customHeight="false" outlineLevel="0" collapsed="false">
      <c r="A516" s="5" t="s">
        <v>566</v>
      </c>
      <c r="B516" s="0" t="s">
        <v>354</v>
      </c>
      <c r="C516" s="16" t="n">
        <f aca="false">C515+C514</f>
        <v>1128.6</v>
      </c>
      <c r="D516" s="16" t="n">
        <f aca="false">D515+D514</f>
        <v>1664.82478647938</v>
      </c>
      <c r="E516" s="16" t="n">
        <f aca="false">E515+E514</f>
        <v>2143.056370501</v>
      </c>
      <c r="F516" s="16" t="n">
        <f aca="false">F515+F514</f>
        <v>2430.57055565742</v>
      </c>
      <c r="G516" s="16" t="n">
        <f aca="false">G515+G514</f>
        <v>2663.05126852434</v>
      </c>
    </row>
    <row r="517" customFormat="false" ht="17.15" hidden="false" customHeight="false" outlineLevel="0" collapsed="false">
      <c r="A517" s="5" t="s">
        <v>704</v>
      </c>
      <c r="B517" s="0" t="s">
        <v>354</v>
      </c>
      <c r="C517" s="17" t="n">
        <f aca="false">C515+C514-a25_rev</f>
        <v>0</v>
      </c>
    </row>
    <row r="518" customFormat="false" ht="17.15" hidden="false" customHeight="false" outlineLevel="0" collapsed="false">
      <c r="A518" s="0" t="s">
        <v>705</v>
      </c>
      <c r="B518" s="0" t="s">
        <v>45</v>
      </c>
      <c r="C518" s="10" t="n">
        <f aca="false">C511/C516</f>
        <v>0.679957469431154</v>
      </c>
      <c r="D518" s="10" t="n">
        <f aca="false">D511/D516</f>
        <v>0.71974863191422</v>
      </c>
      <c r="E518" s="10" t="n">
        <f aca="false">E511/E516</f>
        <v>0.733844851028505</v>
      </c>
      <c r="F518" s="10" t="n">
        <f aca="false">F511/F516</f>
        <v>0.724340111722451</v>
      </c>
      <c r="G518" s="10" t="n">
        <f aca="false">G511/G516</f>
        <v>0.716910715356103</v>
      </c>
    </row>
    <row r="519" customFormat="false" ht="17.15" hidden="false" customHeight="false" outlineLevel="0" collapsed="false">
      <c r="A519" s="5" t="s">
        <v>570</v>
      </c>
      <c r="B519" s="0" t="s">
        <v>45</v>
      </c>
      <c r="C519" s="10" t="n">
        <f aca="false">a25_gp/a25_rev</f>
        <v>0.643</v>
      </c>
      <c r="D519" s="10" t="n">
        <f aca="false">gm_a+gm_b*D518+0</f>
        <v>0.662223439551746</v>
      </c>
      <c r="E519" s="10" t="n">
        <f aca="false">gm_a+gm_b*E518+0</f>
        <v>0.669033439540234</v>
      </c>
      <c r="F519" s="10" t="n">
        <f aca="false">gm_a+gm_b*F518+0</f>
        <v>0.66444162140517</v>
      </c>
      <c r="G519" s="10" t="n">
        <f aca="false">gm_a+gm_b*G518+0</f>
        <v>0.660852418601276</v>
      </c>
      <c r="H519" s="5" t="s">
        <v>706</v>
      </c>
    </row>
    <row r="520" customFormat="false" ht="15" hidden="false" customHeight="false" outlineLevel="0" collapsed="false">
      <c r="A520" s="5" t="s">
        <v>574</v>
      </c>
      <c r="B520" s="0" t="s">
        <v>354</v>
      </c>
      <c r="C520" s="16" t="n">
        <f aca="false">C516*C519</f>
        <v>725.6898</v>
      </c>
      <c r="D520" s="16" t="n">
        <f aca="false">D516*D519</f>
        <v>1102.48599635337</v>
      </c>
      <c r="E520" s="16" t="n">
        <f aca="false">E516*E519</f>
        <v>1433.7763746849</v>
      </c>
      <c r="F520" s="16" t="n">
        <f aca="false">F516*F519</f>
        <v>1614.97224094068</v>
      </c>
      <c r="G520" s="16" t="n">
        <f aca="false">G516*G519</f>
        <v>1759.88387166351</v>
      </c>
    </row>
    <row r="521" customFormat="false" ht="17.15" hidden="false" customHeight="false" outlineLevel="0" collapsed="false">
      <c r="A521" s="5" t="s">
        <v>707</v>
      </c>
      <c r="B521" s="0" t="s">
        <v>354</v>
      </c>
      <c r="C521" s="16" t="n">
        <f aca="false">opex25</f>
        <v>226.5898</v>
      </c>
      <c r="D521" s="16" t="n">
        <f aca="false">opex_fix+opex_var*D516</f>
        <v>288.163317922961</v>
      </c>
      <c r="E521" s="16" t="n">
        <f aca="false">opex_fix+opex_var*E516</f>
        <v>343.077603410235</v>
      </c>
      <c r="F521" s="16" t="n">
        <f aca="false">opex_fix+opex_var*F516</f>
        <v>376.092227648451</v>
      </c>
      <c r="G521" s="16" t="n">
        <f aca="false">opex_fix+opex_var*G516</f>
        <v>402.787478784524</v>
      </c>
      <c r="H521" s="5" t="s">
        <v>708</v>
      </c>
    </row>
    <row r="522" customFormat="false" ht="15" hidden="false" customHeight="false" outlineLevel="0" collapsed="false">
      <c r="A522" s="5" t="s">
        <v>577</v>
      </c>
      <c r="B522" s="0" t="s">
        <v>354</v>
      </c>
      <c r="C522" s="16" t="n">
        <f aca="false">C520-C521</f>
        <v>499.1</v>
      </c>
      <c r="D522" s="16" t="n">
        <f aca="false">D520-D521</f>
        <v>814.322678430414</v>
      </c>
      <c r="E522" s="16" t="n">
        <f aca="false">E520-E521</f>
        <v>1090.69877127466</v>
      </c>
      <c r="F522" s="16" t="n">
        <f aca="false">F520-F521</f>
        <v>1238.88001329223</v>
      </c>
      <c r="G522" s="16" t="n">
        <f aca="false">G520-G521</f>
        <v>1357.09639287898</v>
      </c>
    </row>
    <row r="523" customFormat="false" ht="15" hidden="false" customHeight="false" outlineLevel="0" collapsed="false">
      <c r="A523" s="5" t="s">
        <v>580</v>
      </c>
      <c r="B523" s="0" t="s">
        <v>45</v>
      </c>
      <c r="C523" s="10" t="n">
        <f aca="false">C522/C516</f>
        <v>0.442229310650363</v>
      </c>
      <c r="D523" s="10" t="n">
        <f aca="false">D522/D516</f>
        <v>0.489134162972471</v>
      </c>
      <c r="E523" s="10" t="n">
        <f aca="false">E522/E516</f>
        <v>0.508945441794272</v>
      </c>
      <c r="F523" s="10" t="n">
        <f aca="false">F522/F516</f>
        <v>0.509707488395514</v>
      </c>
      <c r="G523" s="10" t="n">
        <f aca="false">G522/G516</f>
        <v>0.509602052697612</v>
      </c>
    </row>
    <row r="524" customFormat="false" ht="15" hidden="false" customHeight="false" outlineLevel="0" collapsed="false">
      <c r="A524" s="5" t="s">
        <v>600</v>
      </c>
      <c r="B524" s="0" t="s">
        <v>354</v>
      </c>
      <c r="C524" s="16" t="n">
        <f aca="false">a25_ni</f>
        <v>375.4</v>
      </c>
      <c r="D524" s="16" t="n">
        <f aca="false">D522*nioi</f>
        <v>612.495959693002</v>
      </c>
      <c r="E524" s="16" t="n">
        <f aca="false">E522*nioi</f>
        <v>820.37330942999</v>
      </c>
      <c r="F524" s="16" t="n">
        <f aca="false">F522*nioi</f>
        <v>931.828405109003</v>
      </c>
      <c r="G524" s="16" t="n">
        <f aca="false">G522*nioi</f>
        <v>1020.74531333755</v>
      </c>
    </row>
    <row r="525" customFormat="false" ht="15" hidden="false" customHeight="false" outlineLevel="0" collapsed="false">
      <c r="A525" s="0" t="s">
        <v>670</v>
      </c>
      <c r="B525" s="0" t="s">
        <v>403</v>
      </c>
      <c r="C525" s="16" t="n">
        <f aca="false">a25_eps</f>
        <v>515.15</v>
      </c>
      <c r="D525" s="16" t="n">
        <f aca="false">D524*1000/shares</f>
        <v>846.023964688679</v>
      </c>
      <c r="E525" s="16" t="n">
        <f aca="false">E524*1000/shares</f>
        <v>1133.15927849811</v>
      </c>
      <c r="F525" s="16" t="n">
        <f aca="false">F524*1000/shares</f>
        <v>1287.10916247511</v>
      </c>
      <c r="G525" s="16" t="n">
        <f aca="false">G524*1000/shares</f>
        <v>1409.92766280461</v>
      </c>
    </row>
    <row r="526" customFormat="false" ht="17.15" hidden="false" customHeight="false" outlineLevel="0" collapsed="false">
      <c r="A526" s="5" t="s">
        <v>709</v>
      </c>
      <c r="B526" s="0" t="s">
        <v>155</v>
      </c>
      <c r="C526" s="17" t="n">
        <f aca="false">C516/fx</f>
        <v>7.524</v>
      </c>
      <c r="D526" s="17" t="n">
        <f aca="false">D516/fx</f>
        <v>11.0988319098625</v>
      </c>
      <c r="E526" s="17" t="n">
        <f aca="false">E516/fx</f>
        <v>14.2870424700067</v>
      </c>
      <c r="F526" s="17" t="n">
        <f aca="false">F516/fx</f>
        <v>16.2038037043828</v>
      </c>
      <c r="G526" s="17" t="n">
        <f aca="false">G516/fx</f>
        <v>17.7536751234956</v>
      </c>
      <c r="H526" s="8" t="s">
        <v>710</v>
      </c>
    </row>
    <row r="530" customFormat="false" ht="17.15" hidden="false" customHeight="false" outlineLevel="0" collapsed="false">
      <c r="A530" s="4" t="s">
        <v>1086</v>
      </c>
    </row>
    <row r="531" customFormat="false" ht="17.15" hidden="false" customHeight="false" outlineLevel="0" collapsed="false">
      <c r="A531" s="6" t="s">
        <v>23</v>
      </c>
      <c r="B531" s="6" t="s">
        <v>24</v>
      </c>
      <c r="C531" s="14" t="s">
        <v>675</v>
      </c>
      <c r="D531" s="14" t="s">
        <v>676</v>
      </c>
      <c r="E531" s="14" t="s">
        <v>677</v>
      </c>
      <c r="F531" s="14" t="s">
        <v>678</v>
      </c>
      <c r="G531" s="14" t="s">
        <v>679</v>
      </c>
      <c r="H531" s="6" t="s">
        <v>478</v>
      </c>
    </row>
    <row r="532" customFormat="false" ht="17.15" hidden="false" customHeight="false" outlineLevel="0" collapsed="false">
      <c r="A532" s="1" t="s">
        <v>680</v>
      </c>
    </row>
    <row r="533" customFormat="false" ht="17.15" hidden="false" customHeight="false" outlineLevel="0" collapsed="false">
      <c r="A533" s="5" t="s">
        <v>681</v>
      </c>
      <c r="B533" s="5" t="s">
        <v>34</v>
      </c>
      <c r="C533" s="19" t="n">
        <f aca="false">u_bw_26*tt_bw+u_rb_26*tt_rb+u_ru_26*tt_ru+u_hp_26*tt_hp+u_amd_26*tt_amd+u_tpu_26*tt_tpu+u_trn_26*tt_trn+u_oth_26*tt_oth</f>
        <v>14.885</v>
      </c>
      <c r="D533" s="19" t="n">
        <f aca="false">u_bw_27*tt_bw+u_rb_27*tt_rb+u_ru_27*tt_ru+u_hp_27*tt_hp+u_amd_27*tt_amd+u_tpu_27*tt_tpu+u_trn_27*tt_trn+u_oth_27*tt_oth</f>
        <v>24.31</v>
      </c>
      <c r="E533" s="19" t="n">
        <f aca="false">u_bw_28*um28_A*tt_bw+u_rb_28*um28_A*tt_rb+u_ru_28*um28_A*tt_ru+u_hp_28*um28_A*tt_hp+u_amd_28*um28_A*tt_amd+u_tpu_28*um28_A*tt_tpu+u_trn_28*um28_A*tt_trn+u_oth_28*um28_A*tt_oth</f>
        <v>28.1</v>
      </c>
      <c r="F53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9" t="n">
        <f aca="false">F533*(1+cy30g)</f>
        <v>31.99</v>
      </c>
      <c r="H533" s="8" t="s">
        <v>682</v>
      </c>
    </row>
    <row r="534" customFormat="false" ht="17.15" hidden="false" customHeight="false" outlineLevel="0" collapsed="false">
      <c r="A534" s="5" t="s">
        <v>683</v>
      </c>
      <c r="B534" s="0" t="s">
        <v>684</v>
      </c>
      <c r="C534" s="21" t="n">
        <f aca="false">(mk_soc26-nonai26)/C533</f>
        <v>0.450117568021498</v>
      </c>
      <c r="H534" s="5" t="s">
        <v>685</v>
      </c>
    </row>
    <row r="535" customFormat="false" ht="17.15" hidden="false" customHeight="false" outlineLevel="0" collapsed="false">
      <c r="A535" s="0" t="s">
        <v>686</v>
      </c>
      <c r="B535" s="0" t="s">
        <v>155</v>
      </c>
      <c r="C535" s="19" t="n">
        <f aca="false">$C$534*C533*(1-0)^0</f>
        <v>6.7</v>
      </c>
      <c r="D535" s="19" t="n">
        <f aca="false">$C$534*D533*(1-0)^1</f>
        <v>10.9423580786026</v>
      </c>
      <c r="E535" s="19" t="n">
        <f aca="false">$C$534*E533*(1-0)^2</f>
        <v>12.6483036614041</v>
      </c>
      <c r="F535" s="19" t="n">
        <f aca="false">$C$534*F533*(1-0)^3</f>
        <v>14.3992610010077</v>
      </c>
      <c r="G535" s="19" t="n">
        <f aca="false">$C$534*G533*(1-0)^4</f>
        <v>14.3992610010077</v>
      </c>
    </row>
    <row r="536" customFormat="false" ht="17.15" hidden="false" customHeight="false" outlineLevel="0" collapsed="false">
      <c r="A536" s="5" t="s">
        <v>687</v>
      </c>
      <c r="B536" s="0" t="s">
        <v>155</v>
      </c>
      <c r="C536" s="19" t="n">
        <f aca="false">nonai26*(1+g_nonai)^0</f>
        <v>4.3</v>
      </c>
      <c r="D536" s="19" t="n">
        <f aca="false">nonai26*(1+g_nonai)^1</f>
        <v>4.472</v>
      </c>
      <c r="E536" s="19" t="n">
        <f aca="false">nonai26*(1+g_nonai)^2</f>
        <v>4.65088</v>
      </c>
      <c r="F536" s="19" t="n">
        <f aca="false">nonai26*(1+g_nonai)^3</f>
        <v>4.8369152</v>
      </c>
      <c r="G536" s="19" t="n">
        <f aca="false">nonai26*(1+g_nonai)^4</f>
        <v>5.030391808</v>
      </c>
    </row>
    <row r="537" customFormat="false" ht="17.15" hidden="false" customHeight="false" outlineLevel="0" collapsed="false">
      <c r="A537" s="0" t="s">
        <v>688</v>
      </c>
      <c r="B537" s="0" t="s">
        <v>155</v>
      </c>
      <c r="C537" s="19" t="n">
        <f aca="false">C535+C536</f>
        <v>11</v>
      </c>
      <c r="D537" s="19" t="n">
        <f aca="false">D535+D536</f>
        <v>15.4143580786026</v>
      </c>
      <c r="E537" s="19" t="n">
        <f aca="false">E535+E536</f>
        <v>17.2991836614041</v>
      </c>
      <c r="F537" s="19" t="n">
        <f aca="false">F535+F536</f>
        <v>19.2361762010077</v>
      </c>
      <c r="G537" s="19" t="n">
        <f aca="false">G535+G536</f>
        <v>19.4296528090077</v>
      </c>
      <c r="H537" s="8" t="s">
        <v>689</v>
      </c>
    </row>
    <row r="538" customFormat="false" ht="17.15" hidden="false" customHeight="false" outlineLevel="0" collapsed="false">
      <c r="A538" s="5" t="s">
        <v>690</v>
      </c>
      <c r="B538" s="0" t="s">
        <v>155</v>
      </c>
      <c r="C538" s="19" t="n">
        <f aca="false">mk_mem26*(w_hbm_hi*hsA_26/hsA_26+(1-w_hbm_hi)*drA_26/drA_26)</f>
        <v>2.75</v>
      </c>
      <c r="D538" s="19" t="n">
        <f aca="false">mk_mem26*(w_hbm_hi*hsA_27/hsA_26+(1-w_hbm_hi)*drA_27/drA_26)</f>
        <v>4.03304445024748</v>
      </c>
      <c r="E538" s="19" t="n">
        <f aca="false">mk_mem26*(w_hbm_hi*hsA_28/hsA_26+(1-w_hbm_hi)*drA_28/drA_26)</f>
        <v>5.49989616766403</v>
      </c>
      <c r="F538" s="19" t="n">
        <f aca="false">mk_mem26*(w_hbm_hi*hsA_29/hsA_26+(1-w_hbm_hi)*drA_29/drA_26)</f>
        <v>7.05888019246858</v>
      </c>
      <c r="G538" s="19" t="n">
        <f aca="false">F538*(1+cy30g)</f>
        <v>7.05888019246858</v>
      </c>
      <c r="H538" s="8" t="s">
        <v>691</v>
      </c>
    </row>
    <row r="539" customFormat="false" ht="17.15" hidden="false" customHeight="false" outlineLevel="0" collapsed="false">
      <c r="A539" s="1" t="s">
        <v>692</v>
      </c>
    </row>
    <row r="540" customFormat="false" ht="17.15" hidden="false" customHeight="false" outlineLevel="0" collapsed="false">
      <c r="A540" s="0" t="s">
        <v>693</v>
      </c>
      <c r="B540" s="0" t="s">
        <v>155</v>
      </c>
      <c r="C540" s="19" t="n">
        <f aca="false">fmk_soc25</f>
        <v>7.925</v>
      </c>
      <c r="D540" s="19" t="n">
        <f aca="false">0.75*C537+0.25*D537</f>
        <v>12.1035895196507</v>
      </c>
      <c r="E540" s="19" t="n">
        <f aca="false">0.75*D537+0.25*E537</f>
        <v>15.885564474303</v>
      </c>
      <c r="F540" s="19" t="n">
        <f aca="false">0.75*E537+0.25*F537</f>
        <v>17.783431796305</v>
      </c>
      <c r="G540" s="19" t="n">
        <f aca="false">0.75*F537+0.25*G537</f>
        <v>19.2845453530077</v>
      </c>
    </row>
    <row r="541" customFormat="false" ht="17.15" hidden="false" customHeight="false" outlineLevel="0" collapsed="false">
      <c r="A541" s="5" t="s">
        <v>694</v>
      </c>
      <c r="B541" s="0" t="s">
        <v>155</v>
      </c>
      <c r="C541" s="19" t="n">
        <f aca="false">fmk_mem25</f>
        <v>2.2625</v>
      </c>
      <c r="D541" s="19" t="n">
        <f aca="false">0.75*C538+0.25*D538</f>
        <v>3.07076111256187</v>
      </c>
      <c r="E541" s="19" t="n">
        <f aca="false">0.75*D538+0.25*E538</f>
        <v>4.39975737960161</v>
      </c>
      <c r="F541" s="19" t="n">
        <f aca="false">0.75*E538+0.25*F538</f>
        <v>5.88964217386516</v>
      </c>
      <c r="G541" s="19" t="n">
        <f aca="false">0.75*F538+0.25*G538</f>
        <v>7.05888019246858</v>
      </c>
    </row>
    <row r="542" customFormat="false" ht="17.15" hidden="false" customHeight="false" outlineLevel="0" collapsed="false">
      <c r="A542" s="0" t="s">
        <v>695</v>
      </c>
      <c r="B542" s="0" t="s">
        <v>45</v>
      </c>
      <c r="C542" s="10" t="n">
        <f aca="false">a25_soc/(C540*fx)</f>
        <v>0.645552050473186</v>
      </c>
      <c r="D542" s="10" t="n">
        <f aca="false">sh_soc</f>
        <v>0.66</v>
      </c>
      <c r="E542" s="10" t="n">
        <f aca="false">sh_soc</f>
        <v>0.66</v>
      </c>
      <c r="F542" s="10" t="n">
        <f aca="false">sh_soc</f>
        <v>0.66</v>
      </c>
      <c r="G542" s="10" t="n">
        <f aca="false">sh_soc</f>
        <v>0.66</v>
      </c>
      <c r="H542" s="8" t="s">
        <v>696</v>
      </c>
    </row>
    <row r="543" customFormat="false" ht="17.15" hidden="false" customHeight="false" outlineLevel="0" collapsed="false">
      <c r="A543" s="0" t="s">
        <v>697</v>
      </c>
      <c r="B543" s="0" t="s">
        <v>354</v>
      </c>
      <c r="C543" s="16" t="n">
        <f aca="false">a25_soc</f>
        <v>767.4</v>
      </c>
      <c r="D543" s="16" t="n">
        <f aca="false">D540*D542*fx</f>
        <v>1198.25536244542</v>
      </c>
      <c r="E543" s="16" t="n">
        <f aca="false">E540*E542*fx</f>
        <v>1572.670882956</v>
      </c>
      <c r="F543" s="16" t="n">
        <f aca="false">F540*F542*fx</f>
        <v>1760.5597478342</v>
      </c>
      <c r="G543" s="16" t="n">
        <f aca="false">G540*G542*fx</f>
        <v>1909.16998994777</v>
      </c>
      <c r="H543" s="5" t="s">
        <v>698</v>
      </c>
    </row>
    <row r="544" customFormat="false" ht="15" hidden="false" customHeight="false" outlineLevel="0" collapsed="false">
      <c r="A544" s="5" t="s">
        <v>699</v>
      </c>
      <c r="B544" s="0" t="s">
        <v>354</v>
      </c>
      <c r="C544" s="16" t="n">
        <f aca="false">a25_mem</f>
        <v>171.5</v>
      </c>
      <c r="D544" s="16" t="n">
        <f aca="false">D541*sh_mem*fx</f>
        <v>232.767085438391</v>
      </c>
      <c r="E544" s="16" t="n">
        <f aca="false">E541*sh_mem*fx</f>
        <v>333.506470984166</v>
      </c>
      <c r="F544" s="16" t="n">
        <f aca="false">F541*sh_mem*fx</f>
        <v>446.441384670884</v>
      </c>
      <c r="G544" s="16" t="n">
        <f aca="false">G541*sh_mem*fx</f>
        <v>535.070918456734</v>
      </c>
    </row>
    <row r="545" customFormat="false" ht="15" hidden="false" customHeight="false" outlineLevel="0" collapsed="false">
      <c r="A545" s="5" t="s">
        <v>700</v>
      </c>
      <c r="B545" s="0" t="s">
        <v>354</v>
      </c>
      <c r="C545" s="16" t="n">
        <f aca="false">a25_oth</f>
        <v>80.5</v>
      </c>
      <c r="D545" s="16" t="n">
        <f aca="false">C545*(1+g_oth_26)</f>
        <v>104</v>
      </c>
      <c r="E545" s="16" t="n">
        <f aca="false">D545*(1+g_oth_A)</f>
        <v>119.6</v>
      </c>
      <c r="F545" s="16" t="n">
        <f aca="false">E545*(1+g_oth_A)</f>
        <v>137.54</v>
      </c>
      <c r="G545" s="16" t="n">
        <f aca="false">F545*(1+g_oth_A)</f>
        <v>158.171</v>
      </c>
    </row>
    <row r="546" customFormat="false" ht="15" hidden="false" customHeight="false" outlineLevel="0" collapsed="false">
      <c r="A546" s="5" t="s">
        <v>701</v>
      </c>
      <c r="B546" s="0" t="s">
        <v>354</v>
      </c>
      <c r="C546" s="16" t="n">
        <f aca="false">a25_svc</f>
        <v>109.2</v>
      </c>
      <c r="D546" s="16" t="n">
        <f aca="false">C546*(1+g_svc_26)</f>
        <v>135.6</v>
      </c>
      <c r="E546" s="16" t="n">
        <f aca="false">D546*(1+g_svc_A)</f>
        <v>151.872</v>
      </c>
      <c r="F546" s="16" t="n">
        <f aca="false">E546*(1+g_svc_A)</f>
        <v>170.09664</v>
      </c>
      <c r="G546" s="16" t="n">
        <f aca="false">F546*(1+g_svc_A)</f>
        <v>190.5082368</v>
      </c>
    </row>
    <row r="547" customFormat="false" ht="17.15" hidden="false" customHeight="false" outlineLevel="0" collapsed="false">
      <c r="A547" s="5" t="s">
        <v>702</v>
      </c>
      <c r="B547" s="0" t="s">
        <v>354</v>
      </c>
      <c r="C547" s="16" t="n">
        <f aca="false">C543+C544+C545</f>
        <v>1019.4</v>
      </c>
      <c r="D547" s="16" t="n">
        <f aca="false">D543+D544+D545</f>
        <v>1535.02244788381</v>
      </c>
      <c r="E547" s="16" t="n">
        <f aca="false">E543+E544+E545</f>
        <v>2025.77735394016</v>
      </c>
      <c r="F547" s="16" t="n">
        <f aca="false">F543+F544+F545</f>
        <v>2344.54113250508</v>
      </c>
      <c r="G547" s="16" t="n">
        <f aca="false">G543+G544+G545</f>
        <v>2602.4119084045</v>
      </c>
      <c r="H547" s="5" t="s">
        <v>703</v>
      </c>
    </row>
    <row r="548" customFormat="false" ht="15" hidden="false" customHeight="false" outlineLevel="0" collapsed="false">
      <c r="A548" s="5" t="s">
        <v>566</v>
      </c>
      <c r="B548" s="0" t="s">
        <v>354</v>
      </c>
      <c r="C548" s="16" t="n">
        <f aca="false">C547+C546</f>
        <v>1128.6</v>
      </c>
      <c r="D548" s="16" t="n">
        <f aca="false">D547+D546</f>
        <v>1670.62244788381</v>
      </c>
      <c r="E548" s="16" t="n">
        <f aca="false">E547+E546</f>
        <v>2177.64935394016</v>
      </c>
      <c r="F548" s="16" t="n">
        <f aca="false">F547+F546</f>
        <v>2514.63777250508</v>
      </c>
      <c r="G548" s="16" t="n">
        <f aca="false">G547+G546</f>
        <v>2792.9201452045</v>
      </c>
    </row>
    <row r="549" customFormat="false" ht="17.15" hidden="false" customHeight="false" outlineLevel="0" collapsed="false">
      <c r="A549" s="5" t="s">
        <v>704</v>
      </c>
      <c r="B549" s="0" t="s">
        <v>354</v>
      </c>
      <c r="C549" s="17" t="n">
        <f aca="false">C547+C546-a25_rev</f>
        <v>0</v>
      </c>
    </row>
    <row r="550" customFormat="false" ht="17.15" hidden="false" customHeight="false" outlineLevel="0" collapsed="false">
      <c r="A550" s="0" t="s">
        <v>705</v>
      </c>
      <c r="B550" s="0" t="s">
        <v>45</v>
      </c>
      <c r="C550" s="10" t="n">
        <f aca="false">C543/C548</f>
        <v>0.679957469431154</v>
      </c>
      <c r="D550" s="10" t="n">
        <f aca="false">D543/D548</f>
        <v>0.717250845014837</v>
      </c>
      <c r="E550" s="10" t="n">
        <f aca="false">E543/E548</f>
        <v>0.722187380677454</v>
      </c>
      <c r="F550" s="10" t="n">
        <f aca="false">F543/F548</f>
        <v>0.700124593324759</v>
      </c>
      <c r="G550" s="10" t="n">
        <f aca="false">G543/G548</f>
        <v>0.683574857385683</v>
      </c>
    </row>
    <row r="551" customFormat="false" ht="17.15" hidden="false" customHeight="false" outlineLevel="0" collapsed="false">
      <c r="A551" s="5" t="s">
        <v>570</v>
      </c>
      <c r="B551" s="0" t="s">
        <v>45</v>
      </c>
      <c r="C551" s="10" t="n">
        <f aca="false">a25_gp/a25_rev</f>
        <v>0.643</v>
      </c>
      <c r="D551" s="10" t="n">
        <f aca="false">gm_a+gm_b*D550+0</f>
        <v>0.661016738051284</v>
      </c>
      <c r="E551" s="10" t="n">
        <f aca="false">gm_a+gm_b*E550+0</f>
        <v>0.663401619240562</v>
      </c>
      <c r="F551" s="10" t="n">
        <f aca="false">gm_a+gm_b*F550+0</f>
        <v>0.65274290427595</v>
      </c>
      <c r="G551" s="10" t="n">
        <f aca="false">gm_a+gm_b*G550+0</f>
        <v>0.644747590026019</v>
      </c>
      <c r="H551" s="5" t="s">
        <v>706</v>
      </c>
    </row>
    <row r="552" customFormat="false" ht="15" hidden="false" customHeight="false" outlineLevel="0" collapsed="false">
      <c r="A552" s="5" t="s">
        <v>574</v>
      </c>
      <c r="B552" s="0" t="s">
        <v>354</v>
      </c>
      <c r="C552" s="16" t="n">
        <f aca="false">C548*C551</f>
        <v>725.6898</v>
      </c>
      <c r="D552" s="16" t="n">
        <f aca="false">D548*D551</f>
        <v>1104.30940101541</v>
      </c>
      <c r="E552" s="16" t="n">
        <f aca="false">E548*E551</f>
        <v>1444.65610754207</v>
      </c>
      <c r="F552" s="16" t="n">
        <f aca="false">F548*F551</f>
        <v>1641.41196282697</v>
      </c>
      <c r="G552" s="16" t="n">
        <f aca="false">G548*G551</f>
        <v>1800.72853275572</v>
      </c>
    </row>
    <row r="553" customFormat="false" ht="17.15" hidden="false" customHeight="false" outlineLevel="0" collapsed="false">
      <c r="A553" s="5" t="s">
        <v>707</v>
      </c>
      <c r="B553" s="0" t="s">
        <v>354</v>
      </c>
      <c r="C553" s="16" t="n">
        <f aca="false">opex25</f>
        <v>226.5898</v>
      </c>
      <c r="D553" s="16" t="n">
        <f aca="false">opex_fix+opex_var*D548</f>
        <v>288.82905068541</v>
      </c>
      <c r="E553" s="16" t="n">
        <f aca="false">opex_fix+opex_var*E548</f>
        <v>347.049839941457</v>
      </c>
      <c r="F553" s="16" t="n">
        <f aca="false">opex_fix+opex_var*F548</f>
        <v>385.745482055597</v>
      </c>
      <c r="G553" s="16" t="n">
        <f aca="false">opex_fix+opex_var*G548</f>
        <v>417.700037486634</v>
      </c>
      <c r="H553" s="5" t="s">
        <v>708</v>
      </c>
    </row>
    <row r="554" customFormat="false" ht="15" hidden="false" customHeight="false" outlineLevel="0" collapsed="false">
      <c r="A554" s="5" t="s">
        <v>577</v>
      </c>
      <c r="B554" s="0" t="s">
        <v>354</v>
      </c>
      <c r="C554" s="16" t="n">
        <f aca="false">C552-C553</f>
        <v>499.1</v>
      </c>
      <c r="D554" s="16" t="n">
        <f aca="false">D552-D553</f>
        <v>815.480350329995</v>
      </c>
      <c r="E554" s="16" t="n">
        <f aca="false">E552-E553</f>
        <v>1097.60626760061</v>
      </c>
      <c r="F554" s="16" t="n">
        <f aca="false">F552-F553</f>
        <v>1255.66648077137</v>
      </c>
      <c r="G554" s="16" t="n">
        <f aca="false">G552-G553</f>
        <v>1383.02849526909</v>
      </c>
    </row>
    <row r="555" customFormat="false" ht="15" hidden="false" customHeight="false" outlineLevel="0" collapsed="false">
      <c r="A555" s="5" t="s">
        <v>580</v>
      </c>
      <c r="B555" s="0" t="s">
        <v>45</v>
      </c>
      <c r="C555" s="10" t="n">
        <f aca="false">C554/C548</f>
        <v>0.442229310650363</v>
      </c>
      <c r="D555" s="10" t="n">
        <f aca="false">D554/D548</f>
        <v>0.488129649738019</v>
      </c>
      <c r="E555" s="10" t="n">
        <f aca="false">E554/E548</f>
        <v>0.504032600847625</v>
      </c>
      <c r="F555" s="10" t="n">
        <f aca="false">F554/F548</f>
        <v>0.499342885285812</v>
      </c>
      <c r="G555" s="10" t="n">
        <f aca="false">G554/G548</f>
        <v>0.495190848060505</v>
      </c>
    </row>
    <row r="556" customFormat="false" ht="15" hidden="false" customHeight="false" outlineLevel="0" collapsed="false">
      <c r="A556" s="5" t="s">
        <v>600</v>
      </c>
      <c r="B556" s="0" t="s">
        <v>354</v>
      </c>
      <c r="C556" s="16" t="n">
        <f aca="false">a25_ni</f>
        <v>375.4</v>
      </c>
      <c r="D556" s="16" t="n">
        <f aca="false">D554*nioi</f>
        <v>613.366707100541</v>
      </c>
      <c r="E556" s="16" t="n">
        <f aca="false">E554*nioi</f>
        <v>825.568809571768</v>
      </c>
      <c r="F556" s="16" t="n">
        <f aca="false">F554*nioi</f>
        <v>944.454411704216</v>
      </c>
      <c r="G556" s="16" t="n">
        <f aca="false">G554*nioi</f>
        <v>1040.25024468847</v>
      </c>
    </row>
    <row r="557" customFormat="false" ht="15" hidden="false" customHeight="false" outlineLevel="0" collapsed="false">
      <c r="A557" s="0" t="s">
        <v>670</v>
      </c>
      <c r="B557" s="0" t="s">
        <v>403</v>
      </c>
      <c r="C557" s="16" t="n">
        <f aca="false">a25_eps</f>
        <v>515.15</v>
      </c>
      <c r="D557" s="16" t="n">
        <f aca="false">D556*1000/shares</f>
        <v>847.226704335056</v>
      </c>
      <c r="E557" s="16" t="n">
        <f aca="false">E556*1000/shares</f>
        <v>1140.33568114849</v>
      </c>
      <c r="F557" s="16" t="n">
        <f aca="false">F556*1000/shares</f>
        <v>1304.54912103944</v>
      </c>
      <c r="G557" s="16" t="n">
        <f aca="false">G556*1000/shares</f>
        <v>1436.86929252696</v>
      </c>
    </row>
    <row r="558" customFormat="false" ht="17.15" hidden="false" customHeight="false" outlineLevel="0" collapsed="false">
      <c r="A558" s="5" t="s">
        <v>709</v>
      </c>
      <c r="B558" s="0" t="s">
        <v>155</v>
      </c>
      <c r="C558" s="17" t="n">
        <f aca="false">C548/fx</f>
        <v>7.524</v>
      </c>
      <c r="D558" s="17" t="n">
        <f aca="false">D548/fx</f>
        <v>11.137482985892</v>
      </c>
      <c r="E558" s="17" t="n">
        <f aca="false">E548/fx</f>
        <v>14.5176623596011</v>
      </c>
      <c r="F558" s="17" t="n">
        <f aca="false">F548/fx</f>
        <v>16.7642518167005</v>
      </c>
      <c r="G558" s="17" t="n">
        <f aca="false">G548/fx</f>
        <v>18.6194676346967</v>
      </c>
      <c r="H558" s="8" t="s">
        <v>710</v>
      </c>
    </row>
    <row r="562" customFormat="false" ht="17.15" hidden="false" customHeight="false" outlineLevel="0" collapsed="false">
      <c r="A562" s="4" t="s">
        <v>1087</v>
      </c>
    </row>
    <row r="563" customFormat="false" ht="17.15" hidden="false" customHeight="false" outlineLevel="0" collapsed="false">
      <c r="A563" s="6" t="s">
        <v>23</v>
      </c>
      <c r="B563" s="6" t="s">
        <v>24</v>
      </c>
      <c r="C563" s="14" t="s">
        <v>675</v>
      </c>
      <c r="D563" s="14" t="s">
        <v>676</v>
      </c>
      <c r="E563" s="14" t="s">
        <v>677</v>
      </c>
      <c r="F563" s="14" t="s">
        <v>678</v>
      </c>
      <c r="G563" s="14" t="s">
        <v>679</v>
      </c>
      <c r="H563" s="6" t="s">
        <v>478</v>
      </c>
    </row>
    <row r="564" customFormat="false" ht="17.15" hidden="false" customHeight="false" outlineLevel="0" collapsed="false">
      <c r="A564" s="1" t="s">
        <v>680</v>
      </c>
    </row>
    <row r="565" customFormat="false" ht="17.15" hidden="false" customHeight="false" outlineLevel="0" collapsed="false">
      <c r="A565" s="5" t="s">
        <v>681</v>
      </c>
      <c r="B565" s="5" t="s">
        <v>34</v>
      </c>
      <c r="C565" s="19" t="n">
        <f aca="false">u_bw_26*tt_bw+u_rb_26*tt_rb+u_ru_26*tt_ru+u_hp_26*tt_hp+u_amd_26*tt_amd+u_tpu_26*tt_tpu+u_trn_26*tt_trn+u_oth_26*tt_oth</f>
        <v>14.885</v>
      </c>
      <c r="D565" s="19" t="n">
        <f aca="false">u_bw_27*tt_bw+u_rb_27*tt_rb+u_ru_27*tt_ru+u_hp_27*tt_hp+u_amd_27*tt_amd+u_tpu_27*tt_tpu+u_trn_27*tt_trn+u_oth_27*tt_oth</f>
        <v>24.31</v>
      </c>
      <c r="E565" s="19" t="n">
        <f aca="false">u_bw_28*um28_A*tt_bw+u_rb_28*um28_A*tt_rb+u_ru_28*um28_A*tt_ru+u_hp_28*um28_A*tt_hp+u_amd_28*um28_A*tt_amd+u_tpu_28*um28_A*tt_tpu+u_trn_28*um28_A*tt_trn+u_oth_28*um28_A*tt_oth</f>
        <v>28.1</v>
      </c>
      <c r="F56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9" t="n">
        <f aca="false">F565*(1+cy30g)</f>
        <v>31.99</v>
      </c>
      <c r="H565" s="8" t="s">
        <v>682</v>
      </c>
    </row>
    <row r="566" customFormat="false" ht="17.15" hidden="false" customHeight="false" outlineLevel="0" collapsed="false">
      <c r="A566" s="5" t="s">
        <v>683</v>
      </c>
      <c r="B566" s="0" t="s">
        <v>684</v>
      </c>
      <c r="C566" s="21" t="n">
        <f aca="false">(mk_soc26-nonai26)/C565</f>
        <v>0.450117568021498</v>
      </c>
      <c r="H566" s="5" t="s">
        <v>685</v>
      </c>
    </row>
    <row r="567" customFormat="false" ht="17.15" hidden="false" customHeight="false" outlineLevel="0" collapsed="false">
      <c r="A567" s="0" t="s">
        <v>686</v>
      </c>
      <c r="B567" s="0" t="s">
        <v>155</v>
      </c>
      <c r="C567" s="19" t="n">
        <f aca="false">$C$566*C565*(1-0)^0</f>
        <v>6.7</v>
      </c>
      <c r="D567" s="19" t="n">
        <f aca="false">$C$566*D565*(1-0)^1</f>
        <v>10.9423580786026</v>
      </c>
      <c r="E567" s="19" t="n">
        <f aca="false">$C$566*E565*(1-0)^2</f>
        <v>12.6483036614041</v>
      </c>
      <c r="F567" s="19" t="n">
        <f aca="false">$C$566*F565*(1-0)^3</f>
        <v>14.3992610010077</v>
      </c>
      <c r="G567" s="19" t="n">
        <f aca="false">$C$566*G565*(1-0)^4</f>
        <v>14.3992610010077</v>
      </c>
    </row>
    <row r="568" customFormat="false" ht="17.15" hidden="false" customHeight="false" outlineLevel="0" collapsed="false">
      <c r="A568" s="5" t="s">
        <v>687</v>
      </c>
      <c r="B568" s="0" t="s">
        <v>155</v>
      </c>
      <c r="C568" s="19" t="n">
        <f aca="false">nonai26*(1+g_nonai)^0</f>
        <v>4.3</v>
      </c>
      <c r="D568" s="19" t="n">
        <f aca="false">nonai26*(1+g_nonai)^1</f>
        <v>4.472</v>
      </c>
      <c r="E568" s="19" t="n">
        <f aca="false">nonai26*(1+g_nonai)^2</f>
        <v>4.65088</v>
      </c>
      <c r="F568" s="19" t="n">
        <f aca="false">nonai26*(1+g_nonai)^3</f>
        <v>4.8369152</v>
      </c>
      <c r="G568" s="19" t="n">
        <f aca="false">nonai26*(1+g_nonai)^4</f>
        <v>5.030391808</v>
      </c>
    </row>
    <row r="569" customFormat="false" ht="17.15" hidden="false" customHeight="false" outlineLevel="0" collapsed="false">
      <c r="A569" s="0" t="s">
        <v>688</v>
      </c>
      <c r="B569" s="0" t="s">
        <v>155</v>
      </c>
      <c r="C569" s="19" t="n">
        <f aca="false">C567+C568</f>
        <v>11</v>
      </c>
      <c r="D569" s="19" t="n">
        <f aca="false">D567+D568</f>
        <v>15.4143580786026</v>
      </c>
      <c r="E569" s="19" t="n">
        <f aca="false">E567+E568</f>
        <v>17.2991836614041</v>
      </c>
      <c r="F569" s="19" t="n">
        <f aca="false">F567+F568</f>
        <v>19.2361762010077</v>
      </c>
      <c r="G569" s="19" t="n">
        <f aca="false">G567+G568</f>
        <v>19.4296528090077</v>
      </c>
      <c r="H569" s="8" t="s">
        <v>689</v>
      </c>
    </row>
    <row r="570" customFormat="false" ht="17.15" hidden="false" customHeight="false" outlineLevel="0" collapsed="false">
      <c r="A570" s="5" t="s">
        <v>690</v>
      </c>
      <c r="B570" s="0" t="s">
        <v>155</v>
      </c>
      <c r="C570" s="19" t="n">
        <f aca="false">mk_mem26*(w_hbm*hsA_26/hsA_26+(1-w_hbm)*drA_26/drA_26)</f>
        <v>2.75</v>
      </c>
      <c r="D570" s="19" t="n">
        <f aca="false">mk_mem26*(w_hbm*hsA_27/hsA_26+(1-w_hbm)*drA_27/drA_26)</f>
        <v>3.88007408374579</v>
      </c>
      <c r="E570" s="19" t="n">
        <f aca="false">mk_mem26*(w_hbm*hsA_28/hsA_26+(1-w_hbm)*drA_28/drA_26)</f>
        <v>5.04607694610671</v>
      </c>
      <c r="F570" s="19" t="n">
        <f aca="false">mk_mem26*(w_hbm*hsA_29/hsA_26+(1-w_hbm)*drA_29/drA_26)</f>
        <v>6.20223782078096</v>
      </c>
      <c r="G570" s="19" t="n">
        <f aca="false">F570*(1+cy30g)</f>
        <v>6.20223782078096</v>
      </c>
      <c r="H570" s="8" t="s">
        <v>691</v>
      </c>
    </row>
    <row r="571" customFormat="false" ht="17.15" hidden="false" customHeight="false" outlineLevel="0" collapsed="false">
      <c r="A571" s="1" t="s">
        <v>692</v>
      </c>
    </row>
    <row r="572" customFormat="false" ht="17.15" hidden="false" customHeight="false" outlineLevel="0" collapsed="false">
      <c r="A572" s="0" t="s">
        <v>693</v>
      </c>
      <c r="B572" s="0" t="s">
        <v>155</v>
      </c>
      <c r="C572" s="19" t="n">
        <f aca="false">fmk_soc25</f>
        <v>7.925</v>
      </c>
      <c r="D572" s="19" t="n">
        <f aca="false">0.75*C569+0.25*D569</f>
        <v>12.1035895196507</v>
      </c>
      <c r="E572" s="19" t="n">
        <f aca="false">0.75*D569+0.25*E569</f>
        <v>15.885564474303</v>
      </c>
      <c r="F572" s="19" t="n">
        <f aca="false">0.75*E569+0.25*F569</f>
        <v>17.783431796305</v>
      </c>
      <c r="G572" s="19" t="n">
        <f aca="false">0.75*F569+0.25*G569</f>
        <v>19.2845453530077</v>
      </c>
    </row>
    <row r="573" customFormat="false" ht="17.15" hidden="false" customHeight="false" outlineLevel="0" collapsed="false">
      <c r="A573" s="5" t="s">
        <v>694</v>
      </c>
      <c r="B573" s="0" t="s">
        <v>155</v>
      </c>
      <c r="C573" s="19" t="n">
        <f aca="false">fmk_mem25</f>
        <v>2.2625</v>
      </c>
      <c r="D573" s="19" t="n">
        <f aca="false">0.75*C570+0.25*D570</f>
        <v>3.03251852093645</v>
      </c>
      <c r="E573" s="19" t="n">
        <f aca="false">0.75*D570+0.25*E570</f>
        <v>4.17157479933602</v>
      </c>
      <c r="F573" s="19" t="n">
        <f aca="false">0.75*E570+0.25*F570</f>
        <v>5.33511716477527</v>
      </c>
      <c r="G573" s="19" t="n">
        <f aca="false">0.75*F570+0.25*G570</f>
        <v>6.20223782078096</v>
      </c>
    </row>
    <row r="574" customFormat="false" ht="17.15" hidden="false" customHeight="false" outlineLevel="0" collapsed="false">
      <c r="A574" s="0" t="s">
        <v>695</v>
      </c>
      <c r="B574" s="0" t="s">
        <v>45</v>
      </c>
      <c r="C574" s="10" t="n">
        <f aca="false">a25_soc/(C572*fx_lo)</f>
        <v>0.691662911221271</v>
      </c>
      <c r="D574" s="10" t="n">
        <f aca="false">sh_soc</f>
        <v>0.66</v>
      </c>
      <c r="E574" s="10" t="n">
        <f aca="false">sh_soc</f>
        <v>0.66</v>
      </c>
      <c r="F574" s="10" t="n">
        <f aca="false">sh_soc</f>
        <v>0.66</v>
      </c>
      <c r="G574" s="10" t="n">
        <f aca="false">sh_soc</f>
        <v>0.66</v>
      </c>
      <c r="H574" s="8" t="s">
        <v>696</v>
      </c>
    </row>
    <row r="575" customFormat="false" ht="17.15" hidden="false" customHeight="false" outlineLevel="0" collapsed="false">
      <c r="A575" s="0" t="s">
        <v>697</v>
      </c>
      <c r="B575" s="0" t="s">
        <v>354</v>
      </c>
      <c r="C575" s="16" t="n">
        <f aca="false">a25_soc</f>
        <v>767.4</v>
      </c>
      <c r="D575" s="16" t="n">
        <f aca="false">D572*D574*fx_lo</f>
        <v>1118.37167161572</v>
      </c>
      <c r="E575" s="16" t="n">
        <f aca="false">E572*E574*fx_lo</f>
        <v>1467.8261574256</v>
      </c>
      <c r="F575" s="16" t="n">
        <f aca="false">F572*F574*fx_lo</f>
        <v>1643.18909797858</v>
      </c>
      <c r="G575" s="16" t="n">
        <f aca="false">G572*G574*fx_lo</f>
        <v>1781.89199061791</v>
      </c>
      <c r="H575" s="5" t="s">
        <v>698</v>
      </c>
    </row>
    <row r="576" customFormat="false" ht="15" hidden="false" customHeight="false" outlineLevel="0" collapsed="false">
      <c r="A576" s="5" t="s">
        <v>699</v>
      </c>
      <c r="B576" s="0" t="s">
        <v>354</v>
      </c>
      <c r="C576" s="16" t="n">
        <f aca="false">a25_mem</f>
        <v>171.5</v>
      </c>
      <c r="D576" s="16" t="n">
        <f aca="false">D573*sh_mem*fx_lo</f>
        <v>214.543704420432</v>
      </c>
      <c r="E576" s="16" t="n">
        <f aca="false">E573*sh_mem*fx_lo</f>
        <v>295.129313980281</v>
      </c>
      <c r="F576" s="16" t="n">
        <f aca="false">F573*sh_mem*fx_lo</f>
        <v>377.447257830584</v>
      </c>
      <c r="G576" s="16" t="n">
        <f aca="false">G573*sh_mem*fx_lo</f>
        <v>438.794048108879</v>
      </c>
    </row>
    <row r="577" customFormat="false" ht="15" hidden="false" customHeight="false" outlineLevel="0" collapsed="false">
      <c r="A577" s="5" t="s">
        <v>700</v>
      </c>
      <c r="B577" s="0" t="s">
        <v>354</v>
      </c>
      <c r="C577" s="16" t="n">
        <f aca="false">a25_oth</f>
        <v>80.5</v>
      </c>
      <c r="D577" s="16" t="n">
        <f aca="false">C577*(1+g_oth_26)</f>
        <v>104</v>
      </c>
      <c r="E577" s="16" t="n">
        <f aca="false">D577*(1+g_oth_A)</f>
        <v>119.6</v>
      </c>
      <c r="F577" s="16" t="n">
        <f aca="false">E577*(1+g_oth_A)</f>
        <v>137.54</v>
      </c>
      <c r="G577" s="16" t="n">
        <f aca="false">F577*(1+g_oth_A)</f>
        <v>158.171</v>
      </c>
    </row>
    <row r="578" customFormat="false" ht="15" hidden="false" customHeight="false" outlineLevel="0" collapsed="false">
      <c r="A578" s="5" t="s">
        <v>701</v>
      </c>
      <c r="B578" s="0" t="s">
        <v>354</v>
      </c>
      <c r="C578" s="16" t="n">
        <f aca="false">a25_svc</f>
        <v>109.2</v>
      </c>
      <c r="D578" s="16" t="n">
        <f aca="false">C578*(1+g_svc_26)</f>
        <v>135.6</v>
      </c>
      <c r="E578" s="16" t="n">
        <f aca="false">D578*(1+g_svc_A)</f>
        <v>151.872</v>
      </c>
      <c r="F578" s="16" t="n">
        <f aca="false">E578*(1+g_svc_A)</f>
        <v>170.09664</v>
      </c>
      <c r="G578" s="16" t="n">
        <f aca="false">F578*(1+g_svc_A)</f>
        <v>190.5082368</v>
      </c>
    </row>
    <row r="579" customFormat="false" ht="17.15" hidden="false" customHeight="false" outlineLevel="0" collapsed="false">
      <c r="A579" s="5" t="s">
        <v>702</v>
      </c>
      <c r="B579" s="0" t="s">
        <v>354</v>
      </c>
      <c r="C579" s="16" t="n">
        <f aca="false">C575+C576+C577</f>
        <v>1019.4</v>
      </c>
      <c r="D579" s="16" t="n">
        <f aca="false">D575+D576+D577</f>
        <v>1436.91537603615</v>
      </c>
      <c r="E579" s="16" t="n">
        <f aca="false">E575+E576+E577</f>
        <v>1882.55547140588</v>
      </c>
      <c r="F579" s="16" t="n">
        <f aca="false">F575+F576+F577</f>
        <v>2158.17635580917</v>
      </c>
      <c r="G579" s="16" t="n">
        <f aca="false">G575+G576+G577</f>
        <v>2378.85703872679</v>
      </c>
      <c r="H579" s="5" t="s">
        <v>703</v>
      </c>
    </row>
    <row r="580" customFormat="false" ht="15" hidden="false" customHeight="false" outlineLevel="0" collapsed="false">
      <c r="A580" s="5" t="s">
        <v>566</v>
      </c>
      <c r="B580" s="0" t="s">
        <v>354</v>
      </c>
      <c r="C580" s="16" t="n">
        <f aca="false">C579+C578</f>
        <v>1128.6</v>
      </c>
      <c r="D580" s="16" t="n">
        <f aca="false">D579+D578</f>
        <v>1572.51537603615</v>
      </c>
      <c r="E580" s="16" t="n">
        <f aca="false">E579+E578</f>
        <v>2034.42747140588</v>
      </c>
      <c r="F580" s="16" t="n">
        <f aca="false">F579+F578</f>
        <v>2328.27299580917</v>
      </c>
      <c r="G580" s="16" t="n">
        <f aca="false">G579+G578</f>
        <v>2569.36527552679</v>
      </c>
    </row>
    <row r="581" customFormat="false" ht="17.15" hidden="false" customHeight="false" outlineLevel="0" collapsed="false">
      <c r="A581" s="5" t="s">
        <v>704</v>
      </c>
      <c r="B581" s="0" t="s">
        <v>354</v>
      </c>
      <c r="C581" s="17" t="n">
        <f aca="false">C579+C578-a25_rev</f>
        <v>0</v>
      </c>
    </row>
    <row r="582" customFormat="false" ht="17.15" hidden="false" customHeight="false" outlineLevel="0" collapsed="false">
      <c r="A582" s="0" t="s">
        <v>705</v>
      </c>
      <c r="B582" s="0" t="s">
        <v>45</v>
      </c>
      <c r="C582" s="10" t="n">
        <f aca="false">C575/C580</f>
        <v>0.679957469431154</v>
      </c>
      <c r="D582" s="10" t="n">
        <f aca="false">D575/D580</f>
        <v>0.711199196305988</v>
      </c>
      <c r="E582" s="10" t="n">
        <f aca="false">E575/E580</f>
        <v>0.72149348062591</v>
      </c>
      <c r="F582" s="10" t="n">
        <f aca="false">F575/F580</f>
        <v>0.705754480224734</v>
      </c>
      <c r="G582" s="10" t="n">
        <f aca="false">G575/G580</f>
        <v>0.693514467401906</v>
      </c>
    </row>
    <row r="583" customFormat="false" ht="17.15" hidden="false" customHeight="false" outlineLevel="0" collapsed="false">
      <c r="A583" s="5" t="s">
        <v>570</v>
      </c>
      <c r="B583" s="0" t="s">
        <v>45</v>
      </c>
      <c r="C583" s="10" t="n">
        <f aca="false">a25_gp/a25_rev</f>
        <v>0.643</v>
      </c>
      <c r="D583" s="10" t="n">
        <f aca="false">gm_a+gm_b*D582+0</f>
        <v>0.658093136530659</v>
      </c>
      <c r="E583" s="10" t="n">
        <f aca="false">gm_a+gm_b*E582+0</f>
        <v>0.663066390389144</v>
      </c>
      <c r="F583" s="10" t="n">
        <f aca="false">gm_a+gm_b*F582+0</f>
        <v>0.655462749179976</v>
      </c>
      <c r="G583" s="10" t="n">
        <f aca="false">gm_a+gm_b*G582+0</f>
        <v>0.649549497796271</v>
      </c>
      <c r="H583" s="5" t="s">
        <v>706</v>
      </c>
    </row>
    <row r="584" customFormat="false" ht="15" hidden="false" customHeight="false" outlineLevel="0" collapsed="false">
      <c r="A584" s="5" t="s">
        <v>574</v>
      </c>
      <c r="B584" s="0" t="s">
        <v>354</v>
      </c>
      <c r="C584" s="16" t="n">
        <f aca="false">C580*C583</f>
        <v>725.6898</v>
      </c>
      <c r="D584" s="16" t="n">
        <f aca="false">D580*D583</f>
        <v>1034.86157605832</v>
      </c>
      <c r="E584" s="16" t="n">
        <f aca="false">E580*E583</f>
        <v>1348.96047997361</v>
      </c>
      <c r="F584" s="16" t="n">
        <f aca="false">F580*F583</f>
        <v>1526.09621867458</v>
      </c>
      <c r="G584" s="16" t="n">
        <f aca="false">G580*G583</f>
        <v>1668.92992437361</v>
      </c>
    </row>
    <row r="585" customFormat="false" ht="17.15" hidden="false" customHeight="false" outlineLevel="0" collapsed="false">
      <c r="A585" s="5" t="s">
        <v>707</v>
      </c>
      <c r="B585" s="0" t="s">
        <v>354</v>
      </c>
      <c r="C585" s="16" t="n">
        <f aca="false">opex25</f>
        <v>226.5898</v>
      </c>
      <c r="D585" s="16" t="n">
        <f aca="false">opex_fix+opex_var*D580</f>
        <v>277.563630475274</v>
      </c>
      <c r="E585" s="16" t="n">
        <f aca="false">opex_fix+opex_var*E580</f>
        <v>330.603984819606</v>
      </c>
      <c r="F585" s="16" t="n">
        <f aca="false">opex_fix+opex_var*F580</f>
        <v>364.345622878189</v>
      </c>
      <c r="G585" s="16" t="n">
        <f aca="false">opex_fix+opex_var*G580</f>
        <v>392.029721376779</v>
      </c>
      <c r="H585" s="5" t="s">
        <v>708</v>
      </c>
    </row>
    <row r="586" customFormat="false" ht="15" hidden="false" customHeight="false" outlineLevel="0" collapsed="false">
      <c r="A586" s="5" t="s">
        <v>577</v>
      </c>
      <c r="B586" s="0" t="s">
        <v>354</v>
      </c>
      <c r="C586" s="16" t="n">
        <f aca="false">C584-C585</f>
        <v>499.1</v>
      </c>
      <c r="D586" s="16" t="n">
        <f aca="false">D584-D585</f>
        <v>757.297945583046</v>
      </c>
      <c r="E586" s="16" t="n">
        <f aca="false">E584-E585</f>
        <v>1018.356495154</v>
      </c>
      <c r="F586" s="16" t="n">
        <f aca="false">F584-F585</f>
        <v>1161.75059579639</v>
      </c>
      <c r="G586" s="16" t="n">
        <f aca="false">G584-G585</f>
        <v>1276.90020299683</v>
      </c>
    </row>
    <row r="587" customFormat="false" ht="15" hidden="false" customHeight="false" outlineLevel="0" collapsed="false">
      <c r="A587" s="5" t="s">
        <v>580</v>
      </c>
      <c r="B587" s="0" t="s">
        <v>45</v>
      </c>
      <c r="C587" s="10" t="n">
        <f aca="false">C586/C580</f>
        <v>0.442229310650363</v>
      </c>
      <c r="D587" s="10" t="n">
        <f aca="false">D586/D580</f>
        <v>0.481583809687108</v>
      </c>
      <c r="E587" s="10" t="n">
        <f aca="false">E586/E580</f>
        <v>0.500561710587929</v>
      </c>
      <c r="F587" s="10" t="n">
        <f aca="false">F586/F580</f>
        <v>0.498975248129197</v>
      </c>
      <c r="G587" s="10" t="n">
        <f aca="false">G586/G580</f>
        <v>0.496971067196752</v>
      </c>
    </row>
    <row r="588" customFormat="false" ht="15" hidden="false" customHeight="false" outlineLevel="0" collapsed="false">
      <c r="A588" s="5" t="s">
        <v>600</v>
      </c>
      <c r="B588" s="0" t="s">
        <v>354</v>
      </c>
      <c r="C588" s="16" t="n">
        <f aca="false">a25_ni</f>
        <v>375.4</v>
      </c>
      <c r="D588" s="16" t="n">
        <f aca="false">D586*nioi</f>
        <v>569.604585798187</v>
      </c>
      <c r="E588" s="16" t="n">
        <f aca="false">E586*nioi</f>
        <v>765.960785976382</v>
      </c>
      <c r="F588" s="16" t="n">
        <f aca="false">F586*nioi</f>
        <v>873.815214710406</v>
      </c>
      <c r="G588" s="16" t="n">
        <f aca="false">G586*nioi</f>
        <v>960.425438198775</v>
      </c>
    </row>
    <row r="589" customFormat="false" ht="15" hidden="false" customHeight="false" outlineLevel="0" collapsed="false">
      <c r="A589" s="0" t="s">
        <v>670</v>
      </c>
      <c r="B589" s="0" t="s">
        <v>403</v>
      </c>
      <c r="C589" s="16" t="n">
        <f aca="false">a25_eps</f>
        <v>515.15</v>
      </c>
      <c r="D589" s="16" t="n">
        <f aca="false">D588*1000/shares</f>
        <v>786.779279692514</v>
      </c>
      <c r="E589" s="16" t="n">
        <f aca="false">E588*1000/shares</f>
        <v>1058.00074382956</v>
      </c>
      <c r="F589" s="16" t="n">
        <f aca="false">F588*1000/shares</f>
        <v>1206.97712475545</v>
      </c>
      <c r="G589" s="16" t="n">
        <f aca="false">G588*1000/shares</f>
        <v>1326.60946436293</v>
      </c>
    </row>
    <row r="590" customFormat="false" ht="17.15" hidden="false" customHeight="false" outlineLevel="0" collapsed="false">
      <c r="A590" s="5" t="s">
        <v>709</v>
      </c>
      <c r="B590" s="0" t="s">
        <v>155</v>
      </c>
      <c r="C590" s="17" t="n">
        <f aca="false">C580/fx_lo</f>
        <v>8.06142857142857</v>
      </c>
      <c r="D590" s="17" t="n">
        <f aca="false">D580/fx_lo</f>
        <v>11.2322526859725</v>
      </c>
      <c r="E590" s="17" t="n">
        <f aca="false">E580/fx_lo</f>
        <v>14.5316247957563</v>
      </c>
      <c r="F590" s="17" t="n">
        <f aca="false">F580/fx_lo</f>
        <v>16.6305213986369</v>
      </c>
      <c r="G590" s="17" t="n">
        <f aca="false">G580/fx_lo</f>
        <v>18.3526091109057</v>
      </c>
      <c r="H590" s="8" t="s">
        <v>710</v>
      </c>
    </row>
    <row r="594" customFormat="false" ht="17.15" hidden="false" customHeight="false" outlineLevel="0" collapsed="false">
      <c r="A594" s="4" t="s">
        <v>1088</v>
      </c>
    </row>
    <row r="595" customFormat="false" ht="17.15" hidden="false" customHeight="false" outlineLevel="0" collapsed="false">
      <c r="A595" s="6" t="s">
        <v>23</v>
      </c>
      <c r="B595" s="6" t="s">
        <v>24</v>
      </c>
      <c r="C595" s="14" t="s">
        <v>675</v>
      </c>
      <c r="D595" s="14" t="s">
        <v>676</v>
      </c>
      <c r="E595" s="14" t="s">
        <v>677</v>
      </c>
      <c r="F595" s="14" t="s">
        <v>678</v>
      </c>
      <c r="G595" s="14" t="s">
        <v>679</v>
      </c>
      <c r="H595" s="6" t="s">
        <v>478</v>
      </c>
    </row>
    <row r="596" customFormat="false" ht="17.15" hidden="false" customHeight="false" outlineLevel="0" collapsed="false">
      <c r="A596" s="1" t="s">
        <v>680</v>
      </c>
    </row>
    <row r="597" customFormat="false" ht="17.15" hidden="false" customHeight="false" outlineLevel="0" collapsed="false">
      <c r="A597" s="5" t="s">
        <v>681</v>
      </c>
      <c r="B597" s="5" t="s">
        <v>34</v>
      </c>
      <c r="C597" s="19" t="n">
        <f aca="false">u_bw_26*tt_bw+u_rb_26*tt_rb+u_ru_26*tt_ru+u_hp_26*tt_hp+u_amd_26*tt_amd+u_tpu_26*tt_tpu+u_trn_26*tt_trn+u_oth_26*tt_oth</f>
        <v>14.885</v>
      </c>
      <c r="D597" s="19" t="n">
        <f aca="false">u_bw_27*tt_bw+u_rb_27*tt_rb+u_ru_27*tt_ru+u_hp_27*tt_hp+u_amd_27*tt_amd+u_tpu_27*tt_tpu+u_trn_27*tt_trn+u_oth_27*tt_oth</f>
        <v>24.31</v>
      </c>
      <c r="E597" s="19" t="n">
        <f aca="false">u_bw_28*um28_A*tt_bw+u_rb_28*um28_A*tt_rb+u_ru_28*um28_A*tt_ru+u_hp_28*um28_A*tt_hp+u_amd_28*um28_A*tt_amd+u_tpu_28*um28_A*tt_tpu+u_trn_28*um28_A*tt_trn+u_oth_28*um28_A*tt_oth</f>
        <v>28.1</v>
      </c>
      <c r="F59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9" t="n">
        <f aca="false">F597*(1+cy30g)</f>
        <v>31.99</v>
      </c>
      <c r="H597" s="8" t="s">
        <v>682</v>
      </c>
    </row>
    <row r="598" customFormat="false" ht="17.15" hidden="false" customHeight="false" outlineLevel="0" collapsed="false">
      <c r="A598" s="5" t="s">
        <v>683</v>
      </c>
      <c r="B598" s="0" t="s">
        <v>684</v>
      </c>
      <c r="C598" s="21" t="n">
        <f aca="false">(mk_soc26-nonai26)/C597</f>
        <v>0.450117568021498</v>
      </c>
      <c r="H598" s="5" t="s">
        <v>685</v>
      </c>
    </row>
    <row r="599" customFormat="false" ht="17.15" hidden="false" customHeight="false" outlineLevel="0" collapsed="false">
      <c r="A599" s="0" t="s">
        <v>686</v>
      </c>
      <c r="B599" s="0" t="s">
        <v>155</v>
      </c>
      <c r="C599" s="19" t="n">
        <f aca="false">$C$598*C597*(1-0)^0</f>
        <v>6.7</v>
      </c>
      <c r="D599" s="19" t="n">
        <f aca="false">$C$598*D597*(1-0)^1</f>
        <v>10.9423580786026</v>
      </c>
      <c r="E599" s="19" t="n">
        <f aca="false">$C$598*E597*(1-0)^2</f>
        <v>12.6483036614041</v>
      </c>
      <c r="F599" s="19" t="n">
        <f aca="false">$C$598*F597*(1-0)^3</f>
        <v>14.3992610010077</v>
      </c>
      <c r="G599" s="19" t="n">
        <f aca="false">$C$598*G597*(1-0)^4</f>
        <v>14.3992610010077</v>
      </c>
    </row>
    <row r="600" customFormat="false" ht="17.15" hidden="false" customHeight="false" outlineLevel="0" collapsed="false">
      <c r="A600" s="5" t="s">
        <v>687</v>
      </c>
      <c r="B600" s="0" t="s">
        <v>155</v>
      </c>
      <c r="C600" s="19" t="n">
        <f aca="false">nonai26*(1+g_nonai)^0</f>
        <v>4.3</v>
      </c>
      <c r="D600" s="19" t="n">
        <f aca="false">nonai26*(1+g_nonai)^1</f>
        <v>4.472</v>
      </c>
      <c r="E600" s="19" t="n">
        <f aca="false">nonai26*(1+g_nonai)^2</f>
        <v>4.65088</v>
      </c>
      <c r="F600" s="19" t="n">
        <f aca="false">nonai26*(1+g_nonai)^3</f>
        <v>4.8369152</v>
      </c>
      <c r="G600" s="19" t="n">
        <f aca="false">nonai26*(1+g_nonai)^4</f>
        <v>5.030391808</v>
      </c>
    </row>
    <row r="601" customFormat="false" ht="17.15" hidden="false" customHeight="false" outlineLevel="0" collapsed="false">
      <c r="A601" s="0" t="s">
        <v>688</v>
      </c>
      <c r="B601" s="0" t="s">
        <v>155</v>
      </c>
      <c r="C601" s="19" t="n">
        <f aca="false">C599+C600</f>
        <v>11</v>
      </c>
      <c r="D601" s="19" t="n">
        <f aca="false">D599+D600</f>
        <v>15.4143580786026</v>
      </c>
      <c r="E601" s="19" t="n">
        <f aca="false">E599+E600</f>
        <v>17.2991836614041</v>
      </c>
      <c r="F601" s="19" t="n">
        <f aca="false">F599+F600</f>
        <v>19.2361762010077</v>
      </c>
      <c r="G601" s="19" t="n">
        <f aca="false">G599+G600</f>
        <v>19.4296528090077</v>
      </c>
      <c r="H601" s="8" t="s">
        <v>689</v>
      </c>
    </row>
    <row r="602" customFormat="false" ht="17.15" hidden="false" customHeight="false" outlineLevel="0" collapsed="false">
      <c r="A602" s="5" t="s">
        <v>690</v>
      </c>
      <c r="B602" s="0" t="s">
        <v>155</v>
      </c>
      <c r="C602" s="19" t="n">
        <f aca="false">mk_mem26*(w_hbm*hsA_26/hsA_26+(1-w_hbm)*drA_26/drA_26)</f>
        <v>2.75</v>
      </c>
      <c r="D602" s="19" t="n">
        <f aca="false">mk_mem26*(w_hbm*hsA_27/hsA_26+(1-w_hbm)*drA_27/drA_26)</f>
        <v>3.88007408374579</v>
      </c>
      <c r="E602" s="19" t="n">
        <f aca="false">mk_mem26*(w_hbm*hsA_28/hsA_26+(1-w_hbm)*drA_28/drA_26)</f>
        <v>5.04607694610671</v>
      </c>
      <c r="F602" s="19" t="n">
        <f aca="false">mk_mem26*(w_hbm*hsA_29/hsA_26+(1-w_hbm)*drA_29/drA_26)</f>
        <v>6.20223782078096</v>
      </c>
      <c r="G602" s="19" t="n">
        <f aca="false">F602*(1+cy30g)</f>
        <v>6.20223782078096</v>
      </c>
      <c r="H602" s="8" t="s">
        <v>691</v>
      </c>
    </row>
    <row r="603" customFormat="false" ht="17.15" hidden="false" customHeight="false" outlineLevel="0" collapsed="false">
      <c r="A603" s="1" t="s">
        <v>692</v>
      </c>
    </row>
    <row r="604" customFormat="false" ht="17.15" hidden="false" customHeight="false" outlineLevel="0" collapsed="false">
      <c r="A604" s="0" t="s">
        <v>693</v>
      </c>
      <c r="B604" s="0" t="s">
        <v>155</v>
      </c>
      <c r="C604" s="19" t="n">
        <f aca="false">fmk_soc25</f>
        <v>7.925</v>
      </c>
      <c r="D604" s="19" t="n">
        <f aca="false">0.75*C601+0.25*D601</f>
        <v>12.1035895196507</v>
      </c>
      <c r="E604" s="19" t="n">
        <f aca="false">0.75*D601+0.25*E601</f>
        <v>15.885564474303</v>
      </c>
      <c r="F604" s="19" t="n">
        <f aca="false">0.75*E601+0.25*F601</f>
        <v>17.783431796305</v>
      </c>
      <c r="G604" s="19" t="n">
        <f aca="false">0.75*F601+0.25*G601</f>
        <v>19.2845453530077</v>
      </c>
    </row>
    <row r="605" customFormat="false" ht="17.15" hidden="false" customHeight="false" outlineLevel="0" collapsed="false">
      <c r="A605" s="5" t="s">
        <v>694</v>
      </c>
      <c r="B605" s="0" t="s">
        <v>155</v>
      </c>
      <c r="C605" s="19" t="n">
        <f aca="false">fmk_mem25</f>
        <v>2.2625</v>
      </c>
      <c r="D605" s="19" t="n">
        <f aca="false">0.75*C602+0.25*D602</f>
        <v>3.03251852093645</v>
      </c>
      <c r="E605" s="19" t="n">
        <f aca="false">0.75*D602+0.25*E602</f>
        <v>4.17157479933602</v>
      </c>
      <c r="F605" s="19" t="n">
        <f aca="false">0.75*E602+0.25*F602</f>
        <v>5.33511716477527</v>
      </c>
      <c r="G605" s="19" t="n">
        <f aca="false">0.75*F602+0.25*G602</f>
        <v>6.20223782078096</v>
      </c>
    </row>
    <row r="606" customFormat="false" ht="17.15" hidden="false" customHeight="false" outlineLevel="0" collapsed="false">
      <c r="A606" s="0" t="s">
        <v>695</v>
      </c>
      <c r="B606" s="0" t="s">
        <v>45</v>
      </c>
      <c r="C606" s="10" t="n">
        <f aca="false">a25_soc/(C604*fx_hi)</f>
        <v>0.605205047318612</v>
      </c>
      <c r="D606" s="10" t="n">
        <f aca="false">sh_soc</f>
        <v>0.66</v>
      </c>
      <c r="E606" s="10" t="n">
        <f aca="false">sh_soc</f>
        <v>0.66</v>
      </c>
      <c r="F606" s="10" t="n">
        <f aca="false">sh_soc</f>
        <v>0.66</v>
      </c>
      <c r="G606" s="10" t="n">
        <f aca="false">sh_soc</f>
        <v>0.66</v>
      </c>
      <c r="H606" s="8" t="s">
        <v>696</v>
      </c>
    </row>
    <row r="607" customFormat="false" ht="17.15" hidden="false" customHeight="false" outlineLevel="0" collapsed="false">
      <c r="A607" s="0" t="s">
        <v>697</v>
      </c>
      <c r="B607" s="0" t="s">
        <v>354</v>
      </c>
      <c r="C607" s="16" t="n">
        <f aca="false">a25_soc</f>
        <v>767.4</v>
      </c>
      <c r="D607" s="16" t="n">
        <f aca="false">D604*D606*fx_hi</f>
        <v>1278.13905327511</v>
      </c>
      <c r="E607" s="16" t="n">
        <f aca="false">E604*E606*fx_hi</f>
        <v>1677.5156084864</v>
      </c>
      <c r="F607" s="16" t="n">
        <f aca="false">F604*F606*fx_hi</f>
        <v>1877.93039768981</v>
      </c>
      <c r="G607" s="16" t="n">
        <f aca="false">G604*G606*fx_hi</f>
        <v>2036.44798927762</v>
      </c>
      <c r="H607" s="5" t="s">
        <v>698</v>
      </c>
    </row>
    <row r="608" customFormat="false" ht="15" hidden="false" customHeight="false" outlineLevel="0" collapsed="false">
      <c r="A608" s="5" t="s">
        <v>699</v>
      </c>
      <c r="B608" s="0" t="s">
        <v>354</v>
      </c>
      <c r="C608" s="16" t="n">
        <f aca="false">a25_mem</f>
        <v>171.5</v>
      </c>
      <c r="D608" s="16" t="n">
        <f aca="false">D605*sh_mem*fx_hi</f>
        <v>245.192805051922</v>
      </c>
      <c r="E608" s="16" t="n">
        <f aca="false">E605*sh_mem*fx_hi</f>
        <v>337.290644548893</v>
      </c>
      <c r="F608" s="16" t="n">
        <f aca="false">F605*sh_mem*fx_hi</f>
        <v>431.368294663524</v>
      </c>
      <c r="G608" s="16" t="n">
        <f aca="false">G605*sh_mem*fx_hi</f>
        <v>501.478912124433</v>
      </c>
    </row>
    <row r="609" customFormat="false" ht="15" hidden="false" customHeight="false" outlineLevel="0" collapsed="false">
      <c r="A609" s="5" t="s">
        <v>700</v>
      </c>
      <c r="B609" s="0" t="s">
        <v>354</v>
      </c>
      <c r="C609" s="16" t="n">
        <f aca="false">a25_oth</f>
        <v>80.5</v>
      </c>
      <c r="D609" s="16" t="n">
        <f aca="false">C609*(1+g_oth_26)</f>
        <v>104</v>
      </c>
      <c r="E609" s="16" t="n">
        <f aca="false">D609*(1+g_oth_A)</f>
        <v>119.6</v>
      </c>
      <c r="F609" s="16" t="n">
        <f aca="false">E609*(1+g_oth_A)</f>
        <v>137.54</v>
      </c>
      <c r="G609" s="16" t="n">
        <f aca="false">F609*(1+g_oth_A)</f>
        <v>158.171</v>
      </c>
    </row>
    <row r="610" customFormat="false" ht="15" hidden="false" customHeight="false" outlineLevel="0" collapsed="false">
      <c r="A610" s="5" t="s">
        <v>701</v>
      </c>
      <c r="B610" s="0" t="s">
        <v>354</v>
      </c>
      <c r="C610" s="16" t="n">
        <f aca="false">a25_svc</f>
        <v>109.2</v>
      </c>
      <c r="D610" s="16" t="n">
        <f aca="false">C610*(1+g_svc_26)</f>
        <v>135.6</v>
      </c>
      <c r="E610" s="16" t="n">
        <f aca="false">D610*(1+g_svc_A)</f>
        <v>151.872</v>
      </c>
      <c r="F610" s="16" t="n">
        <f aca="false">E610*(1+g_svc_A)</f>
        <v>170.09664</v>
      </c>
      <c r="G610" s="16" t="n">
        <f aca="false">F610*(1+g_svc_A)</f>
        <v>190.5082368</v>
      </c>
    </row>
    <row r="611" customFormat="false" ht="17.15" hidden="false" customHeight="false" outlineLevel="0" collapsed="false">
      <c r="A611" s="5" t="s">
        <v>702</v>
      </c>
      <c r="B611" s="0" t="s">
        <v>354</v>
      </c>
      <c r="C611" s="16" t="n">
        <f aca="false">C607+C608+C609</f>
        <v>1019.4</v>
      </c>
      <c r="D611" s="16" t="n">
        <f aca="false">D607+D608+D609</f>
        <v>1627.33185832703</v>
      </c>
      <c r="E611" s="16" t="n">
        <f aca="false">E607+E608+E609</f>
        <v>2134.40625303529</v>
      </c>
      <c r="F611" s="16" t="n">
        <f aca="false">F607+F608+F609</f>
        <v>2446.83869235333</v>
      </c>
      <c r="G611" s="16" t="n">
        <f aca="false">G607+G608+G609</f>
        <v>2696.09790140205</v>
      </c>
      <c r="H611" s="5" t="s">
        <v>703</v>
      </c>
    </row>
    <row r="612" customFormat="false" ht="15" hidden="false" customHeight="false" outlineLevel="0" collapsed="false">
      <c r="A612" s="5" t="s">
        <v>566</v>
      </c>
      <c r="B612" s="0" t="s">
        <v>354</v>
      </c>
      <c r="C612" s="16" t="n">
        <f aca="false">C611+C610</f>
        <v>1128.6</v>
      </c>
      <c r="D612" s="16" t="n">
        <f aca="false">D611+D610</f>
        <v>1762.93185832703</v>
      </c>
      <c r="E612" s="16" t="n">
        <f aca="false">E611+E610</f>
        <v>2286.27825303529</v>
      </c>
      <c r="F612" s="16" t="n">
        <f aca="false">F611+F610</f>
        <v>2616.93533235333</v>
      </c>
      <c r="G612" s="16" t="n">
        <f aca="false">G611+G610</f>
        <v>2886.60613820205</v>
      </c>
    </row>
    <row r="613" customFormat="false" ht="17.15" hidden="false" customHeight="false" outlineLevel="0" collapsed="false">
      <c r="A613" s="5" t="s">
        <v>704</v>
      </c>
      <c r="B613" s="0" t="s">
        <v>354</v>
      </c>
      <c r="C613" s="17" t="n">
        <f aca="false">C611+C610-a25_rev</f>
        <v>0</v>
      </c>
    </row>
    <row r="614" customFormat="false" ht="17.15" hidden="false" customHeight="false" outlineLevel="0" collapsed="false">
      <c r="A614" s="0" t="s">
        <v>705</v>
      </c>
      <c r="B614" s="0" t="s">
        <v>45</v>
      </c>
      <c r="C614" s="10" t="n">
        <f aca="false">C607/C612</f>
        <v>0.679957469431154</v>
      </c>
      <c r="D614" s="10" t="n">
        <f aca="false">D607/D612</f>
        <v>0.725007632732909</v>
      </c>
      <c r="E614" s="10" t="n">
        <f aca="false">E607/E612</f>
        <v>0.733732040821937</v>
      </c>
      <c r="F614" s="10" t="n">
        <f aca="false">F607/F612</f>
        <v>0.71760672664427</v>
      </c>
      <c r="G614" s="10" t="n">
        <f aca="false">G607/G612</f>
        <v>0.705481763627801</v>
      </c>
    </row>
    <row r="615" customFormat="false" ht="17.15" hidden="false" customHeight="false" outlineLevel="0" collapsed="false">
      <c r="A615" s="5" t="s">
        <v>570</v>
      </c>
      <c r="B615" s="0" t="s">
        <v>45</v>
      </c>
      <c r="C615" s="10" t="n">
        <f aca="false">a25_gp/a25_rev</f>
        <v>0.643</v>
      </c>
      <c r="D615" s="10" t="n">
        <f aca="false">gm_a+gm_b*D614+0</f>
        <v>0.664764106323763</v>
      </c>
      <c r="E615" s="10" t="n">
        <f aca="false">gm_a+gm_b*E614+0</f>
        <v>0.668978939996832</v>
      </c>
      <c r="F615" s="10" t="n">
        <f aca="false">gm_a+gm_b*F614+0</f>
        <v>0.66118866740856</v>
      </c>
      <c r="G615" s="10" t="n">
        <f aca="false">gm_a+gm_b*G614+0</f>
        <v>0.655330997537431</v>
      </c>
      <c r="H615" s="5" t="s">
        <v>706</v>
      </c>
    </row>
    <row r="616" customFormat="false" ht="15" hidden="false" customHeight="false" outlineLevel="0" collapsed="false">
      <c r="A616" s="5" t="s">
        <v>574</v>
      </c>
      <c r="B616" s="0" t="s">
        <v>354</v>
      </c>
      <c r="C616" s="16" t="n">
        <f aca="false">C612*C615</f>
        <v>725.6898</v>
      </c>
      <c r="D616" s="16" t="n">
        <f aca="false">D612*D615</f>
        <v>1171.93382131046</v>
      </c>
      <c r="E616" s="16" t="n">
        <f aca="false">E612*E615</f>
        <v>1529.47200225336</v>
      </c>
      <c r="F616" s="16" t="n">
        <f aca="false">F612*F615</f>
        <v>1730.28798509308</v>
      </c>
      <c r="G616" s="16" t="n">
        <f aca="false">G612*G615</f>
        <v>1891.68248004562</v>
      </c>
    </row>
    <row r="617" customFormat="false" ht="17.15" hidden="false" customHeight="false" outlineLevel="0" collapsed="false">
      <c r="A617" s="5" t="s">
        <v>707</v>
      </c>
      <c r="B617" s="0" t="s">
        <v>354</v>
      </c>
      <c r="C617" s="16" t="n">
        <f aca="false">opex25</f>
        <v>226.5898</v>
      </c>
      <c r="D617" s="16" t="n">
        <f aca="false">opex_fix+opex_var*D612</f>
        <v>299.428738133097</v>
      </c>
      <c r="E617" s="16" t="n">
        <f aca="false">opex_fix+opex_var*E612</f>
        <v>359.523458532086</v>
      </c>
      <c r="F617" s="16" t="n">
        <f aca="false">opex_fix+opex_var*F612</f>
        <v>397.492086825859</v>
      </c>
      <c r="G617" s="16" t="n">
        <f aca="false">opex_fix+opex_var*G612</f>
        <v>428.457794894379</v>
      </c>
      <c r="H617" s="5" t="s">
        <v>708</v>
      </c>
    </row>
    <row r="618" customFormat="false" ht="15" hidden="false" customHeight="false" outlineLevel="0" collapsed="false">
      <c r="A618" s="5" t="s">
        <v>577</v>
      </c>
      <c r="B618" s="0" t="s">
        <v>354</v>
      </c>
      <c r="C618" s="16" t="n">
        <f aca="false">C616-C617</f>
        <v>499.1</v>
      </c>
      <c r="D618" s="16" t="n">
        <f aca="false">D616-D617</f>
        <v>872.505083177363</v>
      </c>
      <c r="E618" s="16" t="n">
        <f aca="false">E616-E617</f>
        <v>1169.94854372127</v>
      </c>
      <c r="F618" s="16" t="n">
        <f aca="false">F616-F617</f>
        <v>1332.79589826722</v>
      </c>
      <c r="G618" s="16" t="n">
        <f aca="false">G616-G617</f>
        <v>1463.22468515124</v>
      </c>
    </row>
    <row r="619" customFormat="false" ht="15" hidden="false" customHeight="false" outlineLevel="0" collapsed="false">
      <c r="A619" s="5" t="s">
        <v>580</v>
      </c>
      <c r="B619" s="0" t="s">
        <v>45</v>
      </c>
      <c r="C619" s="10" t="n">
        <f aca="false">C618/C612</f>
        <v>0.442229310650363</v>
      </c>
      <c r="D619" s="10" t="n">
        <f aca="false">D618/D612</f>
        <v>0.494917077512765</v>
      </c>
      <c r="E619" s="10" t="n">
        <f aca="false">E618/E612</f>
        <v>0.511726226747787</v>
      </c>
      <c r="F619" s="10" t="n">
        <f aca="false">F618/F612</f>
        <v>0.509296459025862</v>
      </c>
      <c r="G619" s="10" t="n">
        <f aca="false">G618/G612</f>
        <v>0.506901397383789</v>
      </c>
    </row>
    <row r="620" customFormat="false" ht="15" hidden="false" customHeight="false" outlineLevel="0" collapsed="false">
      <c r="A620" s="5" t="s">
        <v>600</v>
      </c>
      <c r="B620" s="0" t="s">
        <v>354</v>
      </c>
      <c r="C620" s="16" t="n">
        <f aca="false">a25_ni</f>
        <v>375.4</v>
      </c>
      <c r="D620" s="16" t="n">
        <f aca="false">D618*nioi</f>
        <v>656.258080995356</v>
      </c>
      <c r="E620" s="16" t="n">
        <f aca="false">E618*nioi</f>
        <v>879.981333025376</v>
      </c>
      <c r="F620" s="16" t="n">
        <f aca="false">F618*nioi</f>
        <v>1002.46760210281</v>
      </c>
      <c r="G620" s="16" t="n">
        <f aca="false">G618*nioi</f>
        <v>1100.57011982724</v>
      </c>
    </row>
    <row r="621" customFormat="false" ht="15" hidden="false" customHeight="false" outlineLevel="0" collapsed="false">
      <c r="A621" s="0" t="s">
        <v>670</v>
      </c>
      <c r="B621" s="0" t="s">
        <v>403</v>
      </c>
      <c r="C621" s="16" t="n">
        <f aca="false">a25_eps</f>
        <v>515.15</v>
      </c>
      <c r="D621" s="16" t="n">
        <f aca="false">D620*1000/shares</f>
        <v>906.471389331221</v>
      </c>
      <c r="E621" s="16" t="n">
        <f aca="false">E620*1000/shares</f>
        <v>1215.49421581705</v>
      </c>
      <c r="F621" s="16" t="n">
        <f aca="false">F620*1000/shares</f>
        <v>1384.6811587591</v>
      </c>
      <c r="G621" s="16" t="n">
        <f aca="false">G620*1000/shares</f>
        <v>1520.18749096865</v>
      </c>
    </row>
    <row r="622" customFormat="false" ht="17.15" hidden="false" customHeight="false" outlineLevel="0" collapsed="false">
      <c r="A622" s="5" t="s">
        <v>709</v>
      </c>
      <c r="B622" s="0" t="s">
        <v>155</v>
      </c>
      <c r="C622" s="17" t="n">
        <f aca="false">C612/fx_hi</f>
        <v>7.05375</v>
      </c>
      <c r="D622" s="17" t="n">
        <f aca="false">D612/fx_hi</f>
        <v>11.0183241145439</v>
      </c>
      <c r="E622" s="17" t="n">
        <f aca="false">E612/fx_hi</f>
        <v>14.2892390814706</v>
      </c>
      <c r="F622" s="17" t="n">
        <f aca="false">F612/fx_hi</f>
        <v>16.3558458272083</v>
      </c>
      <c r="G622" s="17" t="n">
        <f aca="false">G612/fx_hi</f>
        <v>18.0412883637628</v>
      </c>
      <c r="H622" s="8" t="s">
        <v>710</v>
      </c>
    </row>
    <row r="626" customFormat="false" ht="17.15" hidden="false" customHeight="false" outlineLevel="0" collapsed="false">
      <c r="A626" s="4" t="s">
        <v>1089</v>
      </c>
    </row>
    <row r="627" customFormat="false" ht="17.15" hidden="false" customHeight="false" outlineLevel="0" collapsed="false">
      <c r="A627" s="6" t="s">
        <v>23</v>
      </c>
      <c r="B627" s="6" t="s">
        <v>24</v>
      </c>
      <c r="C627" s="14" t="s">
        <v>675</v>
      </c>
      <c r="D627" s="14" t="s">
        <v>676</v>
      </c>
      <c r="E627" s="14" t="s">
        <v>677</v>
      </c>
      <c r="F627" s="14" t="s">
        <v>678</v>
      </c>
      <c r="G627" s="14" t="s">
        <v>679</v>
      </c>
      <c r="H627" s="6" t="s">
        <v>478</v>
      </c>
    </row>
    <row r="628" customFormat="false" ht="17.15" hidden="false" customHeight="false" outlineLevel="0" collapsed="false">
      <c r="A628" s="1" t="s">
        <v>680</v>
      </c>
    </row>
    <row r="629" customFormat="false" ht="17.15" hidden="false" customHeight="false" outlineLevel="0" collapsed="false">
      <c r="A629" s="5" t="s">
        <v>681</v>
      </c>
      <c r="B629" s="5" t="s">
        <v>34</v>
      </c>
      <c r="C629" s="19" t="n">
        <f aca="false">u_bw_26*tt_bw+u_rb_26*tt_rb+u_ru_26*tt_ru+u_hp_26*tt_hp+u_amd_26*tt_amd+u_tpu_26*tt_tpu+u_trn_26*tt_trn+u_oth_26*tt_oth</f>
        <v>14.885</v>
      </c>
      <c r="D629" s="19" t="n">
        <f aca="false">u_bw_27*tt_bw+u_rb_27*tt_rb+u_ru_27*tt_ru+u_hp_27*tt_hp+u_amd_27*tt_amd+u_tpu_27*tt_tpu+u_trn_27*tt_trn+u_oth_27*tt_oth</f>
        <v>24.31</v>
      </c>
      <c r="E629" s="19" t="n">
        <f aca="false">u_bw_28*um28_A*tt_bw+u_rb_28*um28_A*tt_rb+u_ru_28*um28_A*tt_ru+u_hp_28*um28_A*tt_hp+u_amd_28*um28_A*tt_amd+u_tpu_28*um28_A*tt_tpu+u_trn_28*um28_A*tt_trn+u_oth_28*um28_A*tt_oth</f>
        <v>28.1</v>
      </c>
      <c r="F62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9" t="n">
        <f aca="false">F629*(1+cy30g)</f>
        <v>31.99</v>
      </c>
      <c r="H629" s="8" t="s">
        <v>682</v>
      </c>
    </row>
    <row r="630" customFormat="false" ht="17.15" hidden="false" customHeight="false" outlineLevel="0" collapsed="false">
      <c r="A630" s="5" t="s">
        <v>683</v>
      </c>
      <c r="B630" s="0" t="s">
        <v>684</v>
      </c>
      <c r="C630" s="21" t="n">
        <f aca="false">(mk_soc26-nonai26)/C629</f>
        <v>0.450117568021498</v>
      </c>
      <c r="H630" s="5" t="s">
        <v>685</v>
      </c>
    </row>
    <row r="631" customFormat="false" ht="17.15" hidden="false" customHeight="false" outlineLevel="0" collapsed="false">
      <c r="A631" s="0" t="s">
        <v>686</v>
      </c>
      <c r="B631" s="0" t="s">
        <v>155</v>
      </c>
      <c r="C631" s="19" t="n">
        <f aca="false">$C$630*C629*(1-0)^0</f>
        <v>6.7</v>
      </c>
      <c r="D631" s="19" t="n">
        <f aca="false">$C$630*D629*(1-0)^1</f>
        <v>10.9423580786026</v>
      </c>
      <c r="E631" s="19" t="n">
        <f aca="false">$C$630*E629*(1-0)^2</f>
        <v>12.6483036614041</v>
      </c>
      <c r="F631" s="19" t="n">
        <f aca="false">$C$630*F629*(1-0)^3</f>
        <v>14.3992610010077</v>
      </c>
      <c r="G631" s="19" t="n">
        <f aca="false">$C$630*G629*(1-0)^4</f>
        <v>14.3992610010077</v>
      </c>
    </row>
    <row r="632" customFormat="false" ht="17.15" hidden="false" customHeight="false" outlineLevel="0" collapsed="false">
      <c r="A632" s="5" t="s">
        <v>687</v>
      </c>
      <c r="B632" s="0" t="s">
        <v>155</v>
      </c>
      <c r="C632" s="19" t="n">
        <f aca="false">nonai26*(1+g_nonai)^0</f>
        <v>4.3</v>
      </c>
      <c r="D632" s="19" t="n">
        <f aca="false">nonai26*(1+g_nonai)^1</f>
        <v>4.472</v>
      </c>
      <c r="E632" s="19" t="n">
        <f aca="false">nonai26*(1+g_nonai)^2</f>
        <v>4.65088</v>
      </c>
      <c r="F632" s="19" t="n">
        <f aca="false">nonai26*(1+g_nonai)^3</f>
        <v>4.8369152</v>
      </c>
      <c r="G632" s="19" t="n">
        <f aca="false">nonai26*(1+g_nonai)^4</f>
        <v>5.030391808</v>
      </c>
    </row>
    <row r="633" customFormat="false" ht="17.15" hidden="false" customHeight="false" outlineLevel="0" collapsed="false">
      <c r="A633" s="0" t="s">
        <v>688</v>
      </c>
      <c r="B633" s="0" t="s">
        <v>155</v>
      </c>
      <c r="C633" s="19" t="n">
        <f aca="false">C631+C632</f>
        <v>11</v>
      </c>
      <c r="D633" s="19" t="n">
        <f aca="false">D631+D632</f>
        <v>15.4143580786026</v>
      </c>
      <c r="E633" s="19" t="n">
        <f aca="false">E631+E632</f>
        <v>17.2991836614041</v>
      </c>
      <c r="F633" s="19" t="n">
        <f aca="false">F631+F632</f>
        <v>19.2361762010077</v>
      </c>
      <c r="G633" s="19" t="n">
        <f aca="false">G631+G632</f>
        <v>19.4296528090077</v>
      </c>
      <c r="H633" s="8" t="s">
        <v>689</v>
      </c>
    </row>
    <row r="634" customFormat="false" ht="17.15" hidden="false" customHeight="false" outlineLevel="0" collapsed="false">
      <c r="A634" s="5" t="s">
        <v>690</v>
      </c>
      <c r="B634" s="0" t="s">
        <v>155</v>
      </c>
      <c r="C634" s="19" t="n">
        <f aca="false">mk_mem26*(w_hbm*hsA_26/hsA_26+(1-w_hbm)*drA_26/drA_26)</f>
        <v>2.75</v>
      </c>
      <c r="D634" s="19" t="n">
        <f aca="false">mk_mem26*(w_hbm*hsA_27/hsA_26+(1-w_hbm)*drA_27/drA_26)</f>
        <v>3.88007408374579</v>
      </c>
      <c r="E634" s="19" t="n">
        <f aca="false">mk_mem26*(w_hbm*hsA_28/hsA_26+(1-w_hbm)*drA_28/drA_26)</f>
        <v>5.04607694610671</v>
      </c>
      <c r="F634" s="19" t="n">
        <f aca="false">mk_mem26*(w_hbm*hsA_29/hsA_26+(1-w_hbm)*drA_29/drA_26)</f>
        <v>6.20223782078096</v>
      </c>
      <c r="G634" s="19" t="n">
        <f aca="false">F634*(1+cy30g)</f>
        <v>6.20223782078096</v>
      </c>
      <c r="H634" s="8" t="s">
        <v>691</v>
      </c>
    </row>
    <row r="635" customFormat="false" ht="17.15" hidden="false" customHeight="false" outlineLevel="0" collapsed="false">
      <c r="A635" s="1" t="s">
        <v>692</v>
      </c>
    </row>
    <row r="636" customFormat="false" ht="17.15" hidden="false" customHeight="false" outlineLevel="0" collapsed="false">
      <c r="A636" s="0" t="s">
        <v>693</v>
      </c>
      <c r="B636" s="0" t="s">
        <v>155</v>
      </c>
      <c r="C636" s="19" t="n">
        <f aca="false">fmk_soc25</f>
        <v>7.925</v>
      </c>
      <c r="D636" s="19" t="n">
        <f aca="false">0.75*C633+0.25*D633</f>
        <v>12.1035895196507</v>
      </c>
      <c r="E636" s="19" t="n">
        <f aca="false">0.75*D633+0.25*E633</f>
        <v>15.885564474303</v>
      </c>
      <c r="F636" s="19" t="n">
        <f aca="false">0.75*E633+0.25*F633</f>
        <v>17.783431796305</v>
      </c>
      <c r="G636" s="19" t="n">
        <f aca="false">0.75*F633+0.25*G633</f>
        <v>19.2845453530077</v>
      </c>
    </row>
    <row r="637" customFormat="false" ht="17.15" hidden="false" customHeight="false" outlineLevel="0" collapsed="false">
      <c r="A637" s="5" t="s">
        <v>694</v>
      </c>
      <c r="B637" s="0" t="s">
        <v>155</v>
      </c>
      <c r="C637" s="19" t="n">
        <f aca="false">fmk_mem25</f>
        <v>2.2625</v>
      </c>
      <c r="D637" s="19" t="n">
        <f aca="false">0.75*C634+0.25*D634</f>
        <v>3.03251852093645</v>
      </c>
      <c r="E637" s="19" t="n">
        <f aca="false">0.75*D634+0.25*E634</f>
        <v>4.17157479933602</v>
      </c>
      <c r="F637" s="19" t="n">
        <f aca="false">0.75*E634+0.25*F634</f>
        <v>5.33511716477527</v>
      </c>
      <c r="G637" s="19" t="n">
        <f aca="false">0.75*F634+0.25*G634</f>
        <v>6.20223782078096</v>
      </c>
    </row>
    <row r="638" customFormat="false" ht="17.15" hidden="false" customHeight="false" outlineLevel="0" collapsed="false">
      <c r="A638" s="0" t="s">
        <v>695</v>
      </c>
      <c r="B638" s="0" t="s">
        <v>45</v>
      </c>
      <c r="C638" s="10" t="n">
        <f aca="false">a25_soc/(C636*fx)</f>
        <v>0.645552050473186</v>
      </c>
      <c r="D638" s="10" t="n">
        <f aca="false">sh_soc</f>
        <v>0.66</v>
      </c>
      <c r="E638" s="10" t="n">
        <f aca="false">sh_soc</f>
        <v>0.66</v>
      </c>
      <c r="F638" s="10" t="n">
        <f aca="false">sh_soc</f>
        <v>0.66</v>
      </c>
      <c r="G638" s="10" t="n">
        <f aca="false">sh_soc</f>
        <v>0.66</v>
      </c>
      <c r="H638" s="8" t="s">
        <v>696</v>
      </c>
    </row>
    <row r="639" customFormat="false" ht="17.15" hidden="false" customHeight="false" outlineLevel="0" collapsed="false">
      <c r="A639" s="0" t="s">
        <v>697</v>
      </c>
      <c r="B639" s="0" t="s">
        <v>354</v>
      </c>
      <c r="C639" s="16" t="n">
        <f aca="false">a25_soc</f>
        <v>767.4</v>
      </c>
      <c r="D639" s="16" t="n">
        <f aca="false">D636*D638*fx</f>
        <v>1198.25536244542</v>
      </c>
      <c r="E639" s="16" t="n">
        <f aca="false">E636*E638*fx</f>
        <v>1572.670882956</v>
      </c>
      <c r="F639" s="16" t="n">
        <f aca="false">F636*F638*fx</f>
        <v>1760.5597478342</v>
      </c>
      <c r="G639" s="16" t="n">
        <f aca="false">G636*G638*fx</f>
        <v>1909.16998994777</v>
      </c>
      <c r="H639" s="5" t="s">
        <v>698</v>
      </c>
    </row>
    <row r="640" customFormat="false" ht="15" hidden="false" customHeight="false" outlineLevel="0" collapsed="false">
      <c r="A640" s="5" t="s">
        <v>699</v>
      </c>
      <c r="B640" s="0" t="s">
        <v>354</v>
      </c>
      <c r="C640" s="16" t="n">
        <f aca="false">a25_mem</f>
        <v>171.5</v>
      </c>
      <c r="D640" s="16" t="n">
        <f aca="false">D637*sh_mem*fx</f>
        <v>229.868254736177</v>
      </c>
      <c r="E640" s="16" t="n">
        <f aca="false">E637*sh_mem*fx</f>
        <v>316.209979264587</v>
      </c>
      <c r="F640" s="16" t="n">
        <f aca="false">F637*sh_mem*fx</f>
        <v>404.407776247054</v>
      </c>
      <c r="G640" s="16" t="n">
        <f aca="false">G637*sh_mem*fx</f>
        <v>470.136480116656</v>
      </c>
    </row>
    <row r="641" customFormat="false" ht="15" hidden="false" customHeight="false" outlineLevel="0" collapsed="false">
      <c r="A641" s="5" t="s">
        <v>700</v>
      </c>
      <c r="B641" s="0" t="s">
        <v>354</v>
      </c>
      <c r="C641" s="16" t="n">
        <f aca="false">a25_oth</f>
        <v>80.5</v>
      </c>
      <c r="D641" s="16" t="n">
        <f aca="false">C641*(1+g_oth_26)</f>
        <v>104</v>
      </c>
      <c r="E641" s="16" t="n">
        <f aca="false">D641*(1+g_oth_A)</f>
        <v>119.6</v>
      </c>
      <c r="F641" s="16" t="n">
        <f aca="false">E641*(1+g_oth_A)</f>
        <v>137.54</v>
      </c>
      <c r="G641" s="16" t="n">
        <f aca="false">F641*(1+g_oth_A)</f>
        <v>158.171</v>
      </c>
    </row>
    <row r="642" customFormat="false" ht="15" hidden="false" customHeight="false" outlineLevel="0" collapsed="false">
      <c r="A642" s="5" t="s">
        <v>701</v>
      </c>
      <c r="B642" s="0" t="s">
        <v>354</v>
      </c>
      <c r="C642" s="16" t="n">
        <f aca="false">a25_svc</f>
        <v>109.2</v>
      </c>
      <c r="D642" s="16" t="n">
        <f aca="false">C642*(1+g_svc_26)</f>
        <v>135.6</v>
      </c>
      <c r="E642" s="16" t="n">
        <f aca="false">D642*(1+g_svc_A)</f>
        <v>151.872</v>
      </c>
      <c r="F642" s="16" t="n">
        <f aca="false">E642*(1+g_svc_A)</f>
        <v>170.09664</v>
      </c>
      <c r="G642" s="16" t="n">
        <f aca="false">F642*(1+g_svc_A)</f>
        <v>190.5082368</v>
      </c>
    </row>
    <row r="643" customFormat="false" ht="17.15" hidden="false" customHeight="false" outlineLevel="0" collapsed="false">
      <c r="A643" s="5" t="s">
        <v>702</v>
      </c>
      <c r="B643" s="0" t="s">
        <v>354</v>
      </c>
      <c r="C643" s="16" t="n">
        <f aca="false">C639+C640+C641</f>
        <v>1019.4</v>
      </c>
      <c r="D643" s="16" t="n">
        <f aca="false">D639+D640+D641</f>
        <v>1532.12361718159</v>
      </c>
      <c r="E643" s="16" t="n">
        <f aca="false">E639+E640+E641</f>
        <v>2008.48086222058</v>
      </c>
      <c r="F643" s="16" t="n">
        <f aca="false">F639+F640+F641</f>
        <v>2302.50752408125</v>
      </c>
      <c r="G643" s="16" t="n">
        <f aca="false">G639+G640+G641</f>
        <v>2537.47747006442</v>
      </c>
      <c r="H643" s="5" t="s">
        <v>703</v>
      </c>
    </row>
    <row r="644" customFormat="false" ht="15" hidden="false" customHeight="false" outlineLevel="0" collapsed="false">
      <c r="A644" s="5" t="s">
        <v>566</v>
      </c>
      <c r="B644" s="0" t="s">
        <v>354</v>
      </c>
      <c r="C644" s="16" t="n">
        <f aca="false">C643+C642</f>
        <v>1128.6</v>
      </c>
      <c r="D644" s="16" t="n">
        <f aca="false">D643+D642</f>
        <v>1667.72361718159</v>
      </c>
      <c r="E644" s="16" t="n">
        <f aca="false">E643+E642</f>
        <v>2160.35286222058</v>
      </c>
      <c r="F644" s="16" t="n">
        <f aca="false">F643+F642</f>
        <v>2472.60416408125</v>
      </c>
      <c r="G644" s="16" t="n">
        <f aca="false">G643+G642</f>
        <v>2727.98570686442</v>
      </c>
    </row>
    <row r="645" customFormat="false" ht="17.15" hidden="false" customHeight="false" outlineLevel="0" collapsed="false">
      <c r="A645" s="5" t="s">
        <v>704</v>
      </c>
      <c r="B645" s="0" t="s">
        <v>354</v>
      </c>
      <c r="C645" s="17" t="n">
        <f aca="false">C643+C642-a25_rev</f>
        <v>0</v>
      </c>
    </row>
    <row r="646" customFormat="false" ht="17.15" hidden="false" customHeight="false" outlineLevel="0" collapsed="false">
      <c r="A646" s="0" t="s">
        <v>705</v>
      </c>
      <c r="B646" s="0" t="s">
        <v>45</v>
      </c>
      <c r="C646" s="10" t="n">
        <f aca="false">C639/C644</f>
        <v>0.679957469431154</v>
      </c>
      <c r="D646" s="10" t="n">
        <f aca="false">D639/D644</f>
        <v>0.718497567642793</v>
      </c>
      <c r="E646" s="10" t="n">
        <f aca="false">E639/E644</f>
        <v>0.727969449092441</v>
      </c>
      <c r="F646" s="10" t="n">
        <f aca="false">F639/F644</f>
        <v>0.712026523860672</v>
      </c>
      <c r="G646" s="10" t="n">
        <f aca="false">G639/G644</f>
        <v>0.699846038468503</v>
      </c>
    </row>
    <row r="647" customFormat="false" ht="17.15" hidden="false" customHeight="false" outlineLevel="0" collapsed="false">
      <c r="A647" s="5" t="s">
        <v>570</v>
      </c>
      <c r="B647" s="0" t="s">
        <v>45</v>
      </c>
      <c r="C647" s="10" t="n">
        <f aca="false">a25_gp/a25_rev</f>
        <v>0.643</v>
      </c>
      <c r="D647" s="10" t="n">
        <f aca="false">gm_a+gm_b*D646+0</f>
        <v>0.661619040059589</v>
      </c>
      <c r="E647" s="10" t="n">
        <f aca="false">gm_a+gm_b*E646+0</f>
        <v>0.666194984292585</v>
      </c>
      <c r="F647" s="10" t="n">
        <f aca="false">gm_a+gm_b*F646+0</f>
        <v>0.658492825311898</v>
      </c>
      <c r="G647" s="10" t="n">
        <f aca="false">gm_a+gm_b*G646+0</f>
        <v>0.652608332122062</v>
      </c>
      <c r="H647" s="5" t="s">
        <v>706</v>
      </c>
    </row>
    <row r="648" customFormat="false" ht="15" hidden="false" customHeight="false" outlineLevel="0" collapsed="false">
      <c r="A648" s="5" t="s">
        <v>574</v>
      </c>
      <c r="B648" s="0" t="s">
        <v>354</v>
      </c>
      <c r="C648" s="16" t="n">
        <f aca="false">C644*C647</f>
        <v>725.6898</v>
      </c>
      <c r="D648" s="16" t="n">
        <f aca="false">D644*D647</f>
        <v>1103.39769868439</v>
      </c>
      <c r="E648" s="16" t="n">
        <f aca="false">E644*E647</f>
        <v>1439.21624111348</v>
      </c>
      <c r="F648" s="16" t="n">
        <f aca="false">F644*F647</f>
        <v>1628.19210188383</v>
      </c>
      <c r="G648" s="16" t="n">
        <f aca="false">G644*G647</f>
        <v>1780.30620220961</v>
      </c>
    </row>
    <row r="649" customFormat="false" ht="17.15" hidden="false" customHeight="false" outlineLevel="0" collapsed="false">
      <c r="A649" s="5" t="s">
        <v>707</v>
      </c>
      <c r="B649" s="0" t="s">
        <v>354</v>
      </c>
      <c r="C649" s="16" t="n">
        <f aca="false">opex25</f>
        <v>226.5898</v>
      </c>
      <c r="D649" s="16" t="n">
        <f aca="false">opex_fix+opex_var*D644</f>
        <v>288.496184304186</v>
      </c>
      <c r="E649" s="16" t="n">
        <f aca="false">opex_fix+opex_var*E644</f>
        <v>345.063721675846</v>
      </c>
      <c r="F649" s="16" t="n">
        <f aca="false">opex_fix+opex_var*F644</f>
        <v>380.918854852024</v>
      </c>
      <c r="G649" s="16" t="n">
        <f aca="false">opex_fix+opex_var*G644</f>
        <v>410.243758135579</v>
      </c>
      <c r="H649" s="5" t="s">
        <v>708</v>
      </c>
    </row>
    <row r="650" customFormat="false" ht="15" hidden="false" customHeight="false" outlineLevel="0" collapsed="false">
      <c r="A650" s="5" t="s">
        <v>577</v>
      </c>
      <c r="B650" s="0" t="s">
        <v>354</v>
      </c>
      <c r="C650" s="16" t="n">
        <f aca="false">C648-C649</f>
        <v>499.1</v>
      </c>
      <c r="D650" s="16" t="n">
        <f aca="false">D648-D649</f>
        <v>814.901514380204</v>
      </c>
      <c r="E650" s="16" t="n">
        <f aca="false">E648-E649</f>
        <v>1094.15251943764</v>
      </c>
      <c r="F650" s="16" t="n">
        <f aca="false">F648-F649</f>
        <v>1247.2732470318</v>
      </c>
      <c r="G650" s="16" t="n">
        <f aca="false">G648-G649</f>
        <v>1370.06244407403</v>
      </c>
    </row>
    <row r="651" customFormat="false" ht="15" hidden="false" customHeight="false" outlineLevel="0" collapsed="false">
      <c r="A651" s="5" t="s">
        <v>580</v>
      </c>
      <c r="B651" s="0" t="s">
        <v>45</v>
      </c>
      <c r="C651" s="10" t="n">
        <f aca="false">C650/C644</f>
        <v>0.442229310650363</v>
      </c>
      <c r="D651" s="10" t="n">
        <f aca="false">D650/D644</f>
        <v>0.488631033334747</v>
      </c>
      <c r="E651" s="10" t="n">
        <f aca="false">E650/E644</f>
        <v>0.506469354415083</v>
      </c>
      <c r="F651" s="10" t="n">
        <f aca="false">F650/F644</f>
        <v>0.504437089102474</v>
      </c>
      <c r="G651" s="10" t="n">
        <f aca="false">G650/G644</f>
        <v>0.502224934913167</v>
      </c>
    </row>
    <row r="652" customFormat="false" ht="15" hidden="false" customHeight="false" outlineLevel="0" collapsed="false">
      <c r="A652" s="5" t="s">
        <v>600</v>
      </c>
      <c r="B652" s="0" t="s">
        <v>354</v>
      </c>
      <c r="C652" s="16" t="n">
        <f aca="false">a25_ni</f>
        <v>375.4</v>
      </c>
      <c r="D652" s="16" t="n">
        <f aca="false">D650*nioi_lo</f>
        <v>586.729090353747</v>
      </c>
      <c r="E652" s="16" t="n">
        <f aca="false">E650*nioi_lo</f>
        <v>787.789813995098</v>
      </c>
      <c r="F652" s="16" t="n">
        <f aca="false">F650*nioi_lo</f>
        <v>898.036737862898</v>
      </c>
      <c r="G652" s="16" t="n">
        <f aca="false">G650*nioi_lo</f>
        <v>986.444959733304</v>
      </c>
    </row>
    <row r="653" customFormat="false" ht="15" hidden="false" customHeight="false" outlineLevel="0" collapsed="false">
      <c r="A653" s="0" t="s">
        <v>670</v>
      </c>
      <c r="B653" s="0" t="s">
        <v>403</v>
      </c>
      <c r="C653" s="16" t="n">
        <f aca="false">a25_eps</f>
        <v>515.15</v>
      </c>
      <c r="D653" s="16" t="n">
        <f aca="false">D652*1000/shares</f>
        <v>810.432890803167</v>
      </c>
      <c r="E653" s="16" t="n">
        <f aca="false">E652*1000/shares</f>
        <v>1088.15258489468</v>
      </c>
      <c r="F653" s="16" t="n">
        <f aca="false">F652*1000/shares</f>
        <v>1240.43365409899</v>
      </c>
      <c r="G653" s="16" t="n">
        <f aca="false">G652*1000/shares</f>
        <v>1362.54951983526</v>
      </c>
    </row>
    <row r="654" customFormat="false" ht="17.15" hidden="false" customHeight="false" outlineLevel="0" collapsed="false">
      <c r="A654" s="5" t="s">
        <v>709</v>
      </c>
      <c r="B654" s="0" t="s">
        <v>155</v>
      </c>
      <c r="C654" s="17" t="n">
        <f aca="false">C644/fx</f>
        <v>7.524</v>
      </c>
      <c r="D654" s="17" t="n">
        <f aca="false">D644/fx</f>
        <v>11.1181574478773</v>
      </c>
      <c r="E654" s="17" t="n">
        <f aca="false">E644/fx</f>
        <v>14.4023524148039</v>
      </c>
      <c r="F654" s="17" t="n">
        <f aca="false">F644/fx</f>
        <v>16.4840277605417</v>
      </c>
      <c r="G654" s="17" t="n">
        <f aca="false">G644/fx</f>
        <v>18.1865713790961</v>
      </c>
      <c r="H654" s="8" t="s">
        <v>710</v>
      </c>
    </row>
    <row r="658" customFormat="false" ht="17.15" hidden="false" customHeight="false" outlineLevel="0" collapsed="false">
      <c r="A658" s="4" t="s">
        <v>1090</v>
      </c>
    </row>
    <row r="659" customFormat="false" ht="17.15" hidden="false" customHeight="false" outlineLevel="0" collapsed="false">
      <c r="A659" s="6" t="s">
        <v>23</v>
      </c>
      <c r="B659" s="6" t="s">
        <v>24</v>
      </c>
      <c r="C659" s="14" t="s">
        <v>675</v>
      </c>
      <c r="D659" s="14" t="s">
        <v>676</v>
      </c>
      <c r="E659" s="14" t="s">
        <v>677</v>
      </c>
      <c r="F659" s="14" t="s">
        <v>678</v>
      </c>
      <c r="G659" s="14" t="s">
        <v>679</v>
      </c>
      <c r="H659" s="6" t="s">
        <v>478</v>
      </c>
    </row>
    <row r="660" customFormat="false" ht="17.15" hidden="false" customHeight="false" outlineLevel="0" collapsed="false">
      <c r="A660" s="1" t="s">
        <v>680</v>
      </c>
    </row>
    <row r="661" customFormat="false" ht="17.15" hidden="false" customHeight="false" outlineLevel="0" collapsed="false">
      <c r="A661" s="5" t="s">
        <v>681</v>
      </c>
      <c r="B661" s="5" t="s">
        <v>34</v>
      </c>
      <c r="C661" s="19" t="n">
        <f aca="false">u_bw_26*tt_bw+u_rb_26*tt_rb+u_ru_26*tt_ru+u_hp_26*tt_hp+u_amd_26*tt_amd+u_tpu_26*tt_tpu+u_trn_26*tt_trn+u_oth_26*tt_oth</f>
        <v>14.885</v>
      </c>
      <c r="D661" s="19" t="n">
        <f aca="false">u_bw_27*tt_bw+u_rb_27*tt_rb+u_ru_27*tt_ru+u_hp_27*tt_hp+u_amd_27*tt_amd+u_tpu_27*tt_tpu+u_trn_27*tt_trn+u_oth_27*tt_oth</f>
        <v>24.31</v>
      </c>
      <c r="E661" s="19" t="n">
        <f aca="false">u_bw_28*um28_A*tt_bw+u_rb_28*um28_A*tt_rb+u_ru_28*um28_A*tt_ru+u_hp_28*um28_A*tt_hp+u_amd_28*um28_A*tt_amd+u_tpu_28*um28_A*tt_tpu+u_trn_28*um28_A*tt_trn+u_oth_28*um28_A*tt_oth</f>
        <v>28.1</v>
      </c>
      <c r="F66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9" t="n">
        <f aca="false">F661*(1+cy30g)</f>
        <v>31.99</v>
      </c>
      <c r="H661" s="8" t="s">
        <v>682</v>
      </c>
    </row>
    <row r="662" customFormat="false" ht="17.15" hidden="false" customHeight="false" outlineLevel="0" collapsed="false">
      <c r="A662" s="5" t="s">
        <v>683</v>
      </c>
      <c r="B662" s="0" t="s">
        <v>684</v>
      </c>
      <c r="C662" s="21" t="n">
        <f aca="false">(mk_soc26-nonai26)/C661</f>
        <v>0.450117568021498</v>
      </c>
      <c r="H662" s="5" t="s">
        <v>685</v>
      </c>
    </row>
    <row r="663" customFormat="false" ht="17.15" hidden="false" customHeight="false" outlineLevel="0" collapsed="false">
      <c r="A663" s="0" t="s">
        <v>686</v>
      </c>
      <c r="B663" s="0" t="s">
        <v>155</v>
      </c>
      <c r="C663" s="19" t="n">
        <f aca="false">$C$662*C661*(1-0)^0</f>
        <v>6.7</v>
      </c>
      <c r="D663" s="19" t="n">
        <f aca="false">$C$662*D661*(1-0)^1</f>
        <v>10.9423580786026</v>
      </c>
      <c r="E663" s="19" t="n">
        <f aca="false">$C$662*E661*(1-0)^2</f>
        <v>12.6483036614041</v>
      </c>
      <c r="F663" s="19" t="n">
        <f aca="false">$C$662*F661*(1-0)^3</f>
        <v>14.3992610010077</v>
      </c>
      <c r="G663" s="19" t="n">
        <f aca="false">$C$662*G661*(1-0)^4</f>
        <v>14.3992610010077</v>
      </c>
    </row>
    <row r="664" customFormat="false" ht="17.15" hidden="false" customHeight="false" outlineLevel="0" collapsed="false">
      <c r="A664" s="5" t="s">
        <v>687</v>
      </c>
      <c r="B664" s="0" t="s">
        <v>155</v>
      </c>
      <c r="C664" s="19" t="n">
        <f aca="false">nonai26*(1+g_nonai)^0</f>
        <v>4.3</v>
      </c>
      <c r="D664" s="19" t="n">
        <f aca="false">nonai26*(1+g_nonai)^1</f>
        <v>4.472</v>
      </c>
      <c r="E664" s="19" t="n">
        <f aca="false">nonai26*(1+g_nonai)^2</f>
        <v>4.65088</v>
      </c>
      <c r="F664" s="19" t="n">
        <f aca="false">nonai26*(1+g_nonai)^3</f>
        <v>4.8369152</v>
      </c>
      <c r="G664" s="19" t="n">
        <f aca="false">nonai26*(1+g_nonai)^4</f>
        <v>5.030391808</v>
      </c>
    </row>
    <row r="665" customFormat="false" ht="17.15" hidden="false" customHeight="false" outlineLevel="0" collapsed="false">
      <c r="A665" s="0" t="s">
        <v>688</v>
      </c>
      <c r="B665" s="0" t="s">
        <v>155</v>
      </c>
      <c r="C665" s="19" t="n">
        <f aca="false">C663+C664</f>
        <v>11</v>
      </c>
      <c r="D665" s="19" t="n">
        <f aca="false">D663+D664</f>
        <v>15.4143580786026</v>
      </c>
      <c r="E665" s="19" t="n">
        <f aca="false">E663+E664</f>
        <v>17.2991836614041</v>
      </c>
      <c r="F665" s="19" t="n">
        <f aca="false">F663+F664</f>
        <v>19.2361762010077</v>
      </c>
      <c r="G665" s="19" t="n">
        <f aca="false">G663+G664</f>
        <v>19.4296528090077</v>
      </c>
      <c r="H665" s="8" t="s">
        <v>689</v>
      </c>
    </row>
    <row r="666" customFormat="false" ht="17.15" hidden="false" customHeight="false" outlineLevel="0" collapsed="false">
      <c r="A666" s="5" t="s">
        <v>690</v>
      </c>
      <c r="B666" s="0" t="s">
        <v>155</v>
      </c>
      <c r="C666" s="19" t="n">
        <f aca="false">mk_mem26*(w_hbm*hsA_26/hsA_26+(1-w_hbm)*drA_26/drA_26)</f>
        <v>2.75</v>
      </c>
      <c r="D666" s="19" t="n">
        <f aca="false">mk_mem26*(w_hbm*hsA_27/hsA_26+(1-w_hbm)*drA_27/drA_26)</f>
        <v>3.88007408374579</v>
      </c>
      <c r="E666" s="19" t="n">
        <f aca="false">mk_mem26*(w_hbm*hsA_28/hsA_26+(1-w_hbm)*drA_28/drA_26)</f>
        <v>5.04607694610671</v>
      </c>
      <c r="F666" s="19" t="n">
        <f aca="false">mk_mem26*(w_hbm*hsA_29/hsA_26+(1-w_hbm)*drA_29/drA_26)</f>
        <v>6.20223782078096</v>
      </c>
      <c r="G666" s="19" t="n">
        <f aca="false">F666*(1+cy30g)</f>
        <v>6.20223782078096</v>
      </c>
      <c r="H666" s="8" t="s">
        <v>691</v>
      </c>
    </row>
    <row r="667" customFormat="false" ht="17.15" hidden="false" customHeight="false" outlineLevel="0" collapsed="false">
      <c r="A667" s="1" t="s">
        <v>692</v>
      </c>
    </row>
    <row r="668" customFormat="false" ht="17.15" hidden="false" customHeight="false" outlineLevel="0" collapsed="false">
      <c r="A668" s="0" t="s">
        <v>693</v>
      </c>
      <c r="B668" s="0" t="s">
        <v>155</v>
      </c>
      <c r="C668" s="19" t="n">
        <f aca="false">fmk_soc25</f>
        <v>7.925</v>
      </c>
      <c r="D668" s="19" t="n">
        <f aca="false">0.75*C665+0.25*D665</f>
        <v>12.1035895196507</v>
      </c>
      <c r="E668" s="19" t="n">
        <f aca="false">0.75*D665+0.25*E665</f>
        <v>15.885564474303</v>
      </c>
      <c r="F668" s="19" t="n">
        <f aca="false">0.75*E665+0.25*F665</f>
        <v>17.783431796305</v>
      </c>
      <c r="G668" s="19" t="n">
        <f aca="false">0.75*F665+0.25*G665</f>
        <v>19.2845453530077</v>
      </c>
    </row>
    <row r="669" customFormat="false" ht="17.15" hidden="false" customHeight="false" outlineLevel="0" collapsed="false">
      <c r="A669" s="5" t="s">
        <v>694</v>
      </c>
      <c r="B669" s="0" t="s">
        <v>155</v>
      </c>
      <c r="C669" s="19" t="n">
        <f aca="false">fmk_mem25</f>
        <v>2.2625</v>
      </c>
      <c r="D669" s="19" t="n">
        <f aca="false">0.75*C666+0.25*D666</f>
        <v>3.03251852093645</v>
      </c>
      <c r="E669" s="19" t="n">
        <f aca="false">0.75*D666+0.25*E666</f>
        <v>4.17157479933602</v>
      </c>
      <c r="F669" s="19" t="n">
        <f aca="false">0.75*E666+0.25*F666</f>
        <v>5.33511716477527</v>
      </c>
      <c r="G669" s="19" t="n">
        <f aca="false">0.75*F666+0.25*G666</f>
        <v>6.20223782078096</v>
      </c>
    </row>
    <row r="670" customFormat="false" ht="17.15" hidden="false" customHeight="false" outlineLevel="0" collapsed="false">
      <c r="A670" s="0" t="s">
        <v>695</v>
      </c>
      <c r="B670" s="0" t="s">
        <v>45</v>
      </c>
      <c r="C670" s="10" t="n">
        <f aca="false">a25_soc/(C668*fx)</f>
        <v>0.645552050473186</v>
      </c>
      <c r="D670" s="10" t="n">
        <f aca="false">sh_soc</f>
        <v>0.66</v>
      </c>
      <c r="E670" s="10" t="n">
        <f aca="false">sh_soc</f>
        <v>0.66</v>
      </c>
      <c r="F670" s="10" t="n">
        <f aca="false">sh_soc</f>
        <v>0.66</v>
      </c>
      <c r="G670" s="10" t="n">
        <f aca="false">sh_soc</f>
        <v>0.66</v>
      </c>
      <c r="H670" s="8" t="s">
        <v>696</v>
      </c>
    </row>
    <row r="671" customFormat="false" ht="17.15" hidden="false" customHeight="false" outlineLevel="0" collapsed="false">
      <c r="A671" s="0" t="s">
        <v>697</v>
      </c>
      <c r="B671" s="0" t="s">
        <v>354</v>
      </c>
      <c r="C671" s="16" t="n">
        <f aca="false">a25_soc</f>
        <v>767.4</v>
      </c>
      <c r="D671" s="16" t="n">
        <f aca="false">D668*D670*fx</f>
        <v>1198.25536244542</v>
      </c>
      <c r="E671" s="16" t="n">
        <f aca="false">E668*E670*fx</f>
        <v>1572.670882956</v>
      </c>
      <c r="F671" s="16" t="n">
        <f aca="false">F668*F670*fx</f>
        <v>1760.5597478342</v>
      </c>
      <c r="G671" s="16" t="n">
        <f aca="false">G668*G670*fx</f>
        <v>1909.16998994777</v>
      </c>
      <c r="H671" s="5" t="s">
        <v>698</v>
      </c>
    </row>
    <row r="672" customFormat="false" ht="15" hidden="false" customHeight="false" outlineLevel="0" collapsed="false">
      <c r="A672" s="5" t="s">
        <v>699</v>
      </c>
      <c r="B672" s="0" t="s">
        <v>354</v>
      </c>
      <c r="C672" s="16" t="n">
        <f aca="false">a25_mem</f>
        <v>171.5</v>
      </c>
      <c r="D672" s="16" t="n">
        <f aca="false">D669*sh_mem*fx</f>
        <v>229.868254736177</v>
      </c>
      <c r="E672" s="16" t="n">
        <f aca="false">E669*sh_mem*fx</f>
        <v>316.209979264587</v>
      </c>
      <c r="F672" s="16" t="n">
        <f aca="false">F669*sh_mem*fx</f>
        <v>404.407776247054</v>
      </c>
      <c r="G672" s="16" t="n">
        <f aca="false">G669*sh_mem*fx</f>
        <v>470.136480116656</v>
      </c>
    </row>
    <row r="673" customFormat="false" ht="15" hidden="false" customHeight="false" outlineLevel="0" collapsed="false">
      <c r="A673" s="5" t="s">
        <v>700</v>
      </c>
      <c r="B673" s="0" t="s">
        <v>354</v>
      </c>
      <c r="C673" s="16" t="n">
        <f aca="false">a25_oth</f>
        <v>80.5</v>
      </c>
      <c r="D673" s="16" t="n">
        <f aca="false">C673*(1+g_oth_26)</f>
        <v>104</v>
      </c>
      <c r="E673" s="16" t="n">
        <f aca="false">D673*(1+g_oth_A)</f>
        <v>119.6</v>
      </c>
      <c r="F673" s="16" t="n">
        <f aca="false">E673*(1+g_oth_A)</f>
        <v>137.54</v>
      </c>
      <c r="G673" s="16" t="n">
        <f aca="false">F673*(1+g_oth_A)</f>
        <v>158.171</v>
      </c>
    </row>
    <row r="674" customFormat="false" ht="15" hidden="false" customHeight="false" outlineLevel="0" collapsed="false">
      <c r="A674" s="5" t="s">
        <v>701</v>
      </c>
      <c r="B674" s="0" t="s">
        <v>354</v>
      </c>
      <c r="C674" s="16" t="n">
        <f aca="false">a25_svc</f>
        <v>109.2</v>
      </c>
      <c r="D674" s="16" t="n">
        <f aca="false">C674*(1+g_svc_26)</f>
        <v>135.6</v>
      </c>
      <c r="E674" s="16" t="n">
        <f aca="false">D674*(1+g_svc_A)</f>
        <v>151.872</v>
      </c>
      <c r="F674" s="16" t="n">
        <f aca="false">E674*(1+g_svc_A)</f>
        <v>170.09664</v>
      </c>
      <c r="G674" s="16" t="n">
        <f aca="false">F674*(1+g_svc_A)</f>
        <v>190.5082368</v>
      </c>
    </row>
    <row r="675" customFormat="false" ht="17.15" hidden="false" customHeight="false" outlineLevel="0" collapsed="false">
      <c r="A675" s="5" t="s">
        <v>702</v>
      </c>
      <c r="B675" s="0" t="s">
        <v>354</v>
      </c>
      <c r="C675" s="16" t="n">
        <f aca="false">C671+C672+C673</f>
        <v>1019.4</v>
      </c>
      <c r="D675" s="16" t="n">
        <f aca="false">D671+D672+D673</f>
        <v>1532.12361718159</v>
      </c>
      <c r="E675" s="16" t="n">
        <f aca="false">E671+E672+E673</f>
        <v>2008.48086222058</v>
      </c>
      <c r="F675" s="16" t="n">
        <f aca="false">F671+F672+F673</f>
        <v>2302.50752408125</v>
      </c>
      <c r="G675" s="16" t="n">
        <f aca="false">G671+G672+G673</f>
        <v>2537.47747006442</v>
      </c>
      <c r="H675" s="5" t="s">
        <v>703</v>
      </c>
    </row>
    <row r="676" customFormat="false" ht="15" hidden="false" customHeight="false" outlineLevel="0" collapsed="false">
      <c r="A676" s="5" t="s">
        <v>566</v>
      </c>
      <c r="B676" s="0" t="s">
        <v>354</v>
      </c>
      <c r="C676" s="16" t="n">
        <f aca="false">C675+C674</f>
        <v>1128.6</v>
      </c>
      <c r="D676" s="16" t="n">
        <f aca="false">D675+D674</f>
        <v>1667.72361718159</v>
      </c>
      <c r="E676" s="16" t="n">
        <f aca="false">E675+E674</f>
        <v>2160.35286222058</v>
      </c>
      <c r="F676" s="16" t="n">
        <f aca="false">F675+F674</f>
        <v>2472.60416408125</v>
      </c>
      <c r="G676" s="16" t="n">
        <f aca="false">G675+G674</f>
        <v>2727.98570686442</v>
      </c>
    </row>
    <row r="677" customFormat="false" ht="17.15" hidden="false" customHeight="false" outlineLevel="0" collapsed="false">
      <c r="A677" s="5" t="s">
        <v>704</v>
      </c>
      <c r="B677" s="0" t="s">
        <v>354</v>
      </c>
      <c r="C677" s="17" t="n">
        <f aca="false">C675+C674-a25_rev</f>
        <v>0</v>
      </c>
    </row>
    <row r="678" customFormat="false" ht="17.15" hidden="false" customHeight="false" outlineLevel="0" collapsed="false">
      <c r="A678" s="0" t="s">
        <v>705</v>
      </c>
      <c r="B678" s="0" t="s">
        <v>45</v>
      </c>
      <c r="C678" s="10" t="n">
        <f aca="false">C671/C676</f>
        <v>0.679957469431154</v>
      </c>
      <c r="D678" s="10" t="n">
        <f aca="false">D671/D676</f>
        <v>0.718497567642793</v>
      </c>
      <c r="E678" s="10" t="n">
        <f aca="false">E671/E676</f>
        <v>0.727969449092441</v>
      </c>
      <c r="F678" s="10" t="n">
        <f aca="false">F671/F676</f>
        <v>0.712026523860672</v>
      </c>
      <c r="G678" s="10" t="n">
        <f aca="false">G671/G676</f>
        <v>0.699846038468503</v>
      </c>
    </row>
    <row r="679" customFormat="false" ht="17.15" hidden="false" customHeight="false" outlineLevel="0" collapsed="false">
      <c r="A679" s="5" t="s">
        <v>570</v>
      </c>
      <c r="B679" s="0" t="s">
        <v>45</v>
      </c>
      <c r="C679" s="10" t="n">
        <f aca="false">a25_gp/a25_rev</f>
        <v>0.643</v>
      </c>
      <c r="D679" s="10" t="n">
        <f aca="false">gm_a+gm_b*D678+0</f>
        <v>0.661619040059589</v>
      </c>
      <c r="E679" s="10" t="n">
        <f aca="false">gm_a+gm_b*E678+0</f>
        <v>0.666194984292585</v>
      </c>
      <c r="F679" s="10" t="n">
        <f aca="false">gm_a+gm_b*F678+0</f>
        <v>0.658492825311898</v>
      </c>
      <c r="G679" s="10" t="n">
        <f aca="false">gm_a+gm_b*G678+0</f>
        <v>0.652608332122062</v>
      </c>
      <c r="H679" s="5" t="s">
        <v>706</v>
      </c>
    </row>
    <row r="680" customFormat="false" ht="15" hidden="false" customHeight="false" outlineLevel="0" collapsed="false">
      <c r="A680" s="5" t="s">
        <v>574</v>
      </c>
      <c r="B680" s="0" t="s">
        <v>354</v>
      </c>
      <c r="C680" s="16" t="n">
        <f aca="false">C676*C679</f>
        <v>725.6898</v>
      </c>
      <c r="D680" s="16" t="n">
        <f aca="false">D676*D679</f>
        <v>1103.39769868439</v>
      </c>
      <c r="E680" s="16" t="n">
        <f aca="false">E676*E679</f>
        <v>1439.21624111348</v>
      </c>
      <c r="F680" s="16" t="n">
        <f aca="false">F676*F679</f>
        <v>1628.19210188383</v>
      </c>
      <c r="G680" s="16" t="n">
        <f aca="false">G676*G679</f>
        <v>1780.30620220961</v>
      </c>
    </row>
    <row r="681" customFormat="false" ht="17.15" hidden="false" customHeight="false" outlineLevel="0" collapsed="false">
      <c r="A681" s="5" t="s">
        <v>707</v>
      </c>
      <c r="B681" s="0" t="s">
        <v>354</v>
      </c>
      <c r="C681" s="16" t="n">
        <f aca="false">opex25</f>
        <v>226.5898</v>
      </c>
      <c r="D681" s="16" t="n">
        <f aca="false">opex_fix+opex_var*D676</f>
        <v>288.496184304186</v>
      </c>
      <c r="E681" s="16" t="n">
        <f aca="false">opex_fix+opex_var*E676</f>
        <v>345.063721675846</v>
      </c>
      <c r="F681" s="16" t="n">
        <f aca="false">opex_fix+opex_var*F676</f>
        <v>380.918854852024</v>
      </c>
      <c r="G681" s="16" t="n">
        <f aca="false">opex_fix+opex_var*G676</f>
        <v>410.243758135579</v>
      </c>
      <c r="H681" s="5" t="s">
        <v>708</v>
      </c>
    </row>
    <row r="682" customFormat="false" ht="15" hidden="false" customHeight="false" outlineLevel="0" collapsed="false">
      <c r="A682" s="5" t="s">
        <v>577</v>
      </c>
      <c r="B682" s="0" t="s">
        <v>354</v>
      </c>
      <c r="C682" s="16" t="n">
        <f aca="false">C680-C681</f>
        <v>499.1</v>
      </c>
      <c r="D682" s="16" t="n">
        <f aca="false">D680-D681</f>
        <v>814.901514380204</v>
      </c>
      <c r="E682" s="16" t="n">
        <f aca="false">E680-E681</f>
        <v>1094.15251943764</v>
      </c>
      <c r="F682" s="16" t="n">
        <f aca="false">F680-F681</f>
        <v>1247.2732470318</v>
      </c>
      <c r="G682" s="16" t="n">
        <f aca="false">G680-G681</f>
        <v>1370.06244407403</v>
      </c>
    </row>
    <row r="683" customFormat="false" ht="15" hidden="false" customHeight="false" outlineLevel="0" collapsed="false">
      <c r="A683" s="5" t="s">
        <v>580</v>
      </c>
      <c r="B683" s="0" t="s">
        <v>45</v>
      </c>
      <c r="C683" s="10" t="n">
        <f aca="false">C682/C676</f>
        <v>0.442229310650363</v>
      </c>
      <c r="D683" s="10" t="n">
        <f aca="false">D682/D676</f>
        <v>0.488631033334747</v>
      </c>
      <c r="E683" s="10" t="n">
        <f aca="false">E682/E676</f>
        <v>0.506469354415083</v>
      </c>
      <c r="F683" s="10" t="n">
        <f aca="false">F682/F676</f>
        <v>0.504437089102474</v>
      </c>
      <c r="G683" s="10" t="n">
        <f aca="false">G682/G676</f>
        <v>0.502224934913167</v>
      </c>
    </row>
    <row r="684" customFormat="false" ht="15" hidden="false" customHeight="false" outlineLevel="0" collapsed="false">
      <c r="A684" s="5" t="s">
        <v>600</v>
      </c>
      <c r="B684" s="0" t="s">
        <v>354</v>
      </c>
      <c r="C684" s="16" t="n">
        <f aca="false">a25_ni</f>
        <v>375.4</v>
      </c>
      <c r="D684" s="16" t="n">
        <f aca="false">D682*nioi_hi</f>
        <v>635.738770083847</v>
      </c>
      <c r="E684" s="16" t="n">
        <f aca="false">E682*nioi_hi</f>
        <v>853.594164100284</v>
      </c>
      <c r="F684" s="16" t="n">
        <f aca="false">F682*nioi_hi</f>
        <v>973.050050875874</v>
      </c>
      <c r="G684" s="16" t="n">
        <f aca="false">G682*nioi_hi</f>
        <v>1068.8430414762</v>
      </c>
    </row>
    <row r="685" customFormat="false" ht="15" hidden="false" customHeight="false" outlineLevel="0" collapsed="false">
      <c r="A685" s="0" t="s">
        <v>670</v>
      </c>
      <c r="B685" s="0" t="s">
        <v>403</v>
      </c>
      <c r="C685" s="16" t="n">
        <f aca="false">a25_eps</f>
        <v>515.15</v>
      </c>
      <c r="D685" s="16" t="n">
        <f aca="false">D684*1000/shares</f>
        <v>878.128624786725</v>
      </c>
      <c r="E685" s="16" t="n">
        <f aca="false">E684*1000/shares</f>
        <v>1179.04633903088</v>
      </c>
      <c r="F685" s="16" t="n">
        <f aca="false">F684*1000/shares</f>
        <v>1344.04749754619</v>
      </c>
      <c r="G685" s="16" t="n">
        <f aca="false">G684*1000/shares</f>
        <v>1476.3637429263</v>
      </c>
    </row>
    <row r="686" customFormat="false" ht="17.15" hidden="false" customHeight="false" outlineLevel="0" collapsed="false">
      <c r="A686" s="5" t="s">
        <v>709</v>
      </c>
      <c r="B686" s="0" t="s">
        <v>155</v>
      </c>
      <c r="C686" s="17" t="n">
        <f aca="false">C676/fx</f>
        <v>7.524</v>
      </c>
      <c r="D686" s="17" t="n">
        <f aca="false">D676/fx</f>
        <v>11.1181574478773</v>
      </c>
      <c r="E686" s="17" t="n">
        <f aca="false">E676/fx</f>
        <v>14.4023524148039</v>
      </c>
      <c r="F686" s="17" t="n">
        <f aca="false">F676/fx</f>
        <v>16.4840277605417</v>
      </c>
      <c r="G686" s="17" t="n">
        <f aca="false">G676/fx</f>
        <v>18.1865713790961</v>
      </c>
      <c r="H686" s="8" t="s">
        <v>710</v>
      </c>
    </row>
    <row r="689" customFormat="false" ht="17.15" hidden="false" customHeight="false" outlineLevel="0" collapsed="false">
      <c r="A689" s="4" t="s">
        <v>1091</v>
      </c>
    </row>
    <row r="690" customFormat="false" ht="17.15" hidden="false" customHeight="false" outlineLevel="0" collapsed="false">
      <c r="A690" s="6" t="s">
        <v>1024</v>
      </c>
      <c r="B690" s="6" t="s">
        <v>1025</v>
      </c>
      <c r="C690" s="14" t="s">
        <v>1092</v>
      </c>
      <c r="D690" s="14" t="s">
        <v>982</v>
      </c>
      <c r="E690" s="6" t="s">
        <v>1093</v>
      </c>
      <c r="F690" s="6" t="s">
        <v>1028</v>
      </c>
    </row>
    <row r="691" customFormat="false" ht="17.15" hidden="false" customHeight="false" outlineLevel="0" collapsed="false">
      <c r="A691" s="5" t="s">
        <v>26</v>
      </c>
      <c r="B691" s="0" t="s">
        <v>1094</v>
      </c>
      <c r="C691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16514.9379226864</v>
      </c>
      <c r="D691" s="13" t="n">
        <f aca="false">tp_comp_adj</f>
        <v>31195.1980390799</v>
      </c>
      <c r="E691" s="13" t="n">
        <f aca="false">tp_w_dcf*C691+(1-tp_w_dcf)*D691</f>
        <v>23855.0679808832</v>
      </c>
      <c r="F691" s="10" t="n">
        <f aca="false">E691/E$691-1</f>
        <v>0</v>
      </c>
    </row>
    <row r="692" customFormat="false" ht="17.15" hidden="false" customHeight="false" outlineLevel="0" collapsed="false">
      <c r="A692" s="5" t="s">
        <v>1095</v>
      </c>
      <c r="B692" s="0" t="s">
        <v>1096</v>
      </c>
      <c r="C692" s="13" t="n">
        <f aca="false">(tp_wA*(Val!B115*(1-MIN(tp_g/tp_roe,0.8))/(1+(tp_r+0.01))^1+Val!B116*(1-MIN(tp_g/tp_roe,0.8))/(1+(tp_r+0.01))^2+Val!B117*(1-MIN(tp_g/tp_roe,0.8))/(1+(tp_r+0.01))^3+Val!B118*(1-MIN(tp_g/tp_roe,0.8))/(1+(tp_r+0.01))^4+Val!B119*(1-MIN(tp_g/tp_roe,0.8))/(1+(tp_r+0.01))^5+Val!B120*(1-MIN(tp_g/tp_roe,0.8))/(1+(tp_r+0.01))^6+Val!B120*(1-MIN(tp_g/tp_roe,0.8))*(1+tp_g)/((tp_r+0.01)-tp_g)/(1+(tp_r+0.01))^6)+tp_wB*(Val!C115*(1-MIN(tp_g/tp_roe,0.8))/(1+(tp_r+0.01))^1+Val!C116*(1-MIN(tp_g/tp_roe,0.8))/(1+(tp_r+0.01))^2+Val!C117*(1-MIN(tp_g/tp_roe,0.8))/(1+(tp_r+0.01))^3+Val!C118*(1-MIN(tp_g/tp_roe,0.8))/(1+(tp_r+0.01))^4+Val!C119*(1-MIN(tp_g/tp_roe,0.8))/(1+(tp_r+0.01))^5+Val!C120*(1-MIN(tp_g/tp_roe,0.8))/(1+(tp_r+0.01))^6+Val!C120*(1-MIN(tp_g/tp_roe,0.8))*(1+tp_g)/((tp_r+0.01)-tp_g)/(1+(tp_r+0.01))^6)+tp_wC*(Val!D115*(1-MIN(tp_g/tp_roe,0.8))/(1+(tp_r+0.01))^1+Val!D116*(1-MIN(tp_g/tp_roe,0.8))/(1+(tp_r+0.01))^2+Val!D117*(1-MIN(tp_g/tp_roe,0.8))/(1+(tp_r+0.01))^3+Val!D118*(1-MIN(tp_g/tp_roe,0.8))/(1+(tp_r+0.01))^4+Val!D119*(1-MIN(tp_g/tp_roe,0.8))/(1+(tp_r+0.01))^5+Val!D120*(1-MIN(tp_g/tp_roe,0.8))/(1+(tp_r+0.01))^6+Val!D120*(1-MIN(tp_g/tp_roe,0.8))*(1+tp_g)/((tp_r+0.01)-tp_g)/(1+(tp_r+0.01))^6))*(1+(tp_r+0.01))</f>
        <v>14330.5981895399</v>
      </c>
      <c r="D692" s="13" t="n">
        <f aca="false">tp_comp_adj</f>
        <v>31195.1980390799</v>
      </c>
      <c r="E692" s="13" t="n">
        <f aca="false">tp_w_dcf*C692+(1-tp_w_dcf)*D692</f>
        <v>22762.8981143099</v>
      </c>
      <c r="F692" s="10" t="n">
        <f aca="false">E692/E$691-1</f>
        <v>-0.0457835570809742</v>
      </c>
    </row>
    <row r="693" customFormat="false" ht="17.15" hidden="false" customHeight="false" outlineLevel="0" collapsed="false">
      <c r="A693" s="5" t="s">
        <v>1097</v>
      </c>
      <c r="B693" s="0" t="s">
        <v>1098</v>
      </c>
      <c r="C693" s="13" t="n">
        <f aca="false">(tp_wA*(Val!B115*(1-MIN(tp_g/tp_roe,0.8))/(1+(tp_r-0.01))^1+Val!B116*(1-MIN(tp_g/tp_roe,0.8))/(1+(tp_r-0.01))^2+Val!B117*(1-MIN(tp_g/tp_roe,0.8))/(1+(tp_r-0.01))^3+Val!B118*(1-MIN(tp_g/tp_roe,0.8))/(1+(tp_r-0.01))^4+Val!B119*(1-MIN(tp_g/tp_roe,0.8))/(1+(tp_r-0.01))^5+Val!B120*(1-MIN(tp_g/tp_roe,0.8))/(1+(tp_r-0.01))^6+Val!B120*(1-MIN(tp_g/tp_roe,0.8))*(1+tp_g)/((tp_r-0.01)-tp_g)/(1+(tp_r-0.01))^6)+tp_wB*(Val!C115*(1-MIN(tp_g/tp_roe,0.8))/(1+(tp_r-0.01))^1+Val!C116*(1-MIN(tp_g/tp_roe,0.8))/(1+(tp_r-0.01))^2+Val!C117*(1-MIN(tp_g/tp_roe,0.8))/(1+(tp_r-0.01))^3+Val!C118*(1-MIN(tp_g/tp_roe,0.8))/(1+(tp_r-0.01))^4+Val!C119*(1-MIN(tp_g/tp_roe,0.8))/(1+(tp_r-0.01))^5+Val!C120*(1-MIN(tp_g/tp_roe,0.8))/(1+(tp_r-0.01))^6+Val!C120*(1-MIN(tp_g/tp_roe,0.8))*(1+tp_g)/((tp_r-0.01)-tp_g)/(1+(tp_r-0.01))^6)+tp_wC*(Val!D115*(1-MIN(tp_g/tp_roe,0.8))/(1+(tp_r-0.01))^1+Val!D116*(1-MIN(tp_g/tp_roe,0.8))/(1+(tp_r-0.01))^2+Val!D117*(1-MIN(tp_g/tp_roe,0.8))/(1+(tp_r-0.01))^3+Val!D118*(1-MIN(tp_g/tp_roe,0.8))/(1+(tp_r-0.01))^4+Val!D119*(1-MIN(tp_g/tp_roe,0.8))/(1+(tp_r-0.01))^5+Val!D120*(1-MIN(tp_g/tp_roe,0.8))/(1+(tp_r-0.01))^6+Val!D120*(1-MIN(tp_g/tp_roe,0.8))*(1+tp_g)/((tp_r-0.01)-tp_g)/(1+(tp_r-0.01))^6))*(1+(tp_r-0.01))</f>
        <v>19570.7159332454</v>
      </c>
      <c r="D693" s="13" t="n">
        <f aca="false">tp_comp_adj</f>
        <v>31195.1980390799</v>
      </c>
      <c r="E693" s="13" t="n">
        <f aca="false">tp_w_dcf*C693+(1-tp_w_dcf)*D693</f>
        <v>25382.9569861627</v>
      </c>
      <c r="F693" s="10" t="n">
        <f aca="false">E693/E$691-1</f>
        <v>0.0640488220995183</v>
      </c>
    </row>
    <row r="694" customFormat="false" ht="17.15" hidden="false" customHeight="false" outlineLevel="0" collapsed="false">
      <c r="A694" s="5" t="s">
        <v>1099</v>
      </c>
      <c r="B694" s="0" t="s">
        <v>1100</v>
      </c>
      <c r="C694" s="13" t="n">
        <f aca="false">(tp_wA*(Val!B115*(1-MIN((tp_g+0.01)/tp_roe,0.8))/(1+tp_r)^1+Val!B116*(1-MIN((tp_g+0.01)/tp_roe,0.8))/(1+tp_r)^2+Val!B117*(1-MIN((tp_g+0.01)/tp_roe,0.8))/(1+tp_r)^3+Val!B118*(1-MIN((tp_g+0.01)/tp_roe,0.8))/(1+tp_r)^4+Val!B119*(1-MIN((tp_g+0.01)/tp_roe,0.8))/(1+tp_r)^5+Val!B120*(1-MIN((tp_g+0.01)/tp_roe,0.8))/(1+tp_r)^6+Val!B120*(1-MIN((tp_g+0.01)/tp_roe,0.8))*(1+(tp_g+0.01))/(tp_r-(tp_g+0.01))/(1+tp_r)^6)+tp_wB*(Val!C115*(1-MIN((tp_g+0.01)/tp_roe,0.8))/(1+tp_r)^1+Val!C116*(1-MIN((tp_g+0.01)/tp_roe,0.8))/(1+tp_r)^2+Val!C117*(1-MIN((tp_g+0.01)/tp_roe,0.8))/(1+tp_r)^3+Val!C118*(1-MIN((tp_g+0.01)/tp_roe,0.8))/(1+tp_r)^4+Val!C119*(1-MIN((tp_g+0.01)/tp_roe,0.8))/(1+tp_r)^5+Val!C120*(1-MIN((tp_g+0.01)/tp_roe,0.8))/(1+tp_r)^6+Val!C120*(1-MIN((tp_g+0.01)/tp_roe,0.8))*(1+(tp_g+0.01))/(tp_r-(tp_g+0.01))/(1+tp_r)^6)+tp_wC*(Val!D115*(1-MIN((tp_g+0.01)/tp_roe,0.8))/(1+tp_r)^1+Val!D116*(1-MIN((tp_g+0.01)/tp_roe,0.8))/(1+tp_r)^2+Val!D117*(1-MIN((tp_g+0.01)/tp_roe,0.8))/(1+tp_r)^3+Val!D118*(1-MIN((tp_g+0.01)/tp_roe,0.8))/(1+tp_r)^4+Val!D119*(1-MIN((tp_g+0.01)/tp_roe,0.8))/(1+tp_r)^5+Val!D120*(1-MIN((tp_g+0.01)/tp_roe,0.8))/(1+tp_r)^6+Val!D120*(1-MIN((tp_g+0.01)/tp_roe,0.8))*(1+(tp_g+0.01))/(tp_r-(tp_g+0.01))/(1+tp_r)^6))*(1+tp_r)</f>
        <v>18356.6800670742</v>
      </c>
      <c r="D694" s="13" t="n">
        <f aca="false">tp_comp_adj</f>
        <v>31195.1980390799</v>
      </c>
      <c r="E694" s="13" t="n">
        <f aca="false">tp_w_dcf*C694+(1-tp_w_dcf)*D694</f>
        <v>24775.9390530771</v>
      </c>
      <c r="F694" s="10" t="n">
        <f aca="false">E694/E$691-1</f>
        <v>0.0386027435734773</v>
      </c>
    </row>
    <row r="695" customFormat="false" ht="17.15" hidden="false" customHeight="false" outlineLevel="0" collapsed="false">
      <c r="A695" s="5" t="s">
        <v>1101</v>
      </c>
      <c r="B695" s="0" t="s">
        <v>1102</v>
      </c>
      <c r="C695" s="13" t="n">
        <f aca="false">(tp_wA*(Val!B115*(1-MIN((tp_g-0.01)/tp_roe,0.8))/(1+tp_r)^1+Val!B116*(1-MIN((tp_g-0.01)/tp_roe,0.8))/(1+tp_r)^2+Val!B117*(1-MIN((tp_g-0.01)/tp_roe,0.8))/(1+tp_r)^3+Val!B118*(1-MIN((tp_g-0.01)/tp_roe,0.8))/(1+tp_r)^4+Val!B119*(1-MIN((tp_g-0.01)/tp_roe,0.8))/(1+tp_r)^5+Val!B120*(1-MIN((tp_g-0.01)/tp_roe,0.8))/(1+tp_r)^6+Val!B120*(1-MIN((tp_g-0.01)/tp_roe,0.8))*(1+(tp_g-0.01))/(tp_r-(tp_g-0.01))/(1+tp_r)^6)+tp_wB*(Val!C115*(1-MIN((tp_g-0.01)/tp_roe,0.8))/(1+tp_r)^1+Val!C116*(1-MIN((tp_g-0.01)/tp_roe,0.8))/(1+tp_r)^2+Val!C117*(1-MIN((tp_g-0.01)/tp_roe,0.8))/(1+tp_r)^3+Val!C118*(1-MIN((tp_g-0.01)/tp_roe,0.8))/(1+tp_r)^4+Val!C119*(1-MIN((tp_g-0.01)/tp_roe,0.8))/(1+tp_r)^5+Val!C120*(1-MIN((tp_g-0.01)/tp_roe,0.8))/(1+tp_r)^6+Val!C120*(1-MIN((tp_g-0.01)/tp_roe,0.8))*(1+(tp_g-0.01))/(tp_r-(tp_g-0.01))/(1+tp_r)^6)+tp_wC*(Val!D115*(1-MIN((tp_g-0.01)/tp_roe,0.8))/(1+tp_r)^1+Val!D116*(1-MIN((tp_g-0.01)/tp_roe,0.8))/(1+tp_r)^2+Val!D117*(1-MIN((tp_g-0.01)/tp_roe,0.8))/(1+tp_r)^3+Val!D118*(1-MIN((tp_g-0.01)/tp_roe,0.8))/(1+tp_r)^4+Val!D119*(1-MIN((tp_g-0.01)/tp_roe,0.8))/(1+tp_r)^5+Val!D120*(1-MIN((tp_g-0.01)/tp_roe,0.8))/(1+tp_r)^6+Val!D120*(1-MIN((tp_g-0.01)/tp_roe,0.8))*(1+(tp_g-0.01))/(tp_r-(tp_g-0.01))/(1+tp_r)^6))*(1+tp_r)</f>
        <v>15238.2543489614</v>
      </c>
      <c r="D695" s="13" t="n">
        <f aca="false">tp_comp_adj</f>
        <v>31195.1980390799</v>
      </c>
      <c r="E695" s="13" t="n">
        <f aca="false">tp_w_dcf*C695+(1-tp_w_dcf)*D695</f>
        <v>23216.7261940206</v>
      </c>
      <c r="F695" s="10" t="n">
        <f aca="false">E695/E$691-1</f>
        <v>-0.0267591686334365</v>
      </c>
    </row>
    <row r="696" customFormat="false" ht="17.15" hidden="false" customHeight="false" outlineLevel="0" collapsed="false">
      <c r="A696" s="0" t="s">
        <v>1103</v>
      </c>
      <c r="B696" s="0" t="s">
        <v>1104</v>
      </c>
      <c r="C696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16514.9379226864</v>
      </c>
      <c r="D696" s="13" t="n">
        <f aca="false">tp_comp_adj</f>
        <v>31195.1980390799</v>
      </c>
      <c r="E696" s="13" t="n">
        <f aca="false">0.4*C696+(1-0.4)*D696</f>
        <v>25323.0939925225</v>
      </c>
      <c r="F696" s="10" t="n">
        <f aca="false">E696/E$691-1</f>
        <v>0.0615393765725496</v>
      </c>
    </row>
    <row r="697" customFormat="false" ht="17.15" hidden="false" customHeight="false" outlineLevel="0" collapsed="false">
      <c r="A697" s="0" t="s">
        <v>1105</v>
      </c>
      <c r="B697" s="0" t="s">
        <v>1106</v>
      </c>
      <c r="C697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16514.9379226864</v>
      </c>
      <c r="D697" s="13" t="n">
        <f aca="false">tp_comp_adj</f>
        <v>31195.1980390799</v>
      </c>
      <c r="E697" s="13" t="n">
        <f aca="false">0.8*C697+(1-0.8)*D697</f>
        <v>19450.9899459651</v>
      </c>
      <c r="F697" s="10" t="n">
        <f aca="false">E697/E$691-1</f>
        <v>-0.18461812971765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1107</v>
      </c>
    </row>
    <row r="2" customFormat="false" ht="17.15" hidden="false" customHeight="false" outlineLevel="0" collapsed="false">
      <c r="A2" s="5" t="s">
        <v>1108</v>
      </c>
      <c r="B2" s="0" t="s">
        <v>1109</v>
      </c>
    </row>
    <row r="3" customFormat="false" ht="17.15" hidden="false" customHeight="false" outlineLevel="0" collapsed="false">
      <c r="A3" s="5" t="s">
        <v>1110</v>
      </c>
      <c r="B3" s="0" t="s">
        <v>1111</v>
      </c>
    </row>
    <row r="4" customFormat="false" ht="17.15" hidden="false" customHeight="false" outlineLevel="0" collapsed="false">
      <c r="A4" s="5" t="s">
        <v>1112</v>
      </c>
      <c r="B4" s="0" t="s">
        <v>1113</v>
      </c>
    </row>
    <row r="5" customFormat="false" ht="17.15" hidden="false" customHeight="false" outlineLevel="0" collapsed="false">
      <c r="A5" s="5" t="s">
        <v>1114</v>
      </c>
      <c r="B5" s="0" t="s">
        <v>1115</v>
      </c>
    </row>
    <row r="6" customFormat="false" ht="17.15" hidden="false" customHeight="false" outlineLevel="0" collapsed="false">
      <c r="A6" s="5" t="s">
        <v>1116</v>
      </c>
      <c r="B6" s="0" t="s">
        <v>1117</v>
      </c>
    </row>
    <row r="7" customFormat="false" ht="17.15" hidden="false" customHeight="false" outlineLevel="0" collapsed="false">
      <c r="A7" s="5" t="s">
        <v>1118</v>
      </c>
      <c r="B7" s="0" t="s">
        <v>1119</v>
      </c>
    </row>
    <row r="8" customFormat="false" ht="17.15" hidden="false" customHeight="false" outlineLevel="0" collapsed="false">
      <c r="A8" s="5" t="s">
        <v>1120</v>
      </c>
      <c r="B8" s="0" t="s">
        <v>1121</v>
      </c>
    </row>
    <row r="9" customFormat="false" ht="17.15" hidden="false" customHeight="false" outlineLevel="0" collapsed="false">
      <c r="A9" s="5" t="s">
        <v>1122</v>
      </c>
      <c r="B9" s="0" t="s">
        <v>1123</v>
      </c>
    </row>
    <row r="10" customFormat="false" ht="17.15" hidden="false" customHeight="false" outlineLevel="0" collapsed="false">
      <c r="A10" s="5" t="s">
        <v>1124</v>
      </c>
      <c r="B10" s="0" t="s">
        <v>1125</v>
      </c>
    </row>
    <row r="11" customFormat="false" ht="17.15" hidden="false" customHeight="false" outlineLevel="0" collapsed="false">
      <c r="A11" s="5" t="s">
        <v>1126</v>
      </c>
      <c r="B11" s="0" t="s">
        <v>1127</v>
      </c>
    </row>
    <row r="12" customFormat="false" ht="17.15" hidden="false" customHeight="false" outlineLevel="0" collapsed="false">
      <c r="A12" s="0" t="s">
        <v>1128</v>
      </c>
      <c r="B12" s="0" t="s">
        <v>1129</v>
      </c>
    </row>
    <row r="13" customFormat="false" ht="17.15" hidden="false" customHeight="false" outlineLevel="0" collapsed="false">
      <c r="A13" s="0" t="s">
        <v>1130</v>
      </c>
      <c r="B13" s="0" t="s">
        <v>1131</v>
      </c>
    </row>
    <row r="14" customFormat="false" ht="17.15" hidden="false" customHeight="false" outlineLevel="0" collapsed="false">
      <c r="A14" s="0" t="s">
        <v>1132</v>
      </c>
      <c r="B14" s="0" t="s">
        <v>1133</v>
      </c>
    </row>
    <row r="15" customFormat="false" ht="17.15" hidden="false" customHeight="false" outlineLevel="0" collapsed="false">
      <c r="A15" s="0" t="s">
        <v>1134</v>
      </c>
      <c r="B15" s="0" t="s">
        <v>1135</v>
      </c>
    </row>
    <row r="16" customFormat="false" ht="17.15" hidden="false" customHeight="false" outlineLevel="0" collapsed="false">
      <c r="A16" s="0" t="s">
        <v>1136</v>
      </c>
      <c r="B16" s="0" t="s">
        <v>1137</v>
      </c>
    </row>
    <row r="17" customFormat="false" ht="17.15" hidden="false" customHeight="false" outlineLevel="0" collapsed="false">
      <c r="A17" s="0" t="s">
        <v>1138</v>
      </c>
      <c r="B17" s="0" t="s">
        <v>1139</v>
      </c>
    </row>
    <row r="18" customFormat="false" ht="17.15" hidden="false" customHeight="false" outlineLevel="0" collapsed="false">
      <c r="A18" s="0" t="s">
        <v>1140</v>
      </c>
      <c r="B18" s="0" t="s">
        <v>1141</v>
      </c>
    </row>
    <row r="19" customFormat="false" ht="17.15" hidden="false" customHeight="false" outlineLevel="0" collapsed="false">
      <c r="A19" s="5" t="s">
        <v>1142</v>
      </c>
      <c r="B19" s="0" t="s">
        <v>1143</v>
      </c>
    </row>
    <row r="20" customFormat="false" ht="17.15" hidden="false" customHeight="false" outlineLevel="0" collapsed="false">
      <c r="A20" s="0" t="s">
        <v>1144</v>
      </c>
      <c r="B20" s="0" t="s">
        <v>1145</v>
      </c>
    </row>
    <row r="21" customFormat="false" ht="17.15" hidden="false" customHeight="false" outlineLevel="0" collapsed="false">
      <c r="A21" s="5" t="s">
        <v>1146</v>
      </c>
      <c r="B21" s="0" t="s">
        <v>1147</v>
      </c>
    </row>
    <row r="22" customFormat="false" ht="17.15" hidden="false" customHeight="false" outlineLevel="0" collapsed="false">
      <c r="A22" s="0" t="s">
        <v>1148</v>
      </c>
      <c r="B22" s="0" t="s">
        <v>1149</v>
      </c>
    </row>
    <row r="23" customFormat="false" ht="17.15" hidden="false" customHeight="false" outlineLevel="0" collapsed="false">
      <c r="A23" s="0" t="s">
        <v>1150</v>
      </c>
      <c r="B23" s="0" t="s">
        <v>1151</v>
      </c>
    </row>
    <row r="24" customFormat="false" ht="17.15" hidden="false" customHeight="false" outlineLevel="0" collapsed="false">
      <c r="A24" s="0" t="s">
        <v>1152</v>
      </c>
      <c r="B24" s="0" t="s">
        <v>1153</v>
      </c>
    </row>
    <row r="25" customFormat="false" ht="17.15" hidden="false" customHeight="false" outlineLevel="0" collapsed="false">
      <c r="A25" s="5" t="s">
        <v>1154</v>
      </c>
      <c r="B25" s="0" t="s">
        <v>1155</v>
      </c>
    </row>
    <row r="26" customFormat="false" ht="17.15" hidden="false" customHeight="false" outlineLevel="0" collapsed="false">
      <c r="A26" s="0" t="s">
        <v>1156</v>
      </c>
      <c r="B26" s="0" t="s">
        <v>1157</v>
      </c>
    </row>
    <row r="27" customFormat="false" ht="17.15" hidden="false" customHeight="false" outlineLevel="0" collapsed="false">
      <c r="A27" s="5" t="s">
        <v>1158</v>
      </c>
    </row>
    <row r="28" customFormat="false" ht="15" hidden="false" customHeight="false" outlineLevel="0" collapsed="false">
      <c r="A28" s="0" t="s">
        <v>1159</v>
      </c>
      <c r="B28" s="5" t="s">
        <v>1160</v>
      </c>
    </row>
    <row r="29" customFormat="false" ht="17.15" hidden="false" customHeight="false" outlineLevel="0" collapsed="false">
      <c r="A29" s="0" t="s">
        <v>1161</v>
      </c>
      <c r="B29" s="0" t="s">
        <v>1162</v>
      </c>
    </row>
    <row r="30" customFormat="false" ht="17.15" hidden="false" customHeight="false" outlineLevel="0" collapsed="false">
      <c r="A30" s="0" t="s">
        <v>1163</v>
      </c>
      <c r="B30" s="0" t="s">
        <v>1164</v>
      </c>
    </row>
    <row r="31" customFormat="false" ht="17.15" hidden="false" customHeight="false" outlineLevel="0" collapsed="false">
      <c r="A31" s="0" t="s">
        <v>1165</v>
      </c>
      <c r="B31" s="5" t="s">
        <v>1166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2026-10-30T18:14:37Z</dcterms:created>
  <dc:creator>openpyxl</dc:creator>
  <dc:description/>
  <dc:language>en-US</dc:language>
  <cp:lastModifiedBy/>
  <dcterms:modified xsi:type="dcterms:W3CDTF">2026-10-30T18:14:38Z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