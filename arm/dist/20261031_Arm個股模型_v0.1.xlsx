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ogs" vbProcedure="false">Q!$B$7</definedName>
    <definedName function="false" hidden="false" name="a25_eps" vbProcedure="false">Q!$B$15</definedName>
    <definedName function="false" hidden="false" name="a25_lo" vbProcedure="false">Q!$B$4</definedName>
    <definedName function="false" hidden="false" name="a25_ni" vbProcedure="false">Q!$B$13</definedName>
    <definedName function="false" hidden="false" name="a25_oi" vbProcedure="false">Q!$B$9</definedName>
    <definedName function="false" hidden="false" name="a25_opx" vbProcedure="false">Q!$B$8</definedName>
    <definedName function="false" hidden="false" name="a25_rev" vbProcedure="false">Q!$B$6</definedName>
    <definedName function="false" hidden="false" name="a25_ro" vbProcedure="false">Q!$B$5</definedName>
    <definedName function="false" hidden="false" name="a25_sh" vbProcedure="false">Q!$B$14</definedName>
    <definedName function="false" hidden="false" name="a26_cogs" vbProcedure="false">Q!$C$7</definedName>
    <definedName function="false" hidden="false" name="a26_eps" vbProcedure="false">Q!$C$15</definedName>
    <definedName function="false" hidden="false" name="a26_lo" vbProcedure="false">Q!$C$4</definedName>
    <definedName function="false" hidden="false" name="a26_ni" vbProcedure="false">Q!$C$13</definedName>
    <definedName function="false" hidden="false" name="a26_oi" vbProcedure="false">Q!$C$9</definedName>
    <definedName function="false" hidden="false" name="a26_opx" vbProcedure="false">Q!$C$8</definedName>
    <definedName function="false" hidden="false" name="a26_rev" vbProcedure="false">Q!$C$6</definedName>
    <definedName function="false" hidden="false" name="a26_ro" vbProcedure="false">Q!$C$5</definedName>
    <definedName function="false" hidden="false" name="a26_sh" vbProcedure="false">Q!$C$14</definedName>
    <definedName function="false" hidden="false" name="a27_cogs" vbProcedure="false">Q!$H$7</definedName>
    <definedName function="false" hidden="false" name="a27_eps" vbProcedure="false">Q!$H$15</definedName>
    <definedName function="false" hidden="false" name="a27_lo" vbProcedure="false">Q!$H$4</definedName>
    <definedName function="false" hidden="false" name="a27_ni" vbProcedure="false">Q!$H$13</definedName>
    <definedName function="false" hidden="false" name="a27_oi" vbProcedure="false">Q!$H$9</definedName>
    <definedName function="false" hidden="false" name="a27_opx" vbProcedure="false">Q!$H$8</definedName>
    <definedName function="false" hidden="false" name="a27_rev" vbProcedure="false">Q!$H$6</definedName>
    <definedName function="false" hidden="false" name="a27_ro" vbProcedure="false">Q!$H$5</definedName>
    <definedName function="false" hidden="false" name="a27_sh" vbProcedure="false">Q!$H$14</definedName>
    <definedName function="false" hidden="false" name="au_s" vbProcedure="false">In!$E$20</definedName>
    <definedName function="false" hidden="false" name="chip28_A" vbProcedure="false">In!$E$59</definedName>
    <definedName function="false" hidden="false" name="chip28_B" vbProcedure="false">In!$E$60</definedName>
    <definedName function="false" hidden="false" name="chip28_C" vbProcedure="false">In!$E$61</definedName>
    <definedName function="false" hidden="false" name="chip29_A" vbProcedure="false">In!$E$62</definedName>
    <definedName function="false" hidden="false" name="chip29_B" vbProcedure="false">In!$E$63</definedName>
    <definedName function="false" hidden="false" name="chip29_C" vbProcedure="false">In!$E$64</definedName>
    <definedName function="false" hidden="false" name="chip_27" vbProcedure="false">In!$E$16</definedName>
    <definedName function="false" hidden="false" name="chip_gm" vbProcedure="false">In!$E$65</definedName>
    <definedName function="false" hidden="false" name="cogs_r" vbProcedure="false">In!$E$12</definedName>
    <definedName function="false" hidden="false" name="cons_feps" vbProcedure="false">In!$E$91</definedName>
    <definedName function="false" hidden="false" name="cons_tp" vbProcedure="false">In!$E$90</definedName>
    <definedName function="false" hidden="false" name="cpu_gpu" vbProcedure="false">In!$E$32</definedName>
    <definedName function="false" hidden="false" name="c_eps27" vbProcedure="false">In!$E$72</definedName>
    <definedName function="false" hidden="false" name="c_q2rev" vbProcedure="false">In!$E$74</definedName>
    <definedName function="false" hidden="false" name="c_rev27" vbProcedure="false">In!$E$73</definedName>
    <definedName function="false" hidden="false" name="dcr" vbProcedure="false">In!$E$54</definedName>
    <definedName function="false" hidden="false" name="dc_s" vbProcedure="false">In!$E$19</definedName>
    <definedName function="false" hidden="false" name="fade_gA" vbProcedure="false">In!$E$86</definedName>
    <definedName function="false" hidden="false" name="fade_gB" vbProcedure="false">In!$E$87</definedName>
    <definedName function="false" hidden="false" name="fade_gC" vbProcedure="false">In!$E$88</definedName>
    <definedName function="false" hidden="false" name="g_au" vbProcedure="false">In!$E$55</definedName>
    <definedName function="false" hidden="false" name="g_au27" vbProcedure="false">In!$E$24</definedName>
    <definedName function="false" hidden="false" name="g_dc27" vbProcedure="false">In!$E$23</definedName>
    <definedName function="false" hidden="false" name="g_hc" vbProcedure="false">In!$E$53</definedName>
    <definedName function="false" hidden="false" name="g_iot" vbProcedure="false">In!$E$56</definedName>
    <definedName function="false" hidden="false" name="g_lic" vbProcedure="false">In!$E$58</definedName>
    <definedName function="false" hidden="false" name="g_opx" vbProcedure="false">In!$E$67</definedName>
    <definedName function="false" hidden="false" name="g_ph27" vbProcedure="false">In!$E$22</definedName>
    <definedName function="false" hidden="false" name="g_phu28" vbProcedure="false">In!$E$26</definedName>
    <definedName function="false" hidden="false" name="g_phu29" vbProcedure="false">In!$E$27</definedName>
    <definedName function="false" hidden="false" name="h2_lg" vbProcedure="false">In!$E$7</definedName>
    <definedName function="false" hidden="false" name="h2_rg" vbProcedure="false">In!$E$8</definedName>
    <definedName function="false" hidden="false" name="nim10_f" vbProcedure="false">In!$E$89</definedName>
    <definedName function="false" hidden="false" name="nvbw_26" vbProcedure="false">In!$E$33</definedName>
    <definedName function="false" hidden="false" name="nvbw_27" vbProcedure="false">In!$E$34</definedName>
    <definedName function="false" hidden="false" name="nvbw_28" vbProcedure="false">In!$E$35</definedName>
    <definedName function="false" hidden="false" name="nvbw_29" vbProcedure="false">In!$E$36</definedName>
    <definedName function="false" hidden="false" name="nvrb_26" vbProcedure="false">In!$E$37</definedName>
    <definedName function="false" hidden="false" name="nvrb_27" vbProcedure="false">In!$E$38</definedName>
    <definedName function="false" hidden="false" name="nvrb_28" vbProcedure="false">In!$E$39</definedName>
    <definedName function="false" hidden="false" name="nvrb_29" vbProcedure="false">In!$E$40</definedName>
    <definedName function="false" hidden="false" name="nvru_26" vbProcedure="false">In!$E$41</definedName>
    <definedName function="false" hidden="false" name="nvru_27" vbProcedure="false">In!$E$42</definedName>
    <definedName function="false" hidden="false" name="nvru_28" vbProcedure="false">In!$E$43</definedName>
    <definedName function="false" hidden="false" name="nvru_29" vbProcedure="false">In!$E$44</definedName>
    <definedName function="false" hidden="false" name="nv_cy25" vbProcedure="false">In!$E$51</definedName>
    <definedName function="false" hidden="false" name="oth_f" vbProcedure="false">In!$E$68</definedName>
    <definedName function="false" hidden="false" name="phr_A" vbProcedure="false">In!$E$28</definedName>
    <definedName function="false" hidden="false" name="phr_B" vbProcedure="false">In!$E$29</definedName>
    <definedName function="false" hidden="false" name="phr_C" vbProcedure="false">In!$E$30</definedName>
    <definedName function="false" hidden="false" name="ph_s" vbProcedure="false">In!$E$18</definedName>
    <definedName function="false" hidden="false" name="ph_u26" vbProcedure="false">In!$E$21</definedName>
    <definedName function="false" hidden="false" name="px" vbProcedure="false">In!$E$76</definedName>
    <definedName function="false" hidden="false" name="q2_lg" vbProcedure="false">In!$E$5</definedName>
    <definedName function="false" hidden="false" name="q2_opx" vbProcedure="false">In!$E$9</definedName>
    <definedName function="false" hidden="false" name="q2_rg" vbProcedure="false">In!$E$6</definedName>
    <definedName function="false" hidden="false" name="q3_opx" vbProcedure="false">In!$E$10</definedName>
    <definedName function="false" hidden="false" name="q4_opx" vbProcedure="false">In!$E$11</definedName>
    <definedName function="false" hidden="false" name="qc_adj" vbProcedure="false">In!$E$31</definedName>
    <definedName function="false" hidden="false" name="q_oth" vbProcedure="false">In!$E$13</definedName>
    <definedName function="false" hidden="false" name="q_sh" vbProcedure="false">In!$E$15</definedName>
    <definedName function="false" hidden="false" name="q_tx" vbProcedure="false">In!$E$14</definedName>
    <definedName function="false" hidden="false" name="rm_factor" vbProcedure="false">Val!$B$89</definedName>
    <definedName function="false" hidden="false" name="sb_own" vbProcedure="false">In!$E$77</definedName>
    <definedName function="false" hidden="false" name="sh_g" vbProcedure="false">In!$E$70</definedName>
    <definedName function="false" hidden="false" name="tp_comp" vbProcedure="false">Val!$B$36</definedName>
    <definedName function="false" hidden="false" name="tp_comp_adj" vbProcedure="false">Val!$B$90</definedName>
    <definedName function="false" hidden="false" name="tp_dcf" vbProcedure="false">Val!$B$24</definedName>
    <definedName function="false" hidden="false" name="tp_final" vbProcedure="false">Val!$B$40</definedName>
    <definedName function="false" hidden="false" name="tp_g" vbProcedure="false">In!$E$83</definedName>
    <definedName function="false" hidden="false" name="tp_r" vbProcedure="false">In!$E$82</definedName>
    <definedName function="false" hidden="false" name="tp_roe" vbProcedure="false">In!$E$84</definedName>
    <definedName function="false" hidden="false" name="tp_wA" vbProcedure="false">In!$E$79</definedName>
    <definedName function="false" hidden="false" name="tp_wB" vbProcedure="false">In!$E$80</definedName>
    <definedName function="false" hidden="false" name="tp_wC" vbProcedure="false">In!$E$81</definedName>
    <definedName function="false" hidden="false" name="tp_w_dcf" vbProcedure="false">In!$E$85</definedName>
    <definedName function="false" hidden="false" name="tx_f" vbProcedure="false">In!$E$69</definedName>
    <definedName function="false" hidden="false" name="uc28_A" vbProcedure="false">In!$E$45</definedName>
    <definedName function="false" hidden="false" name="uc28_B" vbProcedure="false">In!$E$46</definedName>
    <definedName function="false" hidden="false" name="uc28_C" vbProcedure="false">In!$E$47</definedName>
    <definedName function="false" hidden="false" name="uc29_A" vbProcedure="false">In!$E$48</definedName>
    <definedName function="false" hidden="false" name="uc29_B" vbProcedure="false">In!$E$49</definedName>
    <definedName function="false" hidden="false" name="uc29_C" vbProcedure="false">In!$E$50</definedName>
    <definedName function="false" hidden="false" name="w_nv" vbProcedure="false">In!$E$52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<sst xmlns="http://schemas.openxmlformats.org/spreadsheetml/2006/main" count="1786" uniqueCount="876">
  <si>
    <r>
      <rPr>
        <b val="true"/>
        <sz val="11"/>
        <rFont val="Cambria"/>
        <family val="0"/>
        <charset val="1"/>
      </rPr>
      <t xml:space="preserve">Arm Holdings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ARM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：運算次產業；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架構授權與權利金）　</t>
    </r>
    <r>
      <rPr>
        <b val="true"/>
        <sz val="11"/>
        <rFont val="Cambria"/>
        <family val="0"/>
        <charset val="1"/>
      </rPr>
      <t xml:space="preserve">2026-10-31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</si>
  <si>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2026-10-31</t>
    </r>
    <r>
      <rPr>
        <sz val="11"/>
        <rFont val="Noto Sans CJK SC"/>
        <family val="2"/>
      </rPr>
      <t xml:space="preserve">，初版）。樣板 </t>
    </r>
    <r>
      <rPr>
        <sz val="11"/>
        <rFont val="Cambria"/>
        <family val="0"/>
        <charset val="1"/>
      </rPr>
      <t xml:space="preserve">crdo/</t>
    </r>
    <r>
      <rPr>
        <sz val="11"/>
        <rFont val="Noto Sans CJK SC"/>
        <family val="2"/>
      </rPr>
      <t xml:space="preserve">（美股、估值 </t>
    </r>
    <r>
      <rPr>
        <sz val="11"/>
        <rFont val="Cambria"/>
        <family val="0"/>
        <charset val="1"/>
      </rPr>
      <t xml:space="preserve">v2</t>
    </r>
    <r>
      <rPr>
        <sz val="11"/>
        <rFont val="Noto Sans CJK SC"/>
        <family val="2"/>
      </rPr>
      <t xml:space="preserve">）；敏感度與份額寫法比照 </t>
    </r>
    <r>
      <rPr>
        <sz val="11"/>
        <rFont val="Cambria"/>
        <family val="0"/>
        <charset val="1"/>
      </rPr>
      <t xml:space="preserve">tuc/</t>
    </r>
    <r>
      <rPr>
        <sz val="11"/>
        <rFont val="Noto Sans CJK SC"/>
        <family val="2"/>
      </rPr>
      <t xml:space="preserve">；行業變數讀 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快照 </t>
    </r>
    <r>
      <rPr>
        <sz val="11"/>
        <rFont val="Cambria"/>
        <family val="0"/>
        <charset val="1"/>
      </rPr>
      <t xml:space="preserve">v0.10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siliconomics_snapshot_v0.10.json</t>
    </r>
    <r>
      <rPr>
        <sz val="11"/>
        <rFont val="Noto Sans CJK SC"/>
        <family val="2"/>
      </rPr>
      <t xml:space="preserve">）。待 </t>
    </r>
    <r>
      <rPr>
        <sz val="11"/>
        <rFont val="Cambria"/>
        <family val="0"/>
        <charset val="1"/>
      </rPr>
      <t xml:space="preserve">FQ2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2026-11-04</t>
    </r>
    <r>
      <rPr>
        <sz val="11"/>
        <rFont val="Noto Sans CJK SC"/>
        <family val="2"/>
      </rPr>
      <t xml:space="preserve">）更新錨點。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</si>
  <si>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Arm </t>
    </r>
    <r>
      <rPr>
        <sz val="11"/>
        <rFont val="Noto Sans CJK SC"/>
        <family val="2"/>
      </rPr>
      <t xml:space="preserve">的權利金＝各市場晶片出貨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每顆權利金率：智慧型手機（出貨持平到下滑，成長靠 </t>
    </r>
    <r>
      <rPr>
        <sz val="11"/>
        <rFont val="Cambria"/>
        <family val="0"/>
        <charset val="1"/>
      </rPr>
      <t xml:space="preserve">v9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CSS </t>
    </r>
    <r>
      <rPr>
        <sz val="11"/>
        <rFont val="Noto Sans CJK SC"/>
        <family val="2"/>
      </rPr>
      <t xml:space="preserve">費率）、資料中心 </t>
    </r>
    <r>
      <rPr>
        <sz val="11"/>
        <rFont val="Cambria"/>
        <family val="0"/>
        <charset val="1"/>
      </rPr>
      <t xml:space="preserve">Neoverse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NVIDIA Grace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Vera </t>
    </r>
    <r>
      <rPr>
        <sz val="11"/>
        <rFont val="Noto Sans CJK SC"/>
        <family val="2"/>
      </rPr>
      <t xml:space="preserve">顆數讀 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、雲端自研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年增、每顆費率隨核心數上升）、車用、物聯網與其他；授權及其他＝授權（含 </t>
    </r>
    <r>
      <rPr>
        <sz val="11"/>
        <rFont val="Cambria"/>
        <family val="0"/>
        <charset val="1"/>
      </rPr>
      <t xml:space="preserve">SoftBank </t>
    </r>
    <r>
      <rPr>
        <sz val="11"/>
        <rFont val="Noto Sans CJK SC"/>
        <family val="2"/>
      </rPr>
      <t xml:space="preserve">協議）＋自研 </t>
    </r>
    <r>
      <rPr>
        <sz val="11"/>
        <rFont val="Cambria"/>
        <family val="0"/>
        <charset val="1"/>
      </rPr>
      <t xml:space="preserve">Arm AGI CPU </t>
    </r>
    <r>
      <rPr>
        <sz val="11"/>
        <rFont val="Noto Sans CJK SC"/>
        <family val="2"/>
      </rPr>
      <t xml:space="preserve">晶片。</t>
    </r>
  </si>
  <si>
    <r>
      <rPr>
        <sz val="11"/>
        <rFont val="Noto Sans CJK SC"/>
        <family val="2"/>
      </rPr>
      <t xml:space="preserve">核心問題：現價約 </t>
    </r>
    <r>
      <rPr>
        <sz val="11"/>
        <rFont val="Cambria"/>
        <family val="0"/>
        <charset val="1"/>
      </rPr>
      <t xml:space="preserve">95 </t>
    </r>
    <r>
      <rPr>
        <sz val="11"/>
        <rFont val="Noto Sans CJK SC"/>
        <family val="2"/>
      </rPr>
      <t xml:space="preserve">倍共識前瞻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，市場是否已把資料中心權利金倍增、</t>
    </r>
    <r>
      <rPr>
        <sz val="11"/>
        <rFont val="Cambria"/>
        <family val="0"/>
        <charset val="1"/>
      </rPr>
      <t xml:space="preserve">CSS </t>
    </r>
    <r>
      <rPr>
        <sz val="11"/>
        <rFont val="Noto Sans CJK SC"/>
        <family val="2"/>
      </rPr>
      <t xml:space="preserve">費率上升與自研晶片（客戶需求逾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億美元）全部算進去；</t>
    </r>
    <r>
      <rPr>
        <sz val="11"/>
        <rFont val="Cambria"/>
        <family val="0"/>
        <charset val="1"/>
      </rPr>
      <t xml:space="preserve">Qualcomm </t>
    </r>
    <r>
      <rPr>
        <sz val="11"/>
        <rFont val="Noto Sans CJK SC"/>
        <family val="2"/>
      </rPr>
      <t xml:space="preserve">判決與手機出貨下修會讓權利金少多少。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</si>
  <si>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31 </t>
    </r>
    <r>
      <rPr>
        <sz val="11"/>
        <rFont val="Noto Sans CJK SC"/>
        <family val="2"/>
      </rPr>
      <t xml:space="preserve">日結束（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2027-03</t>
    </r>
    <r>
      <rPr>
        <sz val="11"/>
        <rFont val="Noto Sans CJK SC"/>
        <family val="2"/>
      </rPr>
      <t xml:space="preserve">）；上游日曆年以 </t>
    </r>
    <r>
      <rPr>
        <sz val="11"/>
        <rFont val="Cambria"/>
        <family val="0"/>
        <charset val="1"/>
      </rPr>
      <t xml:space="preserve">9/12 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3/12 × CY(t) </t>
    </r>
    <r>
      <rPr>
        <sz val="11"/>
        <rFont val="Noto Sans CJK SC"/>
        <family val="2"/>
      </rPr>
      <t xml:space="preserve">換算。預測期 </t>
    </r>
    <r>
      <rPr>
        <sz val="11"/>
        <rFont val="Cambria"/>
        <family val="0"/>
        <charset val="1"/>
      </rPr>
      <t xml:space="preserve">FY2028–FY2029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為收斂法。金額：十億美元；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GAAP EPS </t>
    </r>
    <r>
      <rPr>
        <sz val="11"/>
        <rFont val="Noto Sans CJK SC"/>
        <family val="2"/>
      </rPr>
      <t xml:space="preserve">另列）。</t>
    </r>
  </si>
  <si>
    <r>
      <rPr>
        <sz val="11"/>
        <rFont val="Noto Sans CJK SC"/>
        <family val="2"/>
      </rPr>
      <t xml:space="preserve">驅動因子：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錨點＝</t>
    </r>
    <r>
      <rPr>
        <sz val="11"/>
        <rFont val="Cambria"/>
        <family val="0"/>
        <charset val="1"/>
      </rPr>
      <t xml:space="preserve">1Q27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2Q27 </t>
    </r>
    <r>
      <rPr>
        <sz val="11"/>
        <rFont val="Noto Sans CJK SC"/>
        <family val="2"/>
      </rPr>
      <t xml:space="preserve">指引＋下半年年增假設；權利金分市場以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比例（手機 </t>
    </r>
    <r>
      <rPr>
        <sz val="11"/>
        <rFont val="Cambria"/>
        <family val="0"/>
        <charset val="1"/>
      </rPr>
      <t xml:space="preserve">43%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20-F</t>
    </r>
    <r>
      <rPr>
        <sz val="11"/>
        <rFont val="Noto Sans CJK SC"/>
        <family val="2"/>
      </rPr>
      <t xml:space="preserve">，其餘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）拆分；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起資料中心＝</t>
    </r>
    <r>
      <rPr>
        <sz val="11"/>
        <rFont val="Cambria"/>
        <family val="0"/>
        <charset val="1"/>
      </rPr>
      <t xml:space="preserve">FY2027 × CPU </t>
    </r>
    <r>
      <rPr>
        <sz val="11"/>
        <rFont val="Noto Sans CJK SC"/>
        <family val="2"/>
      </rPr>
      <t xml:space="preserve">顆數指數（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讀 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同字母情境）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每顆費率指數；手機＝出貨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每支權利金（情境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費率年增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11%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7%</t>
    </r>
    <r>
      <rPr>
        <sz val="11"/>
        <rFont val="Noto Sans CJK SC"/>
        <family val="2"/>
      </rPr>
      <t xml:space="preserve">）；晶片營收情境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</si>
  <si>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目標價（高通、博通、邁威爾、</t>
    </r>
    <r>
      <rPr>
        <sz val="11"/>
        <rFont val="Cambria"/>
        <family val="0"/>
        <charset val="1"/>
      </rPr>
      <t xml:space="preserve">Rambus</t>
    </r>
    <r>
      <rPr>
        <sz val="11"/>
        <rFont val="Noto Sans CJK SC"/>
        <family val="2"/>
      </rPr>
      <t xml:space="preserve">、新思、益華前瞻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  <r>
      <rPr>
        <sz val="11"/>
        <rFont val="Cambria"/>
        <family val="0"/>
        <charset val="1"/>
      </rPr>
      <t xml:space="preserve">Bloomberg </t>
    </r>
    <r>
      <rPr>
        <sz val="11"/>
        <rFont val="Noto Sans CJK SC"/>
        <family val="2"/>
      </rPr>
      <t xml:space="preserve">前瞻倍數待取（</t>
    </r>
    <r>
      <rPr>
        <sz val="11"/>
        <rFont val="Cambria"/>
        <family val="0"/>
        <charset val="1"/>
      </rPr>
      <t xml:space="preserve">ARM </t>
    </r>
    <r>
      <rPr>
        <sz val="11"/>
        <rFont val="Noto Sans CJK SC"/>
        <family val="2"/>
      </rPr>
      <t xml:space="preserve">本身沒有，相對倍數係數＝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</si>
  <si>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公司只揭露手機占權利金比例，其他市場拆分為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AGI CPU </t>
    </r>
    <r>
      <rPr>
        <sz val="11"/>
        <rFont val="Noto Sans CJK SC"/>
        <family val="2"/>
      </rPr>
      <t xml:space="preserve">晶片營收所在列與毛利率未揭露；</t>
    </r>
    <r>
      <rPr>
        <sz val="11"/>
        <rFont val="Cambria"/>
        <family val="0"/>
        <charset val="1"/>
      </rPr>
      <t xml:space="preserve">(3) non-GAAP EPS </t>
    </r>
    <r>
      <rPr>
        <sz val="11"/>
        <rFont val="Noto Sans CJK SC"/>
        <family val="2"/>
      </rPr>
      <t xml:space="preserve">排除股票薪酬（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約占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淨利一半）；</t>
    </r>
    <r>
      <rPr>
        <sz val="11"/>
        <rFont val="Cambria"/>
        <family val="0"/>
        <charset val="1"/>
      </rPr>
      <t xml:space="preserve">(4) Qualcomm </t>
    </r>
    <r>
      <rPr>
        <sz val="11"/>
        <rFont val="Noto Sans CJK SC"/>
        <family val="2"/>
      </rPr>
      <t xml:space="preserve">法官審理部分未判、損害賠償未知；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年底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2023–2025 </t>
    </r>
    <r>
      <rPr>
        <sz val="11"/>
        <rFont val="Noto Sans CJK SC"/>
        <family val="2"/>
      </rPr>
      <t xml:space="preserve">三年；</t>
    </r>
    <r>
      <rPr>
        <sz val="11"/>
        <rFont val="Cambria"/>
        <family val="0"/>
        <charset val="1"/>
      </rPr>
      <t xml:space="preserve">(6) 2Q27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2026-11-04</t>
    </r>
    <r>
      <rPr>
        <sz val="11"/>
        <rFont val="Noto Sans CJK SC"/>
        <family val="2"/>
      </rPr>
      <t xml:space="preserve">）未納入。</t>
    </r>
  </si>
  <si>
    <r>
      <rPr>
        <sz val="11"/>
        <color theme="1"/>
        <rFont val="Noto Sans CJK SC"/>
        <family val="2"/>
      </rPr>
      <t xml:space="preserve">相對倍數調整：加權目標價中的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tools/relative_multiple.py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前瞻倍數歷史（待取），係數＝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目標價（市場主流同業法）」不調整。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</si>
  <si>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頁版面（個股模型原則第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節）：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頁最後一節「情境驅動對照」把情境專屬輸入三情境並排（只引用上方各列，純展示）。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</si>
  <si>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US$53.52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34.56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72.48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228.88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76.6%</t>
    </r>
    <r>
      <rPr>
        <sz val="11"/>
        <color theme="1"/>
        <rFont val="Noto Sans CJK SC"/>
        <family val="2"/>
      </rPr>
      <t xml:space="preserve">，級距小於 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、投資建議強力放空；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68.3%</t>
    </r>
    <r>
      <rPr>
        <sz val="11"/>
        <color theme="1"/>
        <rFont val="Noto Sans CJK SC"/>
        <family val="2"/>
      </rPr>
      <t xml:space="preserve">。差距全部來自倍數：本模型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2.90 </t>
    </r>
    <r>
      <rPr>
        <sz val="11"/>
        <color theme="1"/>
        <rFont val="Noto Sans CJK SC"/>
        <family val="2"/>
      </rPr>
      <t xml:space="preserve">反而比共識前瞻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20.1%</t>
    </r>
    <r>
      <rPr>
        <sz val="11"/>
        <color theme="1"/>
        <rFont val="Noto Sans CJK SC"/>
        <family val="2"/>
      </rPr>
      <t xml:space="preserve">（期間晚約一年），但現價約 </t>
    </r>
    <r>
      <rPr>
        <sz val="11"/>
        <color theme="1"/>
        <rFont val="Calibri"/>
        <family val="2"/>
        <charset val="1"/>
      </rPr>
      <t xml:space="preserve">94.7 </t>
    </r>
    <r>
      <rPr>
        <sz val="11"/>
        <color theme="1"/>
        <rFont val="Noto Sans CJK SC"/>
        <family val="2"/>
      </rPr>
      <t xml:space="preserve">倍共識前瞻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、共識目標價 </t>
    </r>
    <r>
      <rPr>
        <sz val="11"/>
        <color theme="1"/>
        <rFont val="Calibri"/>
        <family val="2"/>
        <charset val="1"/>
      </rPr>
      <t xml:space="preserve">290.71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120.3 </t>
    </r>
    <r>
      <rPr>
        <sz val="11"/>
        <color theme="1"/>
        <rFont val="Noto Sans CJK SC"/>
        <family val="2"/>
      </rPr>
      <t xml:space="preserve">倍，同業前瞻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中位數只有 </t>
    </r>
    <r>
      <rPr>
        <sz val="11"/>
        <color theme="1"/>
        <rFont val="Calibri"/>
        <family val="2"/>
        <charset val="1"/>
      </rPr>
      <t xml:space="preserve">25.0 </t>
    </r>
    <r>
      <rPr>
        <sz val="11"/>
        <color theme="1"/>
        <rFont val="Noto Sans CJK SC"/>
        <family val="2"/>
      </rPr>
      <t xml:space="preserve">倍。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偏低另因 </t>
    </r>
    <r>
      <rPr>
        <sz val="11"/>
        <color theme="1"/>
        <rFont val="Calibri"/>
        <family val="2"/>
        <charset val="1"/>
      </rPr>
      <t xml:space="preserve">GAAP 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10.5%</t>
    </r>
    <r>
      <rPr>
        <sz val="11"/>
        <color theme="1"/>
        <rFont val="Noto Sans CJK SC"/>
        <family val="2"/>
      </rPr>
      <t xml:space="preserve">（再投資率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持股約九成，流通市值約 </t>
    </r>
    <r>
      <rPr>
        <sz val="11"/>
        <color theme="1"/>
        <rFont val="Calibri"/>
        <family val="2"/>
        <charset val="1"/>
      </rPr>
      <t xml:space="preserve">247 </t>
    </r>
    <r>
      <rPr>
        <sz val="11"/>
        <color theme="1"/>
        <rFont val="Noto Sans CJK SC"/>
        <family val="2"/>
      </rPr>
      <t xml:space="preserve">億美元（總市值 </t>
    </r>
    <r>
      <rPr>
        <sz val="11"/>
        <color theme="1"/>
        <rFont val="Calibri"/>
        <family val="2"/>
        <charset val="1"/>
      </rPr>
      <t xml:space="preserve">2,472 </t>
    </r>
    <r>
      <rPr>
        <sz val="11"/>
        <color theme="1"/>
        <rFont val="Noto Sans CJK SC"/>
        <family val="2"/>
      </rPr>
      <t xml:space="preserve">億），流通量低可能撐住溢價，本模型不調整；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前瞻倍數，相對倍數係數＝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</si>
  <si>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：單一參數都翻不過來：最有利的單一案例是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+14.2%</t>
    </r>
    <r>
      <rPr>
        <sz val="11"/>
        <color theme="1"/>
        <rFont val="Noto Sans CJK SC"/>
        <family val="2"/>
      </rPr>
      <t xml:space="preserve">），其次授權成長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+6.8%</t>
    </r>
    <r>
      <rPr>
        <sz val="11"/>
        <color theme="1"/>
        <rFont val="Noto Sans CJK SC"/>
        <family val="2"/>
      </rPr>
      <t xml:space="preserve">）、營業費用年增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+7.4%</t>
    </r>
    <r>
      <rPr>
        <sz val="11"/>
        <color theme="1"/>
        <rFont val="Noto Sans CJK SC"/>
        <family val="2"/>
      </rPr>
      <t xml:space="preserve">），目標價仍比現價低七成以上；授權成長 </t>
    </r>
    <r>
      <rPr>
        <sz val="11"/>
        <color theme="1"/>
        <rFont val="Calibri"/>
        <family val="2"/>
        <charset val="1"/>
      </rPr>
      <t xml:space="preserve">2% −10.3%</t>
    </r>
    <r>
      <rPr>
        <sz val="11"/>
        <color theme="1"/>
        <rFont val="Noto Sans CJK SC"/>
        <family val="2"/>
      </rPr>
      <t xml:space="preserve">、營業費用年增 </t>
    </r>
    <r>
      <rPr>
        <sz val="11"/>
        <color theme="1"/>
        <rFont val="Calibri"/>
        <family val="2"/>
        <charset val="1"/>
      </rPr>
      <t xml:space="preserve">18% −7.7%</t>
    </r>
    <r>
      <rPr>
        <sz val="11"/>
        <color theme="1"/>
        <rFont val="Noto Sans CJK SC"/>
        <family val="2"/>
      </rPr>
      <t xml:space="preserve">、晶片毛利率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 ±4.6%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</si>
  <si>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：可追蹤的三件事：資料中心占權利金由 </t>
    </r>
    <r>
      <rPr>
        <sz val="11"/>
        <color theme="1"/>
        <rFont val="Calibri"/>
        <family val="2"/>
        <charset val="1"/>
      </rPr>
      <t xml:space="preserve">FY2026 14%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24.9%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 </t>
    </r>
    <r>
      <rPr>
        <sz val="11"/>
        <color theme="1"/>
        <rFont val="Noto Sans CJK SC"/>
        <family val="2"/>
      </rPr>
      <t xml:space="preserve">讀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、雲端自研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AGI CPU </t>
    </r>
    <r>
      <rPr>
        <sz val="11"/>
        <color theme="1"/>
        <rFont val="Noto Sans CJK SC"/>
        <family val="2"/>
      </rPr>
      <t xml:space="preserve">晶片營收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億美元，對照公司稱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客戶需求逾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陪審團 </t>
    </r>
    <r>
      <rPr>
        <sz val="11"/>
        <color theme="1"/>
        <rFont val="Calibri"/>
        <family val="2"/>
        <charset val="1"/>
      </rPr>
      <t xml:space="preserve">2026-10-13 </t>
    </r>
    <r>
      <rPr>
        <sz val="11"/>
        <color theme="1"/>
        <rFont val="Noto Sans CJK SC"/>
        <family val="2"/>
      </rPr>
      <t xml:space="preserve">判 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違約，法官審理部分待判。下一個檢驗點：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2026-11-04</t>
    </r>
    <r>
      <rPr>
        <sz val="11"/>
        <color theme="1"/>
        <rFont val="Noto Sans CJK SC"/>
        <family val="2"/>
      </rPr>
      <t xml:space="preserve">（指引營收 </t>
    </r>
    <r>
      <rPr>
        <sz val="11"/>
        <color theme="1"/>
        <rFont val="Calibri"/>
        <family val="2"/>
        <charset val="1"/>
      </rPr>
      <t xml:space="preserve">13.8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non-GAAP EPS 0.47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</si>
  <si>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）；出貨：十億顆或百萬顆；比例：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</si>
  <si>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給低／高區間。公司原文＝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股東信與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、法說；公司指引為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；共識與券商皆為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。行業變數（加速器顆數、情境係數）讀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沒有的行業變數（手機出貨、雲端自研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顆數）放本頁並標「待併入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」。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</si>
  <si>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</si>
  <si>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</si>
  <si>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</si>
  <si>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</si>
  <si>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</si>
  <si>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</si>
  <si>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</si>
  <si>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</si>
  <si>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</si>
  <si>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1Q27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2Q27 </t>
    </r>
    <r>
      <rPr>
        <b val="true"/>
        <sz val="11"/>
        <rFont val="Noto Sans CJK SC"/>
        <family val="2"/>
      </rPr>
      <t xml:space="preserve">公司指引＋下半年假設；</t>
    </r>
    <r>
      <rPr>
        <b val="true"/>
        <sz val="11"/>
        <rFont val="Cambria"/>
        <family val="0"/>
        <charset val="1"/>
      </rPr>
      <t xml:space="preserve">2Q27 </t>
    </r>
    <r>
      <rPr>
        <b val="true"/>
        <sz val="11"/>
        <rFont val="Noto Sans CJK SC"/>
        <family val="2"/>
      </rPr>
      <t xml:space="preserve">財報 </t>
    </r>
    <r>
      <rPr>
        <b val="true"/>
        <sz val="11"/>
        <rFont val="Cambria"/>
        <family val="0"/>
        <charset val="1"/>
      </rPr>
      <t xml:space="preserve">2026-11-04 </t>
    </r>
    <r>
      <rPr>
        <b val="true"/>
        <sz val="11"/>
        <rFont val="Noto Sans CJK SC"/>
        <family val="2"/>
      </rPr>
      <t xml:space="preserve">公布）</t>
    </r>
  </si>
  <si>
    <t xml:space="preserve">q2_lg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</si>
  <si>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授權及其他年增（公司指引：</t>
    </r>
    <r>
      <rPr>
        <sz val="11"/>
        <color theme="1"/>
        <rFont val="Calibri"/>
        <family val="2"/>
        <charset val="1"/>
      </rPr>
      <t xml:space="preserve">mid-30%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</si>
  <si>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</si>
  <si>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</si>
  <si>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指引：授權年增 </t>
    </r>
    <r>
      <rPr>
        <sz val="11"/>
        <color theme="1"/>
        <rFont val="Calibri"/>
        <family val="2"/>
        <charset val="1"/>
      </rPr>
      <t xml:space="preserve">mid-30%</t>
    </r>
    <r>
      <rPr>
        <sz val="11"/>
        <color theme="1"/>
        <rFont val="Noto Sans CJK SC"/>
        <family val="2"/>
      </rPr>
      <t xml:space="preserve">、權利金 </t>
    </r>
    <r>
      <rPr>
        <sz val="11"/>
        <color theme="1"/>
        <rFont val="Calibri"/>
        <family val="2"/>
        <charset val="1"/>
      </rPr>
      <t xml:space="preserve">low-teens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13.8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± 0.5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Longbridge 2026-07-29 </t>
    </r>
    <r>
      <rPr>
        <sz val="11"/>
        <color theme="1"/>
        <rFont val="Noto Sans CJK SC"/>
        <family val="2"/>
      </rPr>
      <t xml:space="preserve">轉述股東信）</t>
    </r>
  </si>
  <si>
    <r>
      <rPr>
        <sz val="11"/>
        <color theme="1"/>
        <rFont val="Calibri"/>
        <family val="2"/>
        <charset val="1"/>
      </rPr>
      <t xml:space="preserve">Hudson Labs</t>
    </r>
    <r>
      <rPr>
        <sz val="11"/>
        <color theme="1"/>
        <rFont val="Noto Sans CJK SC"/>
        <family val="2"/>
      </rPr>
      <t xml:space="preserve">：授權及其他年增約 </t>
    </r>
    <r>
      <rPr>
        <sz val="11"/>
        <color theme="1"/>
        <rFont val="Calibri"/>
        <family val="2"/>
        <charset val="1"/>
      </rPr>
      <t xml:space="preserve">30%</t>
    </r>
  </si>
  <si>
    <t xml:space="preserve">q2_rg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</si>
  <si>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權利金年增（公司指引：</t>
    </r>
    <r>
      <rPr>
        <sz val="11"/>
        <color theme="1"/>
        <rFont val="Calibri"/>
        <family val="2"/>
        <charset val="1"/>
      </rPr>
      <t xml:space="preserve">low-teens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</si>
  <si>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</si>
  <si>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r>
      <rPr>
        <sz val="11"/>
        <color theme="1"/>
        <rFont val="Noto Sans CJK SC"/>
        <family val="2"/>
      </rPr>
      <t xml:space="preserve">去年同期 </t>
    </r>
    <r>
      <rPr>
        <sz val="11"/>
        <color theme="1"/>
        <rFont val="Calibri"/>
        <family val="2"/>
        <charset val="1"/>
      </rPr>
      <t xml:space="preserve">6.20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</si>
  <si>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t xml:space="preserve">h2_lg</t>
  </si>
  <si>
    <r>
      <rPr>
        <sz val="11"/>
        <color theme="1"/>
        <rFont val="Calibri"/>
        <family val="2"/>
        <charset val="1"/>
      </rPr>
      <t xml:space="preserve">3Q27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授權及其他年增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</si>
  <si>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</si>
  <si>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ACV 1Q27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（股東信）；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授權年增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mid-30%</t>
    </r>
  </si>
  <si>
    <r>
      <rPr>
        <sz val="11"/>
        <color theme="1"/>
        <rFont val="Noto Sans CJK SC"/>
        <family val="2"/>
      </rPr>
      <t xml:space="preserve">去年同期 </t>
    </r>
    <r>
      <rPr>
        <sz val="11"/>
        <color theme="1"/>
        <rFont val="Calibri"/>
        <family val="2"/>
        <charset val="1"/>
      </rPr>
      <t xml:space="preserve">3Q26 5.05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8.19 </t>
    </r>
    <r>
      <rPr>
        <sz val="11"/>
        <color theme="1"/>
        <rFont val="Noto Sans CJK SC"/>
        <family val="2"/>
      </rPr>
      <t xml:space="preserve">億美元（含 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協議每季約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億美元）</t>
    </r>
  </si>
  <si>
    <t xml:space="preserve">h2_rg</t>
  </si>
  <si>
    <r>
      <rPr>
        <sz val="11"/>
        <color theme="1"/>
        <rFont val="Calibri"/>
        <family val="2"/>
        <charset val="1"/>
      </rPr>
      <t xml:space="preserve">3Q27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權利金年增</t>
    </r>
  </si>
  <si>
    <r>
      <rPr>
        <sz val="11"/>
        <color theme="1"/>
        <rFont val="Calibri"/>
        <family val="2"/>
        <charset val="1"/>
      </rPr>
      <t xml:space="preserve">1Q27 +22%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low-teens</t>
    </r>
    <r>
      <rPr>
        <sz val="11"/>
        <color theme="1"/>
        <rFont val="Noto Sans CJK SC"/>
        <family val="2"/>
      </rPr>
      <t xml:space="preserve">；資料中心權利金年增逾一倍（股東信）</t>
    </r>
  </si>
  <si>
    <r>
      <rPr>
        <sz val="11"/>
        <color theme="1"/>
        <rFont val="Noto Sans CJK SC"/>
        <family val="2"/>
      </rPr>
      <t xml:space="preserve">管理層：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成長「非常合理」（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The Motley Fool </t>
    </r>
    <r>
      <rPr>
        <sz val="11"/>
        <color theme="1"/>
        <rFont val="Noto Sans CJK SC"/>
        <family val="2"/>
      </rPr>
      <t xml:space="preserve">逐字稿）</t>
    </r>
  </si>
  <si>
    <t xml:space="preserve">q2_opx</t>
  </si>
  <si>
    <r>
      <rPr>
        <sz val="11"/>
        <color theme="1"/>
        <rFont val="Calibri"/>
        <family val="2"/>
        <charset val="1"/>
      </rPr>
      <t xml:space="preserve">2Q27 non-GAAP </t>
    </r>
    <r>
      <rPr>
        <sz val="11"/>
        <color theme="1"/>
        <rFont val="Noto Sans CJK SC"/>
        <family val="2"/>
      </rPr>
      <t xml:space="preserve">營業費用</t>
    </r>
  </si>
  <si>
    <t xml:space="preserve">US$B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</si>
  <si>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7.8 </t>
    </r>
    <r>
      <rPr>
        <sz val="11"/>
        <color theme="1"/>
        <rFont val="Noto Sans CJK SC"/>
        <family val="2"/>
      </rPr>
      <t xml:space="preserve">億美元（股東信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</si>
  <si>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7.33 </t>
    </r>
    <r>
      <rPr>
        <sz val="11"/>
        <color theme="1"/>
        <rFont val="Noto Sans CJK SC"/>
        <family val="2"/>
      </rPr>
      <t xml:space="preserve">億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</si>
  <si>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</si>
  <si>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3Q27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</si>
  <si>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7.8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2–4%</t>
    </r>
    <r>
      <rPr>
        <sz val="11"/>
        <color theme="1"/>
        <rFont val="Noto Sans CJK SC"/>
        <family val="2"/>
      </rPr>
      <t xml:space="preserve">（股東信）</t>
    </r>
  </si>
  <si>
    <r>
      <rPr>
        <sz val="11"/>
        <color theme="1"/>
        <rFont val="Calibri"/>
        <family val="2"/>
        <charset val="1"/>
      </rPr>
      <t xml:space="preserve">AGI 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CSS </t>
    </r>
    <r>
      <rPr>
        <sz val="11"/>
        <color theme="1"/>
        <rFont val="Noto Sans CJK SC"/>
        <family val="2"/>
      </rPr>
      <t xml:space="preserve">研發投入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</si>
  <si>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</si>
  <si>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4Q27 non-GAAP </t>
    </r>
    <r>
      <rPr>
        <sz val="11"/>
        <color theme="1"/>
        <rFont val="Noto Sans CJK SC"/>
        <family val="2"/>
      </rPr>
      <t xml:space="preserve">營業費用</t>
    </r>
  </si>
  <si>
    <t xml:space="preserve">—</t>
  </si>
  <si>
    <t xml:space="preserve">cogs_r</t>
  </si>
  <si>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；不含晶片）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</si>
  <si>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</si>
  <si>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98.1%</t>
    </r>
    <r>
      <rPr>
        <sz val="11"/>
        <color theme="1"/>
        <rFont val="Noto Sans CJK SC"/>
        <family val="2"/>
      </rPr>
      <t xml:space="preserve">（股東信）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</si>
  <si>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：（營收 − 營業費用 − 營業利益）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1.8%</t>
    </r>
  </si>
  <si>
    <t xml:space="preserve">q_oth</t>
  </si>
  <si>
    <r>
      <rPr>
        <sz val="11"/>
        <color theme="1"/>
        <rFont val="Noto Sans CJK SC"/>
        <family val="2"/>
      </rPr>
      <t xml:space="preserve">每季業外收益（利息，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</si>
  <si>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5.65 </t>
    </r>
    <r>
      <rPr>
        <sz val="11"/>
        <color theme="1"/>
        <rFont val="Noto Sans CJK SC"/>
        <family val="2"/>
      </rPr>
      <t xml:space="preserve">億 − 營業利益 </t>
    </r>
    <r>
      <rPr>
        <sz val="11"/>
        <color theme="1"/>
        <rFont val="Calibri"/>
        <family val="2"/>
        <charset val="1"/>
      </rPr>
      <t xml:space="preserve">5.31 </t>
    </r>
    <r>
      <rPr>
        <sz val="11"/>
        <color theme="1"/>
        <rFont val="Noto Sans CJK SC"/>
        <family val="2"/>
      </rPr>
      <t xml:space="preserve">億（股東信）</t>
    </r>
  </si>
  <si>
    <t xml:space="preserve">現金與短期投資利息</t>
  </si>
  <si>
    <t xml:space="preserve">q_tx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</si>
  <si>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</si>
  <si>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0.85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5.65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15.0%</t>
    </r>
    <r>
      <rPr>
        <sz val="11"/>
        <color theme="1"/>
        <rFont val="Noto Sans CJK SC"/>
        <family val="2"/>
      </rPr>
      <t xml:space="preserve">（股東信調節表）</t>
    </r>
  </si>
  <si>
    <r>
      <rPr>
        <sz val="11"/>
        <color theme="1"/>
        <rFont val="Noto Sans CJK SC"/>
        <family val="2"/>
      </rPr>
      <t xml:space="preserve">英國 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 </t>
    </r>
    <r>
      <rPr>
        <sz val="11"/>
        <color theme="1"/>
        <rFont val="Calibri"/>
        <family val="2"/>
        <charset val="1"/>
      </rPr>
      <t xml:space="preserve">15%</t>
    </r>
  </si>
  <si>
    <t xml:space="preserve">q_sh</t>
  </si>
  <si>
    <r>
      <rPr>
        <sz val="11"/>
        <color theme="1"/>
        <rFont val="Noto Sans CJK SC"/>
        <family val="2"/>
      </rPr>
      <t xml:space="preserve">稀釋加權股數（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</si>
  <si>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</si>
  <si>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1Q27 1,078 </t>
    </r>
    <r>
      <rPr>
        <sz val="11"/>
        <color theme="1"/>
        <rFont val="Noto Sans CJK SC"/>
        <family val="2"/>
      </rPr>
      <t xml:space="preserve">百萬股（股東信）</t>
    </r>
  </si>
  <si>
    <r>
      <rPr>
        <sz val="11"/>
        <color theme="1"/>
        <rFont val="Calibri"/>
        <family val="2"/>
        <charset val="1"/>
      </rPr>
      <t xml:space="preserve">4Q26 1,068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普通股 </t>
    </r>
    <r>
      <rPr>
        <sz val="11"/>
        <color theme="1"/>
        <rFont val="Calibri"/>
        <family val="2"/>
        <charset val="1"/>
      </rPr>
      <t xml:space="preserve">1,064 </t>
    </r>
    <r>
      <rPr>
        <sz val="11"/>
        <color theme="1"/>
        <rFont val="Noto Sans CJK SC"/>
        <family val="2"/>
      </rPr>
      <t xml:space="preserve">百萬股</t>
    </r>
  </si>
  <si>
    <t xml:space="preserve">chip_27</t>
  </si>
  <si>
    <r>
      <rPr>
        <sz val="11"/>
        <color theme="1"/>
        <rFont val="Calibri"/>
        <family val="2"/>
        <charset val="1"/>
      </rPr>
      <t xml:space="preserve">Arm AGI CPU </t>
    </r>
    <r>
      <rPr>
        <sz val="11"/>
        <color theme="1"/>
        <rFont val="Noto Sans CJK SC"/>
        <family val="2"/>
      </rPr>
      <t xml:space="preserve">晶片營收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（含在授權及其他錨點內）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</si>
  <si>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AGI CPU 2026-03 </t>
    </r>
    <r>
      <rPr>
        <sz val="11"/>
        <color theme="1"/>
        <rFont val="Noto Sans CJK SC"/>
        <family val="2"/>
      </rPr>
      <t xml:space="preserve">推出，首批已交付多家美、中客戶；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客戶需求逾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億美元（股東信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</si>
  <si>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晶片營收所在列公司未揭露：未找到；本模型暫列授權及其他之下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</si>
  <si>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權利金分市場（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基期比例；公司只揭露手機占比）</t>
    </r>
  </si>
  <si>
    <t xml:space="preserve">ph_s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</si>
  <si>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智慧型手機（行動應用處理器）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權利金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</si>
  <si>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</si>
  <si>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）：行動應用處理器權利金約占權利金 </t>
    </r>
    <r>
      <rPr>
        <sz val="11"/>
        <color theme="1"/>
        <rFont val="Calibri"/>
        <family val="2"/>
        <charset val="1"/>
      </rPr>
      <t xml:space="preserve">43%</t>
    </r>
  </si>
  <si>
    <r>
      <rPr>
        <sz val="11"/>
        <color theme="1"/>
        <rFont val="Noto Sans CJK SC"/>
        <family val="2"/>
      </rPr>
      <t xml:space="preserve">管理層：手機約 </t>
    </r>
    <r>
      <rPr>
        <sz val="11"/>
        <color theme="1"/>
        <rFont val="Calibri"/>
        <family val="2"/>
        <charset val="1"/>
      </rPr>
      <t xml:space="preserve">40–45%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</si>
  <si>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t xml:space="preserve">dc_s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</si>
  <si>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Neoverse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權利金</t>
    </r>
  </si>
  <si>
    <r>
      <rPr>
        <sz val="11"/>
        <color theme="1"/>
        <rFont val="Noto Sans CJK SC"/>
        <family val="2"/>
      </rPr>
      <t xml:space="preserve">管理層：資料中心「十幾到接近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The Motley Fool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</si>
  <si>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資料中心權利金年增逾一倍（股東信）</t>
    </r>
  </si>
  <si>
    <t xml:space="preserve">au_s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</si>
  <si>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權利金</t>
    </r>
  </si>
  <si>
    <r>
      <rPr>
        <sz val="11"/>
        <color theme="1"/>
        <rFont val="Noto Sans CJK SC"/>
        <family val="2"/>
      </rPr>
      <t xml:space="preserve">管理層：車用雙位數成長（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法說）；占比未揭露：未找到</t>
    </r>
  </si>
  <si>
    <r>
      <rPr>
        <sz val="11"/>
        <color theme="1"/>
        <rFont val="Noto Sans CJK SC"/>
        <family val="2"/>
      </rPr>
      <t xml:space="preserve">物聯網與其他（含 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、消費電子、嵌入式）＝殘差</t>
    </r>
  </si>
  <si>
    <t xml:space="preserve">ph_u26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</si>
  <si>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智慧型手機出貨（全球）</t>
    </r>
  </si>
  <si>
    <t xml:space="preserve">十億支</t>
  </si>
  <si>
    <r>
      <rPr>
        <sz val="11"/>
        <color theme="1"/>
        <rFont val="Noto Sans CJK SC"/>
        <family val="2"/>
      </rPr>
      <t xml:space="preserve">全球手機年出貨約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億支（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量級；本專案未建立）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</si>
  <si>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無手機出貨：待併入 </t>
    </r>
    <r>
      <rPr>
        <sz val="11"/>
        <color theme="1"/>
        <rFont val="Calibri"/>
        <family val="2"/>
        <charset val="1"/>
      </rPr>
      <t xml:space="preserve">Siliconomics</t>
    </r>
  </si>
  <si>
    <t xml:space="preserve">g_ph27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</si>
  <si>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手機權利金年增</t>
    </r>
  </si>
  <si>
    <r>
      <rPr>
        <sz val="11"/>
        <color theme="1"/>
        <rFont val="Calibri"/>
        <family val="2"/>
        <charset val="1"/>
      </rPr>
      <t xml:space="preserve">Hudson Labs</t>
    </r>
    <r>
      <rPr>
        <sz val="11"/>
        <color theme="1"/>
        <rFont val="Noto Sans CJK SC"/>
        <family val="2"/>
      </rPr>
      <t xml:space="preserve">：管理層預期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手機權利金年增 </t>
    </r>
    <r>
      <rPr>
        <sz val="11"/>
        <color theme="1"/>
        <rFont val="Calibri"/>
        <family val="2"/>
        <charset val="1"/>
      </rPr>
      <t xml:space="preserve">high-teens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</si>
  <si>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Noto Sans CJK SC"/>
        <family val="2"/>
      </rPr>
      <t xml:space="preserve">記憶體漲價使手機出貨下修（聯發科預期約 −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；管理層：出貨 −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使權利金 −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）；本模型取保守值</t>
    </r>
  </si>
  <si>
    <t xml:space="preserve">g_dc27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</si>
  <si>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資料中心權利金年增</t>
    </r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</si>
  <si>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資料中心權利金年增逾一倍（股東信）；全年假設低於上半年（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</si>
  <si>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Neoverse </t>
    </r>
    <r>
      <rPr>
        <sz val="11"/>
        <color theme="1"/>
        <rFont val="Noto Sans CJK SC"/>
        <family val="2"/>
      </rPr>
      <t xml:space="preserve">核心出貨逾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億顆，近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億（新聞稿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</si>
  <si>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g_au27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</si>
  <si>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車用權利金年增</t>
    </r>
  </si>
  <si>
    <r>
      <rPr>
        <sz val="11"/>
        <color theme="1"/>
        <rFont val="Noto Sans CJK SC"/>
        <family val="2"/>
      </rPr>
      <t xml:space="preserve">管理層：車用雙位數成長（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</si>
  <si>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物聯網與其他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＝錨點權利金 − 三個市場（殘差）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</si>
  <si>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權利金驅動（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起：出貨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每顆權利金率）</t>
    </r>
  </si>
  <si>
    <t xml:space="preserve">g_phu28</t>
  </si>
  <si>
    <r>
      <rPr>
        <sz val="11"/>
        <color theme="1"/>
        <rFont val="Noto Sans CJK SC"/>
        <family val="2"/>
      </rPr>
      <t xml:space="preserve">手機出貨年增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</si>
  <si>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記憶體價格上漲壓抑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手機出貨（聯發科預期約 −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法說轉述）</t>
    </r>
  </si>
  <si>
    <t xml:space="preserve">g_phu29</t>
  </si>
  <si>
    <r>
      <rPr>
        <sz val="11"/>
        <color theme="1"/>
        <rFont val="Noto Sans CJK SC"/>
        <family val="2"/>
      </rPr>
      <t xml:space="preserve">手機出貨年增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</si>
  <si>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成熟市場，回到低個位數（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</si>
  <si>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phr_A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</si>
  <si>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：手機每支權利金率年增（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CSS </t>
    </r>
    <r>
      <rPr>
        <sz val="11"/>
        <color theme="1"/>
        <rFont val="Noto Sans CJK SC"/>
        <family val="2"/>
      </rPr>
      <t xml:space="preserve">滲透）</t>
    </r>
  </si>
  <si>
    <r>
      <rPr>
        <sz val="11"/>
        <color theme="1"/>
        <rFont val="Noto Sans CJK SC"/>
        <family val="2"/>
      </rPr>
      <t xml:space="preserve">管理層：</t>
    </r>
    <r>
      <rPr>
        <sz val="11"/>
        <color theme="1"/>
        <rFont val="Calibri"/>
        <family val="2"/>
        <charset val="1"/>
      </rPr>
      <t xml:space="preserve">v9 CSS </t>
    </r>
    <r>
      <rPr>
        <sz val="11"/>
        <color theme="1"/>
        <rFont val="Noto Sans CJK SC"/>
        <family val="2"/>
      </rPr>
      <t xml:space="preserve">權利金率每代上升；</t>
    </r>
    <r>
      <rPr>
        <sz val="11"/>
        <color theme="1"/>
        <rFont val="Calibri"/>
        <family val="2"/>
        <charset val="1"/>
      </rPr>
      <t xml:space="preserve">CSS </t>
    </r>
    <r>
      <rPr>
        <sz val="11"/>
        <color theme="1"/>
        <rFont val="Noto Sans CJK SC"/>
        <family val="2"/>
      </rPr>
      <t xml:space="preserve">占權利金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進入十幾 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、未來兩年可能逾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</si>
  <si>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t xml:space="preserve">phr_B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</si>
  <si>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：手機每支權利金率年增（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CSS </t>
    </r>
    <r>
      <rPr>
        <sz val="11"/>
        <color theme="1"/>
        <rFont val="Noto Sans CJK SC"/>
        <family val="2"/>
      </rPr>
      <t xml:space="preserve">滲透）</t>
    </r>
  </si>
  <si>
    <r>
      <rPr>
        <sz val="11"/>
        <color theme="1"/>
        <rFont val="Noto Sans CJK SC"/>
        <family val="2"/>
      </rPr>
      <t xml:space="preserve">同上；情境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為基準</t>
    </r>
  </si>
  <si>
    <t xml:space="preserve">phr_C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</si>
  <si>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：手機每支權利金率年增（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CSS </t>
    </r>
    <r>
      <rPr>
        <sz val="11"/>
        <color theme="1"/>
        <rFont val="Noto Sans CJK SC"/>
        <family val="2"/>
      </rPr>
      <t xml:space="preserve">滲透）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</si>
  <si>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Qualcomm 2026-10-13 </t>
    </r>
    <r>
      <rPr>
        <sz val="11"/>
        <color theme="1"/>
        <rFont val="Noto Sans CJK SC"/>
        <family val="2"/>
      </rPr>
      <t xml:space="preserve">陪審團判 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違約（架構授權），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難以要求 </t>
    </r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改用較高費率；加上 </t>
    </r>
    <r>
      <rPr>
        <sz val="11"/>
        <color theme="1"/>
        <rFont val="Calibri"/>
        <family val="2"/>
        <charset val="1"/>
      </rPr>
      <t xml:space="preserve">CSS </t>
    </r>
    <r>
      <rPr>
        <sz val="11"/>
        <color theme="1"/>
        <rFont val="Noto Sans CJK SC"/>
        <family val="2"/>
      </rPr>
      <t xml:space="preserve">推廣較慢</t>
    </r>
  </si>
  <si>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訴訟：</t>
    </r>
    <r>
      <rPr>
        <sz val="11"/>
        <color theme="1"/>
        <rFont val="Calibri"/>
        <family val="2"/>
        <charset val="1"/>
      </rPr>
      <t xml:space="preserve">Paul Weiss 2026-10-13</t>
    </r>
    <r>
      <rPr>
        <sz val="11"/>
        <color theme="1"/>
        <rFont val="Noto Sans CJK SC"/>
        <family val="2"/>
      </rPr>
      <t xml:space="preserve">；法官審理部分 </t>
    </r>
    <r>
      <rPr>
        <sz val="11"/>
        <color theme="1"/>
        <rFont val="Calibri"/>
        <family val="2"/>
        <charset val="1"/>
      </rPr>
      <t xml:space="preserve">10-20 </t>
    </r>
    <r>
      <rPr>
        <sz val="11"/>
        <color theme="1"/>
        <rFont val="Noto Sans CJK SC"/>
        <family val="2"/>
      </rPr>
      <t xml:space="preserve">結辯，判決未出</t>
    </r>
  </si>
  <si>
    <t xml:space="preserve">qc_adj</t>
  </si>
  <si>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相關手機權利金調整（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</si>
  <si>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陪審團 </t>
    </r>
    <r>
      <rPr>
        <sz val="11"/>
        <color theme="1"/>
        <rFont val="Calibri"/>
        <family val="2"/>
        <charset val="1"/>
      </rPr>
      <t xml:space="preserve">2026-10-13 </t>
    </r>
    <r>
      <rPr>
        <sz val="11"/>
        <color theme="1"/>
        <rFont val="Noto Sans CJK SC"/>
        <family val="2"/>
      </rPr>
      <t xml:space="preserve">判 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違反架構授權、干擾 </t>
    </r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的業務關係（</t>
    </r>
    <r>
      <rPr>
        <sz val="11"/>
        <color theme="1"/>
        <rFont val="Calibri"/>
        <family val="2"/>
        <charset val="1"/>
      </rPr>
      <t xml:space="preserve">Paul Weiss</t>
    </r>
    <r>
      <rPr>
        <sz val="11"/>
        <color theme="1"/>
        <rFont val="Noto Sans CJK SC"/>
        <family val="2"/>
      </rPr>
      <t xml:space="preserve">）；損害賠償未揭露：未找到</t>
    </r>
  </si>
  <si>
    <r>
      <rPr>
        <sz val="11"/>
        <color theme="1"/>
        <rFont val="Noto Sans CJK SC"/>
        <family val="2"/>
      </rPr>
      <t xml:space="preserve">低值＝</t>
    </r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擴大自研核心、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失去部分手機權利金；高值＝和解後費率調升</t>
    </r>
  </si>
  <si>
    <t xml:space="preserve">cpu_gpu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</si>
  <si>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搭配的 </t>
    </r>
    <r>
      <rPr>
        <sz val="11"/>
        <color theme="1"/>
        <rFont val="Calibri"/>
        <family val="2"/>
        <charset val="1"/>
      </rPr>
      <t xml:space="preserve">Arm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</t>
    </r>
  </si>
  <si>
    <t xml:space="preserve">顆</t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</si>
  <si>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搭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 NVL144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顆封裝搭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</si>
  <si>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低值反映 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x86 </t>
    </r>
    <r>
      <rPr>
        <sz val="11"/>
        <color theme="1"/>
        <rFont val="Noto Sans CJK SC"/>
        <family val="2"/>
      </rPr>
      <t xml:space="preserve">主機）出貨占比</t>
    </r>
  </si>
  <si>
    <t xml:space="preserve">nvbw_26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</si>
  <si>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</si>
  <si>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</si>
  <si>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SIF_UnitsPlat_bw[2026]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</si>
  <si>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加速器顆數（情境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乘同字母顆數係數</t>
    </r>
  </si>
  <si>
    <t xml:space="preserve">nvbw_27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</si>
  <si>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</si>
  <si>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SIF_UnitsPlat_bw[2027]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</si>
  <si>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t xml:space="preserve">nvbw_28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</si>
  <si>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</si>
  <si>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SIF_UnitsPlat_bw[2028]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</si>
  <si>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t xml:space="preserve">nvbw_29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</si>
  <si>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</si>
  <si>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SIF_UnitsPlat_bw[2029]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</si>
  <si>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t xml:space="preserve">nvrb_26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</si>
  <si>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</si>
  <si>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SIF_UnitsPlat_rb[2026]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</si>
  <si>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t xml:space="preserve">nvrb_27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</si>
  <si>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</si>
  <si>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SIF_UnitsPlat_rb[2027]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</si>
  <si>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t xml:space="preserve">nvrb_28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</si>
  <si>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</si>
  <si>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SIF_UnitsPlat_rb[2028]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</si>
  <si>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t xml:space="preserve">nvrb_29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</si>
  <si>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</si>
  <si>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SIF_UnitsPlat_rb[2029]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</si>
  <si>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t xml:space="preserve">nvru_26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</si>
  <si>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</si>
  <si>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SIF_UnitsPlat_ru[2026]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</si>
  <si>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t xml:space="preserve">nvru_27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</si>
  <si>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</si>
  <si>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SIF_UnitsPlat_ru[2027]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</si>
  <si>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t xml:space="preserve">nvru_28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</si>
  <si>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</si>
  <si>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SIF_UnitsPlat_ru[2028]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</si>
  <si>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t xml:space="preserve">nvru_29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</si>
  <si>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</si>
  <si>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SIF_UnitsPlat_ru[2029]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</si>
  <si>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t xml:space="preserve">uc28_A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</si>
  <si>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顆數係數</t>
    </r>
  </si>
  <si>
    <t xml:space="preserve">x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</si>
  <si>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SIF_UnitsCoef_A[2028]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</si>
  <si>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（與台積電、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模型同一套）</t>
    </r>
  </si>
  <si>
    <t xml:space="preserve">uc28_B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</si>
  <si>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顆數係數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</si>
  <si>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SIF_UnitsCoef_B[2028]</t>
    </r>
  </si>
  <si>
    <t xml:space="preserve">uc28_C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</si>
  <si>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顆數係數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</si>
  <si>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SIF_UnitsCoef_C[2028]</t>
    </r>
  </si>
  <si>
    <t xml:space="preserve">uc29_A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</si>
  <si>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顆數係數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</si>
  <si>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SIF_UnitsCoef_A[2029]</t>
    </r>
  </si>
  <si>
    <t xml:space="preserve">uc29_B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</si>
  <si>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顆數係數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</si>
  <si>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SIF_UnitsCoef_B[2029]</t>
    </r>
  </si>
  <si>
    <t xml:space="preserve">uc29_C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</si>
  <si>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顆數係數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</si>
  <si>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SIF_UnitsCoef_C[2029]</t>
    </r>
  </si>
  <si>
    <t xml:space="preserve">nv_cy25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</si>
  <si>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</si>
  <si>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加速器顆數從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未建立，待併入 </t>
    </r>
    <r>
      <rPr>
        <sz val="11"/>
        <color theme="1"/>
        <rFont val="Calibri"/>
        <family val="2"/>
        <charset val="1"/>
      </rPr>
      <t xml:space="preserve">Siliconomics</t>
    </r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</si>
  <si>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CPU </t>
    </r>
    <r>
      <rPr>
        <sz val="11"/>
        <color theme="1"/>
        <rFont val="Noto Sans CJK SC"/>
        <family val="2"/>
      </rPr>
      <t xml:space="preserve">指數基期</t>
    </r>
  </si>
  <si>
    <t xml:space="preserve">w_nv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</si>
  <si>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資料中心權利金中 </t>
    </r>
    <r>
      <rPr>
        <sz val="11"/>
        <color theme="1"/>
        <rFont val="Calibri"/>
        <family val="2"/>
        <charset val="1"/>
      </rPr>
      <t xml:space="preserve">NVIDIA 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 </t>
    </r>
    <r>
      <rPr>
        <sz val="11"/>
        <color theme="1"/>
        <rFont val="Noto Sans CJK SC"/>
        <family val="2"/>
      </rPr>
      <t xml:space="preserve">的比重</t>
    </r>
  </si>
  <si>
    <r>
      <rPr>
        <sz val="11"/>
        <color theme="1"/>
        <rFont val="Noto Sans CJK SC"/>
        <family val="2"/>
      </rPr>
      <t xml:space="preserve">公司未揭露客戶別：未找到；</t>
    </r>
    <r>
      <rPr>
        <sz val="11"/>
        <color theme="1"/>
        <rFont val="Calibri"/>
        <family val="2"/>
        <charset val="1"/>
      </rPr>
      <t xml:space="preserve">NVIDIA Vera 88 </t>
    </r>
    <r>
      <rPr>
        <sz val="11"/>
        <color theme="1"/>
        <rFont val="Noto Sans CJK SC"/>
        <family val="2"/>
      </rPr>
      <t xml:space="preserve">核、</t>
    </r>
    <r>
      <rPr>
        <sz val="11"/>
        <color theme="1"/>
        <rFont val="Calibri"/>
        <family val="2"/>
        <charset val="1"/>
      </rPr>
      <t xml:space="preserve">AWS Graviton5 192 </t>
    </r>
    <r>
      <rPr>
        <sz val="11"/>
        <color theme="1"/>
        <rFont val="Noto Sans CJK SC"/>
        <family val="2"/>
      </rPr>
      <t xml:space="preserve">核、</t>
    </r>
    <r>
      <rPr>
        <sz val="11"/>
        <color theme="1"/>
        <rFont val="Calibri"/>
        <family val="2"/>
        <charset val="1"/>
      </rPr>
      <t xml:space="preserve">Microsoft Cobalt 200 132 </t>
    </r>
    <r>
      <rPr>
        <sz val="11"/>
        <color theme="1"/>
        <rFont val="Noto Sans CJK SC"/>
        <family val="2"/>
      </rPr>
      <t xml:space="preserve">核（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</si>
  <si>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其餘＝雲端自研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Graviton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Axion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Cobalt </t>
    </r>
    <r>
      <rPr>
        <sz val="11"/>
        <color theme="1"/>
        <rFont val="Noto Sans CJK SC"/>
        <family val="2"/>
      </rPr>
      <t xml:space="preserve">等）與網通、</t>
    </r>
    <r>
      <rPr>
        <sz val="11"/>
        <color theme="1"/>
        <rFont val="Calibri"/>
        <family val="2"/>
        <charset val="1"/>
      </rPr>
      <t xml:space="preserve">DPU</t>
    </r>
  </si>
  <si>
    <t xml:space="preserve">g_hc</t>
  </si>
  <si>
    <r>
      <rPr>
        <sz val="11"/>
        <color theme="1"/>
        <rFont val="Noto Sans CJK SC"/>
        <family val="2"/>
      </rPr>
      <t xml:space="preserve">雲端自研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顆數年增（</t>
    </r>
    <r>
      <rPr>
        <sz val="11"/>
        <color theme="1"/>
        <rFont val="Calibri"/>
        <family val="2"/>
        <charset val="1"/>
      </rPr>
      <t xml:space="preserve">Graviton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Axion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Cobalt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同字母顆數係數）</t>
    </r>
  </si>
  <si>
    <r>
      <rPr>
        <sz val="11"/>
        <color theme="1"/>
        <rFont val="Noto Sans CJK SC"/>
        <family val="2"/>
      </rPr>
      <t xml:space="preserve">管理層：預期 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在前幾大雲端業者的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份額達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IDC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加速伺服器平台支出兩季近倍增（新聞稿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</si>
  <si>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顆數：待併入 </t>
    </r>
    <r>
      <rPr>
        <sz val="11"/>
        <color theme="1"/>
        <rFont val="Calibri"/>
        <family val="2"/>
        <charset val="1"/>
      </rPr>
      <t xml:space="preserve">Siliconomics</t>
    </r>
  </si>
  <si>
    <t xml:space="preserve">dcr</t>
  </si>
  <si>
    <r>
      <rPr>
        <sz val="11"/>
        <color theme="1"/>
        <rFont val="Noto Sans CJK SC"/>
        <family val="2"/>
      </rPr>
      <t xml:space="preserve">資料中心每顆權利金率年增（核心數、</t>
    </r>
    <r>
      <rPr>
        <sz val="11"/>
        <color theme="1"/>
        <rFont val="Calibri"/>
        <family val="2"/>
        <charset val="1"/>
      </rPr>
      <t xml:space="preserve">CSS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</si>
  <si>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核心數：</t>
    </r>
    <r>
      <rPr>
        <sz val="11"/>
        <color theme="1"/>
        <rFont val="Calibri"/>
        <family val="2"/>
        <charset val="1"/>
      </rPr>
      <t xml:space="preserve">Graviton4 96 → Graviton5 192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72 → 88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</si>
  <si>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t xml:space="preserve">g_au</t>
  </si>
  <si>
    <r>
      <rPr>
        <sz val="11"/>
        <color theme="1"/>
        <rFont val="Noto Sans CJK SC"/>
        <family val="2"/>
      </rPr>
      <t xml:space="preserve">車用權利金年增（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</si>
  <si>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車用雙位數成長（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</si>
  <si>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t xml:space="preserve">g_iot</t>
  </si>
  <si>
    <r>
      <rPr>
        <sz val="11"/>
        <color theme="1"/>
        <rFont val="Noto Sans CJK SC"/>
        <family val="2"/>
      </rPr>
      <t xml:space="preserve">物聯網與其他權利金年增（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</si>
  <si>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Windows on Arm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RTX Spark</t>
    </r>
    <r>
      <rPr>
        <sz val="11"/>
        <color theme="1"/>
        <rFont val="Noto Sans CJK SC"/>
        <family val="2"/>
      </rPr>
      <t xml:space="preserve">）、消費電子、嵌入式；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殘差約持平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</si>
  <si>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授權及其他（含 </t>
    </r>
    <r>
      <rPr>
        <b val="true"/>
        <sz val="11"/>
        <rFont val="Cambria"/>
        <family val="0"/>
        <charset val="1"/>
      </rPr>
      <t xml:space="preserve">SoftBank </t>
    </r>
    <r>
      <rPr>
        <b val="true"/>
        <sz val="11"/>
        <rFont val="Noto Sans CJK SC"/>
        <family val="2"/>
      </rPr>
      <t xml:space="preserve">協議）與 </t>
    </r>
    <r>
      <rPr>
        <b val="true"/>
        <sz val="11"/>
        <rFont val="Cambria"/>
        <family val="0"/>
        <charset val="1"/>
      </rPr>
      <t xml:space="preserve">Arm AGI CPU </t>
    </r>
    <r>
      <rPr>
        <b val="true"/>
        <sz val="11"/>
        <rFont val="Noto Sans CJK SC"/>
        <family val="2"/>
      </rPr>
      <t xml:space="preserve">晶片</t>
    </r>
  </si>
  <si>
    <t xml:space="preserve">g_lic</t>
  </si>
  <si>
    <r>
      <rPr>
        <sz val="11"/>
        <color theme="1"/>
        <rFont val="Noto Sans CJK SC"/>
        <family val="2"/>
      </rPr>
      <t xml:space="preserve">授權（不含晶片）年增（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</si>
  <si>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ACV 1Q27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（股東信）；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協議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認列 </t>
    </r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億美元／季（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</si>
  <si>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協議期間與續約：未找到</t>
    </r>
  </si>
  <si>
    <t xml:space="preserve">chip28_A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</si>
  <si>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Arm AGI CPU </t>
    </r>
    <r>
      <rPr>
        <sz val="11"/>
        <color theme="1"/>
        <rFont val="Noto Sans CJK SC"/>
        <family val="2"/>
      </rPr>
      <t xml:space="preserve">晶片營收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</si>
  <si>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客戶需求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億美元，已取得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億美元的產能（股東信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）；公司稱朝此業務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億美元的預估前進（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股東信）</t>
    </r>
  </si>
  <si>
    <r>
      <rPr>
        <sz val="11"/>
        <color theme="1"/>
        <rFont val="Noto Sans CJK SC"/>
        <family val="2"/>
      </rPr>
      <t xml:space="preserve">產能為主要限制：第二個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億美元的製造產能尚未鎖定（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）</t>
    </r>
  </si>
  <si>
    <t xml:space="preserve">chip28_B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</si>
  <si>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Arm AGI CPU </t>
    </r>
    <r>
      <rPr>
        <sz val="11"/>
        <color theme="1"/>
        <rFont val="Noto Sans CJK SC"/>
        <family val="2"/>
      </rPr>
      <t xml:space="preserve">晶片營收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</si>
  <si>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chip28_C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</si>
  <si>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Arm AGI CPU </t>
    </r>
    <r>
      <rPr>
        <sz val="11"/>
        <color theme="1"/>
        <rFont val="Noto Sans CJK SC"/>
        <family val="2"/>
      </rPr>
      <t xml:space="preserve">晶片營收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</si>
  <si>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chip29_A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</si>
  <si>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Arm AGI CPU </t>
    </r>
    <r>
      <rPr>
        <sz val="11"/>
        <color theme="1"/>
        <rFont val="Noto Sans CJK SC"/>
        <family val="2"/>
      </rPr>
      <t xml:space="preserve">晶片營收 </t>
    </r>
    <r>
      <rPr>
        <sz val="11"/>
        <color theme="1"/>
        <rFont val="Calibri"/>
        <family val="2"/>
        <charset val="1"/>
      </rPr>
      <t xml:space="preserve">FY2029</t>
    </r>
  </si>
  <si>
    <t xml:space="preserve">chip29_B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</si>
  <si>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Arm AGI CPU </t>
    </r>
    <r>
      <rPr>
        <sz val="11"/>
        <color theme="1"/>
        <rFont val="Noto Sans CJK SC"/>
        <family val="2"/>
      </rPr>
      <t xml:space="preserve">晶片營收 </t>
    </r>
    <r>
      <rPr>
        <sz val="11"/>
        <color theme="1"/>
        <rFont val="Calibri"/>
        <family val="2"/>
        <charset val="1"/>
      </rPr>
      <t xml:space="preserve">FY2029</t>
    </r>
  </si>
  <si>
    <t xml:space="preserve">chip29_C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</si>
  <si>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Arm AGI CPU </t>
    </r>
    <r>
      <rPr>
        <sz val="11"/>
        <color theme="1"/>
        <rFont val="Noto Sans CJK SC"/>
        <family val="2"/>
      </rPr>
      <t xml:space="preserve">晶片營收 </t>
    </r>
    <r>
      <rPr>
        <sz val="11"/>
        <color theme="1"/>
        <rFont val="Calibri"/>
        <family val="2"/>
        <charset val="1"/>
      </rPr>
      <t xml:space="preserve">FY2029</t>
    </r>
  </si>
  <si>
    <t xml:space="preserve">chip_gm</t>
  </si>
  <si>
    <t xml:space="preserve">晶片毛利率</t>
  </si>
  <si>
    <t xml:space="preserve">晶片毛利率公司未揭露：未找到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</si>
  <si>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晶片業者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；首代晶片、委外製造與客戶議價（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較低）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</si>
  <si>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</si>
  <si>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g_opx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</si>
  <si>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</si>
  <si>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（研發 </t>
    </r>
    <r>
      <rPr>
        <sz val="11"/>
        <color theme="1"/>
        <rFont val="Calibri"/>
        <family val="2"/>
        <charset val="1"/>
      </rPr>
      <t xml:space="preserve">+43%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（股東信）</t>
    </r>
  </si>
  <si>
    <t xml:space="preserve">晶片業務需持續研發與銷售投入</t>
  </si>
  <si>
    <t xml:space="preserve">oth_f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</si>
  <si>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</si>
  <si>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1Q27 0.034 × 4</t>
    </r>
    <r>
      <rPr>
        <sz val="11"/>
        <color theme="1"/>
        <rFont val="Noto Sans CJK SC"/>
        <family val="2"/>
      </rPr>
      <t xml:space="preserve">（股東信）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</si>
  <si>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</si>
  <si>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</si>
  <si>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q_tx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</si>
  <si>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</si>
  <si>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</si>
  <si>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1,063 → FY2026 1,068 → 1Q27 1,078 </t>
    </r>
    <r>
      <rPr>
        <sz val="11"/>
        <color theme="1"/>
        <rFont val="Noto Sans CJK SC"/>
        <family val="2"/>
      </rPr>
      <t xml:space="preserve">百萬股（股東信）</t>
    </r>
  </si>
  <si>
    <t xml:space="preserve">股票薪酬發行；公司未大量買回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</si>
  <si>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</si>
  <si>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</si>
  <si>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平均）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</si>
  <si>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</si>
  <si>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https://stockanalysis.com/stocks/arm/forecast/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，更新 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</si>
  <si>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2.38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2.06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</si>
  <si>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</si>
  <si>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營收（平均）</t>
    </r>
  </si>
  <si>
    <t xml:space="preserve">https://stockanalysis.com/stocks/arm/forecast/</t>
  </si>
  <si>
    <r>
      <rPr>
        <sz val="11"/>
        <color theme="1"/>
        <rFont val="Calibri"/>
        <family val="2"/>
        <charset val="1"/>
      </rPr>
      <t xml:space="preserve">Hudson Labs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60.58 </t>
    </r>
    <r>
      <rPr>
        <sz val="11"/>
        <color theme="1"/>
        <rFont val="Noto Sans CJK SC"/>
        <family val="2"/>
      </rPr>
      <t xml:space="preserve">億美元</t>
    </r>
  </si>
  <si>
    <t xml:space="preserve">c_q2rev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</si>
  <si>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</t>
    </r>
  </si>
  <si>
    <t xml:space="preserve">https://www.hudson-labs.com/research/arm-q2-2027-earnings-preview-arm-revenue-and-outlook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</si>
  <si>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13.8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± 0.5 </t>
    </r>
    <r>
      <rPr>
        <sz val="11"/>
        <color theme="1"/>
        <rFont val="Noto Sans CJK SC"/>
        <family val="2"/>
      </rPr>
      <t xml:space="preserve">億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</si>
  <si>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價格與股權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</si>
  <si>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</si>
  <si>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</si>
  <si>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InvestSmart </t>
    </r>
    <r>
      <rPr>
        <sz val="11"/>
        <color theme="1"/>
        <rFont val="Noto Sans CJK SC"/>
        <family val="2"/>
      </rPr>
      <t xml:space="preserve">價格歷史：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228.88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+0.77%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</si>
  <si>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digrin 10 </t>
    </r>
    <r>
      <rPr>
        <sz val="11"/>
        <color theme="1"/>
        <rFont val="Noto Sans CJK SC"/>
        <family val="2"/>
      </rPr>
      <t xml:space="preserve">月現價 </t>
    </r>
    <r>
      <rPr>
        <sz val="11"/>
        <color theme="1"/>
        <rFont val="Calibri"/>
        <family val="2"/>
        <charset val="1"/>
      </rPr>
      <t xml:space="preserve">228.77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210.33</t>
    </r>
  </si>
  <si>
    <t xml:space="preserve">sb_own</t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</si>
  <si>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集團持股（約）</t>
    </r>
  </si>
  <si>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集團為控股股東；約九成（</t>
    </r>
    <r>
      <rPr>
        <sz val="11"/>
        <color theme="1"/>
        <rFont val="Calibri"/>
        <family val="2"/>
        <charset val="1"/>
      </rPr>
      <t xml:space="preserve">whoistheownerof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SoftBank's 90% grip</t>
    </r>
    <r>
      <rPr>
        <sz val="11"/>
        <color theme="1"/>
        <rFont val="Noto Sans CJK SC"/>
        <family val="2"/>
      </rPr>
      <t xml:space="preserve">」）</t>
    </r>
  </si>
  <si>
    <t xml:space="preserve">流通股約一成：只作說明，不進目標價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</si>
  <si>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</si>
  <si>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</si>
  <si>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</si>
  <si>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</si>
  <si>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</si>
  <si>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</si>
  <si>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</si>
  <si>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</si>
  <si>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</si>
  <si>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</si>
  <si>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</si>
  <si>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</si>
  <si>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</si>
  <si>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</si>
  <si>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</si>
  <si>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</si>
  <si>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</si>
  <si>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（同時移動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</si>
  <si>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</si>
  <si>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</si>
  <si>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FY2024 6.55%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13.05%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11.95%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</si>
  <si>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淨利口徑（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較高，見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</si>
  <si>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</si>
  <si>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</si>
  <si>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</si>
  <si>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</si>
  <si>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</si>
  <si>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</si>
  <si>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</si>
  <si>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</si>
  <si>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</si>
  <si>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</si>
  <si>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</si>
  <si>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</si>
  <si>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</si>
  <si>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</si>
  <si>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十年平均淨利率：未找到（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月才上市）；依工作單以最後一年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</si>
  <si>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</si>
  <si>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</si>
  <si>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</si>
  <si>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43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290.71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278.60</t>
    </r>
    <r>
      <rPr>
        <sz val="11"/>
        <color theme="1"/>
        <rFont val="Noto Sans CJK SC"/>
        <family val="2"/>
      </rPr>
      <t xml:space="preserve">），更新 </t>
    </r>
    <r>
      <rPr>
        <sz val="11"/>
        <color theme="1"/>
        <rFont val="Calibri"/>
        <family val="2"/>
        <charset val="1"/>
      </rPr>
      <t xml:space="preserve">2026-10-21</t>
    </r>
  </si>
  <si>
    <r>
      <rPr>
        <sz val="11"/>
        <color theme="1"/>
        <rFont val="Calibri"/>
        <family val="2"/>
        <charset val="1"/>
      </rPr>
      <t xml:space="preserve">UBS 320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RBC 340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</si>
  <si>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</si>
  <si>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</si>
  <si>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）：價格 </t>
    </r>
    <r>
      <rPr>
        <sz val="11"/>
        <color theme="1"/>
        <rFont val="Calibri"/>
        <family val="2"/>
        <charset val="1"/>
      </rPr>
      <t xml:space="preserve">225.95 ÷ Forward PE 93.52</t>
    </r>
  </si>
  <si>
    <t xml:space="preserve">賣方共識，只作對帳與差距拆解，不作校準</t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</si>
  <si>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</si>
  <si>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</si>
  <si>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</si>
  <si>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</si>
  <si>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</si>
  <si>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scn_phr</t>
  </si>
  <si>
    <r>
      <rPr>
        <sz val="11"/>
        <color theme="1"/>
        <rFont val="Noto Sans CJK SC"/>
        <family val="2"/>
      </rPr>
      <t xml:space="preserve">手機每支權利金率年增（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CSS </t>
    </r>
    <r>
      <rPr>
        <sz val="11"/>
        <color theme="1"/>
        <rFont val="Noto Sans CJK SC"/>
        <family val="2"/>
      </rPr>
      <t xml:space="preserve">滲透）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</si>
  <si>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phr_A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phr_B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phr_C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</si>
  <si>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scn_uc28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</si>
  <si>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顆數係數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</si>
  <si>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uc28_A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uc28_B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uc28_C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</si>
  <si>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scn_uc29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</si>
  <si>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顆數係數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</si>
  <si>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uc29_A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uc29_B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uc29_C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</si>
  <si>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scn_chip28</t>
  </si>
  <si>
    <r>
      <rPr>
        <sz val="11"/>
        <color theme="1"/>
        <rFont val="Calibri"/>
        <family val="2"/>
        <charset val="1"/>
      </rPr>
      <t xml:space="preserve">Arm AGI CPU </t>
    </r>
    <r>
      <rPr>
        <sz val="11"/>
        <color theme="1"/>
        <rFont val="Noto Sans CJK SC"/>
        <family val="2"/>
      </rPr>
      <t xml:space="preserve">晶片營收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</si>
  <si>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chip28_A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chip28_B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chip28_C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</si>
  <si>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scn_chip29</t>
  </si>
  <si>
    <r>
      <rPr>
        <sz val="11"/>
        <color theme="1"/>
        <rFont val="Calibri"/>
        <family val="2"/>
        <charset val="1"/>
      </rPr>
      <t xml:space="preserve">Arm AGI CPU </t>
    </r>
    <r>
      <rPr>
        <sz val="11"/>
        <color theme="1"/>
        <rFont val="Noto Sans CJK SC"/>
        <family val="2"/>
      </rPr>
      <t xml:space="preserve">晶片營收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</si>
  <si>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chip29_A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chip29_B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chip29_C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</si>
  <si>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</si>
  <si>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（不如預期）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</si>
  <si>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</si>
  <si>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</si>
  <si>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</si>
  <si>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</si>
  <si>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美元；股數十億股；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）。藍字＝輸入；黑字＝公式。實績取自 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6-K Exhibit 99.2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</si>
  <si>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公司指引（授權 </t>
    </r>
    <r>
      <rPr>
        <sz val="11"/>
        <color theme="1"/>
        <rFont val="Calibri"/>
        <family val="2"/>
        <charset val="1"/>
      </rPr>
      <t xml:space="preserve">mid-30%</t>
    </r>
    <r>
      <rPr>
        <sz val="11"/>
        <color theme="1"/>
        <rFont val="Noto Sans CJK SC"/>
        <family val="2"/>
      </rPr>
      <t xml:space="preserve">、權利金 </t>
    </r>
    <r>
      <rPr>
        <sz val="11"/>
        <color theme="1"/>
        <rFont val="Calibri"/>
        <family val="2"/>
        <charset val="1"/>
      </rPr>
      <t xml:space="preserve">low-teens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7.8 </t>
    </r>
    <r>
      <rPr>
        <sz val="11"/>
        <color theme="1"/>
        <rFont val="Noto Sans CJK SC"/>
        <family val="2"/>
      </rPr>
      <t xml:space="preserve">億）＋</t>
    </r>
    <r>
      <rPr>
        <sz val="11"/>
        <color theme="1"/>
        <rFont val="Calibri"/>
        <family val="2"/>
        <charset val="1"/>
      </rPr>
      <t xml:space="preserve">3Q27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假設（以去年同期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＋年增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2026-11-04</t>
    </r>
    <r>
      <rPr>
        <sz val="11"/>
        <color theme="1"/>
        <rFont val="Noto Sans CJK SC"/>
        <family val="2"/>
      </rPr>
      <t xml:space="preserve">（美東盤後）公布後更新：待 </t>
    </r>
    <r>
      <rPr>
        <sz val="11"/>
        <color theme="1"/>
        <rFont val="Calibri"/>
        <family val="2"/>
        <charset val="1"/>
      </rPr>
      <t xml:space="preserve">FQ2 </t>
    </r>
    <r>
      <rPr>
        <sz val="11"/>
        <color theme="1"/>
        <rFont val="Noto Sans CJK SC"/>
        <family val="2"/>
      </rPr>
      <t xml:space="preserve">財報</t>
    </r>
  </si>
  <si>
    <t xml:space="preserve">FY2025A</t>
  </si>
  <si>
    <t xml:space="preserve">FY2026A</t>
  </si>
  <si>
    <r>
      <rPr>
        <b val="true"/>
        <sz val="11"/>
        <rFont val="Cambria"/>
        <family val="0"/>
        <charset val="1"/>
      </rPr>
      <t xml:space="preserve">1Q27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</si>
  <si>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2Q27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</si>
  <si>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3Q27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</si>
  <si>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4Q27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</si>
  <si>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</si>
  <si>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授權及其他營收（</t>
    </r>
    <r>
      <rPr>
        <sz val="11"/>
        <color theme="1"/>
        <rFont val="Calibri"/>
        <family val="2"/>
        <charset val="1"/>
      </rPr>
      <t xml:space="preserve">License and other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</si>
  <si>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／指引／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</si>
  <si>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https://www.sec.gov/Archives/edgar/data/1973239/000197323925000010/exhibit992fye25q431-marx25.htm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https://www.sec.gov/Archives/edgar/data/0001973239/000197323926000062/exhibit992fye26q431-marx26.htm</t>
    </r>
  </si>
  <si>
    <r>
      <rPr>
        <sz val="11"/>
        <color theme="1"/>
        <rFont val="Calibri"/>
        <family val="2"/>
        <charset val="1"/>
      </rPr>
      <t xml:space="preserve">1Q27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https://www.sec.gov/Archives/edgar/data/0001973239/000197323926000113/exhibit992fye27q130-junx26.htm</t>
    </r>
  </si>
  <si>
    <r>
      <rPr>
        <sz val="11"/>
        <color theme="1"/>
        <rFont val="Noto Sans CJK SC"/>
        <family val="2"/>
      </rPr>
      <t xml:space="preserve">權利金營收（</t>
    </r>
    <r>
      <rPr>
        <sz val="11"/>
        <color theme="1"/>
        <rFont val="Calibri"/>
        <family val="2"/>
        <charset val="1"/>
      </rPr>
      <t xml:space="preserve">Royalty</t>
    </r>
    <r>
      <rPr>
        <sz val="11"/>
        <color theme="1"/>
        <rFont val="Noto Sans CJK SC"/>
        <family val="2"/>
      </rPr>
      <t xml:space="preserve">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</si>
  <si>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</si>
  <si>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FY2025 40.07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49.20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12.89 </t>
    </r>
    <r>
      <rPr>
        <sz val="11"/>
        <color theme="1"/>
        <rFont val="Noto Sans CJK SC"/>
        <family val="2"/>
      </rPr>
      <t xml:space="preserve">億美元（股東信）</t>
    </r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</si>
  <si>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13.8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± 0.5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</si>
  <si>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營業成本（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</si>
  <si>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 −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</si>
  <si>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98.1%</t>
    </r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</si>
  <si>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；研發＋銷管）</t>
    </r>
  </si>
  <si>
    <r>
      <rPr>
        <sz val="11"/>
        <color theme="1"/>
        <rFont val="Noto Sans CJK SC"/>
        <family val="2"/>
      </rPr>
      <t xml:space="preserve">股東信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調節表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</si>
  <si>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</si>
  <si>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</si>
  <si>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股東信</t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</si>
  <si>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41.2%</t>
    </r>
  </si>
  <si>
    <r>
      <rPr>
        <sz val="11"/>
        <color theme="1"/>
        <rFont val="Noto Sans CJK SC"/>
        <family val="2"/>
      </rPr>
      <t xml:space="preserve">營業利益率（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</si>
  <si>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業外收益（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</si>
  <si>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</si>
  <si>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5.65 −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5.31</t>
    </r>
    <r>
      <rPr>
        <sz val="11"/>
        <color theme="1"/>
        <rFont val="Noto Sans CJK SC"/>
        <family val="2"/>
      </rPr>
      <t xml:space="preserve">（股東信）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</si>
  <si>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含在淨利內</t>
    </r>
  </si>
  <si>
    <r>
      <rPr>
        <sz val="11"/>
        <color theme="1"/>
        <rFont val="Noto Sans CJK SC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</si>
  <si>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稅後淨利（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</si>
  <si>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0.85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</si>
  <si>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t xml:space="preserve">稀釋加權股數（十億股）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</si>
  <si>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</si>
  <si>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</si>
  <si>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為指引中點）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</si>
  <si>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</si>
  <si>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0.47 ± 0.04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</si>
  <si>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（對照；含股票薪酬）</t>
    </r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</si>
  <si>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3.43 </t>
    </r>
    <r>
      <rPr>
        <sz val="11"/>
        <color theme="1"/>
        <rFont val="Noto Sans CJK SC"/>
        <family val="2"/>
      </rPr>
      <t xml:space="preserve">億美元（股東信）</t>
    </r>
  </si>
  <si>
    <r>
      <rPr>
        <b val="true"/>
        <sz val="11"/>
        <rFont val="Noto Sans CJK SC"/>
        <family val="2"/>
      </rPr>
      <t xml:space="preserve">去年同期季資料（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，十億美元；</t>
    </r>
    <r>
      <rPr>
        <b val="true"/>
        <sz val="11"/>
        <rFont val="Cambria"/>
        <family val="0"/>
        <charset val="1"/>
      </rPr>
      <t xml:space="preserve">3Q27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4Q27 </t>
    </r>
    <r>
      <rPr>
        <b val="true"/>
        <sz val="11"/>
        <rFont val="Noto Sans CJK SC"/>
        <family val="2"/>
      </rPr>
      <t xml:space="preserve">年增的基期）</t>
    </r>
  </si>
  <si>
    <t xml:space="preserve">季</t>
  </si>
  <si>
    <t xml:space="preserve">授權及其他</t>
  </si>
  <si>
    <t xml:space="preserve">權利金</t>
  </si>
  <si>
    <t xml:space="preserve">2Q26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</si>
  <si>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FY2026 − 1Q26 − 3Q26 − 4Q26</t>
    </r>
    <r>
      <rPr>
        <sz val="11"/>
        <color theme="1"/>
        <rFont val="Noto Sans CJK SC"/>
        <family val="2"/>
      </rPr>
      <t xml:space="preserve">（股東信全年數）</t>
    </r>
  </si>
  <si>
    <t xml:space="preserve">3Q26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</si>
  <si>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法說：權利金 </t>
    </r>
    <r>
      <rPr>
        <sz val="11"/>
        <color theme="1"/>
        <rFont val="Calibri"/>
        <family val="2"/>
        <charset val="1"/>
      </rPr>
      <t xml:space="preserve">7.37</t>
    </r>
    <r>
      <rPr>
        <sz val="11"/>
        <color theme="1"/>
        <rFont val="Noto Sans CJK SC"/>
        <family val="2"/>
      </rPr>
      <t xml:space="preserve">、授權 </t>
    </r>
    <r>
      <rPr>
        <sz val="11"/>
        <color theme="1"/>
        <rFont val="Calibri"/>
        <family val="2"/>
        <charset val="1"/>
      </rPr>
      <t xml:space="preserve">5.05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The Motley Fool </t>
    </r>
    <r>
      <rPr>
        <sz val="11"/>
        <color theme="1"/>
        <rFont val="Noto Sans CJK SC"/>
        <family val="2"/>
      </rPr>
      <t xml:space="preserve">逐字稿）</t>
    </r>
  </si>
  <si>
    <t xml:space="preserve">4Q26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</si>
  <si>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股東信</t>
    </r>
  </si>
  <si>
    <t xml:space="preserve">1Q26</t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</si>
  <si>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股東信（去年同期欄）</t>
    </r>
  </si>
  <si>
    <r>
      <rPr>
        <sz val="11"/>
        <color theme="1"/>
        <rFont val="Noto Sans CJK SC"/>
        <family val="2"/>
      </rPr>
      <t xml:space="preserve">核對：四季合計 −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</si>
  <si>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錨點的檢查（參考；校準未使用共識）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</si>
  <si>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</si>
  <si>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</si>
  <si>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</si>
  <si>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營收（模型）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</si>
  <si>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2Q27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</si>
  <si>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</si>
  <si>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權利金＝出貨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每顆權利金率（分市場，情境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）與資料中心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NVIDIA 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 </t>
    </r>
    <r>
      <rPr>
        <sz val="11"/>
        <color theme="1"/>
        <rFont val="Noto Sans CJK SC"/>
        <family val="2"/>
      </rPr>
      <t xml:space="preserve">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加速器顆數）。會計年度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月底</t>
    </r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</si>
  <si>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</si>
  <si>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</si>
  <si>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</si>
  <si>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顆數（會計年度加權）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</si>
  <si>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</si>
  <si>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</si>
  <si>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搭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CPU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</si>
  <si>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顆數指數（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</si>
  <si>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與雲端自研加權</t>
    </r>
  </si>
  <si>
    <t xml:space="preserve">資料中心每顆權利金率指數</t>
  </si>
  <si>
    <t xml:space="preserve">資料中心權利金</t>
  </si>
  <si>
    <t xml:space="preserve">智慧型手機出貨</t>
  </si>
  <si>
    <r>
      <rPr>
        <sz val="11"/>
        <color theme="1"/>
        <rFont val="Noto Sans CJK SC"/>
        <family val="2"/>
      </rPr>
      <t xml:space="preserve">待併入 </t>
    </r>
    <r>
      <rPr>
        <sz val="11"/>
        <color theme="1"/>
        <rFont val="Calibri"/>
        <family val="2"/>
        <charset val="1"/>
      </rPr>
      <t xml:space="preserve">Siliconomics</t>
    </r>
  </si>
  <si>
    <t xml:space="preserve">手機每支權利金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</si>
  <si>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費率年增</t>
    </r>
  </si>
  <si>
    <t xml:space="preserve">智慧型手機權利金</t>
  </si>
  <si>
    <t xml:space="preserve">車用權利金</t>
  </si>
  <si>
    <t xml:space="preserve">物聯網與其他權利金</t>
  </si>
  <si>
    <t xml:space="preserve">權利金合計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</si>
  <si>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權利金</t>
    </r>
  </si>
  <si>
    <r>
      <rPr>
        <sz val="11"/>
        <color theme="1"/>
        <rFont val="Calibri"/>
        <family val="2"/>
        <charset val="1"/>
      </rPr>
      <t xml:space="preserve">Arm AGI CPU </t>
    </r>
    <r>
      <rPr>
        <sz val="11"/>
        <color theme="1"/>
        <rFont val="Noto Sans CJK SC"/>
        <family val="2"/>
      </rPr>
      <t xml:space="preserve">晶片營收</t>
    </r>
  </si>
  <si>
    <t xml:space="preserve">列於授權及其他</t>
  </si>
  <si>
    <r>
      <rPr>
        <b val="true"/>
        <sz val="11"/>
        <rFont val="Noto Sans CJK SC"/>
        <family val="2"/>
      </rPr>
      <t xml:space="preserve">讀法：權利金成長拆成「出貨」與「每顆權利金率」。手機出貨持平到下滑，成長幾乎全靠 </t>
    </r>
    <r>
      <rPr>
        <b val="true"/>
        <sz val="11"/>
        <rFont val="Cambria"/>
        <family val="0"/>
        <charset val="1"/>
      </rPr>
      <t xml:space="preserve">v9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CSS </t>
    </r>
    <r>
      <rPr>
        <b val="true"/>
        <sz val="11"/>
        <rFont val="Noto Sans CJK SC"/>
        <family val="2"/>
      </rPr>
      <t xml:space="preserve">費率；資料中心同時有顆數（</t>
    </r>
    <r>
      <rPr>
        <b val="true"/>
        <sz val="11"/>
        <rFont val="Cambria"/>
        <family val="0"/>
        <charset val="1"/>
      </rPr>
      <t xml:space="preserve">NVIDIA Grace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Vera </t>
    </r>
    <r>
      <rPr>
        <b val="true"/>
        <sz val="11"/>
        <rFont val="Noto Sans CJK SC"/>
        <family val="2"/>
      </rPr>
      <t xml:space="preserve">讀 </t>
    </r>
    <r>
      <rPr>
        <b val="true"/>
        <sz val="11"/>
        <rFont val="Cambria"/>
        <family val="0"/>
        <charset val="1"/>
      </rPr>
      <t xml:space="preserve">Siliconomics</t>
    </r>
    <r>
      <rPr>
        <b val="true"/>
        <sz val="11"/>
        <rFont val="Noto Sans CJK SC"/>
        <family val="2"/>
      </rPr>
      <t xml:space="preserve">、雲端自研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）與每顆費率（核心數）兩個槓桿。</t>
    </r>
  </si>
  <si>
    <r>
      <rPr>
        <sz val="11"/>
        <color theme="1"/>
        <rFont val="Calibri"/>
        <family val="2"/>
        <charset val="1"/>
      </rPr>
      <t xml:space="preserve">PL — Arm </t>
    </r>
    <r>
      <rPr>
        <sz val="11"/>
        <color theme="1"/>
        <rFont val="Noto Sans CJK SC"/>
        <family val="2"/>
      </rPr>
      <t xml:space="preserve">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指引＋下半年假設），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月底結束。三情境各一個完整推導區塊（本頁下方），頂端為摘要；最下方延伸到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起為收斂法）</t>
    </r>
  </si>
  <si>
    <t xml:space="preserve">情境／項目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</si>
  <si>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</si>
  <si>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</si>
  <si>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權利金</t>
  </si>
  <si>
    <t xml:space="preserve">    其中資料中心</t>
  </si>
  <si>
    <t xml:space="preserve">  授權及其他</t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</si>
  <si>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AGI CPU </t>
    </r>
    <r>
      <rPr>
        <sz val="11"/>
        <color theme="1"/>
        <rFont val="Noto Sans CJK SC"/>
        <family val="2"/>
      </rPr>
      <t xml:space="preserve">晶片</t>
    </r>
  </si>
  <si>
    <t xml:space="preserve">毛利率</t>
  </si>
  <si>
    <t xml:space="preserve">營業利益率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</si>
  <si>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</si>
  <si>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</si>
  <si>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</si>
  <si>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）：營收、權利金、授權及其他 − 財報（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）與錨點（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</si>
  <si>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營收差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</si>
  <si>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營收差（錨點）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</si>
  <si>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權利金差（錨點）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</si>
  <si>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授權及其他差（錨點）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</si>
  <si>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：順利（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顆數；晶片與手機費率最有利）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</si>
  <si>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資料中心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顆數指數（</t>
    </r>
    <r>
      <rPr>
        <b val="true"/>
        <sz val="11"/>
        <rFont val="Cambria"/>
        <family val="0"/>
        <charset val="1"/>
      </rPr>
      <t xml:space="preserve">NVIDIA Grace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Vera </t>
    </r>
    <r>
      <rPr>
        <b val="true"/>
        <sz val="11"/>
        <rFont val="Noto Sans CJK SC"/>
        <family val="2"/>
      </rPr>
      <t xml:space="preserve">讀 </t>
    </r>
    <r>
      <rPr>
        <b val="true"/>
        <sz val="11"/>
        <rFont val="Cambria"/>
        <family val="0"/>
        <charset val="1"/>
      </rPr>
      <t xml:space="preserve">Siliconomics</t>
    </r>
    <r>
      <rPr>
        <b val="true"/>
        <sz val="11"/>
        <rFont val="Noto Sans CJK SC"/>
        <family val="2"/>
      </rPr>
      <t xml:space="preserve">；雲端自研 </t>
    </r>
    <r>
      <rPr>
        <b val="true"/>
        <sz val="11"/>
        <rFont val="Cambria"/>
        <family val="0"/>
        <charset val="1"/>
      </rPr>
      <t xml:space="preserve">CPU Assumed × </t>
    </r>
    <r>
      <rPr>
        <b val="true"/>
        <sz val="11"/>
        <rFont val="Noto Sans CJK SC"/>
        <family val="2"/>
      </rPr>
      <t xml:space="preserve">同字母係數）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</si>
  <si>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顆數（會計年度＝</t>
    </r>
    <r>
      <rPr>
        <sz val="11"/>
        <color theme="1"/>
        <rFont val="Calibri"/>
        <family val="2"/>
        <charset val="1"/>
      </rPr>
      <t xml:space="preserve">9/12 ×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3/12 × CY(t)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</si>
  <si>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SIF_UnitsPlat_bw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 × SIF_UnitsCoef_A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nv_cy25</t>
    </r>
    <r>
      <rPr>
        <sz val="11"/>
        <color theme="1"/>
        <rFont val="Noto Sans CJK SC"/>
        <family val="2"/>
      </rPr>
      <t xml:space="preserve">（待併入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</si>
  <si>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顆數 ＝ </t>
    </r>
    <r>
      <rPr>
        <sz val="11"/>
        <color theme="1"/>
        <rFont val="Calibri"/>
        <family val="2"/>
        <charset val="1"/>
      </rPr>
      <t xml:space="preserve">GPU 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搭配 </t>
    </r>
    <r>
      <rPr>
        <sz val="11"/>
        <color theme="1"/>
        <rFont val="Calibri"/>
        <family val="2"/>
        <charset val="1"/>
      </rPr>
      <t xml:space="preserve">CPU</t>
    </r>
  </si>
  <si>
    <r>
      <rPr>
        <sz val="11"/>
        <color theme="1"/>
        <rFont val="Noto Sans CJK SC"/>
        <family val="2"/>
      </rPr>
      <t xml:space="preserve">雲端自研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顆數指數（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</si>
  <si>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g_hc × </t>
    </r>
    <r>
      <rPr>
        <sz val="11"/>
        <color theme="1"/>
        <rFont val="Noto Sans CJK SC"/>
        <family val="2"/>
      </rPr>
      <t xml:space="preserve">同字母顆數係數（行業情境）；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顆數：待併入 </t>
    </r>
    <r>
      <rPr>
        <sz val="11"/>
        <color theme="1"/>
        <rFont val="Calibri"/>
        <family val="2"/>
        <charset val="1"/>
      </rPr>
      <t xml:space="preserve">Siliconomics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</si>
  <si>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顆數指數（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w_nv × NVIDIA </t>
    </r>
    <r>
      <rPr>
        <sz val="11"/>
        <color theme="1"/>
        <rFont val="Noto Sans CJK SC"/>
        <family val="2"/>
      </rPr>
      <t xml:space="preserve">指數＋（</t>
    </r>
    <r>
      <rPr>
        <sz val="11"/>
        <color theme="1"/>
        <rFont val="Calibri"/>
        <family val="2"/>
        <charset val="1"/>
      </rPr>
      <t xml:space="preserve">1 − w_nv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雲端自研指數</t>
    </r>
  </si>
  <si>
    <r>
      <rPr>
        <sz val="11"/>
        <color theme="1"/>
        <rFont val="Noto Sans CJK SC"/>
        <family val="2"/>
      </rPr>
      <t xml:space="preserve">資料中心每顆權利金率指數（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</si>
  <si>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權利金（分市場）＝ 出貨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每顆權利金率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</si>
  <si>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出貨假設持平（權利金成長來自費率）；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無手機出貨：待併入 </t>
    </r>
    <r>
      <rPr>
        <sz val="11"/>
        <color theme="1"/>
        <rFont val="Calibri"/>
        <family val="2"/>
        <charset val="1"/>
      </rPr>
      <t xml:space="preserve">Siliconomics</t>
    </r>
  </si>
  <si>
    <r>
      <rPr>
        <sz val="11"/>
        <color theme="1"/>
        <rFont val="Noto Sans CJK SC"/>
        <family val="2"/>
      </rPr>
      <t xml:space="preserve">手機每支權利金（美元）＝ 手機權利金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</si>
  <si>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Calibri"/>
        <family val="2"/>
        <charset val="1"/>
      </rPr>
      <t xml:space="preserve">FY2026 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phr_A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CSS </t>
    </r>
    <r>
      <rPr>
        <sz val="11"/>
        <color theme="1"/>
        <rFont val="Noto Sans CJK SC"/>
        <family val="2"/>
      </rPr>
      <t xml:space="preserve">滲透；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判決影響）</t>
    </r>
  </si>
  <si>
    <t xml:space="preserve">權利金：智慧型手機（行動應用處理器）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</si>
  <si>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拆分沿用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qc_adj)</t>
    </r>
  </si>
  <si>
    <r>
      <rPr>
        <sz val="11"/>
        <color theme="1"/>
        <rFont val="Noto Sans CJK SC"/>
        <family val="2"/>
      </rPr>
      <t xml:space="preserve">權利金：資料中心（</t>
    </r>
    <r>
      <rPr>
        <sz val="11"/>
        <color theme="1"/>
        <rFont val="Calibri"/>
        <family val="2"/>
        <charset val="1"/>
      </rPr>
      <t xml:space="preserve">Neoverse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Graviton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Axion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Cobalt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</si>
  <si>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FY2027 × CPU </t>
    </r>
    <r>
      <rPr>
        <sz val="11"/>
        <color theme="1"/>
        <rFont val="Noto Sans CJK SC"/>
        <family val="2"/>
      </rPr>
      <t xml:space="preserve">顆數指數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每顆權利金率指數</t>
    </r>
  </si>
  <si>
    <t xml:space="preserve">權利金：車用</t>
  </si>
  <si>
    <r>
      <rPr>
        <sz val="11"/>
        <color theme="1"/>
        <rFont val="Noto Sans CJK SC"/>
        <family val="2"/>
      </rPr>
      <t xml:space="preserve">權利金：物聯網與其他（含 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、消費電子、嵌入式；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前為殘差）</t>
    </r>
  </si>
  <si>
    <r>
      <rPr>
        <sz val="11"/>
        <color theme="1"/>
        <rFont val="Calibri"/>
        <family val="2"/>
        <charset val="1"/>
      </rPr>
      <t xml:space="preserve">FY2025–FY2027 </t>
    </r>
    <r>
      <rPr>
        <sz val="11"/>
        <color theme="1"/>
        <rFont val="Noto Sans CJK SC"/>
        <family val="2"/>
      </rPr>
      <t xml:space="preserve">為權利金 − 三個市場（殘差）；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起依成長率</t>
    </r>
  </si>
  <si>
    <r>
      <rPr>
        <sz val="11"/>
        <color theme="1"/>
        <rFont val="Noto Sans CJK SC"/>
        <family val="2"/>
      </rPr>
      <t xml:space="preserve">官方營收類型；</t>
    </r>
    <r>
      <rPr>
        <sz val="11"/>
        <color theme="1"/>
        <rFont val="Calibri"/>
        <family val="2"/>
        <charset val="1"/>
      </rPr>
      <t xml:space="preserve">FY2025–FY2027 </t>
    </r>
    <r>
      <rPr>
        <sz val="11"/>
        <color theme="1"/>
        <rFont val="Noto Sans CJK SC"/>
        <family val="2"/>
      </rPr>
      <t xml:space="preserve">等於財報／錨點</t>
    </r>
  </si>
  <si>
    <t xml:space="preserve">  權利金年增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</si>
  <si>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授權及其他（含 </t>
    </r>
    <r>
      <rPr>
        <b val="true"/>
        <sz val="11"/>
        <rFont val="Cambria"/>
        <family val="0"/>
        <charset val="1"/>
      </rPr>
      <t xml:space="preserve">SoftBank </t>
    </r>
    <r>
      <rPr>
        <b val="true"/>
        <sz val="11"/>
        <rFont val="Noto Sans CJK SC"/>
        <family val="2"/>
      </rPr>
      <t xml:space="preserve">協議）與 </t>
    </r>
    <r>
      <rPr>
        <b val="true"/>
        <sz val="11"/>
        <rFont val="Cambria"/>
        <family val="0"/>
        <charset val="1"/>
      </rPr>
      <t xml:space="preserve">Arm AGI CPU </t>
    </r>
    <r>
      <rPr>
        <b val="true"/>
        <sz val="11"/>
        <rFont val="Noto Sans CJK SC"/>
        <family val="2"/>
      </rPr>
      <t xml:space="preserve">晶片</t>
    </r>
  </si>
  <si>
    <r>
      <rPr>
        <sz val="11"/>
        <color theme="1"/>
        <rFont val="Noto Sans CJK SC"/>
        <family val="2"/>
      </rPr>
      <t xml:space="preserve">授權及其他：</t>
    </r>
    <r>
      <rPr>
        <sz val="11"/>
        <color theme="1"/>
        <rFont val="Calibri"/>
        <family val="2"/>
        <charset val="1"/>
      </rPr>
      <t xml:space="preserve">Arm AGI CPU </t>
    </r>
    <r>
      <rPr>
        <sz val="11"/>
        <color theme="1"/>
        <rFont val="Noto Sans CJK SC"/>
        <family val="2"/>
      </rPr>
      <t xml:space="preserve">晶片營收（公司未揭露所在列，暫列於此）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</si>
  <si>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chip28_A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chip29_A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</t>
    </r>
  </si>
  <si>
    <r>
      <rPr>
        <sz val="11"/>
        <color theme="1"/>
        <rFont val="Noto Sans CJK SC"/>
        <family val="2"/>
      </rPr>
      <t xml:space="preserve">授權及其他：授權（不含晶片；含 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協議）</t>
    </r>
  </si>
  <si>
    <t xml:space="preserve">營收年增</t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</si>
  <si>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</si>
  <si>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授權及其他＋權利金 − 營收，加上兩類營收的子列合計 − 母列；</t>
    </r>
    <r>
      <rPr>
        <sz val="11"/>
        <color theme="1"/>
        <rFont val="Calibri"/>
        <family val="2"/>
        <charset val="1"/>
      </rPr>
      <t xml:space="preserve">FY2025–FY2027 </t>
    </r>
    <r>
      <rPr>
        <sz val="11"/>
        <color theme="1"/>
        <rFont val="Noto Sans CJK SC"/>
        <family val="2"/>
      </rPr>
      <t xml:space="preserve">營收＝財報／錨點（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</si>
  <si>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核對：營收 − 財報（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）／錨點（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</si>
  <si>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智慧型手機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權利金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</si>
  <si>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</si>
  <si>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營業成本（</t>
    </r>
    <r>
      <rPr>
        <sz val="11"/>
        <color theme="1"/>
        <rFont val="Calibri"/>
        <family val="2"/>
        <charset val="1"/>
      </rPr>
      <t xml:space="preserve">IP × cogs_r</t>
    </r>
    <r>
      <rPr>
        <sz val="11"/>
        <color theme="1"/>
        <rFont val="Noto Sans CJK SC"/>
        <family val="2"/>
      </rPr>
      <t xml:space="preserve">＋晶片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晶片毛利率））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</si>
  <si>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錨點的成本以 </t>
    </r>
    <r>
      <rPr>
        <sz val="11"/>
        <color theme="1"/>
        <rFont val="Calibri"/>
        <family val="2"/>
        <charset val="1"/>
      </rPr>
      <t xml:space="preserve">cogs_r </t>
    </r>
    <r>
      <rPr>
        <sz val="11"/>
        <color theme="1"/>
        <rFont val="Noto Sans CJK SC"/>
        <family val="2"/>
      </rPr>
      <t xml:space="preserve">計，晶片部分另加（毛利率 </t>
    </r>
    <r>
      <rPr>
        <sz val="11"/>
        <color theme="1"/>
        <rFont val="Calibri"/>
        <family val="2"/>
        <charset val="1"/>
      </rPr>
      <t xml:space="preserve">chip_gm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</si>
  <si>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</si>
  <si>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</si>
  <si>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＝錨點淨利扣除晶片成本差（晶片含在錨點營收內）</t>
    </r>
  </si>
  <si>
    <t xml:space="preserve">淨利率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</si>
  <si>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</si>
  <si>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</si>
  <si>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：平平（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</si>
  <si>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SIF_UnitsPlat_bw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 × SIF_UnitsCoef_B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nv_cy25</t>
    </r>
    <r>
      <rPr>
        <sz val="11"/>
        <color theme="1"/>
        <rFont val="Noto Sans CJK SC"/>
        <family val="2"/>
      </rPr>
      <t xml:space="preserve">（待併入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</si>
  <si>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年增＝情境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phr_B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CSS </t>
    </r>
    <r>
      <rPr>
        <sz val="11"/>
        <color theme="1"/>
        <rFont val="Noto Sans CJK SC"/>
        <family val="2"/>
      </rPr>
      <t xml:space="preserve">滲透；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判決影響）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</si>
  <si>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chip28_B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chip29_B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</si>
  <si>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：不如預期（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Qualcomm </t>
    </r>
    <r>
      <rPr>
        <b val="true"/>
        <sz val="11"/>
        <rFont val="Noto Sans CJK SC"/>
        <family val="2"/>
      </rPr>
      <t xml:space="preserve">判決壓抑手機費率、晶片放量慢）</t>
    </r>
  </si>
  <si>
    <r>
      <rPr>
        <sz val="11"/>
        <color theme="1"/>
        <rFont val="Calibri"/>
        <family val="2"/>
        <charset val="1"/>
      </rPr>
      <t xml:space="preserve">Siliconomics SIF_UnitsPlat_bw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 × SIF_UnitsCoef_C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nv_cy25</t>
    </r>
    <r>
      <rPr>
        <sz val="11"/>
        <color theme="1"/>
        <rFont val="Noto Sans CJK SC"/>
        <family val="2"/>
      </rPr>
      <t xml:space="preserve">（待併入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</si>
  <si>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年增＝情境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phr_C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CSS </t>
    </r>
    <r>
      <rPr>
        <sz val="11"/>
        <color theme="1"/>
        <rFont val="Noto Sans CJK SC"/>
        <family val="2"/>
      </rPr>
      <t xml:space="preserve">滲透；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判決影響）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</si>
  <si>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chip28_C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chip29_C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</si>
  <si>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</si>
  <si>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：順利（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顆數；晶片與手機費率最有利）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</si>
  <si>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</si>
  <si>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</si>
  <si>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</si>
  <si>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</si>
  <si>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</si>
  <si>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</si>
  <si>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</si>
  <si>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</si>
  <si>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</si>
  <si>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</si>
  <si>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</si>
  <si>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</si>
  <si>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</si>
  <si>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</si>
  <si>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：平平（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</si>
  <si>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</si>
  <si>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</si>
  <si>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：不如預期（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Qualcomm </t>
    </r>
    <r>
      <rPr>
        <b val="true"/>
        <sz val="11"/>
        <rFont val="Noto Sans CJK SC"/>
        <family val="2"/>
      </rPr>
      <t xml:space="preserve">判決壓抑手機費率、晶片放量慢）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</si>
  <si>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</si>
  <si>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</si>
  <si>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加權）、現價隱含倍數與歷史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分位檢查（美元；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</si>
  <si>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不如預期（讀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同字母情境）。現價＝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收盤）。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持股約九成、流通股約一成：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不另作流通量調整（見方法列）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</si>
  <si>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</si>
  <si>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</si>
  <si>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</si>
  <si>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</si>
  <si>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</si>
  <si>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</si>
  <si>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</si>
  <si>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</si>
  <si>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</si>
  <si>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</si>
  <si>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</si>
  <si>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</si>
  <si>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</si>
  <si>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</si>
  <si>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</si>
  <si>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</si>
  <si>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</si>
  <si>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月底結束；近似）；低於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</si>
  <si>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</si>
  <si>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</si>
  <si>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</si>
  <si>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</si>
  <si>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</si>
  <si>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</si>
  <si>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</si>
  <si>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</si>
  <si>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</si>
  <si>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高通（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）</t>
    </r>
  </si>
  <si>
    <t xml:space="preserve">QCOM</t>
  </si>
  <si>
    <t xml:space="preserve">2026-10-27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</si>
  <si>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</si>
  <si>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</si>
  <si>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博通（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</si>
  <si>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</si>
  <si>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</si>
  <si>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取值；本次頁面快取過舊）</t>
    </r>
  </si>
  <si>
    <r>
      <rPr>
        <sz val="11"/>
        <color theme="1"/>
        <rFont val="Noto Sans CJK SC"/>
        <family val="2"/>
      </rPr>
      <t xml:space="preserve">邁威爾（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</si>
  <si>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MRVL</t>
  </si>
  <si>
    <t xml:space="preserve">Rambus</t>
  </si>
  <si>
    <t xml:space="preserve">RMBS</t>
  </si>
  <si>
    <t xml:space="preserve">2026-10-26</t>
  </si>
  <si>
    <r>
      <rPr>
        <sz val="11"/>
        <color theme="1"/>
        <rFont val="Noto Sans CJK SC"/>
        <family val="2"/>
      </rPr>
      <t xml:space="preserve">新思科技（</t>
    </r>
    <r>
      <rPr>
        <sz val="11"/>
        <color theme="1"/>
        <rFont val="Calibri"/>
        <family val="2"/>
        <charset val="1"/>
      </rPr>
      <t xml:space="preserve">Synopsys</t>
    </r>
    <r>
      <rPr>
        <sz val="11"/>
        <color theme="1"/>
        <rFont val="Noto Sans CJK SC"/>
        <family val="2"/>
      </rPr>
      <t xml:space="preserve">）</t>
    </r>
  </si>
  <si>
    <t xml:space="preserve">SNPS</t>
  </si>
  <si>
    <r>
      <rPr>
        <sz val="11"/>
        <color theme="1"/>
        <rFont val="Noto Sans CJK SC"/>
        <family val="2"/>
      </rPr>
      <t xml:space="preserve">益華電腦（</t>
    </r>
    <r>
      <rPr>
        <sz val="11"/>
        <color theme="1"/>
        <rFont val="Calibri"/>
        <family val="2"/>
        <charset val="1"/>
      </rPr>
      <t xml:space="preserve">Cadence</t>
    </r>
    <r>
      <rPr>
        <sz val="11"/>
        <color theme="1"/>
        <rFont val="Noto Sans CJK SC"/>
        <family val="2"/>
      </rPr>
      <t xml:space="preserve">）</t>
    </r>
  </si>
  <si>
    <t xml:space="preserve">CDNS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</si>
  <si>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</si>
  <si>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授權與 </t>
    </r>
    <r>
      <rPr>
        <sz val="11"/>
        <color theme="1"/>
        <rFont val="Calibri"/>
        <family val="2"/>
        <charset val="1"/>
      </rPr>
      <t xml:space="preserve">EDA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、新思、益華）、手機與資料中心晶片客戶兼競爭者（高通、博通、邁威爾）；</t>
    </r>
    <r>
      <rPr>
        <sz val="11"/>
        <color theme="1"/>
        <rFont val="Calibri"/>
        <family val="2"/>
        <charset val="1"/>
      </rPr>
      <t xml:space="preserve">Synopsys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Cadence </t>
    </r>
    <r>
      <rPr>
        <sz val="11"/>
        <color theme="1"/>
        <rFont val="Noto Sans CJK SC"/>
        <family val="2"/>
      </rPr>
      <t xml:space="preserve">已在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前瞻倍數資料外，相對倍數只計 </t>
    </r>
    <r>
      <rPr>
        <sz val="11"/>
        <color theme="1"/>
        <rFont val="Calibri"/>
        <family val="2"/>
        <charset val="1"/>
      </rPr>
      <t xml:space="preserve">csv </t>
    </r>
    <r>
      <rPr>
        <sz val="11"/>
        <color theme="1"/>
        <rFont val="Noto Sans CJK SC"/>
        <family val="2"/>
      </rPr>
      <t xml:space="preserve">內同業；非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股公司不列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</si>
  <si>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</si>
  <si>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月底）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</si>
  <si>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</si>
  <si>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</si>
  <si>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</si>
  <si>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</si>
  <si>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</si>
  <si>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目標價（相對倍數調整後，見第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前瞻倍數，係數＝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</si>
  <si>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</si>
  <si>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（未作相對倍數調整）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</si>
  <si>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</si>
  <si>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43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290.71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</si>
  <si>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</si>
  <si>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228.88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</si>
  <si>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</si>
  <si>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</si>
  <si>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</si>
  <si>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</si>
  <si>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</si>
  <si>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</si>
  <si>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（現在起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；期間差約一年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</si>
  <si>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</si>
  <si>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</si>
  <si>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</si>
  <si>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</si>
  <si>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月上市，只有 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三年）的分位；低於最小值記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</si>
  <si>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</si>
  <si>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10.5%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；再投資率約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排除股票薪酬（</t>
    </r>
    <r>
      <rPr>
        <sz val="11"/>
        <color theme="1"/>
        <rFont val="Calibri"/>
        <family val="2"/>
        <charset val="1"/>
      </rPr>
      <t xml:space="preserve">FY2026 GAAP EPS 0.85 vs non-GAAP 1.77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因此偏高估，但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低使再投資率高、偏低估。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：高通、博通、邁威爾、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、新思、益華前瞻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現價約 </t>
    </r>
    <r>
      <rPr>
        <sz val="11"/>
        <color theme="1"/>
        <rFont val="Calibri"/>
        <family val="2"/>
        <charset val="1"/>
      </rPr>
      <t xml:space="preserve">95 </t>
    </r>
    <r>
      <rPr>
        <sz val="11"/>
        <color theme="1"/>
        <rFont val="Noto Sans CJK SC"/>
        <family val="2"/>
      </rPr>
      <t xml:space="preserve">倍共識前瞻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，遠高於同業，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法等於假設溢價在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個月內消失，偏低估。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持股約九成、流通股約一成，市場流通量低可能支撐溢價；本模型不作流通量調整（只在方法說明）。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前瞻倍數歷史，相對倍數係數＝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</si>
  <si>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該月所在會計年度的 </t>
    </r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2023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月上市，</t>
    </r>
    <r>
      <rPr>
        <b val="true"/>
        <sz val="11"/>
        <rFont val="Cambria"/>
        <family val="0"/>
        <charset val="1"/>
      </rPr>
      <t xml:space="preserve">2016–2022 </t>
    </r>
    <r>
      <rPr>
        <b val="true"/>
        <sz val="11"/>
        <rFont val="Noto Sans CJK SC"/>
        <family val="2"/>
      </rPr>
      <t xml:space="preserve">年無資料）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</si>
  <si>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</si>
  <si>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</si>
  <si>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</si>
  <si>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</si>
  <si>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</si>
  <si>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</si>
  <si>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</si>
  <si>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</si>
  <si>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</si>
  <si>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</si>
  <si>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</si>
  <si>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月線（</t>
    </r>
    <r>
      <rPr>
        <sz val="11"/>
        <color theme="1"/>
        <rFont val="Calibri"/>
        <family val="2"/>
        <charset val="1"/>
      </rPr>
      <t xml:space="preserve">2023 75.14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2024 123.36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2025 109.31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non-GAAP EPS FY2024 1.27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1.63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1.77</t>
    </r>
    <r>
      <rPr>
        <sz val="11"/>
        <color theme="1"/>
        <rFont val="Noto Sans CJK SC"/>
        <family val="2"/>
      </rPr>
      <t xml:space="preserve">（股東信）。</t>
    </r>
    <r>
      <rPr>
        <sz val="11"/>
        <color theme="1"/>
        <rFont val="Calibri"/>
        <family val="2"/>
        <charset val="1"/>
      </rPr>
      <t xml:space="preserve">stockanalysis GAAP P/E</t>
    </r>
    <r>
      <rPr>
        <sz val="11"/>
        <color theme="1"/>
        <rFont val="Noto Sans CJK SC"/>
        <family val="2"/>
      </rPr>
      <t xml:space="preserve">（會計年度末）</t>
    </r>
    <r>
      <rPr>
        <sz val="11"/>
        <color theme="1"/>
        <rFont val="Calibri"/>
        <family val="2"/>
        <charset val="1"/>
      </rPr>
      <t xml:space="preserve">FY2024 419.9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142.1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177.7 </t>
    </r>
    <r>
      <rPr>
        <sz val="11"/>
        <color theme="1"/>
        <rFont val="Noto Sans CJK SC"/>
        <family val="2"/>
      </rPr>
      <t xml:space="preserve">只作核對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</si>
  <si>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</si>
  <si>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</si>
  <si>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</si>
  <si>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</si>
  <si>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</si>
  <si>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</si>
  <si>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</si>
  <si>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</si>
  <si>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</si>
  <si>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1Q27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</si>
  <si>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</si>
  <si>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</si>
  <si>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  市值（現價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稀釋股數，十億美元）</t>
    </r>
  </si>
  <si>
    <r>
      <rPr>
        <sz val="11"/>
        <color theme="1"/>
        <rFont val="Noto Sans CJK SC"/>
        <family val="2"/>
      </rPr>
      <t xml:space="preserve">  流通市值（</t>
    </r>
    <r>
      <rPr>
        <sz val="11"/>
        <color theme="1"/>
        <rFont val="Calibri"/>
        <family val="2"/>
        <charset val="1"/>
      </rPr>
      <t xml:space="preserve">× (1 − SoftBank </t>
    </r>
    <r>
      <rPr>
        <sz val="11"/>
        <color theme="1"/>
        <rFont val="Noto Sans CJK SC"/>
        <family val="2"/>
      </rPr>
      <t xml:space="preserve">持股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，十億美元）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</si>
  <si>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</si>
  <si>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</si>
  <si>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</si>
  <si>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</si>
  <si>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</si>
  <si>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</si>
  <si>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</si>
  <si>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</si>
  <si>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</si>
  <si>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</si>
  <si>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</si>
  <si>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</si>
  <si>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</si>
  <si>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</si>
  <si>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</si>
  <si>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</si>
  <si>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</si>
  <si>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Arm</t>
  </si>
  <si>
    <t xml:space="preserve">ARM</t>
  </si>
  <si>
    <t xml:space="preserve">本公司</t>
  </si>
  <si>
    <t xml:space="preserve">未找到</t>
  </si>
  <si>
    <t xml:space="preserve">同業</t>
  </si>
  <si>
    <r>
      <rPr>
        <sz val="11"/>
        <color theme="1"/>
        <rFont val="Calibri"/>
        <family val="2"/>
        <charset val="1"/>
      </rPr>
      <t xml:space="preserve">Bloomberg QCOM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</si>
  <si>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AVGO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</si>
  <si>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MRVL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</si>
  <si>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RMBS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</si>
  <si>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</si>
  <si>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</si>
  <si>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</si>
  <si>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</si>
  <si>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</si>
  <si>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</si>
  <si>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</si>
  <si>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</si>
  <si>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</si>
  <si>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</si>
  <si>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</si>
  <si>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</si>
  <si>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</si>
  <si>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</si>
  <si>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公司指引與共識。只作事後對照，不為對上數字而調參數。分部共識（授權、權利金分列）：未找到；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</si>
  <si>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</si>
  <si>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</si>
  <si>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</si>
  <si>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</si>
  <si>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</si>
  <si>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</si>
  <si>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</si>
  <si>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</si>
  <si>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公司指引與共識（校準未使用共識）</t>
    </r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</si>
  <si>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公司指引中點</t>
    </r>
  </si>
  <si>
    <r>
      <rPr>
        <sz val="11"/>
        <color theme="1"/>
        <rFont val="Noto Sans CJK SC"/>
        <family val="2"/>
      </rPr>
      <t xml:space="preserve">股東信 </t>
    </r>
    <r>
      <rPr>
        <sz val="11"/>
        <color theme="1"/>
        <rFont val="Calibri"/>
        <family val="2"/>
        <charset val="1"/>
      </rPr>
      <t xml:space="preserve">2026-07-29</t>
    </r>
  </si>
  <si>
    <r>
      <rPr>
        <sz val="11"/>
        <color theme="1"/>
        <rFont val="Noto Sans CJK SC"/>
        <family val="2"/>
      </rPr>
      <t xml:space="preserve">模型＝去年同期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指引年增</t>
    </r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</si>
  <si>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</si>
  <si>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Hudson Labs</t>
  </si>
  <si>
    <r>
      <rPr>
        <sz val="11"/>
        <color theme="1"/>
        <rFont val="Calibri"/>
        <family val="2"/>
        <charset val="1"/>
      </rPr>
      <t xml:space="preserve">2Q27 non-GAAP EPS vs </t>
    </r>
    <r>
      <rPr>
        <sz val="11"/>
        <color theme="1"/>
        <rFont val="Noto Sans CJK SC"/>
        <family val="2"/>
      </rPr>
      <t xml:space="preserve">公司指引中點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</si>
  <si>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</si>
  <si>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</si>
  <si>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non-GAAP EPS 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</si>
  <si>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權利金結構（機制檢查）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</si>
  <si>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智慧型手機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權利金（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）</t>
    </r>
  </si>
  <si>
    <t xml:space="preserve">20-F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</si>
  <si>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權利金</t>
    </r>
  </si>
  <si>
    <r>
      <rPr>
        <sz val="11"/>
        <color theme="1"/>
        <rFont val="Noto Sans CJK SC"/>
        <family val="2"/>
      </rPr>
      <t xml:space="preserve">管理層：資料中心將成為最大業務（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股東信）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</si>
  <si>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權利金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</si>
  <si>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手機每支權利金（美元）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</si>
  <si>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43% × </t>
    </r>
    <r>
      <rPr>
        <sz val="11"/>
        <color theme="1"/>
        <rFont val="Noto Sans CJK SC"/>
        <family val="2"/>
      </rPr>
      <t xml:space="preserve">權利金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</si>
  <si>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Calibri"/>
        <family val="2"/>
        <charset val="1"/>
      </rPr>
      <t xml:space="preserve">FY2028 NVIDIA 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（百萬顆）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</si>
  <si>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siliconomics_snapshot_v0.10.json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</si>
  <si>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AGI CPU </t>
    </r>
    <r>
      <rPr>
        <sz val="11"/>
        <color theme="1"/>
        <rFont val="Noto Sans CJK SC"/>
        <family val="2"/>
      </rPr>
      <t xml:space="preserve">晶片營收（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</si>
  <si>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客戶需求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</si>
  <si>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FY2027 + FY2028 AGI CPU </t>
    </r>
    <r>
      <rPr>
        <sz val="11"/>
        <color theme="1"/>
        <rFont val="Noto Sans CJK SC"/>
        <family val="2"/>
      </rPr>
      <t xml:space="preserve">晶片營收合計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公司稱客戶需求</t>
    </r>
  </si>
  <si>
    <t xml:space="preserve">需求≠營收（產能限制）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</si>
  <si>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一次改一個輸入（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頁敏感度低／高值），整本活頁簿以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重算後的加權目標價（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節）與情境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；由 </t>
    </r>
    <r>
      <rPr>
        <sz val="11"/>
        <color theme="1"/>
        <rFont val="Calibri"/>
        <family val="2"/>
        <charset val="1"/>
      </rPr>
      <t xml:space="preserve">arm/sens_arm.py </t>
    </r>
    <r>
      <rPr>
        <sz val="11"/>
        <color theme="1"/>
        <rFont val="Noto Sans CJK SC"/>
        <family val="2"/>
      </rPr>
      <t xml:space="preserve">產生 </t>
    </r>
    <r>
      <rPr>
        <sz val="11"/>
        <color theme="1"/>
        <rFont val="Calibri"/>
        <family val="2"/>
        <charset val="1"/>
      </rPr>
      <t xml:space="preserve">arm/sens.json</t>
    </r>
    <r>
      <rPr>
        <sz val="11"/>
        <color theme="1"/>
        <rFont val="Noto Sans CJK SC"/>
        <family val="2"/>
      </rPr>
      <t xml:space="preserve">，建置時寫入（數值）</t>
    </r>
  </si>
  <si>
    <r>
      <rPr>
        <sz val="11"/>
        <color theme="1"/>
        <rFont val="Noto Sans CJK SC"/>
        <family val="2"/>
      </rPr>
      <t xml:space="preserve">相對基準＝案例目標價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基準加權目標價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；龍捲風依絕對值排序（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比例的輸入（</t>
    </r>
    <r>
      <rPr>
        <sz val="11"/>
        <color theme="1"/>
        <rFont val="Calibri"/>
        <family val="2"/>
        <charset val="1"/>
      </rPr>
      <t xml:space="preserve">q2_lg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ph_s </t>
    </r>
    <r>
      <rPr>
        <sz val="11"/>
        <color theme="1"/>
        <rFont val="Noto Sans CJK SC"/>
        <family val="2"/>
      </rPr>
      <t xml:space="preserve">等）透過錨點影響之後各年。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案例同時移動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fade_g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為公式）。</t>
    </r>
  </si>
  <si>
    <t xml:space="preserve">驅動</t>
  </si>
  <si>
    <t xml:space="preserve">設定</t>
  </si>
  <si>
    <t xml:space="preserve">方向</t>
  </si>
  <si>
    <t xml:space="preserve">加權目標價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</si>
  <si>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</si>
  <si>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</si>
  <si>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</si>
  <si>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頁基準欄</t>
    </r>
  </si>
  <si>
    <t xml:space="preserve">本活頁簿重算值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</si>
  <si>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授權及其他年增（公司指引：</t>
    </r>
    <r>
      <rPr>
        <sz val="11"/>
        <color theme="1"/>
        <rFont val="Calibri"/>
        <family val="2"/>
        <charset val="1"/>
      </rPr>
      <t xml:space="preserve">mid-30%</t>
    </r>
    <r>
      <rPr>
        <sz val="11"/>
        <color theme="1"/>
        <rFont val="Noto Sans CJK SC"/>
        <family val="2"/>
      </rPr>
      <t xml:space="preserve">）：低</t>
    </r>
  </si>
  <si>
    <t xml:space="preserve">0.35 → 0.3</t>
  </si>
  <si>
    <t xml:space="preserve">低</t>
  </si>
  <si>
    <r>
      <rPr>
        <sz val="11"/>
        <color theme="1"/>
        <rFont val="Noto Sans CJK SC"/>
        <family val="2"/>
      </rPr>
      <t xml:space="preserve">重算值（</t>
    </r>
    <r>
      <rPr>
        <sz val="11"/>
        <color theme="1"/>
        <rFont val="Calibri"/>
        <family val="2"/>
        <charset val="1"/>
      </rPr>
      <t xml:space="preserve">sens_arm.py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</si>
  <si>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授權及其他年增（公司指引：</t>
    </r>
    <r>
      <rPr>
        <sz val="11"/>
        <color theme="1"/>
        <rFont val="Calibri"/>
        <family val="2"/>
        <charset val="1"/>
      </rPr>
      <t xml:space="preserve">mid-30%</t>
    </r>
    <r>
      <rPr>
        <sz val="11"/>
        <color theme="1"/>
        <rFont val="Noto Sans CJK SC"/>
        <family val="2"/>
      </rPr>
      <t xml:space="preserve">）：高</t>
    </r>
  </si>
  <si>
    <t xml:space="preserve">0.35 → 0.38</t>
  </si>
  <si>
    <t xml:space="preserve">高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</si>
  <si>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權利金年增（公司指引：</t>
    </r>
    <r>
      <rPr>
        <sz val="11"/>
        <color theme="1"/>
        <rFont val="Calibri"/>
        <family val="2"/>
        <charset val="1"/>
      </rPr>
      <t xml:space="preserve">low-teens</t>
    </r>
    <r>
      <rPr>
        <sz val="11"/>
        <color theme="1"/>
        <rFont val="Noto Sans CJK SC"/>
        <family val="2"/>
      </rPr>
      <t xml:space="preserve">）：低</t>
    </r>
  </si>
  <si>
    <t xml:space="preserve">0.12 → 0.1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</si>
  <si>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權利金年增（公司指引：</t>
    </r>
    <r>
      <rPr>
        <sz val="11"/>
        <color theme="1"/>
        <rFont val="Calibri"/>
        <family val="2"/>
        <charset val="1"/>
      </rPr>
      <t xml:space="preserve">low-teens</t>
    </r>
    <r>
      <rPr>
        <sz val="11"/>
        <color theme="1"/>
        <rFont val="Noto Sans CJK SC"/>
        <family val="2"/>
      </rPr>
      <t xml:space="preserve">）：高</t>
    </r>
  </si>
  <si>
    <t xml:space="preserve">0.12 → 0.14</t>
  </si>
  <si>
    <r>
      <rPr>
        <sz val="11"/>
        <color theme="1"/>
        <rFont val="Calibri"/>
        <family val="2"/>
        <charset val="1"/>
      </rPr>
      <t xml:space="preserve">3Q27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授權及其他年增：低</t>
    </r>
  </si>
  <si>
    <t xml:space="preserve">0.2 → 0.08</t>
  </si>
  <si>
    <r>
      <rPr>
        <sz val="11"/>
        <color theme="1"/>
        <rFont val="Calibri"/>
        <family val="2"/>
        <charset val="1"/>
      </rPr>
      <t xml:space="preserve">3Q27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授權及其他年增：高</t>
    </r>
  </si>
  <si>
    <t xml:space="preserve">0.2 → 0.3</t>
  </si>
  <si>
    <r>
      <rPr>
        <sz val="11"/>
        <color theme="1"/>
        <rFont val="Calibri"/>
        <family val="2"/>
        <charset val="1"/>
      </rPr>
      <t xml:space="preserve">3Q27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權利金年增：低</t>
    </r>
  </si>
  <si>
    <t xml:space="preserve">0.15 → 0.08</t>
  </si>
  <si>
    <r>
      <rPr>
        <sz val="11"/>
        <color theme="1"/>
        <rFont val="Calibri"/>
        <family val="2"/>
        <charset val="1"/>
      </rPr>
      <t xml:space="preserve">3Q27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權利金年增：高</t>
    </r>
  </si>
  <si>
    <t xml:space="preserve">0.15 → 0.2</t>
  </si>
  <si>
    <r>
      <rPr>
        <sz val="11"/>
        <color theme="1"/>
        <rFont val="Calibri"/>
        <family val="2"/>
        <charset val="1"/>
      </rPr>
      <t xml:space="preserve">3Q27 non-GAAP </t>
    </r>
    <r>
      <rPr>
        <sz val="11"/>
        <color theme="1"/>
        <rFont val="Noto Sans CJK SC"/>
        <family val="2"/>
      </rPr>
      <t xml:space="preserve">營業費用：低</t>
    </r>
  </si>
  <si>
    <t xml:space="preserve">0.8 → 0.78</t>
  </si>
  <si>
    <r>
      <rPr>
        <sz val="11"/>
        <color theme="1"/>
        <rFont val="Calibri"/>
        <family val="2"/>
        <charset val="1"/>
      </rPr>
      <t xml:space="preserve">3Q27 non-GAAP </t>
    </r>
    <r>
      <rPr>
        <sz val="11"/>
        <color theme="1"/>
        <rFont val="Noto Sans CJK SC"/>
        <family val="2"/>
      </rPr>
      <t xml:space="preserve">營業費用：高</t>
    </r>
  </si>
  <si>
    <t xml:space="preserve">0.8 → 0.83</t>
  </si>
  <si>
    <r>
      <rPr>
        <sz val="11"/>
        <color theme="1"/>
        <rFont val="Calibri"/>
        <family val="2"/>
        <charset val="1"/>
      </rPr>
      <t xml:space="preserve">4Q27 non-GAAP </t>
    </r>
    <r>
      <rPr>
        <sz val="11"/>
        <color theme="1"/>
        <rFont val="Noto Sans CJK SC"/>
        <family val="2"/>
      </rPr>
      <t xml:space="preserve">營業費用：低</t>
    </r>
  </si>
  <si>
    <t xml:space="preserve">0.82 → 0.8</t>
  </si>
  <si>
    <r>
      <rPr>
        <sz val="11"/>
        <color theme="1"/>
        <rFont val="Calibri"/>
        <family val="2"/>
        <charset val="1"/>
      </rPr>
      <t xml:space="preserve">4Q27 non-GAAP </t>
    </r>
    <r>
      <rPr>
        <sz val="11"/>
        <color theme="1"/>
        <rFont val="Noto Sans CJK SC"/>
        <family val="2"/>
      </rPr>
      <t xml:space="preserve">營業費用：高</t>
    </r>
  </si>
  <si>
    <t xml:space="preserve">0.82 → 0.86</t>
  </si>
  <si>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；不含晶片）：低</t>
    </r>
  </si>
  <si>
    <t xml:space="preserve">0.019 → 0.015</t>
  </si>
  <si>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；不含晶片）：高</t>
    </r>
  </si>
  <si>
    <t xml:space="preserve">0.019 → 0.025</t>
  </si>
  <si>
    <r>
      <rPr>
        <sz val="11"/>
        <color theme="1"/>
        <rFont val="Noto Sans CJK SC"/>
        <family val="2"/>
      </rPr>
      <t xml:space="preserve">每季業外收益（利息，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）：低</t>
    </r>
  </si>
  <si>
    <t xml:space="preserve">0.034 → 0.025</t>
  </si>
  <si>
    <r>
      <rPr>
        <sz val="11"/>
        <color theme="1"/>
        <rFont val="Noto Sans CJK SC"/>
        <family val="2"/>
      </rPr>
      <t xml:space="preserve">每季業外收益（利息，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）：高</t>
    </r>
  </si>
  <si>
    <t xml:space="preserve">0.034 → 0.04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</si>
  <si>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）：低</t>
    </r>
  </si>
  <si>
    <t xml:space="preserve">0.15 → 0.13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</si>
  <si>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）：高</t>
    </r>
  </si>
  <si>
    <t xml:space="preserve">0.15 → 0.18</t>
  </si>
  <si>
    <r>
      <rPr>
        <sz val="11"/>
        <color theme="1"/>
        <rFont val="Calibri"/>
        <family val="2"/>
        <charset val="1"/>
      </rPr>
      <t xml:space="preserve">Arm AGI CPU </t>
    </r>
    <r>
      <rPr>
        <sz val="11"/>
        <color theme="1"/>
        <rFont val="Noto Sans CJK SC"/>
        <family val="2"/>
      </rPr>
      <t xml:space="preserve">晶片營收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（含在授權及其他錨點內）：低</t>
    </r>
  </si>
  <si>
    <t xml:space="preserve">0.15 → 0.0</t>
  </si>
  <si>
    <r>
      <rPr>
        <sz val="11"/>
        <color theme="1"/>
        <rFont val="Calibri"/>
        <family val="2"/>
        <charset val="1"/>
      </rPr>
      <t xml:space="preserve">Arm AGI CPU </t>
    </r>
    <r>
      <rPr>
        <sz val="11"/>
        <color theme="1"/>
        <rFont val="Noto Sans CJK SC"/>
        <family val="2"/>
      </rPr>
      <t xml:space="preserve">晶片營收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（含在授權及其他錨點內）：高</t>
    </r>
  </si>
  <si>
    <t xml:space="preserve">0.15 → 0.4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</si>
  <si>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智慧型手機（行動應用處理器）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權利金：低</t>
    </r>
  </si>
  <si>
    <t xml:space="preserve">0.43 → 0.4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</si>
  <si>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智慧型手機（行動應用處理器）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權利金：高</t>
    </r>
  </si>
  <si>
    <t xml:space="preserve">0.43 → 0.46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</si>
  <si>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Neoverse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權利金：低</t>
    </r>
  </si>
  <si>
    <t xml:space="preserve">0.14 → 0.1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</si>
  <si>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Neoverse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權利金：高</t>
    </r>
  </si>
  <si>
    <t xml:space="preserve">0.14 → 0.19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</si>
  <si>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權利金：低</t>
    </r>
  </si>
  <si>
    <t xml:space="preserve">0.09 → 0.07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</si>
  <si>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權利金：高</t>
    </r>
  </si>
  <si>
    <t xml:space="preserve">0.09 → 0.11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</si>
  <si>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智慧型手機出貨（全球）：低</t>
    </r>
  </si>
  <si>
    <t xml:space="preserve">1.22 → 1.15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</si>
  <si>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智慧型手機出貨（全球）：高</t>
    </r>
  </si>
  <si>
    <t xml:space="preserve">1.22 → 1.28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</si>
  <si>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手機權利金年增：低</t>
    </r>
  </si>
  <si>
    <t xml:space="preserve">0.12 → 0.08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</si>
  <si>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手機權利金年增：高</t>
    </r>
  </si>
  <si>
    <t xml:space="preserve">0.12 → 0.18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</si>
  <si>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資料中心權利金年增：低</t>
    </r>
  </si>
  <si>
    <t xml:space="preserve">0.7 → 0.5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</si>
  <si>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資料中心權利金年增：高</t>
    </r>
  </si>
  <si>
    <t xml:space="preserve">0.7 → 0.95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</si>
  <si>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車用權利金年增：低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</si>
  <si>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車用權利金年增：高</t>
    </r>
  </si>
  <si>
    <t xml:space="preserve">0.15 → 0.22</t>
  </si>
  <si>
    <r>
      <rPr>
        <sz val="11"/>
        <color theme="1"/>
        <rFont val="Noto Sans CJK SC"/>
        <family val="2"/>
      </rPr>
      <t xml:space="preserve">手機出貨年增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：低</t>
    </r>
  </si>
  <si>
    <t xml:space="preserve">-0.02 → -0.08</t>
  </si>
  <si>
    <r>
      <rPr>
        <sz val="11"/>
        <color theme="1"/>
        <rFont val="Noto Sans CJK SC"/>
        <family val="2"/>
      </rPr>
      <t xml:space="preserve">手機出貨年增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：高</t>
    </r>
  </si>
  <si>
    <t xml:space="preserve">-0.02 → 0.03</t>
  </si>
  <si>
    <r>
      <rPr>
        <sz val="11"/>
        <color theme="1"/>
        <rFont val="Noto Sans CJK SC"/>
        <family val="2"/>
      </rPr>
      <t xml:space="preserve">手機出貨年增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：低</t>
    </r>
  </si>
  <si>
    <t xml:space="preserve">0.01 → -0.03</t>
  </si>
  <si>
    <r>
      <rPr>
        <sz val="11"/>
        <color theme="1"/>
        <rFont val="Noto Sans CJK SC"/>
        <family val="2"/>
      </rPr>
      <t xml:space="preserve">手機出貨年增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：高</t>
    </r>
  </si>
  <si>
    <t xml:space="preserve">0.01 → 0.04</t>
  </si>
  <si>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相關手機權利金調整（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）：低</t>
    </r>
  </si>
  <si>
    <t xml:space="preserve">0.0 → -0.06</t>
  </si>
  <si>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相關手機權利金調整（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）：高</t>
    </r>
  </si>
  <si>
    <t xml:space="preserve">0.0 → 0.02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</si>
  <si>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搭配的 </t>
    </r>
    <r>
      <rPr>
        <sz val="11"/>
        <color theme="1"/>
        <rFont val="Calibri"/>
        <family val="2"/>
        <charset val="1"/>
      </rPr>
      <t xml:space="preserve">Arm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）：低</t>
    </r>
  </si>
  <si>
    <t xml:space="preserve">0.5 → 0.4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</si>
  <si>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搭配的 </t>
    </r>
    <r>
      <rPr>
        <sz val="11"/>
        <color theme="1"/>
        <rFont val="Calibri"/>
        <family val="2"/>
        <charset val="1"/>
      </rPr>
      <t xml:space="preserve">Arm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）：高</t>
    </r>
  </si>
  <si>
    <t xml:space="preserve">0.5 → 0.5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</si>
  <si>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）：低</t>
    </r>
  </si>
  <si>
    <t xml:space="preserve">6.0 → 5.0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</si>
  <si>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）：高</t>
    </r>
  </si>
  <si>
    <t xml:space="preserve">6.0 → 7.0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</si>
  <si>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資料中心權利金中 </t>
    </r>
    <r>
      <rPr>
        <sz val="11"/>
        <color theme="1"/>
        <rFont val="Calibri"/>
        <family val="2"/>
        <charset val="1"/>
      </rPr>
      <t xml:space="preserve">NVIDIA 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 </t>
    </r>
    <r>
      <rPr>
        <sz val="11"/>
        <color theme="1"/>
        <rFont val="Noto Sans CJK SC"/>
        <family val="2"/>
      </rPr>
      <t xml:space="preserve">的比重：低</t>
    </r>
  </si>
  <si>
    <t xml:space="preserve">0.35 → 0.2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</si>
  <si>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資料中心權利金中 </t>
    </r>
    <r>
      <rPr>
        <sz val="11"/>
        <color theme="1"/>
        <rFont val="Calibri"/>
        <family val="2"/>
        <charset val="1"/>
      </rPr>
      <t xml:space="preserve">NVIDIA 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 </t>
    </r>
    <r>
      <rPr>
        <sz val="11"/>
        <color theme="1"/>
        <rFont val="Noto Sans CJK SC"/>
        <family val="2"/>
      </rPr>
      <t xml:space="preserve">的比重：高</t>
    </r>
  </si>
  <si>
    <t xml:space="preserve">0.35 → 0.5</t>
  </si>
  <si>
    <r>
      <rPr>
        <sz val="11"/>
        <color theme="1"/>
        <rFont val="Noto Sans CJK SC"/>
        <family val="2"/>
      </rPr>
      <t xml:space="preserve">雲端自研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顆數年增（</t>
    </r>
    <r>
      <rPr>
        <sz val="11"/>
        <color theme="1"/>
        <rFont val="Calibri"/>
        <family val="2"/>
        <charset val="1"/>
      </rPr>
      <t xml:space="preserve">Graviton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Axion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Cobalt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同字母顆數係數）：低</t>
    </r>
  </si>
  <si>
    <t xml:space="preserve">0.3 → 0.15</t>
  </si>
  <si>
    <r>
      <rPr>
        <sz val="11"/>
        <color theme="1"/>
        <rFont val="Noto Sans CJK SC"/>
        <family val="2"/>
      </rPr>
      <t xml:space="preserve">雲端自研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顆數年增（</t>
    </r>
    <r>
      <rPr>
        <sz val="11"/>
        <color theme="1"/>
        <rFont val="Calibri"/>
        <family val="2"/>
        <charset val="1"/>
      </rPr>
      <t xml:space="preserve">Graviton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Axion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Cobalt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同字母顆數係數）：高</t>
    </r>
  </si>
  <si>
    <t xml:space="preserve">0.3 → 0.45</t>
  </si>
  <si>
    <r>
      <rPr>
        <sz val="11"/>
        <color theme="1"/>
        <rFont val="Noto Sans CJK SC"/>
        <family val="2"/>
      </rPr>
      <t xml:space="preserve">資料中心每顆權利金率年增（核心數、</t>
    </r>
    <r>
      <rPr>
        <sz val="11"/>
        <color theme="1"/>
        <rFont val="Calibri"/>
        <family val="2"/>
        <charset val="1"/>
      </rPr>
      <t xml:space="preserve">CSS</t>
    </r>
    <r>
      <rPr>
        <sz val="11"/>
        <color theme="1"/>
        <rFont val="Noto Sans CJK SC"/>
        <family val="2"/>
      </rPr>
      <t xml:space="preserve">）：低</t>
    </r>
  </si>
  <si>
    <t xml:space="preserve">0.1 → 0.04</t>
  </si>
  <si>
    <r>
      <rPr>
        <sz val="11"/>
        <color theme="1"/>
        <rFont val="Noto Sans CJK SC"/>
        <family val="2"/>
      </rPr>
      <t xml:space="preserve">資料中心每顆權利金率年增（核心數、</t>
    </r>
    <r>
      <rPr>
        <sz val="11"/>
        <color theme="1"/>
        <rFont val="Calibri"/>
        <family val="2"/>
        <charset val="1"/>
      </rPr>
      <t xml:space="preserve">CSS</t>
    </r>
    <r>
      <rPr>
        <sz val="11"/>
        <color theme="1"/>
        <rFont val="Noto Sans CJK SC"/>
        <family val="2"/>
      </rPr>
      <t xml:space="preserve">）：高</t>
    </r>
  </si>
  <si>
    <t xml:space="preserve">0.1 → 0.15</t>
  </si>
  <si>
    <r>
      <rPr>
        <sz val="11"/>
        <color theme="1"/>
        <rFont val="Noto Sans CJK SC"/>
        <family val="2"/>
      </rPr>
      <t xml:space="preserve">車用權利金年增（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起）：低</t>
    </r>
  </si>
  <si>
    <r>
      <rPr>
        <sz val="11"/>
        <color theme="1"/>
        <rFont val="Noto Sans CJK SC"/>
        <family val="2"/>
      </rPr>
      <t xml:space="preserve">車用權利金年增（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起）：高</t>
    </r>
  </si>
  <si>
    <r>
      <rPr>
        <sz val="11"/>
        <color theme="1"/>
        <rFont val="Noto Sans CJK SC"/>
        <family val="2"/>
      </rPr>
      <t xml:space="preserve">物聯網與其他權利金年增（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起）：低</t>
    </r>
  </si>
  <si>
    <t xml:space="preserve">0.04 → -0.02</t>
  </si>
  <si>
    <r>
      <rPr>
        <sz val="11"/>
        <color theme="1"/>
        <rFont val="Noto Sans CJK SC"/>
        <family val="2"/>
      </rPr>
      <t xml:space="preserve">物聯網與其他權利金年增（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起）：高</t>
    </r>
  </si>
  <si>
    <t xml:space="preserve">0.04 → 0.08</t>
  </si>
  <si>
    <r>
      <rPr>
        <sz val="11"/>
        <color theme="1"/>
        <rFont val="Noto Sans CJK SC"/>
        <family val="2"/>
      </rPr>
      <t xml:space="preserve">授權（不含晶片）年增（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起）：低</t>
    </r>
  </si>
  <si>
    <t xml:space="preserve">0.1 → 0.02</t>
  </si>
  <si>
    <r>
      <rPr>
        <sz val="11"/>
        <color theme="1"/>
        <rFont val="Noto Sans CJK SC"/>
        <family val="2"/>
      </rPr>
      <t xml:space="preserve">授權（不含晶片）年增（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起）：高</t>
    </r>
  </si>
  <si>
    <t xml:space="preserve">晶片毛利率：低</t>
  </si>
  <si>
    <t xml:space="preserve">0.45 → 0.35</t>
  </si>
  <si>
    <t xml:space="preserve">晶片毛利率：高</t>
  </si>
  <si>
    <t xml:space="preserve">0.45 → 0.55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</si>
  <si>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營業費用年增：低</t>
    </r>
  </si>
  <si>
    <t xml:space="preserve">0.13 → 0.08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</si>
  <si>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營業費用年增：高</t>
    </r>
  </si>
  <si>
    <t xml:space="preserve">0.13 → 0.18</t>
  </si>
  <si>
    <t xml:space="preserve">業外收益（每年）：低</t>
  </si>
  <si>
    <t xml:space="preserve">0.14 → 0.08</t>
  </si>
  <si>
    <t xml:space="preserve">業外收益（每年）：高</t>
  </si>
  <si>
    <t xml:space="preserve">0.14 → 0.18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</si>
  <si>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有效稅率：低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</si>
  <si>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有效稅率：高</t>
    </r>
  </si>
  <si>
    <t xml:space="preserve">稀釋股數年變動：低</t>
  </si>
  <si>
    <t xml:space="preserve">0.008 → 0.0</t>
  </si>
  <si>
    <t xml:space="preserve">稀釋股數年變動：高</t>
  </si>
  <si>
    <t xml:space="preserve">0.008 → 0.015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</si>
  <si>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）：低</t>
    </r>
  </si>
  <si>
    <t xml:space="preserve">0.1 → 0.09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</si>
  <si>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）：高</t>
    </r>
  </si>
  <si>
    <t xml:space="preserve">0.1 → 0.11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</si>
  <si>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營收年增收斂目標）：低</t>
    </r>
  </si>
  <si>
    <t xml:space="preserve">0.04 → 0.03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</si>
  <si>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營收年增收斂目標）：高</t>
    </r>
  </si>
  <si>
    <t xml:space="preserve">0.04 → 0.05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</si>
  <si>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：低</t>
    </r>
  </si>
  <si>
    <t xml:space="preserve">0.5 → 0.3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</si>
  <si>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：高</t>
    </r>
  </si>
  <si>
    <t xml:space="preserve">0.5 → 0.7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</si>
  <si>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目標價都遠低於現價，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權重是最大的單一變數（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的兩倍）；其次是影響 </t>
    </r>
    <r>
      <rPr>
        <sz val="11"/>
        <color theme="1"/>
        <rFont val="Calibri"/>
        <family val="2"/>
        <charset val="1"/>
      </rPr>
      <t xml:space="preserve">FY2028–29 EPS </t>
    </r>
    <r>
      <rPr>
        <sz val="11"/>
        <color theme="1"/>
        <rFont val="Noto Sans CJK SC"/>
        <family val="2"/>
      </rPr>
      <t xml:space="preserve">的授權成長、營業費用與晶片毛利率。手機與資料中心的拆分比例只改變權利金的組成，對目標價影響小。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</si>
  <si>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Arm </t>
    </r>
    <r>
      <rPr>
        <b val="true"/>
        <sz val="11"/>
        <rFont val="Noto Sans CJK SC"/>
        <family val="2"/>
      </rPr>
      <t xml:space="preserve">股東信、</t>
    </r>
    <r>
      <rPr>
        <b val="true"/>
        <sz val="11"/>
        <rFont val="Cambria"/>
        <family val="0"/>
        <charset val="1"/>
      </rPr>
      <t xml:space="preserve">6-K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20-F</t>
    </r>
    <r>
      <rPr>
        <b val="true"/>
        <sz val="11"/>
        <rFont val="Noto Sans CJK SC"/>
        <family val="2"/>
      </rPr>
      <t xml:space="preserve">、法說；共識與券商皆為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</si>
  <si>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6-K Exhibit 99.2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指引、</t>
    </r>
    <r>
      <rPr>
        <sz val="11"/>
        <color theme="1"/>
        <rFont val="Calibri"/>
        <family val="2"/>
        <charset val="1"/>
      </rPr>
      <t xml:space="preserve">AGI CPU </t>
    </r>
    <r>
      <rPr>
        <sz val="11"/>
        <color theme="1"/>
        <rFont val="Noto Sans CJK SC"/>
        <family val="2"/>
      </rPr>
      <t xml:space="preserve">需求、資料中心權利金）</t>
    </r>
  </si>
  <si>
    <t xml:space="preserve">https://www.sec.gov/Archives/edgar/data/0001973239/000197323926000113/exhibit992fye27q130-junx26.htm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</si>
  <si>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全年、</t>
    </r>
    <r>
      <rPr>
        <sz val="11"/>
        <color theme="1"/>
        <rFont val="Calibri"/>
        <family val="2"/>
        <charset val="1"/>
      </rPr>
      <t xml:space="preserve">AGI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指引）</t>
    </r>
  </si>
  <si>
    <t xml:space="preserve">https://www.sec.gov/Archives/edgar/data/0001973239/000197323926000062/exhibit992fye26q431-marx26.htm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</si>
  <si>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全年、</t>
    </r>
    <r>
      <rPr>
        <sz val="11"/>
        <color theme="1"/>
        <rFont val="Calibri"/>
        <family val="2"/>
        <charset val="1"/>
      </rPr>
      <t xml:space="preserve">FY2024 non-GAAP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</si>
  <si>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https://www.sec.gov/Archives/edgar/data/1973239/000197323925000010/exhibit992fye25q431-marx25.htm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</si>
  <si>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；手機權利金約 </t>
    </r>
    <r>
      <rPr>
        <sz val="11"/>
        <color theme="1"/>
        <rFont val="Calibri"/>
        <family val="2"/>
        <charset val="1"/>
      </rPr>
      <t xml:space="preserve">43%</t>
    </r>
    <r>
      <rPr>
        <sz val="11"/>
        <color theme="1"/>
        <rFont val="Noto Sans CJK SC"/>
        <family val="2"/>
      </rPr>
      <t xml:space="preserve">、前五大客戶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Arm China 16%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控股）</t>
    </r>
  </si>
  <si>
    <t xml:space="preserve">https://www.sec.gov/Archives/edgar/data/0001973239/000197323926000097/arm-20260331.htm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</si>
  <si>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The Motley Fool 2026-02-04</t>
    </r>
    <r>
      <rPr>
        <sz val="11"/>
        <color theme="1"/>
        <rFont val="Noto Sans CJK SC"/>
        <family val="2"/>
      </rPr>
      <t xml:space="preserve">；資料中心占比、</t>
    </r>
    <r>
      <rPr>
        <sz val="11"/>
        <color theme="1"/>
        <rFont val="Calibri"/>
        <family val="2"/>
        <charset val="1"/>
      </rPr>
      <t xml:space="preserve">CSS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協議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億美元／季、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</si>
  <si>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https://www.fool.com/earnings/call-transcripts/2026/02/04/arm-holdings-arm-q3-2026-earnings-transcript/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</si>
  <si>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新聞室 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結果（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</si>
  <si>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https://newsroom.arm.com/news/arm-q1-fye27-results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</si>
  <si>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財報日公告（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美東盤後）</t>
    </r>
  </si>
  <si>
    <t xml:space="preserve">https://newsroom.arm.com/news/arm-announces-earnings-release-date-for-second-quarter-fiscal-year-ending-2027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</si>
  <si>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Longbridge 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指引與共識）</t>
    </r>
  </si>
  <si>
    <t xml:space="preserve">https://longbridge.com/news/294985711</t>
  </si>
  <si>
    <r>
      <rPr>
        <sz val="11"/>
        <color theme="1"/>
        <rFont val="Noto Sans CJK SC"/>
        <family val="2"/>
      </rPr>
      <t xml:space="preserve">研究：</t>
    </r>
    <r>
      <rPr>
        <sz val="11"/>
        <color theme="1"/>
        <rFont val="Calibri"/>
        <family val="2"/>
        <charset val="1"/>
      </rPr>
      <t xml:space="preserve">Hudson Labs 2Q27 </t>
    </r>
    <r>
      <rPr>
        <sz val="11"/>
        <color theme="1"/>
        <rFont val="Noto Sans CJK SC"/>
        <family val="2"/>
      </rPr>
      <t xml:space="preserve">財報預覽（共識、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手機權利金 </t>
    </r>
    <r>
      <rPr>
        <sz val="11"/>
        <color theme="1"/>
        <rFont val="Calibri"/>
        <family val="2"/>
        <charset val="1"/>
      </rPr>
      <t xml:space="preserve">high-teens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</si>
  <si>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法律：</t>
    </r>
    <r>
      <rPr>
        <sz val="11"/>
        <color theme="1"/>
        <rFont val="Calibri"/>
        <family val="2"/>
        <charset val="1"/>
      </rPr>
      <t xml:space="preserve">Paul Weiss 2026-10-13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陪審團判決）</t>
    </r>
  </si>
  <si>
    <t xml:space="preserve">https://www.paulweiss.com/insights/client-news/qualcomm-wins-jury-verdict-in-breach-of-contract-and-interference-trial-against-arm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</si>
  <si>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、目標價、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；同業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</si>
  <si>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InvestSmart </t>
    </r>
    <r>
      <rPr>
        <sz val="11"/>
        <color theme="1"/>
        <rFont val="Noto Sans CJK SC"/>
        <family val="2"/>
      </rPr>
      <t xml:space="preserve">價格歷史（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228.88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月線（年底收盤）</t>
    </r>
  </si>
  <si>
    <t xml:space="preserve">https://www.investsmart.com.au/security/nasdaq/arm/arm-holdings-plc/share-price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</si>
  <si>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加速器顆數、情境顆數係數）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</si>
  <si>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2026-11-04</t>
    </r>
    <r>
      <rPr>
        <sz val="11"/>
        <color theme="1"/>
        <rFont val="Noto Sans CJK SC"/>
        <family val="2"/>
      </rPr>
      <t xml:space="preserve">）；分市場權利金（公司只揭露手機）；</t>
    </r>
    <r>
      <rPr>
        <sz val="11"/>
        <color theme="1"/>
        <rFont val="Calibri"/>
        <family val="2"/>
        <charset val="1"/>
      </rPr>
      <t xml:space="preserve">AGI CPU </t>
    </r>
    <r>
      <rPr>
        <sz val="11"/>
        <color theme="1"/>
        <rFont val="Noto Sans CJK SC"/>
        <family val="2"/>
      </rPr>
      <t xml:space="preserve">營收認列方式；</t>
    </r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法官審理判決；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前瞻倍數（</t>
    </r>
    <r>
      <rPr>
        <sz val="11"/>
        <color theme="1"/>
        <rFont val="Calibri"/>
        <family val="2"/>
        <charset val="1"/>
      </rPr>
      <t xml:space="preserve">ARM </t>
    </r>
    <r>
      <rPr>
        <sz val="11"/>
        <color theme="1"/>
        <rFont val="Noto Sans CJK SC"/>
        <family val="2"/>
      </rPr>
      <t xml:space="preserve">未取）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</si>
</sst>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00"/>
    <numFmt numFmtId="170" formatCode="0.0000"/>
    <numFmt numFmtId="171" formatCode="#,##0.00"/>
    <numFmt numFmtId="172" formatCode="0.0"/>
    <numFmt numFmtId="173" formatCode="@"/>
    <numFmt numFmtId="174" formatCode="0%"/>
    <numFmt numFmtId="175" formatCode="#,##0"/>
    <numFmt numFmtId="17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2" t="s">
        <v>4</v>
      </c>
    </row>
    <row r="6" customFormat="false" ht="17.15" hidden="false" customHeight="false" outlineLevel="0" collapsed="false">
      <c r="A6" s="2" t="s">
        <v>5</v>
      </c>
    </row>
    <row r="7" customFormat="false" ht="17.15" hidden="false" customHeight="false" outlineLevel="0" collapsed="false">
      <c r="A7" s="2" t="s">
        <v>6</v>
      </c>
    </row>
    <row r="8" customFormat="false" ht="17.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/>
    </row>
    <row r="11" customFormat="false" ht="17.15" hidden="false" customHeight="false" outlineLevel="0" collapsed="false">
      <c r="A11" s="3" t="s">
        <v>8</v>
      </c>
    </row>
    <row r="13" customFormat="false" ht="17.15" hidden="false" customHeight="false" outlineLevel="0" collapsed="false">
      <c r="A13" s="0" t="s">
        <v>9</v>
      </c>
    </row>
    <row r="15" customFormat="false" ht="17.15" hidden="false" customHeight="false" outlineLevel="0" collapsed="false">
      <c r="A15" s="0" t="str">
        <f aca="false">"投資建議："&amp;Val!B46&amp;"（依上檔空間固定規則；加權目標價上檔空間 "&amp;TEXT(Val!B43,"+0.0%;−0.0%")&amp;"）"</f>
        <v>投資建議：強力放空（依上檔空間固定規則；加權目標價上檔空間 −76.6%）</v>
      </c>
    </row>
    <row r="16" customFormat="false" ht="17.15" hidden="false" customHeight="false" outlineLevel="0" collapsed="false">
      <c r="A16" s="3" t="s">
        <v>10</v>
      </c>
    </row>
    <row r="17" customFormat="false" ht="17.15" hidden="false" customHeight="false" outlineLevel="0" collapsed="false">
      <c r="A17" s="3" t="s">
        <v>11</v>
      </c>
    </row>
    <row r="18" customFormat="false" ht="17.15" hidden="false" customHeight="false" outlineLevel="0" collapsed="false">
      <c r="A18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3" t="s">
        <v>14</v>
      </c>
    </row>
    <row r="3" customFormat="false" ht="17.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D5" s="5" t="n">
        <v>0.3</v>
      </c>
      <c r="E5" s="5" t="n">
        <v>0.35</v>
      </c>
      <c r="F5" s="5" t="n">
        <v>0.38</v>
      </c>
      <c r="G5" s="6" t="s">
        <v>28</v>
      </c>
      <c r="H5" s="3" t="s">
        <v>29</v>
      </c>
      <c r="I5" s="6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D6" s="5" t="n">
        <v>0.1</v>
      </c>
      <c r="E6" s="5" t="n">
        <v>0.12</v>
      </c>
      <c r="F6" s="5" t="n">
        <v>0.14</v>
      </c>
      <c r="G6" s="6" t="s">
        <v>28</v>
      </c>
      <c r="H6" s="3" t="s">
        <v>33</v>
      </c>
      <c r="I6" s="3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0" t="s">
        <v>27</v>
      </c>
      <c r="D7" s="5" t="n">
        <v>0.08</v>
      </c>
      <c r="E7" s="5" t="n">
        <v>0.2</v>
      </c>
      <c r="F7" s="5" t="n">
        <v>0.3</v>
      </c>
      <c r="G7" s="6" t="s">
        <v>37</v>
      </c>
      <c r="H7" s="6" t="s">
        <v>38</v>
      </c>
      <c r="I7" s="3" t="s">
        <v>39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27</v>
      </c>
      <c r="D8" s="5" t="n">
        <v>0.08</v>
      </c>
      <c r="E8" s="5" t="n">
        <v>0.15</v>
      </c>
      <c r="F8" s="5" t="n">
        <v>0.2</v>
      </c>
      <c r="G8" s="6" t="s">
        <v>37</v>
      </c>
      <c r="H8" s="6" t="s">
        <v>42</v>
      </c>
      <c r="I8" s="3" t="s">
        <v>43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0" t="s">
        <v>46</v>
      </c>
      <c r="E9" s="5" t="n">
        <v>0.78</v>
      </c>
      <c r="G9" s="6" t="s">
        <v>28</v>
      </c>
      <c r="H9" s="3" t="s">
        <v>47</v>
      </c>
      <c r="I9" s="6" t="s">
        <v>48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0" t="s">
        <v>46</v>
      </c>
      <c r="D10" s="5" t="n">
        <v>0.78</v>
      </c>
      <c r="E10" s="5" t="n">
        <v>0.8</v>
      </c>
      <c r="F10" s="5" t="n">
        <v>0.83</v>
      </c>
      <c r="G10" s="6" t="s">
        <v>37</v>
      </c>
      <c r="H10" s="6" t="s">
        <v>51</v>
      </c>
      <c r="I10" s="6" t="s">
        <v>52</v>
      </c>
    </row>
    <row r="11" customFormat="false" ht="17.15" hidden="false" customHeight="false" outlineLevel="0" collapsed="false">
      <c r="A11" s="0" t="s">
        <v>53</v>
      </c>
      <c r="B11" s="0" t="s">
        <v>54</v>
      </c>
      <c r="C11" s="0" t="s">
        <v>46</v>
      </c>
      <c r="D11" s="5" t="n">
        <v>0.8</v>
      </c>
      <c r="E11" s="5" t="n">
        <v>0.82</v>
      </c>
      <c r="F11" s="5" t="n">
        <v>0.86</v>
      </c>
      <c r="G11" s="6" t="s">
        <v>37</v>
      </c>
      <c r="H11" s="3" t="s">
        <v>33</v>
      </c>
      <c r="I11" s="6" t="s">
        <v>55</v>
      </c>
    </row>
    <row r="12" customFormat="false" ht="17.15" hidden="false" customHeight="false" outlineLevel="0" collapsed="false">
      <c r="A12" s="0" t="s">
        <v>56</v>
      </c>
      <c r="B12" s="0" t="s">
        <v>57</v>
      </c>
      <c r="C12" s="0" t="s">
        <v>27</v>
      </c>
      <c r="D12" s="5" t="n">
        <v>0.015</v>
      </c>
      <c r="E12" s="5" t="n">
        <v>0.019</v>
      </c>
      <c r="F12" s="5" t="n">
        <v>0.025</v>
      </c>
      <c r="G12" s="6" t="s">
        <v>58</v>
      </c>
      <c r="H12" s="6" t="s">
        <v>59</v>
      </c>
      <c r="I12" s="6" t="s">
        <v>60</v>
      </c>
    </row>
    <row r="13" customFormat="false" ht="17.15" hidden="false" customHeight="false" outlineLevel="0" collapsed="false">
      <c r="A13" s="0" t="s">
        <v>61</v>
      </c>
      <c r="B13" s="3" t="s">
        <v>62</v>
      </c>
      <c r="C13" s="0" t="s">
        <v>46</v>
      </c>
      <c r="D13" s="5" t="n">
        <v>0.025</v>
      </c>
      <c r="E13" s="5" t="n">
        <v>0.034</v>
      </c>
      <c r="F13" s="5" t="n">
        <v>0.04</v>
      </c>
      <c r="G13" s="6" t="s">
        <v>58</v>
      </c>
      <c r="H13" s="6" t="s">
        <v>63</v>
      </c>
      <c r="I13" s="3" t="s">
        <v>64</v>
      </c>
    </row>
    <row r="14" customFormat="false" ht="17.15" hidden="false" customHeight="false" outlineLevel="0" collapsed="false">
      <c r="A14" s="0" t="s">
        <v>65</v>
      </c>
      <c r="B14" s="0" t="s">
        <v>66</v>
      </c>
      <c r="C14" s="0" t="s">
        <v>27</v>
      </c>
      <c r="D14" s="5" t="n">
        <v>0.13</v>
      </c>
      <c r="E14" s="5" t="n">
        <v>0.15</v>
      </c>
      <c r="F14" s="5" t="n">
        <v>0.18</v>
      </c>
      <c r="G14" s="6" t="s">
        <v>58</v>
      </c>
      <c r="H14" s="6" t="s">
        <v>67</v>
      </c>
      <c r="I14" s="3" t="s">
        <v>68</v>
      </c>
    </row>
    <row r="15" customFormat="false" ht="17.15" hidden="false" customHeight="false" outlineLevel="0" collapsed="false">
      <c r="A15" s="0" t="s">
        <v>69</v>
      </c>
      <c r="B15" s="3" t="s">
        <v>70</v>
      </c>
      <c r="C15" s="3" t="s">
        <v>71</v>
      </c>
      <c r="E15" s="5" t="n">
        <v>1.08</v>
      </c>
      <c r="G15" s="6" t="s">
        <v>58</v>
      </c>
      <c r="H15" s="6" t="s">
        <v>72</v>
      </c>
      <c r="I15" s="6" t="s">
        <v>73</v>
      </c>
    </row>
    <row r="16" customFormat="false" ht="17.15" hidden="false" customHeight="false" outlineLevel="0" collapsed="false">
      <c r="A16" s="0" t="s">
        <v>74</v>
      </c>
      <c r="B16" s="0" t="s">
        <v>75</v>
      </c>
      <c r="C16" s="0" t="s">
        <v>46</v>
      </c>
      <c r="D16" s="5" t="n">
        <v>0</v>
      </c>
      <c r="E16" s="5" t="n">
        <v>0.15</v>
      </c>
      <c r="F16" s="5" t="n">
        <v>0.4</v>
      </c>
      <c r="G16" s="6" t="s">
        <v>37</v>
      </c>
      <c r="H16" s="3" t="s">
        <v>76</v>
      </c>
      <c r="I16" s="3" t="s">
        <v>77</v>
      </c>
    </row>
    <row r="17" customFormat="false" ht="17.15" hidden="false" customHeight="false" outlineLevel="0" collapsed="false">
      <c r="A17" s="1" t="s">
        <v>78</v>
      </c>
    </row>
    <row r="18" customFormat="false" ht="17.15" hidden="false" customHeight="false" outlineLevel="0" collapsed="false">
      <c r="A18" s="0" t="s">
        <v>79</v>
      </c>
      <c r="B18" s="0" t="s">
        <v>80</v>
      </c>
      <c r="C18" s="0" t="s">
        <v>27</v>
      </c>
      <c r="D18" s="5" t="n">
        <v>0.4</v>
      </c>
      <c r="E18" s="5" t="n">
        <v>0.43</v>
      </c>
      <c r="F18" s="5" t="n">
        <v>0.46</v>
      </c>
      <c r="G18" s="6" t="s">
        <v>81</v>
      </c>
      <c r="H18" s="6" t="s">
        <v>82</v>
      </c>
      <c r="I18" s="3" t="s">
        <v>83</v>
      </c>
    </row>
    <row r="19" customFormat="false" ht="17.15" hidden="false" customHeight="false" outlineLevel="0" collapsed="false">
      <c r="A19" s="0" t="s">
        <v>84</v>
      </c>
      <c r="B19" s="0" t="s">
        <v>85</v>
      </c>
      <c r="C19" s="0" t="s">
        <v>27</v>
      </c>
      <c r="D19" s="5" t="n">
        <v>0.1</v>
      </c>
      <c r="E19" s="5" t="n">
        <v>0.14</v>
      </c>
      <c r="F19" s="5" t="n">
        <v>0.19</v>
      </c>
      <c r="G19" s="6" t="s">
        <v>28</v>
      </c>
      <c r="H19" s="3" t="s">
        <v>86</v>
      </c>
      <c r="I19" s="6" t="s">
        <v>87</v>
      </c>
    </row>
    <row r="20" customFormat="false" ht="17.15" hidden="false" customHeight="false" outlineLevel="0" collapsed="false">
      <c r="A20" s="0" t="s">
        <v>88</v>
      </c>
      <c r="B20" s="0" t="s">
        <v>89</v>
      </c>
      <c r="C20" s="0" t="s">
        <v>27</v>
      </c>
      <c r="D20" s="5" t="n">
        <v>0.07</v>
      </c>
      <c r="E20" s="5" t="n">
        <v>0.09</v>
      </c>
      <c r="F20" s="5" t="n">
        <v>0.11</v>
      </c>
      <c r="G20" s="6" t="s">
        <v>37</v>
      </c>
      <c r="H20" s="3" t="s">
        <v>90</v>
      </c>
      <c r="I20" s="3" t="s">
        <v>91</v>
      </c>
    </row>
    <row r="21" customFormat="false" ht="17.15" hidden="false" customHeight="false" outlineLevel="0" collapsed="false">
      <c r="A21" s="0" t="s">
        <v>92</v>
      </c>
      <c r="B21" s="0" t="s">
        <v>93</v>
      </c>
      <c r="C21" s="3" t="s">
        <v>94</v>
      </c>
      <c r="D21" s="5" t="n">
        <v>1.15</v>
      </c>
      <c r="E21" s="5" t="n">
        <v>1.22</v>
      </c>
      <c r="F21" s="5" t="n">
        <v>1.28</v>
      </c>
      <c r="G21" s="6" t="s">
        <v>37</v>
      </c>
      <c r="H21" s="3" t="s">
        <v>95</v>
      </c>
      <c r="I21" s="6" t="s">
        <v>96</v>
      </c>
    </row>
    <row r="22" customFormat="false" ht="17.15" hidden="false" customHeight="false" outlineLevel="0" collapsed="false">
      <c r="A22" s="0" t="s">
        <v>97</v>
      </c>
      <c r="B22" s="0" t="s">
        <v>98</v>
      </c>
      <c r="C22" s="0" t="s">
        <v>27</v>
      </c>
      <c r="D22" s="5" t="n">
        <v>0.08</v>
      </c>
      <c r="E22" s="5" t="n">
        <v>0.12</v>
      </c>
      <c r="F22" s="5" t="n">
        <v>0.18</v>
      </c>
      <c r="G22" s="6" t="s">
        <v>28</v>
      </c>
      <c r="H22" s="6" t="s">
        <v>99</v>
      </c>
      <c r="I22" s="3" t="s">
        <v>100</v>
      </c>
    </row>
    <row r="23" customFormat="false" ht="17.15" hidden="false" customHeight="false" outlineLevel="0" collapsed="false">
      <c r="A23" s="0" t="s">
        <v>101</v>
      </c>
      <c r="B23" s="0" t="s">
        <v>102</v>
      </c>
      <c r="C23" s="0" t="s">
        <v>27</v>
      </c>
      <c r="D23" s="5" t="n">
        <v>0.5</v>
      </c>
      <c r="E23" s="5" t="n">
        <v>0.7</v>
      </c>
      <c r="F23" s="5" t="n">
        <v>0.95</v>
      </c>
      <c r="G23" s="6" t="s">
        <v>28</v>
      </c>
      <c r="H23" s="6" t="s">
        <v>103</v>
      </c>
      <c r="I23" s="6" t="s">
        <v>104</v>
      </c>
    </row>
    <row r="24" customFormat="false" ht="17.15" hidden="false" customHeight="false" outlineLevel="0" collapsed="false">
      <c r="A24" s="0" t="s">
        <v>105</v>
      </c>
      <c r="B24" s="0" t="s">
        <v>106</v>
      </c>
      <c r="C24" s="0" t="s">
        <v>27</v>
      </c>
      <c r="D24" s="5" t="n">
        <v>0.08</v>
      </c>
      <c r="E24" s="5" t="n">
        <v>0.15</v>
      </c>
      <c r="F24" s="5" t="n">
        <v>0.22</v>
      </c>
      <c r="G24" s="6" t="s">
        <v>37</v>
      </c>
      <c r="H24" s="3" t="s">
        <v>107</v>
      </c>
      <c r="I24" s="3" t="s">
        <v>108</v>
      </c>
    </row>
    <row r="25" customFormat="false" ht="17.15" hidden="false" customHeight="false" outlineLevel="0" collapsed="false">
      <c r="A25" s="1" t="s">
        <v>109</v>
      </c>
    </row>
    <row r="26" customFormat="false" ht="17.15" hidden="false" customHeight="false" outlineLevel="0" collapsed="false">
      <c r="A26" s="0" t="s">
        <v>110</v>
      </c>
      <c r="B26" s="3" t="s">
        <v>111</v>
      </c>
      <c r="C26" s="0" t="s">
        <v>27</v>
      </c>
      <c r="D26" s="5" t="n">
        <v>-0.08</v>
      </c>
      <c r="E26" s="5" t="n">
        <v>-0.02</v>
      </c>
      <c r="F26" s="5" t="n">
        <v>0.03</v>
      </c>
      <c r="G26" s="6" t="s">
        <v>37</v>
      </c>
      <c r="H26" s="3" t="s">
        <v>112</v>
      </c>
      <c r="I26" s="6" t="s">
        <v>96</v>
      </c>
    </row>
    <row r="27" customFormat="false" ht="17.15" hidden="false" customHeight="false" outlineLevel="0" collapsed="false">
      <c r="A27" s="0" t="s">
        <v>113</v>
      </c>
      <c r="B27" s="3" t="s">
        <v>114</v>
      </c>
      <c r="C27" s="0" t="s">
        <v>27</v>
      </c>
      <c r="D27" s="5" t="n">
        <v>-0.03</v>
      </c>
      <c r="E27" s="5" t="n">
        <v>0.01</v>
      </c>
      <c r="F27" s="5" t="n">
        <v>0.04</v>
      </c>
      <c r="G27" s="6" t="s">
        <v>37</v>
      </c>
      <c r="H27" s="3" t="s">
        <v>115</v>
      </c>
      <c r="I27" s="6" t="s">
        <v>96</v>
      </c>
    </row>
    <row r="28" customFormat="false" ht="17.15" hidden="false" customHeight="false" outlineLevel="0" collapsed="false">
      <c r="A28" s="0" t="s">
        <v>116</v>
      </c>
      <c r="B28" s="3" t="s">
        <v>117</v>
      </c>
      <c r="C28" s="0" t="s">
        <v>27</v>
      </c>
      <c r="E28" s="5" t="n">
        <v>0.14</v>
      </c>
      <c r="G28" s="6" t="s">
        <v>37</v>
      </c>
      <c r="H28" s="3" t="s">
        <v>118</v>
      </c>
      <c r="I28" s="6" t="s">
        <v>55</v>
      </c>
    </row>
    <row r="29" customFormat="false" ht="17.15" hidden="false" customHeight="false" outlineLevel="0" collapsed="false">
      <c r="A29" s="0" t="s">
        <v>119</v>
      </c>
      <c r="B29" s="3" t="s">
        <v>120</v>
      </c>
      <c r="C29" s="0" t="s">
        <v>27</v>
      </c>
      <c r="E29" s="5" t="n">
        <v>0.11</v>
      </c>
      <c r="G29" s="6" t="s">
        <v>37</v>
      </c>
      <c r="H29" s="3" t="s">
        <v>121</v>
      </c>
      <c r="I29" s="6" t="s">
        <v>55</v>
      </c>
    </row>
    <row r="30" customFormat="false" ht="17.15" hidden="false" customHeight="false" outlineLevel="0" collapsed="false">
      <c r="A30" s="0" t="s">
        <v>122</v>
      </c>
      <c r="B30" s="3" t="s">
        <v>123</v>
      </c>
      <c r="C30" s="0" t="s">
        <v>27</v>
      </c>
      <c r="E30" s="5" t="n">
        <v>0.07</v>
      </c>
      <c r="G30" s="6" t="s">
        <v>37</v>
      </c>
      <c r="H30" s="3" t="s">
        <v>124</v>
      </c>
      <c r="I30" s="6" t="s">
        <v>125</v>
      </c>
    </row>
    <row r="31" customFormat="false" ht="17.15" hidden="false" customHeight="false" outlineLevel="0" collapsed="false">
      <c r="A31" s="0" t="s">
        <v>126</v>
      </c>
      <c r="B31" s="0" t="s">
        <v>127</v>
      </c>
      <c r="C31" s="0" t="s">
        <v>27</v>
      </c>
      <c r="D31" s="5" t="n">
        <v>-0.06</v>
      </c>
      <c r="E31" s="5" t="n">
        <v>0</v>
      </c>
      <c r="F31" s="5" t="n">
        <v>0.02</v>
      </c>
      <c r="G31" s="6" t="s">
        <v>37</v>
      </c>
      <c r="H31" s="3" t="s">
        <v>128</v>
      </c>
      <c r="I31" s="3" t="s">
        <v>129</v>
      </c>
    </row>
    <row r="32" customFormat="false" ht="17.15" hidden="false" customHeight="false" outlineLevel="0" collapsed="false">
      <c r="A32" s="0" t="s">
        <v>130</v>
      </c>
      <c r="B32" s="3" t="s">
        <v>131</v>
      </c>
      <c r="C32" s="3" t="s">
        <v>132</v>
      </c>
      <c r="D32" s="5" t="n">
        <v>0.4</v>
      </c>
      <c r="E32" s="5" t="n">
        <v>0.5</v>
      </c>
      <c r="F32" s="5" t="n">
        <v>0.5</v>
      </c>
      <c r="G32" s="6" t="s">
        <v>28</v>
      </c>
      <c r="H32" s="6" t="s">
        <v>133</v>
      </c>
      <c r="I32" s="3" t="s">
        <v>134</v>
      </c>
    </row>
    <row r="33" customFormat="false" ht="17.15" hidden="false" customHeight="false" outlineLevel="0" collapsed="false">
      <c r="A33" s="0" t="s">
        <v>135</v>
      </c>
      <c r="B33" s="0" t="s">
        <v>136</v>
      </c>
      <c r="C33" s="3" t="s">
        <v>137</v>
      </c>
      <c r="E33" s="5" t="n">
        <v>5.4</v>
      </c>
      <c r="G33" s="6" t="s">
        <v>58</v>
      </c>
      <c r="H33" s="6" t="s">
        <v>138</v>
      </c>
      <c r="I33" s="6" t="s">
        <v>139</v>
      </c>
    </row>
    <row r="34" customFormat="false" ht="17.15" hidden="false" customHeight="false" outlineLevel="0" collapsed="false">
      <c r="A34" s="0" t="s">
        <v>140</v>
      </c>
      <c r="B34" s="0" t="s">
        <v>141</v>
      </c>
      <c r="C34" s="3" t="s">
        <v>137</v>
      </c>
      <c r="E34" s="5" t="n">
        <v>2.4</v>
      </c>
      <c r="G34" s="6" t="s">
        <v>58</v>
      </c>
      <c r="H34" s="6" t="s">
        <v>142</v>
      </c>
      <c r="I34" s="6" t="s">
        <v>139</v>
      </c>
    </row>
    <row r="35" customFormat="false" ht="17.15" hidden="false" customHeight="false" outlineLevel="0" collapsed="false">
      <c r="A35" s="0" t="s">
        <v>143</v>
      </c>
      <c r="B35" s="0" t="s">
        <v>144</v>
      </c>
      <c r="C35" s="3" t="s">
        <v>137</v>
      </c>
      <c r="E35" s="5" t="n">
        <v>0.5</v>
      </c>
      <c r="G35" s="6" t="s">
        <v>58</v>
      </c>
      <c r="H35" s="6" t="s">
        <v>145</v>
      </c>
      <c r="I35" s="6" t="s">
        <v>139</v>
      </c>
    </row>
    <row r="36" customFormat="false" ht="17.15" hidden="false" customHeight="false" outlineLevel="0" collapsed="false">
      <c r="A36" s="0" t="s">
        <v>146</v>
      </c>
      <c r="B36" s="0" t="s">
        <v>147</v>
      </c>
      <c r="C36" s="3" t="s">
        <v>137</v>
      </c>
      <c r="E36" s="5" t="n">
        <v>0.25</v>
      </c>
      <c r="G36" s="6" t="s">
        <v>58</v>
      </c>
      <c r="H36" s="6" t="s">
        <v>148</v>
      </c>
      <c r="I36" s="6" t="s">
        <v>139</v>
      </c>
    </row>
    <row r="37" customFormat="false" ht="17.15" hidden="false" customHeight="false" outlineLevel="0" collapsed="false">
      <c r="A37" s="0" t="s">
        <v>149</v>
      </c>
      <c r="B37" s="0" t="s">
        <v>150</v>
      </c>
      <c r="C37" s="3" t="s">
        <v>137</v>
      </c>
      <c r="E37" s="5" t="n">
        <v>1.7</v>
      </c>
      <c r="G37" s="6" t="s">
        <v>58</v>
      </c>
      <c r="H37" s="6" t="s">
        <v>151</v>
      </c>
      <c r="I37" s="6" t="s">
        <v>139</v>
      </c>
    </row>
    <row r="38" customFormat="false" ht="17.15" hidden="false" customHeight="false" outlineLevel="0" collapsed="false">
      <c r="A38" s="0" t="s">
        <v>152</v>
      </c>
      <c r="B38" s="0" t="s">
        <v>153</v>
      </c>
      <c r="C38" s="3" t="s">
        <v>137</v>
      </c>
      <c r="E38" s="5" t="n">
        <v>7</v>
      </c>
      <c r="G38" s="6" t="s">
        <v>58</v>
      </c>
      <c r="H38" s="6" t="s">
        <v>154</v>
      </c>
      <c r="I38" s="6" t="s">
        <v>139</v>
      </c>
    </row>
    <row r="39" customFormat="false" ht="17.15" hidden="false" customHeight="false" outlineLevel="0" collapsed="false">
      <c r="A39" s="0" t="s">
        <v>155</v>
      </c>
      <c r="B39" s="0" t="s">
        <v>156</v>
      </c>
      <c r="C39" s="3" t="s">
        <v>137</v>
      </c>
      <c r="E39" s="5" t="n">
        <v>7</v>
      </c>
      <c r="G39" s="6" t="s">
        <v>58</v>
      </c>
      <c r="H39" s="6" t="s">
        <v>157</v>
      </c>
      <c r="I39" s="6" t="s">
        <v>139</v>
      </c>
    </row>
    <row r="40" customFormat="false" ht="17.15" hidden="false" customHeight="false" outlineLevel="0" collapsed="false">
      <c r="A40" s="0" t="s">
        <v>158</v>
      </c>
      <c r="B40" s="0" t="s">
        <v>159</v>
      </c>
      <c r="C40" s="3" t="s">
        <v>137</v>
      </c>
      <c r="E40" s="5" t="n">
        <v>8.05</v>
      </c>
      <c r="G40" s="6" t="s">
        <v>58</v>
      </c>
      <c r="H40" s="6" t="s">
        <v>160</v>
      </c>
      <c r="I40" s="6" t="s">
        <v>139</v>
      </c>
    </row>
    <row r="41" customFormat="false" ht="17.15" hidden="false" customHeight="false" outlineLevel="0" collapsed="false">
      <c r="A41" s="0" t="s">
        <v>161</v>
      </c>
      <c r="B41" s="0" t="s">
        <v>162</v>
      </c>
      <c r="C41" s="3" t="s">
        <v>137</v>
      </c>
      <c r="E41" s="5" t="n">
        <v>0</v>
      </c>
      <c r="G41" s="6" t="s">
        <v>58</v>
      </c>
      <c r="H41" s="6" t="s">
        <v>163</v>
      </c>
      <c r="I41" s="6" t="s">
        <v>139</v>
      </c>
    </row>
    <row r="42" customFormat="false" ht="17.15" hidden="false" customHeight="false" outlineLevel="0" collapsed="false">
      <c r="A42" s="0" t="s">
        <v>164</v>
      </c>
      <c r="B42" s="0" t="s">
        <v>165</v>
      </c>
      <c r="C42" s="3" t="s">
        <v>137</v>
      </c>
      <c r="E42" s="5" t="n">
        <v>0.3</v>
      </c>
      <c r="G42" s="6" t="s">
        <v>58</v>
      </c>
      <c r="H42" s="6" t="s">
        <v>166</v>
      </c>
      <c r="I42" s="6" t="s">
        <v>139</v>
      </c>
    </row>
    <row r="43" customFormat="false" ht="17.15" hidden="false" customHeight="false" outlineLevel="0" collapsed="false">
      <c r="A43" s="0" t="s">
        <v>167</v>
      </c>
      <c r="B43" s="0" t="s">
        <v>168</v>
      </c>
      <c r="C43" s="3" t="s">
        <v>137</v>
      </c>
      <c r="E43" s="5" t="n">
        <v>2</v>
      </c>
      <c r="G43" s="6" t="s">
        <v>58</v>
      </c>
      <c r="H43" s="6" t="s">
        <v>169</v>
      </c>
      <c r="I43" s="6" t="s">
        <v>139</v>
      </c>
    </row>
    <row r="44" customFormat="false" ht="17.15" hidden="false" customHeight="false" outlineLevel="0" collapsed="false">
      <c r="A44" s="0" t="s">
        <v>170</v>
      </c>
      <c r="B44" s="0" t="s">
        <v>171</v>
      </c>
      <c r="C44" s="3" t="s">
        <v>137</v>
      </c>
      <c r="E44" s="5" t="n">
        <v>2.3</v>
      </c>
      <c r="G44" s="6" t="s">
        <v>58</v>
      </c>
      <c r="H44" s="6" t="s">
        <v>172</v>
      </c>
      <c r="I44" s="6" t="s">
        <v>139</v>
      </c>
    </row>
    <row r="45" customFormat="false" ht="17.15" hidden="false" customHeight="false" outlineLevel="0" collapsed="false">
      <c r="A45" s="0" t="s">
        <v>173</v>
      </c>
      <c r="B45" s="3" t="s">
        <v>174</v>
      </c>
      <c r="C45" s="0" t="s">
        <v>175</v>
      </c>
      <c r="E45" s="5" t="n">
        <v>1</v>
      </c>
      <c r="G45" s="6" t="s">
        <v>58</v>
      </c>
      <c r="H45" s="6" t="s">
        <v>176</v>
      </c>
      <c r="I45" s="6" t="s">
        <v>177</v>
      </c>
    </row>
    <row r="46" customFormat="false" ht="17.15" hidden="false" customHeight="false" outlineLevel="0" collapsed="false">
      <c r="A46" s="0" t="s">
        <v>178</v>
      </c>
      <c r="B46" s="3" t="s">
        <v>179</v>
      </c>
      <c r="C46" s="0" t="s">
        <v>175</v>
      </c>
      <c r="E46" s="5" t="n">
        <v>0.8</v>
      </c>
      <c r="G46" s="6" t="s">
        <v>58</v>
      </c>
      <c r="H46" s="6" t="s">
        <v>180</v>
      </c>
      <c r="I46" s="6" t="s">
        <v>177</v>
      </c>
    </row>
    <row r="47" customFormat="false" ht="17.15" hidden="false" customHeight="false" outlineLevel="0" collapsed="false">
      <c r="A47" s="0" t="s">
        <v>181</v>
      </c>
      <c r="B47" s="3" t="s">
        <v>182</v>
      </c>
      <c r="C47" s="0" t="s">
        <v>175</v>
      </c>
      <c r="E47" s="5" t="n">
        <v>0.6</v>
      </c>
      <c r="G47" s="6" t="s">
        <v>58</v>
      </c>
      <c r="H47" s="6" t="s">
        <v>183</v>
      </c>
      <c r="I47" s="6" t="s">
        <v>177</v>
      </c>
    </row>
    <row r="48" customFormat="false" ht="17.15" hidden="false" customHeight="false" outlineLevel="0" collapsed="false">
      <c r="A48" s="0" t="s">
        <v>184</v>
      </c>
      <c r="B48" s="3" t="s">
        <v>185</v>
      </c>
      <c r="C48" s="0" t="s">
        <v>175</v>
      </c>
      <c r="E48" s="5" t="n">
        <v>1</v>
      </c>
      <c r="G48" s="6" t="s">
        <v>58</v>
      </c>
      <c r="H48" s="6" t="s">
        <v>186</v>
      </c>
      <c r="I48" s="6" t="s">
        <v>177</v>
      </c>
    </row>
    <row r="49" customFormat="false" ht="17.15" hidden="false" customHeight="false" outlineLevel="0" collapsed="false">
      <c r="A49" s="0" t="s">
        <v>187</v>
      </c>
      <c r="B49" s="3" t="s">
        <v>188</v>
      </c>
      <c r="C49" s="0" t="s">
        <v>175</v>
      </c>
      <c r="E49" s="5" t="n">
        <v>0.85</v>
      </c>
      <c r="G49" s="6" t="s">
        <v>58</v>
      </c>
      <c r="H49" s="6" t="s">
        <v>189</v>
      </c>
      <c r="I49" s="6" t="s">
        <v>177</v>
      </c>
    </row>
    <row r="50" customFormat="false" ht="17.15" hidden="false" customHeight="false" outlineLevel="0" collapsed="false">
      <c r="A50" s="0" t="s">
        <v>190</v>
      </c>
      <c r="B50" s="3" t="s">
        <v>191</v>
      </c>
      <c r="C50" s="0" t="s">
        <v>175</v>
      </c>
      <c r="E50" s="5" t="n">
        <v>0.6</v>
      </c>
      <c r="G50" s="6" t="s">
        <v>58</v>
      </c>
      <c r="H50" s="6" t="s">
        <v>192</v>
      </c>
      <c r="I50" s="6" t="s">
        <v>177</v>
      </c>
    </row>
    <row r="51" customFormat="false" ht="17.15" hidden="false" customHeight="false" outlineLevel="0" collapsed="false">
      <c r="A51" s="0" t="s">
        <v>193</v>
      </c>
      <c r="B51" s="0" t="s">
        <v>194</v>
      </c>
      <c r="C51" s="3" t="s">
        <v>137</v>
      </c>
      <c r="D51" s="5" t="n">
        <v>5</v>
      </c>
      <c r="E51" s="5" t="n">
        <v>6</v>
      </c>
      <c r="F51" s="5" t="n">
        <v>7</v>
      </c>
      <c r="G51" s="6" t="s">
        <v>37</v>
      </c>
      <c r="H51" s="6" t="s">
        <v>195</v>
      </c>
      <c r="I51" s="3" t="s">
        <v>196</v>
      </c>
    </row>
    <row r="52" customFormat="false" ht="17.15" hidden="false" customHeight="false" outlineLevel="0" collapsed="false">
      <c r="A52" s="0" t="s">
        <v>197</v>
      </c>
      <c r="B52" s="0" t="s">
        <v>198</v>
      </c>
      <c r="C52" s="0" t="s">
        <v>27</v>
      </c>
      <c r="D52" s="5" t="n">
        <v>0.2</v>
      </c>
      <c r="E52" s="5" t="n">
        <v>0.35</v>
      </c>
      <c r="F52" s="5" t="n">
        <v>0.5</v>
      </c>
      <c r="G52" s="6" t="s">
        <v>37</v>
      </c>
      <c r="H52" s="3" t="s">
        <v>199</v>
      </c>
      <c r="I52" s="3" t="s">
        <v>200</v>
      </c>
    </row>
    <row r="53" customFormat="false" ht="17.15" hidden="false" customHeight="false" outlineLevel="0" collapsed="false">
      <c r="A53" s="0" t="s">
        <v>201</v>
      </c>
      <c r="B53" s="3" t="s">
        <v>202</v>
      </c>
      <c r="C53" s="0" t="s">
        <v>27</v>
      </c>
      <c r="D53" s="5" t="n">
        <v>0.15</v>
      </c>
      <c r="E53" s="5" t="n">
        <v>0.3</v>
      </c>
      <c r="F53" s="5" t="n">
        <v>0.45</v>
      </c>
      <c r="G53" s="6" t="s">
        <v>37</v>
      </c>
      <c r="H53" s="3" t="s">
        <v>203</v>
      </c>
      <c r="I53" s="6" t="s">
        <v>204</v>
      </c>
    </row>
    <row r="54" customFormat="false" ht="17.15" hidden="false" customHeight="false" outlineLevel="0" collapsed="false">
      <c r="A54" s="0" t="s">
        <v>205</v>
      </c>
      <c r="B54" s="3" t="s">
        <v>206</v>
      </c>
      <c r="C54" s="0" t="s">
        <v>27</v>
      </c>
      <c r="D54" s="5" t="n">
        <v>0.04</v>
      </c>
      <c r="E54" s="5" t="n">
        <v>0.1</v>
      </c>
      <c r="F54" s="5" t="n">
        <v>0.15</v>
      </c>
      <c r="G54" s="6" t="s">
        <v>37</v>
      </c>
      <c r="H54" s="3" t="s">
        <v>207</v>
      </c>
      <c r="I54" s="6" t="s">
        <v>55</v>
      </c>
    </row>
    <row r="55" customFormat="false" ht="17.15" hidden="false" customHeight="false" outlineLevel="0" collapsed="false">
      <c r="A55" s="0" t="s">
        <v>208</v>
      </c>
      <c r="B55" s="3" t="s">
        <v>209</v>
      </c>
      <c r="C55" s="0" t="s">
        <v>27</v>
      </c>
      <c r="D55" s="5" t="n">
        <v>0.08</v>
      </c>
      <c r="E55" s="5" t="n">
        <v>0.15</v>
      </c>
      <c r="F55" s="5" t="n">
        <v>0.22</v>
      </c>
      <c r="G55" s="6" t="s">
        <v>37</v>
      </c>
      <c r="H55" s="3" t="s">
        <v>210</v>
      </c>
      <c r="I55" s="6" t="s">
        <v>55</v>
      </c>
    </row>
    <row r="56" customFormat="false" ht="17.15" hidden="false" customHeight="false" outlineLevel="0" collapsed="false">
      <c r="A56" s="0" t="s">
        <v>211</v>
      </c>
      <c r="B56" s="3" t="s">
        <v>212</v>
      </c>
      <c r="C56" s="0" t="s">
        <v>27</v>
      </c>
      <c r="D56" s="5" t="n">
        <v>-0.02</v>
      </c>
      <c r="E56" s="5" t="n">
        <v>0.04</v>
      </c>
      <c r="F56" s="5" t="n">
        <v>0.08</v>
      </c>
      <c r="G56" s="6" t="s">
        <v>37</v>
      </c>
      <c r="H56" s="3" t="s">
        <v>213</v>
      </c>
      <c r="I56" s="6" t="s">
        <v>55</v>
      </c>
    </row>
    <row r="57" customFormat="false" ht="17.15" hidden="false" customHeight="false" outlineLevel="0" collapsed="false">
      <c r="A57" s="1" t="s">
        <v>214</v>
      </c>
    </row>
    <row r="58" customFormat="false" ht="17.15" hidden="false" customHeight="false" outlineLevel="0" collapsed="false">
      <c r="A58" s="0" t="s">
        <v>215</v>
      </c>
      <c r="B58" s="3" t="s">
        <v>216</v>
      </c>
      <c r="C58" s="0" t="s">
        <v>27</v>
      </c>
      <c r="D58" s="5" t="n">
        <v>0.02</v>
      </c>
      <c r="E58" s="5" t="n">
        <v>0.1</v>
      </c>
      <c r="F58" s="5" t="n">
        <v>0.15</v>
      </c>
      <c r="G58" s="6" t="s">
        <v>37</v>
      </c>
      <c r="H58" s="6" t="s">
        <v>217</v>
      </c>
      <c r="I58" s="6" t="s">
        <v>218</v>
      </c>
    </row>
    <row r="59" customFormat="false" ht="17.15" hidden="false" customHeight="false" outlineLevel="0" collapsed="false">
      <c r="A59" s="0" t="s">
        <v>219</v>
      </c>
      <c r="B59" s="3" t="s">
        <v>220</v>
      </c>
      <c r="C59" s="0" t="s">
        <v>46</v>
      </c>
      <c r="E59" s="5" t="n">
        <v>1.4</v>
      </c>
      <c r="G59" s="6" t="s">
        <v>37</v>
      </c>
      <c r="H59" s="3" t="s">
        <v>221</v>
      </c>
      <c r="I59" s="3" t="s">
        <v>222</v>
      </c>
    </row>
    <row r="60" customFormat="false" ht="17.15" hidden="false" customHeight="false" outlineLevel="0" collapsed="false">
      <c r="A60" s="0" t="s">
        <v>223</v>
      </c>
      <c r="B60" s="3" t="s">
        <v>224</v>
      </c>
      <c r="C60" s="0" t="s">
        <v>46</v>
      </c>
      <c r="E60" s="5" t="n">
        <v>1</v>
      </c>
      <c r="G60" s="6" t="s">
        <v>37</v>
      </c>
      <c r="H60" s="3" t="s">
        <v>33</v>
      </c>
      <c r="I60" s="6" t="s">
        <v>55</v>
      </c>
    </row>
    <row r="61" customFormat="false" ht="17.15" hidden="false" customHeight="false" outlineLevel="0" collapsed="false">
      <c r="A61" s="0" t="s">
        <v>225</v>
      </c>
      <c r="B61" s="3" t="s">
        <v>226</v>
      </c>
      <c r="C61" s="0" t="s">
        <v>46</v>
      </c>
      <c r="E61" s="5" t="n">
        <v>0.5</v>
      </c>
      <c r="G61" s="6" t="s">
        <v>37</v>
      </c>
      <c r="H61" s="3" t="s">
        <v>33</v>
      </c>
      <c r="I61" s="6" t="s">
        <v>55</v>
      </c>
    </row>
    <row r="62" customFormat="false" ht="17.15" hidden="false" customHeight="false" outlineLevel="0" collapsed="false">
      <c r="A62" s="0" t="s">
        <v>227</v>
      </c>
      <c r="B62" s="3" t="s">
        <v>228</v>
      </c>
      <c r="C62" s="0" t="s">
        <v>46</v>
      </c>
      <c r="E62" s="5" t="n">
        <v>3</v>
      </c>
      <c r="G62" s="6" t="s">
        <v>37</v>
      </c>
      <c r="H62" s="3" t="s">
        <v>33</v>
      </c>
      <c r="I62" s="6" t="s">
        <v>55</v>
      </c>
    </row>
    <row r="63" customFormat="false" ht="17.15" hidden="false" customHeight="false" outlineLevel="0" collapsed="false">
      <c r="A63" s="0" t="s">
        <v>229</v>
      </c>
      <c r="B63" s="3" t="s">
        <v>230</v>
      </c>
      <c r="C63" s="0" t="s">
        <v>46</v>
      </c>
      <c r="E63" s="5" t="n">
        <v>2</v>
      </c>
      <c r="G63" s="6" t="s">
        <v>37</v>
      </c>
      <c r="H63" s="3" t="s">
        <v>33</v>
      </c>
      <c r="I63" s="6" t="s">
        <v>55</v>
      </c>
    </row>
    <row r="64" customFormat="false" ht="17.15" hidden="false" customHeight="false" outlineLevel="0" collapsed="false">
      <c r="A64" s="0" t="s">
        <v>231</v>
      </c>
      <c r="B64" s="3" t="s">
        <v>232</v>
      </c>
      <c r="C64" s="0" t="s">
        <v>46</v>
      </c>
      <c r="E64" s="5" t="n">
        <v>0.8</v>
      </c>
      <c r="G64" s="6" t="s">
        <v>37</v>
      </c>
      <c r="H64" s="3" t="s">
        <v>33</v>
      </c>
      <c r="I64" s="6" t="s">
        <v>55</v>
      </c>
    </row>
    <row r="65" customFormat="false" ht="17.15" hidden="false" customHeight="false" outlineLevel="0" collapsed="false">
      <c r="A65" s="0" t="s">
        <v>233</v>
      </c>
      <c r="B65" s="3" t="s">
        <v>234</v>
      </c>
      <c r="C65" s="0" t="s">
        <v>27</v>
      </c>
      <c r="D65" s="5" t="n">
        <v>0.35</v>
      </c>
      <c r="E65" s="5" t="n">
        <v>0.45</v>
      </c>
      <c r="F65" s="5" t="n">
        <v>0.55</v>
      </c>
      <c r="G65" s="6" t="s">
        <v>37</v>
      </c>
      <c r="H65" s="3" t="s">
        <v>235</v>
      </c>
      <c r="I65" s="6" t="s">
        <v>236</v>
      </c>
    </row>
    <row r="66" customFormat="false" ht="17.15" hidden="false" customHeight="false" outlineLevel="0" collapsed="false">
      <c r="A66" s="1" t="s">
        <v>237</v>
      </c>
    </row>
    <row r="67" customFormat="false" ht="17.15" hidden="false" customHeight="false" outlineLevel="0" collapsed="false">
      <c r="A67" s="0" t="s">
        <v>238</v>
      </c>
      <c r="B67" s="0" t="s">
        <v>239</v>
      </c>
      <c r="C67" s="0" t="s">
        <v>27</v>
      </c>
      <c r="D67" s="5" t="n">
        <v>0.08</v>
      </c>
      <c r="E67" s="5" t="n">
        <v>0.13</v>
      </c>
      <c r="F67" s="5" t="n">
        <v>0.18</v>
      </c>
      <c r="G67" s="6" t="s">
        <v>37</v>
      </c>
      <c r="H67" s="6" t="s">
        <v>240</v>
      </c>
      <c r="I67" s="3" t="s">
        <v>241</v>
      </c>
    </row>
    <row r="68" customFormat="false" ht="17.15" hidden="false" customHeight="false" outlineLevel="0" collapsed="false">
      <c r="A68" s="0" t="s">
        <v>242</v>
      </c>
      <c r="B68" s="3" t="s">
        <v>243</v>
      </c>
      <c r="C68" s="0" t="s">
        <v>46</v>
      </c>
      <c r="D68" s="5" t="n">
        <v>0.08</v>
      </c>
      <c r="E68" s="5" t="n">
        <v>0.14</v>
      </c>
      <c r="F68" s="5" t="n">
        <v>0.18</v>
      </c>
      <c r="G68" s="6" t="s">
        <v>58</v>
      </c>
      <c r="H68" s="6" t="s">
        <v>244</v>
      </c>
      <c r="I68" s="6" t="s">
        <v>55</v>
      </c>
    </row>
    <row r="69" customFormat="false" ht="17.15" hidden="false" customHeight="false" outlineLevel="0" collapsed="false">
      <c r="A69" s="0" t="s">
        <v>245</v>
      </c>
      <c r="B69" s="0" t="s">
        <v>246</v>
      </c>
      <c r="C69" s="0" t="s">
        <v>27</v>
      </c>
      <c r="D69" s="5" t="n">
        <v>0.13</v>
      </c>
      <c r="E69" s="5" t="n">
        <v>0.15</v>
      </c>
      <c r="F69" s="5" t="n">
        <v>0.18</v>
      </c>
      <c r="G69" s="6" t="s">
        <v>58</v>
      </c>
      <c r="H69" s="3" t="s">
        <v>247</v>
      </c>
      <c r="I69" s="6" t="s">
        <v>55</v>
      </c>
    </row>
    <row r="70" customFormat="false" ht="17.15" hidden="false" customHeight="false" outlineLevel="0" collapsed="false">
      <c r="A70" s="0" t="s">
        <v>248</v>
      </c>
      <c r="B70" s="3" t="s">
        <v>249</v>
      </c>
      <c r="C70" s="0" t="s">
        <v>27</v>
      </c>
      <c r="D70" s="5" t="n">
        <v>0</v>
      </c>
      <c r="E70" s="5" t="n">
        <v>0.008</v>
      </c>
      <c r="F70" s="5" t="n">
        <v>0.015</v>
      </c>
      <c r="G70" s="6" t="s">
        <v>37</v>
      </c>
      <c r="H70" s="6" t="s">
        <v>250</v>
      </c>
      <c r="I70" s="3" t="s">
        <v>251</v>
      </c>
    </row>
    <row r="71" customFormat="false" ht="17.15" hidden="false" customHeight="false" outlineLevel="0" collapsed="false">
      <c r="A71" s="1" t="s">
        <v>252</v>
      </c>
    </row>
    <row r="72" customFormat="false" ht="17.15" hidden="false" customHeight="false" outlineLevel="0" collapsed="false">
      <c r="A72" s="0" t="s">
        <v>253</v>
      </c>
      <c r="B72" s="3" t="s">
        <v>254</v>
      </c>
      <c r="C72" s="0" t="s">
        <v>255</v>
      </c>
      <c r="E72" s="5" t="n">
        <v>2.23</v>
      </c>
      <c r="G72" s="6" t="s">
        <v>28</v>
      </c>
      <c r="H72" s="6" t="s">
        <v>256</v>
      </c>
      <c r="I72" s="3" t="s">
        <v>257</v>
      </c>
    </row>
    <row r="73" customFormat="false" ht="17.15" hidden="false" customHeight="false" outlineLevel="0" collapsed="false">
      <c r="A73" s="0" t="s">
        <v>258</v>
      </c>
      <c r="B73" s="3" t="s">
        <v>259</v>
      </c>
      <c r="C73" s="0" t="s">
        <v>46</v>
      </c>
      <c r="E73" s="5" t="n">
        <v>6.1</v>
      </c>
      <c r="G73" s="6" t="s">
        <v>28</v>
      </c>
      <c r="H73" s="6" t="s">
        <v>260</v>
      </c>
      <c r="I73" s="6" t="s">
        <v>261</v>
      </c>
    </row>
    <row r="74" customFormat="false" ht="17.15" hidden="false" customHeight="false" outlineLevel="0" collapsed="false">
      <c r="A74" s="0" t="s">
        <v>262</v>
      </c>
      <c r="B74" s="3" t="s">
        <v>263</v>
      </c>
      <c r="C74" s="0" t="s">
        <v>46</v>
      </c>
      <c r="E74" s="5" t="n">
        <v>1.376</v>
      </c>
      <c r="G74" s="6" t="s">
        <v>28</v>
      </c>
      <c r="H74" s="6" t="s">
        <v>264</v>
      </c>
      <c r="I74" s="3" t="s">
        <v>265</v>
      </c>
    </row>
    <row r="75" customFormat="false" ht="17.15" hidden="false" customHeight="false" outlineLevel="0" collapsed="false">
      <c r="A75" s="1" t="s">
        <v>266</v>
      </c>
    </row>
    <row r="76" customFormat="false" ht="17.15" hidden="false" customHeight="false" outlineLevel="0" collapsed="false">
      <c r="A76" s="0" t="s">
        <v>267</v>
      </c>
      <c r="B76" s="3" t="s">
        <v>268</v>
      </c>
      <c r="C76" s="0" t="s">
        <v>255</v>
      </c>
      <c r="E76" s="5" t="n">
        <v>228.88</v>
      </c>
      <c r="G76" s="6" t="s">
        <v>28</v>
      </c>
      <c r="H76" s="6" t="s">
        <v>269</v>
      </c>
      <c r="I76" s="6" t="s">
        <v>270</v>
      </c>
    </row>
    <row r="77" customFormat="false" ht="17.15" hidden="false" customHeight="false" outlineLevel="0" collapsed="false">
      <c r="A77" s="0" t="s">
        <v>271</v>
      </c>
      <c r="B77" s="0" t="s">
        <v>272</v>
      </c>
      <c r="C77" s="0" t="s">
        <v>27</v>
      </c>
      <c r="E77" s="5" t="n">
        <v>0.9</v>
      </c>
      <c r="G77" s="6" t="s">
        <v>28</v>
      </c>
      <c r="H77" s="6" t="s">
        <v>273</v>
      </c>
      <c r="I77" s="3" t="s">
        <v>274</v>
      </c>
    </row>
    <row r="78" customFormat="false" ht="17.15" hidden="false" customHeight="false" outlineLevel="0" collapsed="false">
      <c r="A78" s="1" t="s">
        <v>275</v>
      </c>
    </row>
    <row r="79" customFormat="false" ht="17.15" hidden="false" customHeight="false" outlineLevel="0" collapsed="false">
      <c r="A79" s="0" t="s">
        <v>276</v>
      </c>
      <c r="B79" s="3" t="s">
        <v>277</v>
      </c>
      <c r="C79" s="3" t="s">
        <v>278</v>
      </c>
      <c r="E79" s="7" t="n">
        <v>0.3</v>
      </c>
      <c r="G79" s="6" t="s">
        <v>37</v>
      </c>
      <c r="H79" s="6" t="s">
        <v>279</v>
      </c>
      <c r="I79" s="3" t="s">
        <v>280</v>
      </c>
    </row>
    <row r="80" customFormat="false" ht="17.15" hidden="false" customHeight="false" outlineLevel="0" collapsed="false">
      <c r="A80" s="0" t="s">
        <v>281</v>
      </c>
      <c r="B80" s="3" t="s">
        <v>282</v>
      </c>
      <c r="C80" s="3" t="s">
        <v>278</v>
      </c>
      <c r="E80" s="7" t="n">
        <v>0.5</v>
      </c>
      <c r="G80" s="6" t="s">
        <v>37</v>
      </c>
      <c r="H80" s="6" t="s">
        <v>279</v>
      </c>
      <c r="I80" s="3" t="s">
        <v>280</v>
      </c>
    </row>
    <row r="81" customFormat="false" ht="17.15" hidden="false" customHeight="false" outlineLevel="0" collapsed="false">
      <c r="A81" s="0" t="s">
        <v>283</v>
      </c>
      <c r="B81" s="3" t="s">
        <v>284</v>
      </c>
      <c r="C81" s="3" t="s">
        <v>278</v>
      </c>
      <c r="E81" s="7" t="n">
        <v>0.2</v>
      </c>
      <c r="G81" s="6" t="s">
        <v>37</v>
      </c>
      <c r="H81" s="6" t="s">
        <v>279</v>
      </c>
      <c r="I81" s="3" t="s">
        <v>280</v>
      </c>
    </row>
    <row r="82" customFormat="false" ht="17.15" hidden="false" customHeight="false" outlineLevel="0" collapsed="false">
      <c r="A82" s="0" t="s">
        <v>285</v>
      </c>
      <c r="B82" s="3" t="s">
        <v>286</v>
      </c>
      <c r="C82" s="0" t="s">
        <v>27</v>
      </c>
      <c r="D82" s="5" t="n">
        <v>0.09</v>
      </c>
      <c r="E82" s="7" t="n">
        <v>0.1</v>
      </c>
      <c r="F82" s="5" t="n">
        <v>0.11</v>
      </c>
      <c r="G82" s="6" t="s">
        <v>37</v>
      </c>
      <c r="H82" s="6" t="s">
        <v>287</v>
      </c>
      <c r="I82" s="6" t="s">
        <v>288</v>
      </c>
    </row>
    <row r="83" customFormat="false" ht="17.15" hidden="false" customHeight="false" outlineLevel="0" collapsed="false">
      <c r="A83" s="0" t="s">
        <v>289</v>
      </c>
      <c r="B83" s="3" t="s">
        <v>290</v>
      </c>
      <c r="C83" s="0" t="s">
        <v>27</v>
      </c>
      <c r="D83" s="5" t="n">
        <v>0.03</v>
      </c>
      <c r="E83" s="7" t="n">
        <v>0.04</v>
      </c>
      <c r="F83" s="5" t="n">
        <v>0.05</v>
      </c>
      <c r="G83" s="6" t="s">
        <v>37</v>
      </c>
      <c r="H83" s="6" t="s">
        <v>291</v>
      </c>
      <c r="I83" s="6" t="s">
        <v>292</v>
      </c>
    </row>
    <row r="84" customFormat="false" ht="17.15" hidden="false" customHeight="false" outlineLevel="0" collapsed="false">
      <c r="A84" s="0" t="s">
        <v>293</v>
      </c>
      <c r="B84" s="0" t="s">
        <v>294</v>
      </c>
      <c r="C84" s="0" t="s">
        <v>27</v>
      </c>
      <c r="E84" s="8" t="n">
        <f aca="false">AVERAGE(0.0655,0.1305,0.1195)</f>
        <v>0.105166666666667</v>
      </c>
      <c r="G84" s="6" t="s">
        <v>58</v>
      </c>
      <c r="H84" s="6" t="s">
        <v>295</v>
      </c>
      <c r="I84" s="3" t="s">
        <v>296</v>
      </c>
    </row>
    <row r="85" customFormat="false" ht="17.15" hidden="false" customHeight="false" outlineLevel="0" collapsed="false">
      <c r="A85" s="0" t="s">
        <v>297</v>
      </c>
      <c r="B85" s="3" t="s">
        <v>298</v>
      </c>
      <c r="C85" s="0" t="s">
        <v>27</v>
      </c>
      <c r="D85" s="5" t="n">
        <v>0.3</v>
      </c>
      <c r="E85" s="7" t="n">
        <v>0.5</v>
      </c>
      <c r="F85" s="5" t="n">
        <v>0.7</v>
      </c>
      <c r="G85" s="6" t="s">
        <v>37</v>
      </c>
      <c r="H85" s="6" t="s">
        <v>299</v>
      </c>
      <c r="I85" s="6" t="s">
        <v>300</v>
      </c>
    </row>
    <row r="86" customFormat="false" ht="17.15" hidden="false" customHeight="false" outlineLevel="0" collapsed="false">
      <c r="A86" s="0" t="s">
        <v>301</v>
      </c>
      <c r="B86" s="3" t="s">
        <v>302</v>
      </c>
      <c r="C86" s="0" t="s">
        <v>27</v>
      </c>
      <c r="E86" s="8" t="n">
        <f aca="false">tp_g+0.02</f>
        <v>0.06</v>
      </c>
      <c r="G86" s="6" t="s">
        <v>37</v>
      </c>
      <c r="H86" s="3" t="s">
        <v>303</v>
      </c>
      <c r="I86" s="6" t="s">
        <v>304</v>
      </c>
    </row>
    <row r="87" customFormat="false" ht="17.15" hidden="false" customHeight="false" outlineLevel="0" collapsed="false">
      <c r="A87" s="0" t="s">
        <v>305</v>
      </c>
      <c r="B87" s="3" t="s">
        <v>306</v>
      </c>
      <c r="C87" s="0" t="s">
        <v>27</v>
      </c>
      <c r="E87" s="8" t="n">
        <f aca="false">tp_g</f>
        <v>0.04</v>
      </c>
      <c r="G87" s="6" t="s">
        <v>37</v>
      </c>
      <c r="H87" s="3" t="s">
        <v>33</v>
      </c>
      <c r="I87" s="6" t="s">
        <v>55</v>
      </c>
    </row>
    <row r="88" customFormat="false" ht="17.15" hidden="false" customHeight="false" outlineLevel="0" collapsed="false">
      <c r="A88" s="0" t="s">
        <v>307</v>
      </c>
      <c r="B88" s="3" t="s">
        <v>308</v>
      </c>
      <c r="C88" s="0" t="s">
        <v>27</v>
      </c>
      <c r="E88" s="8" t="n">
        <f aca="false">tp_g-0.02</f>
        <v>0.02</v>
      </c>
      <c r="G88" s="6" t="s">
        <v>37</v>
      </c>
      <c r="H88" s="3" t="s">
        <v>33</v>
      </c>
      <c r="I88" s="6" t="s">
        <v>55</v>
      </c>
    </row>
    <row r="89" customFormat="false" ht="17.15" hidden="false" customHeight="false" outlineLevel="0" collapsed="false">
      <c r="A89" s="0" t="s">
        <v>309</v>
      </c>
      <c r="B89" s="3" t="s">
        <v>310</v>
      </c>
      <c r="C89" s="0" t="s">
        <v>175</v>
      </c>
      <c r="E89" s="7" t="n">
        <v>0.8</v>
      </c>
      <c r="G89" s="6" t="s">
        <v>37</v>
      </c>
      <c r="H89" s="3" t="s">
        <v>311</v>
      </c>
      <c r="I89" s="3" t="s">
        <v>312</v>
      </c>
    </row>
    <row r="90" customFormat="false" ht="17.15" hidden="false" customHeight="false" outlineLevel="0" collapsed="false">
      <c r="A90" s="0" t="s">
        <v>313</v>
      </c>
      <c r="B90" s="3" t="s">
        <v>314</v>
      </c>
      <c r="C90" s="0" t="s">
        <v>255</v>
      </c>
      <c r="E90" s="5" t="n">
        <v>290.71</v>
      </c>
      <c r="G90" s="6" t="s">
        <v>28</v>
      </c>
      <c r="H90" s="6" t="s">
        <v>315</v>
      </c>
      <c r="I90" s="6" t="s">
        <v>316</v>
      </c>
    </row>
    <row r="91" customFormat="false" ht="17.15" hidden="false" customHeight="false" outlineLevel="0" collapsed="false">
      <c r="A91" s="0" t="s">
        <v>317</v>
      </c>
      <c r="B91" s="3" t="s">
        <v>318</v>
      </c>
      <c r="C91" s="0" t="s">
        <v>255</v>
      </c>
      <c r="E91" s="0" t="n">
        <f aca="false">225.95/93.52</f>
        <v>2.41606073567151</v>
      </c>
      <c r="G91" s="0" t="s">
        <v>28</v>
      </c>
      <c r="H91" s="0" t="s">
        <v>319</v>
      </c>
      <c r="I91" s="3" t="s">
        <v>320</v>
      </c>
    </row>
    <row r="93" customFormat="false" ht="17.15" hidden="false" customHeight="false" outlineLevel="0" collapsed="false">
      <c r="A93" s="9" t="s">
        <v>321</v>
      </c>
    </row>
    <row r="94" customFormat="false" ht="17.15" hidden="false" customHeight="false" outlineLevel="0" collapsed="false">
      <c r="A94" s="9" t="s">
        <v>15</v>
      </c>
      <c r="B94" s="9" t="s">
        <v>16</v>
      </c>
      <c r="C94" s="9" t="s">
        <v>17</v>
      </c>
      <c r="D94" s="9" t="s">
        <v>322</v>
      </c>
      <c r="E94" s="9" t="s">
        <v>323</v>
      </c>
      <c r="F94" s="9" t="s">
        <v>324</v>
      </c>
      <c r="G94" s="9" t="s">
        <v>21</v>
      </c>
      <c r="H94" s="9" t="s">
        <v>325</v>
      </c>
    </row>
    <row r="95" customFormat="false" ht="17.15" hidden="false" customHeight="false" outlineLevel="0" collapsed="false">
      <c r="A95" s="0" t="s">
        <v>326</v>
      </c>
      <c r="B95" s="3" t="s">
        <v>327</v>
      </c>
      <c r="C95" s="0" t="s">
        <v>27</v>
      </c>
      <c r="D95" s="0" t="n">
        <f aca="false">E28</f>
        <v>0.14</v>
      </c>
      <c r="E95" s="0" t="n">
        <f aca="false">E29</f>
        <v>0.11</v>
      </c>
      <c r="F95" s="0" t="n">
        <f aca="false">E30</f>
        <v>0.07</v>
      </c>
      <c r="G95" s="0" t="s">
        <v>58</v>
      </c>
      <c r="H95" s="3" t="s">
        <v>328</v>
      </c>
    </row>
    <row r="96" customFormat="false" ht="17.15" hidden="false" customHeight="false" outlineLevel="0" collapsed="false">
      <c r="A96" s="0" t="s">
        <v>329</v>
      </c>
      <c r="B96" s="0" t="s">
        <v>330</v>
      </c>
      <c r="C96" s="0" t="s">
        <v>175</v>
      </c>
      <c r="D96" s="0" t="n">
        <f aca="false">E45</f>
        <v>1</v>
      </c>
      <c r="E96" s="0" t="n">
        <f aca="false">E46</f>
        <v>0.8</v>
      </c>
      <c r="F96" s="0" t="n">
        <f aca="false">E47</f>
        <v>0.6</v>
      </c>
      <c r="G96" s="0" t="s">
        <v>58</v>
      </c>
      <c r="H96" s="3" t="s">
        <v>331</v>
      </c>
    </row>
    <row r="97" customFormat="false" ht="17.15" hidden="false" customHeight="false" outlineLevel="0" collapsed="false">
      <c r="A97" s="0" t="s">
        <v>332</v>
      </c>
      <c r="B97" s="0" t="s">
        <v>333</v>
      </c>
      <c r="C97" s="0" t="s">
        <v>175</v>
      </c>
      <c r="D97" s="0" t="n">
        <f aca="false">E48</f>
        <v>1</v>
      </c>
      <c r="E97" s="0" t="n">
        <f aca="false">E49</f>
        <v>0.85</v>
      </c>
      <c r="F97" s="0" t="n">
        <f aca="false">E50</f>
        <v>0.6</v>
      </c>
      <c r="G97" s="0" t="s">
        <v>58</v>
      </c>
      <c r="H97" s="3" t="s">
        <v>334</v>
      </c>
    </row>
    <row r="98" customFormat="false" ht="17.15" hidden="false" customHeight="false" outlineLevel="0" collapsed="false">
      <c r="A98" s="0" t="s">
        <v>335</v>
      </c>
      <c r="B98" s="0" t="s">
        <v>336</v>
      </c>
      <c r="C98" s="0" t="s">
        <v>46</v>
      </c>
      <c r="D98" s="0" t="n">
        <f aca="false">E59</f>
        <v>1.4</v>
      </c>
      <c r="E98" s="0" t="n">
        <f aca="false">E60</f>
        <v>1</v>
      </c>
      <c r="F98" s="0" t="n">
        <f aca="false">E61</f>
        <v>0.5</v>
      </c>
      <c r="G98" s="0" t="s">
        <v>58</v>
      </c>
      <c r="H98" s="3" t="s">
        <v>337</v>
      </c>
    </row>
    <row r="99" customFormat="false" ht="17.15" hidden="false" customHeight="false" outlineLevel="0" collapsed="false">
      <c r="A99" s="0" t="s">
        <v>338</v>
      </c>
      <c r="B99" s="0" t="s">
        <v>339</v>
      </c>
      <c r="C99" s="0" t="s">
        <v>46</v>
      </c>
      <c r="D99" s="0" t="n">
        <f aca="false">E62</f>
        <v>3</v>
      </c>
      <c r="E99" s="0" t="n">
        <f aca="false">E63</f>
        <v>2</v>
      </c>
      <c r="F99" s="0" t="n">
        <f aca="false">E64</f>
        <v>0.8</v>
      </c>
      <c r="G99" s="0" t="s">
        <v>58</v>
      </c>
      <c r="H99" s="3" t="s">
        <v>340</v>
      </c>
    </row>
    <row r="100" customFormat="false" ht="17.15" hidden="false" customHeight="false" outlineLevel="0" collapsed="false">
      <c r="A100" s="0" t="s">
        <v>341</v>
      </c>
      <c r="B100" s="3" t="s">
        <v>342</v>
      </c>
      <c r="C100" s="0" t="s">
        <v>27</v>
      </c>
      <c r="D100" s="0" t="n">
        <f aca="false">E86</f>
        <v>0.06</v>
      </c>
      <c r="E100" s="0" t="n">
        <f aca="false">E87</f>
        <v>0.04</v>
      </c>
      <c r="F100" s="0" t="n">
        <f aca="false">E88</f>
        <v>0.02</v>
      </c>
      <c r="G100" s="0" t="s">
        <v>58</v>
      </c>
      <c r="H100" s="3" t="s">
        <v>343</v>
      </c>
    </row>
    <row r="101" customFormat="false" ht="17.15" hidden="false" customHeight="false" outlineLevel="0" collapsed="false">
      <c r="A101" s="0" t="s">
        <v>344</v>
      </c>
      <c r="B101" s="3" t="s">
        <v>345</v>
      </c>
      <c r="C101" s="3" t="s">
        <v>278</v>
      </c>
      <c r="D101" s="0" t="n">
        <f aca="false">E79</f>
        <v>0.3</v>
      </c>
      <c r="E101" s="0" t="n">
        <f aca="false">E80</f>
        <v>0.5</v>
      </c>
      <c r="F101" s="0" t="n">
        <f aca="false">E81</f>
        <v>0.2</v>
      </c>
      <c r="G101" s="0" t="s">
        <v>58</v>
      </c>
      <c r="H101" s="3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3"/>
    <col collapsed="false" customWidth="true" hidden="false" outlineLevel="0" max="9" min="9" style="0" width="22"/>
    <col collapsed="false" customWidth="true" hidden="false" outlineLevel="0" max="10" min="10" style="0" width="80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347</v>
      </c>
    </row>
    <row r="2" customFormat="false" ht="17.15" hidden="false" customHeight="false" outlineLevel="0" collapsed="false">
      <c r="A2" s="0" t="s">
        <v>348</v>
      </c>
    </row>
    <row r="3" customFormat="false" ht="17.15" hidden="false" customHeight="false" outlineLevel="0" collapsed="false">
      <c r="A3" s="4" t="s">
        <v>16</v>
      </c>
      <c r="B3" s="10" t="s">
        <v>349</v>
      </c>
      <c r="C3" s="10" t="s">
        <v>350</v>
      </c>
      <c r="D3" s="10" t="s">
        <v>351</v>
      </c>
      <c r="E3" s="10" t="s">
        <v>352</v>
      </c>
      <c r="F3" s="10" t="s">
        <v>353</v>
      </c>
      <c r="G3" s="10" t="s">
        <v>354</v>
      </c>
      <c r="H3" s="10" t="s">
        <v>355</v>
      </c>
      <c r="I3" s="4" t="s">
        <v>21</v>
      </c>
      <c r="J3" s="4" t="s">
        <v>22</v>
      </c>
      <c r="K3" s="4" t="s">
        <v>23</v>
      </c>
    </row>
    <row r="4" customFormat="false" ht="17.15" hidden="false" customHeight="false" outlineLevel="0" collapsed="false">
      <c r="A4" s="3" t="s">
        <v>356</v>
      </c>
      <c r="B4" s="11" t="n">
        <v>1.839</v>
      </c>
      <c r="C4" s="11" t="n">
        <v>2.307</v>
      </c>
      <c r="D4" s="11" t="n">
        <v>0.574</v>
      </c>
      <c r="E4" s="12" t="n">
        <f aca="false">C21*(1+q2_lg)</f>
        <v>0.69525</v>
      </c>
      <c r="F4" s="12" t="n">
        <f aca="false">C22*(1+h2_lg)</f>
        <v>0.606</v>
      </c>
      <c r="G4" s="12" t="n">
        <f aca="false">C23*(1+h2_lg)</f>
        <v>0.9828</v>
      </c>
      <c r="H4" s="12" t="n">
        <f aca="false">SUM(D4:G4)</f>
        <v>2.85805</v>
      </c>
      <c r="I4" s="6" t="s">
        <v>357</v>
      </c>
      <c r="J4" s="6" t="s">
        <v>358</v>
      </c>
      <c r="K4" s="6" t="s">
        <v>359</v>
      </c>
    </row>
    <row r="5" customFormat="false" ht="17.15" hidden="false" customHeight="false" outlineLevel="0" collapsed="false">
      <c r="A5" s="3" t="s">
        <v>360</v>
      </c>
      <c r="B5" s="11" t="n">
        <v>2.168</v>
      </c>
      <c r="C5" s="11" t="n">
        <v>2.613</v>
      </c>
      <c r="D5" s="11" t="n">
        <v>0.715</v>
      </c>
      <c r="E5" s="12" t="n">
        <f aca="false">D21*(1+q2_rg)</f>
        <v>0.6944</v>
      </c>
      <c r="F5" s="12" t="n">
        <f aca="false">D22*(1+h2_rg)</f>
        <v>0.84755</v>
      </c>
      <c r="G5" s="12" t="n">
        <f aca="false">D23*(1+h2_rg)</f>
        <v>0.77165</v>
      </c>
      <c r="H5" s="12" t="n">
        <f aca="false">SUM(D5:G5)</f>
        <v>3.0286</v>
      </c>
      <c r="I5" s="6" t="s">
        <v>357</v>
      </c>
      <c r="J5" s="3" t="s">
        <v>33</v>
      </c>
      <c r="K5" s="3" t="s">
        <v>33</v>
      </c>
    </row>
    <row r="6" customFormat="false" ht="17.15" hidden="false" customHeight="false" outlineLevel="0" collapsed="false">
      <c r="A6" s="3" t="s">
        <v>361</v>
      </c>
      <c r="B6" s="12" t="n">
        <f aca="false">B4+B5</f>
        <v>4.007</v>
      </c>
      <c r="C6" s="12" t="n">
        <f aca="false">C4+C5</f>
        <v>4.92</v>
      </c>
      <c r="D6" s="12" t="n">
        <f aca="false">D4+D5</f>
        <v>1.289</v>
      </c>
      <c r="E6" s="12" t="n">
        <f aca="false">E4+E5</f>
        <v>1.38965</v>
      </c>
      <c r="F6" s="12" t="n">
        <f aca="false">F4+F5</f>
        <v>1.45355</v>
      </c>
      <c r="G6" s="12" t="n">
        <f aca="false">G4+G5</f>
        <v>1.75445</v>
      </c>
      <c r="H6" s="12" t="n">
        <f aca="false">SUM(D6:G6)</f>
        <v>5.88665</v>
      </c>
      <c r="I6" s="6" t="s">
        <v>58</v>
      </c>
      <c r="J6" s="6" t="s">
        <v>362</v>
      </c>
      <c r="K6" s="6" t="s">
        <v>363</v>
      </c>
    </row>
    <row r="7" customFormat="false" ht="17.15" hidden="false" customHeight="false" outlineLevel="0" collapsed="false">
      <c r="A7" s="3" t="s">
        <v>364</v>
      </c>
      <c r="B7" s="12" t="n">
        <f aca="false">B6-B8-B9</f>
        <v>0.0869999999999997</v>
      </c>
      <c r="C7" s="12" t="n">
        <f aca="false">C6-C8-C9</f>
        <v>0.0879999999999996</v>
      </c>
      <c r="D7" s="12" t="n">
        <f aca="false">D6-D8-D9</f>
        <v>0.0249999999999998</v>
      </c>
      <c r="E7" s="12" t="n">
        <f aca="false">E6*cogs_r</f>
        <v>0.02640335</v>
      </c>
      <c r="F7" s="12" t="n">
        <f aca="false">F6*cogs_r</f>
        <v>0.02761745</v>
      </c>
      <c r="G7" s="12" t="n">
        <f aca="false">G6*cogs_r</f>
        <v>0.03333455</v>
      </c>
      <c r="H7" s="12" t="n">
        <f aca="false">SUM(D7:G7)</f>
        <v>0.11235535</v>
      </c>
      <c r="I7" s="6" t="s">
        <v>58</v>
      </c>
      <c r="J7" s="3" t="s">
        <v>365</v>
      </c>
      <c r="K7" s="6" t="s">
        <v>366</v>
      </c>
    </row>
    <row r="8" customFormat="false" ht="17.15" hidden="false" customHeight="false" outlineLevel="0" collapsed="false">
      <c r="A8" s="3" t="s">
        <v>367</v>
      </c>
      <c r="B8" s="12" t="n">
        <f aca="false">1.34+0.709</f>
        <v>2.049</v>
      </c>
      <c r="C8" s="12" t="n">
        <f aca="false">1.911+0.806</f>
        <v>2.717</v>
      </c>
      <c r="D8" s="12" t="n">
        <f aca="false">0.53+0.203</f>
        <v>0.733</v>
      </c>
      <c r="E8" s="12" t="n">
        <f aca="false">q2_opx</f>
        <v>0.78</v>
      </c>
      <c r="F8" s="12" t="n">
        <f aca="false">q3_opx</f>
        <v>0.8</v>
      </c>
      <c r="G8" s="12" t="n">
        <f aca="false">q4_opx</f>
        <v>0.82</v>
      </c>
      <c r="H8" s="12" t="n">
        <f aca="false">SUM(D8:G8)</f>
        <v>3.133</v>
      </c>
      <c r="I8" s="6" t="s">
        <v>357</v>
      </c>
      <c r="J8" s="3" t="s">
        <v>368</v>
      </c>
    </row>
    <row r="9" customFormat="false" ht="17.15" hidden="false" customHeight="false" outlineLevel="0" collapsed="false">
      <c r="A9" s="3" t="s">
        <v>369</v>
      </c>
      <c r="B9" s="11" t="n">
        <v>1.871</v>
      </c>
      <c r="C9" s="11" t="n">
        <v>2.115</v>
      </c>
      <c r="D9" s="11" t="n">
        <v>0.531</v>
      </c>
      <c r="E9" s="12" t="n">
        <f aca="false">E6-E7-E8</f>
        <v>0.58324665</v>
      </c>
      <c r="F9" s="12" t="n">
        <f aca="false">F6-F7-F8</f>
        <v>0.62593255</v>
      </c>
      <c r="G9" s="12" t="n">
        <f aca="false">G6-G7-G8</f>
        <v>0.90111545</v>
      </c>
      <c r="H9" s="12" t="n">
        <f aca="false">SUM(D9:G9)</f>
        <v>2.64129465</v>
      </c>
      <c r="I9" s="6" t="s">
        <v>370</v>
      </c>
      <c r="J9" s="3" t="s">
        <v>371</v>
      </c>
      <c r="K9" s="6" t="s">
        <v>372</v>
      </c>
    </row>
    <row r="10" customFormat="false" ht="17.15" hidden="false" customHeight="false" outlineLevel="0" collapsed="false">
      <c r="A10" s="3" t="s">
        <v>373</v>
      </c>
      <c r="B10" s="13" t="n">
        <f aca="false">B9/B6</f>
        <v>0.466932867481907</v>
      </c>
      <c r="C10" s="13" t="n">
        <f aca="false">C9/C6</f>
        <v>0.429878048780488</v>
      </c>
      <c r="D10" s="13" t="n">
        <f aca="false">D9/D6</f>
        <v>0.411947245927075</v>
      </c>
      <c r="E10" s="13" t="n">
        <f aca="false">E9/E6</f>
        <v>0.419707588241644</v>
      </c>
      <c r="F10" s="13" t="n">
        <f aca="false">F9/F6</f>
        <v>0.430623335970555</v>
      </c>
      <c r="G10" s="13" t="n">
        <f aca="false">G9/G6</f>
        <v>0.513617059477329</v>
      </c>
      <c r="H10" s="13" t="n">
        <f aca="false">H9/H6</f>
        <v>0.448692320759685</v>
      </c>
      <c r="I10" s="6" t="s">
        <v>58</v>
      </c>
    </row>
    <row r="11" customFormat="false" ht="17.15" hidden="false" customHeight="false" outlineLevel="0" collapsed="false">
      <c r="A11" s="3" t="s">
        <v>374</v>
      </c>
      <c r="D11" s="12" t="n">
        <f aca="false">0.565-0.531</f>
        <v>0.0339999999999999</v>
      </c>
      <c r="E11" s="12" t="n">
        <f aca="false">q_oth</f>
        <v>0.034</v>
      </c>
      <c r="F11" s="12" t="n">
        <f aca="false">q_oth</f>
        <v>0.034</v>
      </c>
      <c r="G11" s="12" t="n">
        <f aca="false">q_oth</f>
        <v>0.034</v>
      </c>
      <c r="H11" s="12" t="n">
        <f aca="false">SUM(D11:G11)</f>
        <v>0.136</v>
      </c>
      <c r="I11" s="6" t="s">
        <v>375</v>
      </c>
      <c r="J11" s="6" t="s">
        <v>376</v>
      </c>
      <c r="K11" s="6" t="s">
        <v>377</v>
      </c>
    </row>
    <row r="12" customFormat="false" ht="17.15" hidden="false" customHeight="false" outlineLevel="0" collapsed="false">
      <c r="A12" s="3" t="s">
        <v>378</v>
      </c>
      <c r="D12" s="11" t="n">
        <v>0.565</v>
      </c>
      <c r="E12" s="12" t="n">
        <f aca="false">E9+E11</f>
        <v>0.61724665</v>
      </c>
      <c r="F12" s="12" t="n">
        <f aca="false">F9+F11</f>
        <v>0.65993255</v>
      </c>
      <c r="G12" s="12" t="n">
        <f aca="false">G9+G11</f>
        <v>0.93511545</v>
      </c>
      <c r="H12" s="12" t="n">
        <f aca="false">SUM(D12:G12)</f>
        <v>2.77729465</v>
      </c>
      <c r="I12" s="6" t="s">
        <v>370</v>
      </c>
      <c r="J12" s="3" t="s">
        <v>371</v>
      </c>
    </row>
    <row r="13" customFormat="false" ht="17.15" hidden="false" customHeight="false" outlineLevel="0" collapsed="false">
      <c r="A13" s="3" t="s">
        <v>379</v>
      </c>
      <c r="B13" s="11" t="n">
        <v>1.737</v>
      </c>
      <c r="C13" s="11" t="n">
        <v>1.889</v>
      </c>
      <c r="D13" s="11" t="n">
        <v>0.48</v>
      </c>
      <c r="E13" s="12" t="n">
        <f aca="false">E12*(1-q_tx)</f>
        <v>0.5246596525</v>
      </c>
      <c r="F13" s="12" t="n">
        <f aca="false">F12*(1-q_tx)</f>
        <v>0.5609426675</v>
      </c>
      <c r="G13" s="12" t="n">
        <f aca="false">G12*(1-q_tx)</f>
        <v>0.7948481325</v>
      </c>
      <c r="H13" s="12" t="n">
        <f aca="false">SUM(D13:G13)</f>
        <v>2.3604504525</v>
      </c>
      <c r="I13" s="6" t="s">
        <v>370</v>
      </c>
      <c r="J13" s="3" t="s">
        <v>371</v>
      </c>
      <c r="K13" s="6" t="s">
        <v>380</v>
      </c>
    </row>
    <row r="14" customFormat="false" ht="17.15" hidden="false" customHeight="false" outlineLevel="0" collapsed="false">
      <c r="A14" s="3" t="s">
        <v>381</v>
      </c>
      <c r="B14" s="11" t="n">
        <v>1.063</v>
      </c>
      <c r="C14" s="11" t="n">
        <v>1.068</v>
      </c>
      <c r="D14" s="11" t="n">
        <v>1.078</v>
      </c>
      <c r="E14" s="12" t="n">
        <f aca="false">q_sh</f>
        <v>1.08</v>
      </c>
      <c r="F14" s="12" t="n">
        <f aca="false">q_sh</f>
        <v>1.08</v>
      </c>
      <c r="G14" s="12" t="n">
        <f aca="false">q_sh</f>
        <v>1.08</v>
      </c>
      <c r="H14" s="12" t="n">
        <f aca="false">q_sh</f>
        <v>1.08</v>
      </c>
      <c r="I14" s="6" t="s">
        <v>370</v>
      </c>
      <c r="J14" s="3" t="s">
        <v>371</v>
      </c>
    </row>
    <row r="15" customFormat="false" ht="17.15" hidden="false" customHeight="false" outlineLevel="0" collapsed="false">
      <c r="A15" s="0" t="s">
        <v>382</v>
      </c>
      <c r="B15" s="14" t="n">
        <f aca="false">B13/B14</f>
        <v>1.6340545625588</v>
      </c>
      <c r="C15" s="14" t="n">
        <f aca="false">C13/C14</f>
        <v>1.7687265917603</v>
      </c>
      <c r="D15" s="14" t="n">
        <f aca="false">D13/D14</f>
        <v>0.445269016697588</v>
      </c>
      <c r="E15" s="14" t="n">
        <f aca="false">E13/E14</f>
        <v>0.485795974537037</v>
      </c>
      <c r="F15" s="14" t="n">
        <f aca="false">F13/F14</f>
        <v>0.519391358796296</v>
      </c>
      <c r="G15" s="14" t="n">
        <f aca="false">G13/G14</f>
        <v>0.735970493055556</v>
      </c>
      <c r="H15" s="14" t="n">
        <f aca="false">H13/H14</f>
        <v>2.18560227083333</v>
      </c>
      <c r="I15" s="6" t="s">
        <v>58</v>
      </c>
      <c r="J15" s="3" t="s">
        <v>383</v>
      </c>
    </row>
    <row r="16" customFormat="false" ht="17.15" hidden="false" customHeight="false" outlineLevel="0" collapsed="false">
      <c r="A16" s="3" t="s">
        <v>384</v>
      </c>
      <c r="B16" s="15" t="n">
        <v>1.63</v>
      </c>
      <c r="C16" s="15" t="n">
        <v>1.77</v>
      </c>
      <c r="D16" s="15" t="n">
        <v>0.45</v>
      </c>
      <c r="E16" s="15" t="n">
        <v>0.47</v>
      </c>
      <c r="I16" s="6" t="s">
        <v>385</v>
      </c>
      <c r="J16" s="3" t="s">
        <v>371</v>
      </c>
      <c r="K16" s="6" t="s">
        <v>386</v>
      </c>
    </row>
    <row r="17" customFormat="false" ht="17.15" hidden="false" customHeight="false" outlineLevel="0" collapsed="false">
      <c r="A17" s="3" t="s">
        <v>387</v>
      </c>
      <c r="B17" s="15" t="n">
        <v>0.75</v>
      </c>
      <c r="C17" s="15" t="n">
        <v>0.85</v>
      </c>
      <c r="D17" s="15" t="n">
        <v>0.25</v>
      </c>
      <c r="I17" s="6" t="s">
        <v>81</v>
      </c>
      <c r="J17" s="3" t="s">
        <v>371</v>
      </c>
      <c r="K17" s="6" t="s">
        <v>388</v>
      </c>
    </row>
    <row r="19" customFormat="false" ht="17.15" hidden="false" customHeight="false" outlineLevel="0" collapsed="false">
      <c r="A19" s="9" t="s">
        <v>389</v>
      </c>
    </row>
    <row r="20" customFormat="false" ht="15" hidden="false" customHeight="false" outlineLevel="0" collapsed="false">
      <c r="A20" s="4" t="s">
        <v>390</v>
      </c>
      <c r="B20" s="10"/>
      <c r="C20" s="4" t="s">
        <v>391</v>
      </c>
      <c r="D20" s="4" t="s">
        <v>392</v>
      </c>
      <c r="E20" s="4" t="s">
        <v>361</v>
      </c>
    </row>
    <row r="21" customFormat="false" ht="17.15" hidden="false" customHeight="false" outlineLevel="0" collapsed="false">
      <c r="A21" s="0" t="s">
        <v>393</v>
      </c>
      <c r="C21" s="2" t="n">
        <f aca="false">C4-C22-C23-C24</f>
        <v>0.515</v>
      </c>
      <c r="D21" s="2" t="n">
        <f aca="false">C5-D22-D23-D24</f>
        <v>0.62</v>
      </c>
      <c r="E21" s="6" t="n">
        <f aca="false">C21+D21</f>
        <v>1.135</v>
      </c>
      <c r="I21" s="6" t="s">
        <v>58</v>
      </c>
      <c r="J21" s="3" t="s">
        <v>394</v>
      </c>
    </row>
    <row r="22" customFormat="false" ht="17.15" hidden="false" customHeight="false" outlineLevel="0" collapsed="false">
      <c r="A22" s="0" t="s">
        <v>395</v>
      </c>
      <c r="C22" s="5" t="n">
        <v>0.505</v>
      </c>
      <c r="D22" s="5" t="n">
        <v>0.737</v>
      </c>
      <c r="E22" s="6" t="n">
        <f aca="false">C22+D22</f>
        <v>1.242</v>
      </c>
      <c r="I22" s="6" t="s">
        <v>58</v>
      </c>
      <c r="J22" s="6" t="s">
        <v>396</v>
      </c>
    </row>
    <row r="23" customFormat="false" ht="17.15" hidden="false" customHeight="false" outlineLevel="0" collapsed="false">
      <c r="A23" s="0" t="s">
        <v>397</v>
      </c>
      <c r="C23" s="5" t="n">
        <v>0.819</v>
      </c>
      <c r="D23" s="5" t="n">
        <v>0.671</v>
      </c>
      <c r="E23" s="6" t="n">
        <f aca="false">C23+D23</f>
        <v>1.49</v>
      </c>
      <c r="I23" s="6" t="s">
        <v>81</v>
      </c>
      <c r="J23" s="6" t="s">
        <v>398</v>
      </c>
    </row>
    <row r="24" customFormat="false" ht="17.15" hidden="false" customHeight="false" outlineLevel="0" collapsed="false">
      <c r="A24" s="0" t="s">
        <v>399</v>
      </c>
      <c r="C24" s="5" t="n">
        <v>0.468</v>
      </c>
      <c r="D24" s="5" t="n">
        <v>0.585</v>
      </c>
      <c r="E24" s="6" t="n">
        <f aca="false">C24+D24</f>
        <v>1.053</v>
      </c>
      <c r="I24" s="6" t="s">
        <v>81</v>
      </c>
      <c r="J24" s="6" t="s">
        <v>400</v>
      </c>
    </row>
    <row r="26" customFormat="false" ht="17.15" hidden="false" customHeight="false" outlineLevel="0" collapsed="false">
      <c r="A26" s="3" t="s">
        <v>401</v>
      </c>
      <c r="C26" s="0" t="n">
        <f aca="false">SUM(C21:C24)-C4</f>
        <v>0</v>
      </c>
      <c r="D26" s="0" t="n">
        <f aca="false">SUM(D21:D24)-C5</f>
        <v>0</v>
      </c>
    </row>
    <row r="28" customFormat="false" ht="17.15" hidden="false" customHeight="false" outlineLevel="0" collapsed="false">
      <c r="A28" s="1" t="s">
        <v>402</v>
      </c>
    </row>
    <row r="29" customFormat="false" ht="17.15" hidden="false" customHeight="false" outlineLevel="0" collapsed="false">
      <c r="A29" s="0" t="s">
        <v>403</v>
      </c>
      <c r="B29" s="13" t="n">
        <f aca="false">H6/C6-1</f>
        <v>0.196473577235772</v>
      </c>
    </row>
    <row r="30" customFormat="false" ht="17.15" hidden="false" customHeight="false" outlineLevel="0" collapsed="false">
      <c r="A30" s="0" t="s">
        <v>404</v>
      </c>
      <c r="B30" s="13" t="n">
        <f aca="false">H6/c_rev27-1</f>
        <v>-0.0349754098360656</v>
      </c>
    </row>
    <row r="31" customFormat="false" ht="17.15" hidden="false" customHeight="false" outlineLevel="0" collapsed="false">
      <c r="A31" s="0" t="s">
        <v>405</v>
      </c>
      <c r="B31" s="13" t="n">
        <f aca="false">H15/c_eps27-1</f>
        <v>-0.0199092955904336</v>
      </c>
    </row>
    <row r="32" customFormat="false" ht="17.15" hidden="false" customHeight="false" outlineLevel="0" collapsed="false">
      <c r="A32" s="0" t="s">
        <v>406</v>
      </c>
      <c r="B32" s="13" t="n">
        <f aca="false">E6/1.38-1</f>
        <v>0.00699275362318863</v>
      </c>
    </row>
    <row r="33" customFormat="false" ht="17.15" hidden="false" customHeight="false" outlineLevel="0" collapsed="false">
      <c r="A33" s="0" t="s">
        <v>407</v>
      </c>
      <c r="B33" s="13" t="n">
        <f aca="false">E15/0.47-1</f>
        <v>0.0336084564617809</v>
      </c>
    </row>
    <row r="34" customFormat="false" ht="17.15" hidden="false" customHeight="false" outlineLevel="0" collapsed="false">
      <c r="A34" s="0" t="s">
        <v>408</v>
      </c>
      <c r="B34" s="13" t="n">
        <f aca="false">H8/C8-1</f>
        <v>0.15311004784689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409</v>
      </c>
    </row>
    <row r="3" customFormat="false" ht="17.15" hidden="false" customHeight="false" outlineLevel="0" collapsed="false">
      <c r="A3" s="4" t="s">
        <v>16</v>
      </c>
      <c r="B3" s="4" t="s">
        <v>17</v>
      </c>
      <c r="C3" s="10" t="s">
        <v>350</v>
      </c>
      <c r="D3" s="10" t="s">
        <v>410</v>
      </c>
      <c r="E3" s="10" t="s">
        <v>411</v>
      </c>
      <c r="F3" s="10" t="s">
        <v>412</v>
      </c>
      <c r="G3" s="4" t="s">
        <v>325</v>
      </c>
    </row>
    <row r="4" customFormat="false" ht="17.15" hidden="false" customHeight="false" outlineLevel="0" collapsed="false">
      <c r="A4" s="0" t="s">
        <v>413</v>
      </c>
      <c r="B4" s="3" t="s">
        <v>137</v>
      </c>
      <c r="C4" s="14" t="n">
        <f aca="false">IF(ISBLANK(PL!D104),"",PL!D104)</f>
        <v>6.275</v>
      </c>
      <c r="D4" s="14" t="n">
        <f aca="false">IF(ISBLANK(PL!E104),"",PL!E104)</f>
        <v>7.75</v>
      </c>
      <c r="E4" s="14" t="n">
        <f aca="false">IF(ISBLANK(PL!F104),"",PL!F104)</f>
        <v>9.175</v>
      </c>
      <c r="F4" s="14" t="n">
        <f aca="false">IF(ISBLANK(PL!G104),"",PL!G104)</f>
        <v>7.9525</v>
      </c>
      <c r="G4" s="6" t="s">
        <v>414</v>
      </c>
    </row>
    <row r="5" customFormat="false" ht="17.15" hidden="false" customHeight="false" outlineLevel="0" collapsed="false">
      <c r="A5" s="0" t="s">
        <v>415</v>
      </c>
      <c r="B5" s="3" t="s">
        <v>137</v>
      </c>
      <c r="C5" s="14" t="n">
        <f aca="false">IF(ISBLANK(PL!D105),"",PL!D105)</f>
        <v>3.1375</v>
      </c>
      <c r="D5" s="14" t="n">
        <f aca="false">IF(ISBLANK(PL!E105),"",PL!E105)</f>
        <v>3.875</v>
      </c>
      <c r="E5" s="14" t="n">
        <f aca="false">IF(ISBLANK(PL!F105),"",PL!F105)</f>
        <v>4.5875</v>
      </c>
      <c r="F5" s="14" t="n">
        <f aca="false">IF(ISBLANK(PL!G105),"",PL!G105)</f>
        <v>3.97625</v>
      </c>
      <c r="G5" s="6" t="s">
        <v>416</v>
      </c>
    </row>
    <row r="6" customFormat="false" ht="17.15" hidden="false" customHeight="false" outlineLevel="0" collapsed="false">
      <c r="A6" s="3" t="s">
        <v>417</v>
      </c>
      <c r="B6" s="0" t="s">
        <v>175</v>
      </c>
      <c r="C6" s="14" t="str">
        <f aca="false">IF(ISBLANK(PL!D107),"",PL!D107)</f>
        <v/>
      </c>
      <c r="D6" s="14" t="n">
        <f aca="false">IF(ISBLANK(PL!E107),"",PL!E107)</f>
        <v>1</v>
      </c>
      <c r="E6" s="14" t="n">
        <f aca="false">IF(ISBLANK(PL!F107),"",PL!F107)</f>
        <v>1.21710483870968</v>
      </c>
      <c r="F6" s="14" t="n">
        <f aca="false">IF(ISBLANK(PL!G107),"",PL!G107)</f>
        <v>1.25167641129032</v>
      </c>
      <c r="G6" s="6" t="s">
        <v>418</v>
      </c>
    </row>
    <row r="7" customFormat="false" ht="15" hidden="false" customHeight="false" outlineLevel="0" collapsed="false">
      <c r="A7" s="3" t="s">
        <v>419</v>
      </c>
      <c r="B7" s="0" t="s">
        <v>175</v>
      </c>
      <c r="C7" s="14" t="str">
        <f aca="false">IF(ISBLANK(PL!D108),"",PL!D108)</f>
        <v/>
      </c>
      <c r="D7" s="14" t="n">
        <f aca="false">IF(ISBLANK(PL!E108),"",PL!E108)</f>
        <v>1</v>
      </c>
      <c r="E7" s="14" t="n">
        <f aca="false">IF(ISBLANK(PL!F108),"",PL!F108)</f>
        <v>1.1</v>
      </c>
      <c r="F7" s="14" t="n">
        <f aca="false">IF(ISBLANK(PL!G108),"",PL!G108)</f>
        <v>1.21</v>
      </c>
      <c r="G7" s="6" t="s">
        <v>37</v>
      </c>
    </row>
    <row r="8" customFormat="false" ht="15" hidden="false" customHeight="false" outlineLevel="0" collapsed="false">
      <c r="A8" s="3" t="s">
        <v>420</v>
      </c>
      <c r="B8" s="0" t="s">
        <v>46</v>
      </c>
      <c r="C8" s="12" t="n">
        <f aca="false">PL!D113</f>
        <v>0.36582</v>
      </c>
      <c r="D8" s="12" t="n">
        <f aca="false">PL!E113</f>
        <v>0.621894</v>
      </c>
      <c r="E8" s="12" t="n">
        <f aca="false">PL!F113</f>
        <v>0.832601216220968</v>
      </c>
      <c r="F8" s="12" t="n">
        <f aca="false">PL!G113</f>
        <v>0.941876160648811</v>
      </c>
    </row>
    <row r="9" customFormat="false" ht="17.15" hidden="false" customHeight="false" outlineLevel="0" collapsed="false">
      <c r="A9" s="3" t="s">
        <v>421</v>
      </c>
      <c r="B9" s="3" t="s">
        <v>94</v>
      </c>
      <c r="C9" s="16" t="n">
        <f aca="false">PL!D110</f>
        <v>1.22</v>
      </c>
      <c r="D9" s="16" t="n">
        <f aca="false">PL!E110</f>
        <v>1.22</v>
      </c>
      <c r="E9" s="16" t="n">
        <f aca="false">PL!F110</f>
        <v>1.1956</v>
      </c>
      <c r="F9" s="16" t="n">
        <f aca="false">PL!G110</f>
        <v>1.207556</v>
      </c>
      <c r="G9" s="3" t="s">
        <v>422</v>
      </c>
    </row>
    <row r="10" customFormat="false" ht="17.15" hidden="false" customHeight="false" outlineLevel="0" collapsed="false">
      <c r="A10" s="3" t="s">
        <v>423</v>
      </c>
      <c r="B10" s="0" t="s">
        <v>255</v>
      </c>
      <c r="C10" s="16" t="n">
        <f aca="false">PL!D111</f>
        <v>0.920975409836066</v>
      </c>
      <c r="D10" s="16" t="n">
        <f aca="false">PL!E111</f>
        <v>1.03149245901639</v>
      </c>
      <c r="E10" s="16" t="n">
        <f aca="false">PL!F111</f>
        <v>1.1449566295082</v>
      </c>
      <c r="F10" s="16" t="n">
        <f aca="false">PL!G111</f>
        <v>1.2709018587541</v>
      </c>
      <c r="G10" s="6" t="s">
        <v>424</v>
      </c>
    </row>
    <row r="11" customFormat="false" ht="15" hidden="false" customHeight="false" outlineLevel="0" collapsed="false">
      <c r="A11" s="3" t="s">
        <v>425</v>
      </c>
      <c r="B11" s="0" t="s">
        <v>46</v>
      </c>
      <c r="C11" s="12" t="n">
        <f aca="false">PL!D112</f>
        <v>1.12359</v>
      </c>
      <c r="D11" s="12" t="n">
        <f aca="false">PL!E112</f>
        <v>1.2584208</v>
      </c>
      <c r="E11" s="12" t="n">
        <f aca="false">PL!F112</f>
        <v>1.36891014624</v>
      </c>
      <c r="F11" s="12" t="n">
        <f aca="false">PL!G112</f>
        <v>1.53468516494966</v>
      </c>
    </row>
    <row r="12" customFormat="false" ht="15" hidden="false" customHeight="false" outlineLevel="0" collapsed="false">
      <c r="A12" s="3" t="s">
        <v>426</v>
      </c>
      <c r="B12" s="0" t="s">
        <v>46</v>
      </c>
      <c r="C12" s="12" t="n">
        <f aca="false">PL!D114</f>
        <v>0.23517</v>
      </c>
      <c r="D12" s="12" t="n">
        <f aca="false">PL!E114</f>
        <v>0.2704455</v>
      </c>
      <c r="E12" s="12" t="n">
        <f aca="false">PL!F114</f>
        <v>0.311012325</v>
      </c>
      <c r="F12" s="12" t="n">
        <f aca="false">PL!G114</f>
        <v>0.35766417375</v>
      </c>
    </row>
    <row r="13" customFormat="false" ht="15" hidden="false" customHeight="false" outlineLevel="0" collapsed="false">
      <c r="A13" s="3" t="s">
        <v>427</v>
      </c>
      <c r="B13" s="0" t="s">
        <v>46</v>
      </c>
      <c r="C13" s="12" t="n">
        <f aca="false">PL!D115</f>
        <v>0.88842</v>
      </c>
      <c r="D13" s="12" t="n">
        <f aca="false">PL!E115</f>
        <v>0.8778397</v>
      </c>
      <c r="E13" s="12" t="n">
        <f aca="false">PL!F115</f>
        <v>0.912953288</v>
      </c>
      <c r="F13" s="12" t="n">
        <f aca="false">PL!G115</f>
        <v>0.94947141952</v>
      </c>
    </row>
    <row r="14" customFormat="false" ht="15" hidden="false" customHeight="false" outlineLevel="0" collapsed="false">
      <c r="A14" s="3" t="s">
        <v>428</v>
      </c>
      <c r="B14" s="0" t="s">
        <v>46</v>
      </c>
      <c r="C14" s="12" t="n">
        <f aca="false">PL!D116</f>
        <v>2.613</v>
      </c>
      <c r="D14" s="12" t="n">
        <f aca="false">PL!E116</f>
        <v>3.0286</v>
      </c>
      <c r="E14" s="12" t="n">
        <f aca="false">PL!F116</f>
        <v>3.42547697546097</v>
      </c>
      <c r="F14" s="12" t="n">
        <f aca="false">PL!G116</f>
        <v>3.78369691886848</v>
      </c>
    </row>
    <row r="15" customFormat="false" ht="17.15" hidden="false" customHeight="false" outlineLevel="0" collapsed="false">
      <c r="A15" s="3" t="s">
        <v>429</v>
      </c>
      <c r="B15" s="0" t="s">
        <v>27</v>
      </c>
      <c r="C15" s="13" t="n">
        <f aca="false">PL!D126</f>
        <v>0.14</v>
      </c>
      <c r="D15" s="13" t="n">
        <f aca="false">PL!E126</f>
        <v>0.20534042131678</v>
      </c>
      <c r="E15" s="13" t="n">
        <f aca="false">PL!F126</f>
        <v>0.243061396175032</v>
      </c>
      <c r="F15" s="13" t="n">
        <f aca="false">PL!G126</f>
        <v>0.2489301286136</v>
      </c>
    </row>
    <row r="16" customFormat="false" ht="17.15" hidden="false" customHeight="false" outlineLevel="0" collapsed="false">
      <c r="A16" s="0" t="s">
        <v>430</v>
      </c>
      <c r="B16" s="0" t="s">
        <v>46</v>
      </c>
      <c r="C16" s="12" t="n">
        <f aca="false">PL!D119</f>
        <v>0</v>
      </c>
      <c r="D16" s="12" t="n">
        <f aca="false">PL!E119</f>
        <v>0.15</v>
      </c>
      <c r="E16" s="12" t="n">
        <f aca="false">PL!F119</f>
        <v>1</v>
      </c>
      <c r="F16" s="12" t="n">
        <f aca="false">PL!G119</f>
        <v>2</v>
      </c>
      <c r="G16" s="3" t="s">
        <v>431</v>
      </c>
    </row>
    <row r="18" customFormat="false" ht="17.15" hidden="false" customHeight="false" outlineLevel="0" collapsed="false">
      <c r="A18" s="9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433</v>
      </c>
    </row>
    <row r="3" customFormat="false" ht="17.15" hidden="false" customHeight="false" outlineLevel="0" collapsed="false">
      <c r="A3" s="4" t="s">
        <v>434</v>
      </c>
      <c r="B3" s="4" t="s">
        <v>17</v>
      </c>
      <c r="C3" s="10" t="s">
        <v>349</v>
      </c>
      <c r="D3" s="10" t="s">
        <v>350</v>
      </c>
      <c r="E3" s="10" t="s">
        <v>410</v>
      </c>
      <c r="F3" s="10" t="s">
        <v>411</v>
      </c>
      <c r="G3" s="10" t="s">
        <v>412</v>
      </c>
      <c r="H3" s="4" t="s">
        <v>325</v>
      </c>
    </row>
    <row r="4" customFormat="false" ht="17.15" hidden="false" customHeight="false" outlineLevel="0" collapsed="false">
      <c r="A4" s="9" t="s">
        <v>435</v>
      </c>
    </row>
    <row r="5" customFormat="false" ht="15" hidden="false" customHeight="false" outlineLevel="0" collapsed="false">
      <c r="A5" s="3" t="s">
        <v>361</v>
      </c>
      <c r="B5" s="0" t="s">
        <v>46</v>
      </c>
      <c r="C5" s="12" t="n">
        <f aca="false">C81</f>
        <v>4.007</v>
      </c>
      <c r="D5" s="12" t="n">
        <f aca="false">D81</f>
        <v>4.92</v>
      </c>
      <c r="E5" s="12" t="n">
        <f aca="false">E81</f>
        <v>5.88665</v>
      </c>
      <c r="F5" s="12" t="n">
        <f aca="false">F81</f>
        <v>7.88490676292129</v>
      </c>
      <c r="G5" s="12" t="n">
        <f aca="false">G81</f>
        <v>10.3614391082082</v>
      </c>
    </row>
    <row r="6" customFormat="false" ht="15" hidden="false" customHeight="false" outlineLevel="0" collapsed="false">
      <c r="A6" s="3" t="s">
        <v>436</v>
      </c>
      <c r="B6" s="0" t="s">
        <v>27</v>
      </c>
      <c r="D6" s="13" t="n">
        <f aca="false">D82</f>
        <v>0.227851260294485</v>
      </c>
      <c r="E6" s="13" t="n">
        <f aca="false">E82</f>
        <v>0.196473577235772</v>
      </c>
      <c r="F6" s="13" t="n">
        <f aca="false">F82</f>
        <v>0.339455677324334</v>
      </c>
      <c r="G6" s="13" t="n">
        <f aca="false">G82</f>
        <v>0.314085178144756</v>
      </c>
    </row>
    <row r="7" customFormat="false" ht="15" hidden="false" customHeight="false" outlineLevel="0" collapsed="false">
      <c r="A7" s="3" t="s">
        <v>437</v>
      </c>
      <c r="B7" s="0" t="s">
        <v>46</v>
      </c>
      <c r="C7" s="12" t="n">
        <f aca="false">C75</f>
        <v>2.168</v>
      </c>
      <c r="D7" s="12" t="n">
        <f aca="false">D75</f>
        <v>2.613</v>
      </c>
      <c r="E7" s="12" t="n">
        <f aca="false">E75</f>
        <v>3.0286</v>
      </c>
      <c r="F7" s="12" t="n">
        <f aca="false">F75</f>
        <v>3.50605176292129</v>
      </c>
      <c r="G7" s="12" t="n">
        <f aca="false">G75</f>
        <v>4.08469860820822</v>
      </c>
    </row>
    <row r="8" customFormat="false" ht="15" hidden="false" customHeight="false" outlineLevel="0" collapsed="false">
      <c r="A8" s="3" t="s">
        <v>438</v>
      </c>
      <c r="B8" s="0" t="s">
        <v>46</v>
      </c>
      <c r="C8" s="12" t="n">
        <f aca="false">C72</f>
        <v>0.30352</v>
      </c>
      <c r="D8" s="12" t="n">
        <f aca="false">D72</f>
        <v>0.36582</v>
      </c>
      <c r="E8" s="12" t="n">
        <f aca="false">E72</f>
        <v>0.621894</v>
      </c>
      <c r="F8" s="12" t="n">
        <f aca="false">F72</f>
        <v>0.87617843216129</v>
      </c>
      <c r="G8" s="12" t="n">
        <f aca="false">G72</f>
        <v>1.15880086870936</v>
      </c>
    </row>
    <row r="9" customFormat="false" ht="15" hidden="false" customHeight="false" outlineLevel="0" collapsed="false">
      <c r="A9" s="3" t="s">
        <v>439</v>
      </c>
      <c r="B9" s="0" t="s">
        <v>46</v>
      </c>
      <c r="C9" s="12" t="n">
        <f aca="false">C80</f>
        <v>1.839</v>
      </c>
      <c r="D9" s="12" t="n">
        <f aca="false">D80</f>
        <v>2.307</v>
      </c>
      <c r="E9" s="12" t="n">
        <f aca="false">E80</f>
        <v>2.85805</v>
      </c>
      <c r="F9" s="12" t="n">
        <f aca="false">F80</f>
        <v>4.378855</v>
      </c>
      <c r="G9" s="12" t="n">
        <f aca="false">G80</f>
        <v>6.2767405</v>
      </c>
    </row>
    <row r="10" customFormat="false" ht="17.15" hidden="false" customHeight="false" outlineLevel="0" collapsed="false">
      <c r="A10" s="3" t="s">
        <v>440</v>
      </c>
      <c r="B10" s="0" t="s">
        <v>46</v>
      </c>
      <c r="C10" s="12" t="n">
        <f aca="false">C78</f>
        <v>0</v>
      </c>
      <c r="D10" s="12" t="n">
        <f aca="false">D78</f>
        <v>0</v>
      </c>
      <c r="E10" s="12" t="n">
        <f aca="false">E78</f>
        <v>0.15</v>
      </c>
      <c r="F10" s="12" t="n">
        <f aca="false">F78</f>
        <v>1.4</v>
      </c>
      <c r="G10" s="12" t="n">
        <f aca="false">G78</f>
        <v>3</v>
      </c>
    </row>
    <row r="11" customFormat="false" ht="15" hidden="false" customHeight="false" outlineLevel="0" collapsed="false">
      <c r="A11" s="3" t="s">
        <v>441</v>
      </c>
      <c r="B11" s="0" t="s">
        <v>27</v>
      </c>
      <c r="C11" s="13" t="n">
        <f aca="false">C90</f>
        <v>0.978287996006988</v>
      </c>
      <c r="D11" s="13" t="n">
        <f aca="false">D90</f>
        <v>0.982113821138212</v>
      </c>
      <c r="E11" s="13" t="n">
        <f aca="false">E90</f>
        <v>0.967382917278928</v>
      </c>
      <c r="F11" s="13" t="n">
        <f aca="false">F90</f>
        <v>0.886718606148162</v>
      </c>
      <c r="G11" s="13" t="n">
        <f aca="false">G90</f>
        <v>0.827256877701666</v>
      </c>
    </row>
    <row r="12" customFormat="false" ht="15" hidden="false" customHeight="false" outlineLevel="0" collapsed="false">
      <c r="A12" s="3" t="s">
        <v>442</v>
      </c>
      <c r="B12" s="0" t="s">
        <v>27</v>
      </c>
      <c r="C12" s="13" t="n">
        <f aca="false">C93</f>
        <v>0.466932867481907</v>
      </c>
      <c r="D12" s="13" t="n">
        <f aca="false">D93</f>
        <v>0.429878048780488</v>
      </c>
      <c r="E12" s="13" t="n">
        <f aca="false">E93</f>
        <v>0.435161704874589</v>
      </c>
      <c r="F12" s="13" t="n">
        <f aca="false">F93</f>
        <v>0.437722808677458</v>
      </c>
      <c r="G12" s="13" t="n">
        <f aca="false">G93</f>
        <v>0.441159188160565</v>
      </c>
    </row>
    <row r="13" customFormat="false" ht="17.15" hidden="false" customHeight="false" outlineLevel="0" collapsed="false">
      <c r="A13" s="3" t="s">
        <v>379</v>
      </c>
      <c r="B13" s="0" t="s">
        <v>46</v>
      </c>
      <c r="C13" s="12" t="n">
        <f aca="false">C94</f>
        <v>1.737</v>
      </c>
      <c r="D13" s="12" t="n">
        <f aca="false">D94</f>
        <v>1.889</v>
      </c>
      <c r="E13" s="12" t="n">
        <f aca="false">E94</f>
        <v>2.2927479525</v>
      </c>
      <c r="F13" s="12" t="n">
        <f aca="false">F94</f>
        <v>3.05269300426192</v>
      </c>
      <c r="G13" s="12" t="n">
        <f aca="false">G94</f>
        <v>4.00438745537942</v>
      </c>
    </row>
    <row r="14" customFormat="false" ht="17.15" hidden="false" customHeight="false" outlineLevel="0" collapsed="false">
      <c r="A14" s="0" t="s">
        <v>382</v>
      </c>
      <c r="B14" s="0" t="s">
        <v>255</v>
      </c>
      <c r="C14" s="14" t="n">
        <f aca="false">C97</f>
        <v>1.6340545625588</v>
      </c>
      <c r="D14" s="14" t="n">
        <f aca="false">D97</f>
        <v>1.7687265917603</v>
      </c>
      <c r="E14" s="14" t="n">
        <f aca="false">E97</f>
        <v>2.12291477083333</v>
      </c>
      <c r="F14" s="14" t="n">
        <f aca="false">F97</f>
        <v>2.80413452037581</v>
      </c>
      <c r="G14" s="14" t="n">
        <f aca="false">G97</f>
        <v>3.64914627660104</v>
      </c>
    </row>
    <row r="15" customFormat="false" ht="17.15" hidden="false" customHeight="false" outlineLevel="0" collapsed="false">
      <c r="A15" s="0" t="s">
        <v>443</v>
      </c>
      <c r="B15" s="0" t="s">
        <v>27</v>
      </c>
      <c r="D15" s="13" t="n">
        <f aca="false">D98</f>
        <v>0.0824158704900391</v>
      </c>
      <c r="E15" s="13" t="n">
        <f aca="false">E98</f>
        <v>0.200250383933298</v>
      </c>
      <c r="F15" s="13" t="n">
        <f aca="false">F98</f>
        <v>0.320888883012042</v>
      </c>
      <c r="G15" s="13" t="n">
        <f aca="false">G98</f>
        <v>0.301344942649892</v>
      </c>
    </row>
    <row r="17" customFormat="false" ht="17.15" hidden="false" customHeight="false" outlineLevel="0" collapsed="false">
      <c r="A17" s="9" t="s">
        <v>444</v>
      </c>
    </row>
    <row r="18" customFormat="false" ht="15" hidden="false" customHeight="false" outlineLevel="0" collapsed="false">
      <c r="A18" s="3" t="s">
        <v>361</v>
      </c>
      <c r="B18" s="0" t="s">
        <v>46</v>
      </c>
      <c r="C18" s="12" t="n">
        <f aca="false">C122</f>
        <v>4.007</v>
      </c>
      <c r="D18" s="12" t="n">
        <f aca="false">D122</f>
        <v>4.92</v>
      </c>
      <c r="E18" s="12" t="n">
        <f aca="false">E122</f>
        <v>5.88665</v>
      </c>
      <c r="F18" s="12" t="n">
        <f aca="false">F122</f>
        <v>7.40433197546097</v>
      </c>
      <c r="G18" s="12" t="n">
        <f aca="false">G122</f>
        <v>9.06043741886848</v>
      </c>
    </row>
    <row r="19" customFormat="false" ht="15" hidden="false" customHeight="false" outlineLevel="0" collapsed="false">
      <c r="A19" s="3" t="s">
        <v>436</v>
      </c>
      <c r="B19" s="0" t="s">
        <v>27</v>
      </c>
      <c r="D19" s="13" t="n">
        <f aca="false">D123</f>
        <v>0.227851260294485</v>
      </c>
      <c r="E19" s="13" t="n">
        <f aca="false">E123</f>
        <v>0.196473577235772</v>
      </c>
      <c r="F19" s="13" t="n">
        <f aca="false">F123</f>
        <v>0.257817600071512</v>
      </c>
      <c r="G19" s="13" t="n">
        <f aca="false">G123</f>
        <v>0.223667097706597</v>
      </c>
    </row>
    <row r="20" customFormat="false" ht="15" hidden="false" customHeight="false" outlineLevel="0" collapsed="false">
      <c r="A20" s="3" t="s">
        <v>437</v>
      </c>
      <c r="B20" s="0" t="s">
        <v>46</v>
      </c>
      <c r="C20" s="12" t="n">
        <f aca="false">C116</f>
        <v>2.168</v>
      </c>
      <c r="D20" s="12" t="n">
        <f aca="false">D116</f>
        <v>2.613</v>
      </c>
      <c r="E20" s="12" t="n">
        <f aca="false">E116</f>
        <v>3.0286</v>
      </c>
      <c r="F20" s="12" t="n">
        <f aca="false">F116</f>
        <v>3.42547697546097</v>
      </c>
      <c r="G20" s="12" t="n">
        <f aca="false">G116</f>
        <v>3.78369691886848</v>
      </c>
    </row>
    <row r="21" customFormat="false" ht="15" hidden="false" customHeight="false" outlineLevel="0" collapsed="false">
      <c r="A21" s="3" t="s">
        <v>438</v>
      </c>
      <c r="B21" s="0" t="s">
        <v>46</v>
      </c>
      <c r="C21" s="12" t="n">
        <f aca="false">C113</f>
        <v>0.30352</v>
      </c>
      <c r="D21" s="12" t="n">
        <f aca="false">D113</f>
        <v>0.36582</v>
      </c>
      <c r="E21" s="12" t="n">
        <f aca="false">E113</f>
        <v>0.621894</v>
      </c>
      <c r="F21" s="12" t="n">
        <f aca="false">F113</f>
        <v>0.832601216220968</v>
      </c>
      <c r="G21" s="12" t="n">
        <f aca="false">G113</f>
        <v>0.941876160648811</v>
      </c>
    </row>
    <row r="22" customFormat="false" ht="15" hidden="false" customHeight="false" outlineLevel="0" collapsed="false">
      <c r="A22" s="3" t="s">
        <v>439</v>
      </c>
      <c r="B22" s="0" t="s">
        <v>46</v>
      </c>
      <c r="C22" s="12" t="n">
        <f aca="false">C121</f>
        <v>1.839</v>
      </c>
      <c r="D22" s="12" t="n">
        <f aca="false">D121</f>
        <v>2.307</v>
      </c>
      <c r="E22" s="12" t="n">
        <f aca="false">E121</f>
        <v>2.85805</v>
      </c>
      <c r="F22" s="12" t="n">
        <f aca="false">F121</f>
        <v>3.978855</v>
      </c>
      <c r="G22" s="12" t="n">
        <f aca="false">G121</f>
        <v>5.2767405</v>
      </c>
    </row>
    <row r="23" customFormat="false" ht="17.15" hidden="false" customHeight="false" outlineLevel="0" collapsed="false">
      <c r="A23" s="3" t="s">
        <v>440</v>
      </c>
      <c r="B23" s="0" t="s">
        <v>46</v>
      </c>
      <c r="C23" s="12" t="n">
        <f aca="false">C119</f>
        <v>0</v>
      </c>
      <c r="D23" s="12" t="n">
        <f aca="false">D119</f>
        <v>0</v>
      </c>
      <c r="E23" s="12" t="n">
        <f aca="false">E119</f>
        <v>0.15</v>
      </c>
      <c r="F23" s="12" t="n">
        <f aca="false">F119</f>
        <v>1</v>
      </c>
      <c r="G23" s="12" t="n">
        <f aca="false">G119</f>
        <v>2</v>
      </c>
    </row>
    <row r="24" customFormat="false" ht="15" hidden="false" customHeight="false" outlineLevel="0" collapsed="false">
      <c r="A24" s="3" t="s">
        <v>441</v>
      </c>
      <c r="B24" s="0" t="s">
        <v>27</v>
      </c>
      <c r="C24" s="13" t="n">
        <f aca="false">C131</f>
        <v>0.978287996006988</v>
      </c>
      <c r="D24" s="13" t="n">
        <f aca="false">D131</f>
        <v>0.982113821138212</v>
      </c>
      <c r="E24" s="13" t="n">
        <f aca="false">E131</f>
        <v>0.967382917278928</v>
      </c>
      <c r="F24" s="13" t="n">
        <f aca="false">F131</f>
        <v>0.909285225222233</v>
      </c>
      <c r="G24" s="13" t="n">
        <f aca="false">G131</f>
        <v>0.863787116018442</v>
      </c>
    </row>
    <row r="25" customFormat="false" ht="15" hidden="false" customHeight="false" outlineLevel="0" collapsed="false">
      <c r="A25" s="3" t="s">
        <v>442</v>
      </c>
      <c r="B25" s="0" t="s">
        <v>27</v>
      </c>
      <c r="C25" s="13" t="n">
        <f aca="false">C134</f>
        <v>0.466932867481907</v>
      </c>
      <c r="D25" s="13" t="n">
        <f aca="false">D134</f>
        <v>0.429878048780488</v>
      </c>
      <c r="E25" s="13" t="n">
        <f aca="false">E134</f>
        <v>0.435161704874589</v>
      </c>
      <c r="F25" s="13" t="n">
        <f aca="false">F134</f>
        <v>0.43114756044261</v>
      </c>
      <c r="G25" s="13" t="n">
        <f aca="false">G134</f>
        <v>0.422249084789525</v>
      </c>
    </row>
    <row r="26" customFormat="false" ht="17.15" hidden="false" customHeight="false" outlineLevel="0" collapsed="false">
      <c r="A26" s="3" t="s">
        <v>379</v>
      </c>
      <c r="B26" s="0" t="s">
        <v>46</v>
      </c>
      <c r="C26" s="12" t="n">
        <f aca="false">C135</f>
        <v>1.737</v>
      </c>
      <c r="D26" s="12" t="n">
        <f aca="false">D135</f>
        <v>1.889</v>
      </c>
      <c r="E26" s="12" t="n">
        <f aca="false">E135</f>
        <v>2.2927479525</v>
      </c>
      <c r="F26" s="12" t="n">
        <f aca="false">F135</f>
        <v>2.83250571773813</v>
      </c>
      <c r="G26" s="12" t="n">
        <f aca="false">G135</f>
        <v>3.37089719672348</v>
      </c>
    </row>
    <row r="27" customFormat="false" ht="17.15" hidden="false" customHeight="false" outlineLevel="0" collapsed="false">
      <c r="A27" s="0" t="s">
        <v>382</v>
      </c>
      <c r="B27" s="0" t="s">
        <v>255</v>
      </c>
      <c r="C27" s="14" t="n">
        <f aca="false">C138</f>
        <v>1.6340545625588</v>
      </c>
      <c r="D27" s="14" t="n">
        <f aca="false">D138</f>
        <v>1.7687265917603</v>
      </c>
      <c r="E27" s="14" t="n">
        <f aca="false">E138</f>
        <v>2.12291477083333</v>
      </c>
      <c r="F27" s="14" t="n">
        <f aca="false">F138</f>
        <v>2.6018754755825</v>
      </c>
      <c r="G27" s="14" t="n">
        <f aca="false">G138</f>
        <v>3.07185483205516</v>
      </c>
    </row>
    <row r="28" customFormat="false" ht="17.15" hidden="false" customHeight="false" outlineLevel="0" collapsed="false">
      <c r="A28" s="0" t="s">
        <v>443</v>
      </c>
      <c r="B28" s="0" t="s">
        <v>27</v>
      </c>
      <c r="D28" s="13" t="n">
        <f aca="false">D139</f>
        <v>0.0824158704900391</v>
      </c>
      <c r="E28" s="13" t="n">
        <f aca="false">E139</f>
        <v>0.200250383933298</v>
      </c>
      <c r="F28" s="13" t="n">
        <f aca="false">F139</f>
        <v>0.225614664954802</v>
      </c>
      <c r="G28" s="13" t="n">
        <f aca="false">G139</f>
        <v>0.180630995173759</v>
      </c>
    </row>
    <row r="30" customFormat="false" ht="17.15" hidden="false" customHeight="false" outlineLevel="0" collapsed="false">
      <c r="A30" s="9" t="s">
        <v>445</v>
      </c>
    </row>
    <row r="31" customFormat="false" ht="15" hidden="false" customHeight="false" outlineLevel="0" collapsed="false">
      <c r="A31" s="3" t="s">
        <v>361</v>
      </c>
      <c r="B31" s="0" t="s">
        <v>46</v>
      </c>
      <c r="C31" s="12" t="n">
        <f aca="false">C163</f>
        <v>4.007</v>
      </c>
      <c r="D31" s="12" t="n">
        <f aca="false">D163</f>
        <v>4.92</v>
      </c>
      <c r="E31" s="12" t="n">
        <f aca="false">E163</f>
        <v>5.88665</v>
      </c>
      <c r="F31" s="12" t="n">
        <f aca="false">F163</f>
        <v>6.81142466416065</v>
      </c>
      <c r="G31" s="12" t="n">
        <f aca="false">G163</f>
        <v>7.50522677548163</v>
      </c>
    </row>
    <row r="32" customFormat="false" ht="15" hidden="false" customHeight="false" outlineLevel="0" collapsed="false">
      <c r="A32" s="3" t="s">
        <v>436</v>
      </c>
      <c r="B32" s="0" t="s">
        <v>27</v>
      </c>
      <c r="D32" s="13" t="n">
        <f aca="false">D164</f>
        <v>0.227851260294485</v>
      </c>
      <c r="E32" s="13" t="n">
        <f aca="false">E164</f>
        <v>0.196473577235772</v>
      </c>
      <c r="F32" s="13" t="n">
        <f aca="false">F164</f>
        <v>0.157096933597317</v>
      </c>
      <c r="G32" s="13" t="n">
        <f aca="false">G164</f>
        <v>0.1018585898735</v>
      </c>
    </row>
    <row r="33" customFormat="false" ht="15" hidden="false" customHeight="false" outlineLevel="0" collapsed="false">
      <c r="A33" s="3" t="s">
        <v>437</v>
      </c>
      <c r="B33" s="0" t="s">
        <v>46</v>
      </c>
      <c r="C33" s="12" t="n">
        <f aca="false">C157</f>
        <v>2.168</v>
      </c>
      <c r="D33" s="12" t="n">
        <f aca="false">D157</f>
        <v>2.613</v>
      </c>
      <c r="E33" s="12" t="n">
        <f aca="false">E157</f>
        <v>3.0286</v>
      </c>
      <c r="F33" s="12" t="n">
        <f aca="false">F157</f>
        <v>3.33256966416065</v>
      </c>
      <c r="G33" s="12" t="n">
        <f aca="false">G157</f>
        <v>3.42848627548163</v>
      </c>
    </row>
    <row r="34" customFormat="false" ht="15" hidden="false" customHeight="false" outlineLevel="0" collapsed="false">
      <c r="A34" s="3" t="s">
        <v>438</v>
      </c>
      <c r="B34" s="0" t="s">
        <v>46</v>
      </c>
      <c r="C34" s="12" t="n">
        <f aca="false">C154</f>
        <v>0.30352</v>
      </c>
      <c r="D34" s="12" t="n">
        <f aca="false">D154</f>
        <v>0.36582</v>
      </c>
      <c r="E34" s="12" t="n">
        <f aca="false">E154</f>
        <v>0.621894</v>
      </c>
      <c r="F34" s="12" t="n">
        <f aca="false">F154</f>
        <v>0.789024000280645</v>
      </c>
      <c r="G34" s="12" t="n">
        <f aca="false">G154</f>
        <v>0.695280521225613</v>
      </c>
    </row>
    <row r="35" customFormat="false" ht="15" hidden="false" customHeight="false" outlineLevel="0" collapsed="false">
      <c r="A35" s="3" t="s">
        <v>439</v>
      </c>
      <c r="B35" s="0" t="s">
        <v>46</v>
      </c>
      <c r="C35" s="12" t="n">
        <f aca="false">C162</f>
        <v>1.839</v>
      </c>
      <c r="D35" s="12" t="n">
        <f aca="false">D162</f>
        <v>2.307</v>
      </c>
      <c r="E35" s="12" t="n">
        <f aca="false">E162</f>
        <v>2.85805</v>
      </c>
      <c r="F35" s="12" t="n">
        <f aca="false">F162</f>
        <v>3.478855</v>
      </c>
      <c r="G35" s="12" t="n">
        <f aca="false">G162</f>
        <v>4.0767405</v>
      </c>
    </row>
    <row r="36" customFormat="false" ht="17.15" hidden="false" customHeight="false" outlineLevel="0" collapsed="false">
      <c r="A36" s="3" t="s">
        <v>440</v>
      </c>
      <c r="B36" s="0" t="s">
        <v>46</v>
      </c>
      <c r="C36" s="12" t="n">
        <f aca="false">C160</f>
        <v>0</v>
      </c>
      <c r="D36" s="12" t="n">
        <f aca="false">D160</f>
        <v>0</v>
      </c>
      <c r="E36" s="12" t="n">
        <f aca="false">E160</f>
        <v>0.15</v>
      </c>
      <c r="F36" s="12" t="n">
        <f aca="false">F160</f>
        <v>0.5</v>
      </c>
      <c r="G36" s="12" t="n">
        <f aca="false">G160</f>
        <v>0.8</v>
      </c>
    </row>
    <row r="37" customFormat="false" ht="15" hidden="false" customHeight="false" outlineLevel="0" collapsed="false">
      <c r="A37" s="3" t="s">
        <v>441</v>
      </c>
      <c r="B37" s="0" t="s">
        <v>27</v>
      </c>
      <c r="C37" s="13" t="n">
        <f aca="false">C172</f>
        <v>0.978287996006988</v>
      </c>
      <c r="D37" s="13" t="n">
        <f aca="false">D172</f>
        <v>0.982113821138212</v>
      </c>
      <c r="E37" s="13" t="n">
        <f aca="false">E172</f>
        <v>0.967382917278928</v>
      </c>
      <c r="F37" s="13" t="n">
        <f aca="false">F172</f>
        <v>0.942021370257977</v>
      </c>
      <c r="G37" s="13" t="n">
        <f aca="false">G172</f>
        <v>0.924399445119</v>
      </c>
    </row>
    <row r="38" customFormat="false" ht="15" hidden="false" customHeight="false" outlineLevel="0" collapsed="false">
      <c r="A38" s="3" t="s">
        <v>442</v>
      </c>
      <c r="B38" s="0" t="s">
        <v>27</v>
      </c>
      <c r="C38" s="13" t="n">
        <f aca="false">C175</f>
        <v>0.466932867481907</v>
      </c>
      <c r="D38" s="13" t="n">
        <f aca="false">D175</f>
        <v>0.429878048780488</v>
      </c>
      <c r="E38" s="13" t="n">
        <f aca="false">E175</f>
        <v>0.435161704874589</v>
      </c>
      <c r="F38" s="13" t="n">
        <f aca="false">F175</f>
        <v>0.422263731503228</v>
      </c>
      <c r="G38" s="13" t="n">
        <f aca="false">G175</f>
        <v>0.391367223751741</v>
      </c>
    </row>
    <row r="39" customFormat="false" ht="17.15" hidden="false" customHeight="false" outlineLevel="0" collapsed="false">
      <c r="A39" s="3" t="s">
        <v>379</v>
      </c>
      <c r="B39" s="0" t="s">
        <v>46</v>
      </c>
      <c r="C39" s="12" t="n">
        <f aca="false">C176</f>
        <v>1.737</v>
      </c>
      <c r="D39" s="12" t="n">
        <f aca="false">D176</f>
        <v>1.889</v>
      </c>
      <c r="E39" s="12" t="n">
        <f aca="false">E176</f>
        <v>2.2927479525</v>
      </c>
      <c r="F39" s="12" t="n">
        <f aca="false">F176</f>
        <v>2.56378495621036</v>
      </c>
      <c r="G39" s="12" t="n">
        <f aca="false">G176</f>
        <v>2.61570480173536</v>
      </c>
    </row>
    <row r="40" customFormat="false" ht="17.15" hidden="false" customHeight="false" outlineLevel="0" collapsed="false">
      <c r="A40" s="0" t="s">
        <v>382</v>
      </c>
      <c r="B40" s="0" t="s">
        <v>255</v>
      </c>
      <c r="C40" s="14" t="n">
        <f aca="false">C179</f>
        <v>1.6340545625588</v>
      </c>
      <c r="D40" s="14" t="n">
        <f aca="false">D179</f>
        <v>1.7687265917603</v>
      </c>
      <c r="E40" s="14" t="n">
        <f aca="false">E179</f>
        <v>2.12291477083333</v>
      </c>
      <c r="F40" s="14" t="n">
        <f aca="false">F179</f>
        <v>2.35503468199805</v>
      </c>
      <c r="G40" s="14" t="n">
        <f aca="false">G179</f>
        <v>2.38365781141316</v>
      </c>
    </row>
    <row r="41" customFormat="false" ht="17.15" hidden="false" customHeight="false" outlineLevel="0" collapsed="false">
      <c r="A41" s="0" t="s">
        <v>443</v>
      </c>
      <c r="B41" s="0" t="s">
        <v>27</v>
      </c>
      <c r="D41" s="13" t="n">
        <f aca="false">D180</f>
        <v>0.0824158704900391</v>
      </c>
      <c r="E41" s="13" t="n">
        <f aca="false">E180</f>
        <v>0.200250383933298</v>
      </c>
      <c r="F41" s="13" t="n">
        <f aca="false">F180</f>
        <v>0.109340193188065</v>
      </c>
      <c r="G41" s="13" t="n">
        <f aca="false">G180</f>
        <v>0.0121540160889813</v>
      </c>
    </row>
    <row r="43" customFormat="false" ht="17.15" hidden="false" customHeight="false" outlineLevel="0" collapsed="false">
      <c r="A43" s="9" t="s">
        <v>446</v>
      </c>
    </row>
    <row r="44" customFormat="false" ht="17.15" hidden="false" customHeight="false" outlineLevel="0" collapsed="false">
      <c r="A44" s="3" t="s">
        <v>447</v>
      </c>
      <c r="D44" s="17" t="n">
        <f aca="false">D81-a26_rev</f>
        <v>0</v>
      </c>
    </row>
    <row r="45" customFormat="false" ht="17.15" hidden="false" customHeight="false" outlineLevel="0" collapsed="false">
      <c r="A45" s="3" t="s">
        <v>448</v>
      </c>
      <c r="D45" s="17" t="n">
        <f aca="false">E81-a27_rev</f>
        <v>0</v>
      </c>
    </row>
    <row r="46" customFormat="false" ht="17.15" hidden="false" customHeight="false" outlineLevel="0" collapsed="false">
      <c r="A46" s="3" t="s">
        <v>449</v>
      </c>
      <c r="D46" s="17" t="n">
        <f aca="false">E75-a27_ro</f>
        <v>0</v>
      </c>
    </row>
    <row r="47" customFormat="false" ht="17.15" hidden="false" customHeight="false" outlineLevel="0" collapsed="false">
      <c r="A47" s="3" t="s">
        <v>450</v>
      </c>
      <c r="D47" s="17" t="n">
        <f aca="false">E80-a27_lo</f>
        <v>0</v>
      </c>
    </row>
    <row r="60" customFormat="false" ht="17.15" hidden="false" customHeight="false" outlineLevel="0" collapsed="false">
      <c r="A60" s="9" t="s">
        <v>451</v>
      </c>
    </row>
    <row r="61" customFormat="false" ht="17.15" hidden="false" customHeight="false" outlineLevel="0" collapsed="false">
      <c r="A61" s="4" t="s">
        <v>16</v>
      </c>
      <c r="B61" s="4" t="s">
        <v>17</v>
      </c>
      <c r="C61" s="10" t="s">
        <v>349</v>
      </c>
      <c r="D61" s="10" t="s">
        <v>350</v>
      </c>
      <c r="E61" s="10" t="s">
        <v>410</v>
      </c>
      <c r="F61" s="10" t="s">
        <v>411</v>
      </c>
      <c r="G61" s="10" t="s">
        <v>412</v>
      </c>
      <c r="H61" s="4" t="s">
        <v>325</v>
      </c>
    </row>
    <row r="62" customFormat="false" ht="17.15" hidden="false" customHeight="false" outlineLevel="0" collapsed="false">
      <c r="A62" s="1" t="s">
        <v>452</v>
      </c>
    </row>
    <row r="63" customFormat="false" ht="17.15" hidden="false" customHeight="false" outlineLevel="0" collapsed="false">
      <c r="A63" s="0" t="s">
        <v>453</v>
      </c>
      <c r="B63" s="3" t="s">
        <v>137</v>
      </c>
      <c r="D63" s="14" t="n">
        <f aca="false">0.75*nv_cy25+0.25*(nvbw_26+nvrb_26+nvru_26)</f>
        <v>6.275</v>
      </c>
      <c r="E63" s="14" t="n">
        <f aca="false">0.75*(nvbw_26+nvrb_26+nvru_26)+0.25*(nvbw_27+nvrb_27+nvru_27)</f>
        <v>7.75</v>
      </c>
      <c r="F63" s="14" t="n">
        <f aca="false">0.75*(nvbw_27+nvrb_27+nvru_27)+0.25*(nvbw_28+nvrb_28+nvru_28)*uc28_A</f>
        <v>9.65</v>
      </c>
      <c r="G63" s="14" t="n">
        <f aca="false">0.75*(nvbw_28+nvrb_28+nvru_28)*uc28_A+0.25*(nvbw_29+nvrb_29+nvru_29)*uc29_A</f>
        <v>9.775</v>
      </c>
      <c r="H63" s="6" t="s">
        <v>454</v>
      </c>
    </row>
    <row r="64" customFormat="false" ht="17.15" hidden="false" customHeight="false" outlineLevel="0" collapsed="false">
      <c r="A64" s="0" t="s">
        <v>455</v>
      </c>
      <c r="B64" s="3" t="s">
        <v>137</v>
      </c>
      <c r="D64" s="14" t="n">
        <f aca="false">D63*cpu_gpu</f>
        <v>3.1375</v>
      </c>
      <c r="E64" s="14" t="n">
        <f aca="false">E63*cpu_gpu</f>
        <v>3.875</v>
      </c>
      <c r="F64" s="14" t="n">
        <f aca="false">F63*cpu_gpu</f>
        <v>4.825</v>
      </c>
      <c r="G64" s="14" t="n">
        <f aca="false">G63*cpu_gpu</f>
        <v>4.8875</v>
      </c>
    </row>
    <row r="65" customFormat="false" ht="17.15" hidden="false" customHeight="false" outlineLevel="0" collapsed="false">
      <c r="A65" s="3" t="s">
        <v>456</v>
      </c>
      <c r="B65" s="0" t="s">
        <v>175</v>
      </c>
      <c r="E65" s="14" t="n">
        <f aca="false">1</f>
        <v>1</v>
      </c>
      <c r="F65" s="14" t="n">
        <f aca="false">E65*(1+g_hc)*(0.75*1+0.25*uc28_A)</f>
        <v>1.3</v>
      </c>
      <c r="G65" s="14" t="n">
        <f aca="false">F65*(1+g_hc)*(0.75*uc28_A+0.25*uc29_A)/(0.75*1+0.25*uc28_A)</f>
        <v>1.69</v>
      </c>
      <c r="H65" s="3" t="s">
        <v>457</v>
      </c>
    </row>
    <row r="66" customFormat="false" ht="17.15" hidden="false" customHeight="false" outlineLevel="0" collapsed="false">
      <c r="A66" s="3" t="s">
        <v>458</v>
      </c>
      <c r="B66" s="0" t="s">
        <v>175</v>
      </c>
      <c r="E66" s="14" t="n">
        <f aca="false">1</f>
        <v>1</v>
      </c>
      <c r="F66" s="14" t="n">
        <f aca="false">w_nv*F64/$E$64+(1-w_nv)*F65</f>
        <v>1.2808064516129</v>
      </c>
      <c r="G66" s="14" t="n">
        <f aca="false">w_nv*G64/$E$64+(1-w_nv)*G65</f>
        <v>1.53995161290323</v>
      </c>
    </row>
    <row r="67" customFormat="false" ht="17.15" hidden="false" customHeight="false" outlineLevel="0" collapsed="false">
      <c r="A67" s="3" t="s">
        <v>459</v>
      </c>
      <c r="B67" s="0" t="s">
        <v>175</v>
      </c>
      <c r="E67" s="14" t="n">
        <f aca="false">1</f>
        <v>1</v>
      </c>
      <c r="F67" s="14" t="n">
        <f aca="false">E67*(1+dcr)</f>
        <v>1.1</v>
      </c>
      <c r="G67" s="14" t="n">
        <f aca="false">F67*(1+dcr)</f>
        <v>1.21</v>
      </c>
    </row>
    <row r="68" customFormat="false" ht="17.15" hidden="false" customHeight="false" outlineLevel="0" collapsed="false">
      <c r="A68" s="1" t="s">
        <v>460</v>
      </c>
    </row>
    <row r="69" customFormat="false" ht="17.15" hidden="false" customHeight="false" outlineLevel="0" collapsed="false">
      <c r="A69" s="3" t="s">
        <v>421</v>
      </c>
      <c r="B69" s="3" t="s">
        <v>94</v>
      </c>
      <c r="D69" s="16" t="n">
        <f aca="false">ph_u26</f>
        <v>1.22</v>
      </c>
      <c r="E69" s="16" t="n">
        <f aca="false">D69</f>
        <v>1.22</v>
      </c>
      <c r="F69" s="16" t="n">
        <f aca="false">E69*(1+g_phu28)</f>
        <v>1.1956</v>
      </c>
      <c r="G69" s="16" t="n">
        <f aca="false">F69*(1+g_phu29)</f>
        <v>1.207556</v>
      </c>
      <c r="H69" s="6" t="s">
        <v>461</v>
      </c>
    </row>
    <row r="70" customFormat="false" ht="17.15" hidden="false" customHeight="false" outlineLevel="0" collapsed="false">
      <c r="A70" s="3" t="s">
        <v>462</v>
      </c>
      <c r="B70" s="0" t="s">
        <v>255</v>
      </c>
      <c r="D70" s="16" t="n">
        <f aca="false">ph_s*a26_ro/D69</f>
        <v>0.920975409836066</v>
      </c>
      <c r="E70" s="16" t="n">
        <f aca="false">D70*(1+g_ph27)</f>
        <v>1.03149245901639</v>
      </c>
      <c r="F70" s="16" t="n">
        <f aca="false">E70*(1+phr_A)</f>
        <v>1.17590140327869</v>
      </c>
      <c r="G70" s="16" t="n">
        <f aca="false">F70*(1+phr_A)</f>
        <v>1.34052759973771</v>
      </c>
      <c r="H70" s="6" t="s">
        <v>463</v>
      </c>
    </row>
    <row r="71" customFormat="false" ht="17.15" hidden="false" customHeight="false" outlineLevel="0" collapsed="false">
      <c r="A71" s="3" t="s">
        <v>464</v>
      </c>
      <c r="B71" s="0" t="s">
        <v>46</v>
      </c>
      <c r="C71" s="12" t="n">
        <f aca="false">ph_s*a25_ro</f>
        <v>0.93224</v>
      </c>
      <c r="D71" s="12" t="n">
        <f aca="false">ph_s*a26_ro</f>
        <v>1.12359</v>
      </c>
      <c r="E71" s="12" t="n">
        <f aca="false">E69*E70</f>
        <v>1.2584208</v>
      </c>
      <c r="F71" s="12" t="n">
        <f aca="false">F69*F70*(1+qc_adj)</f>
        <v>1.40590771776</v>
      </c>
      <c r="G71" s="12" t="n">
        <f aca="false">G69*G70*(1+qc_adj)</f>
        <v>1.61876214622886</v>
      </c>
      <c r="H71" s="6" t="s">
        <v>465</v>
      </c>
    </row>
    <row r="72" customFormat="false" ht="17.15" hidden="false" customHeight="false" outlineLevel="0" collapsed="false">
      <c r="A72" s="3" t="s">
        <v>466</v>
      </c>
      <c r="B72" s="0" t="s">
        <v>46</v>
      </c>
      <c r="C72" s="12" t="n">
        <f aca="false">dc_s*a25_ro</f>
        <v>0.30352</v>
      </c>
      <c r="D72" s="12" t="n">
        <f aca="false">dc_s*a26_ro</f>
        <v>0.36582</v>
      </c>
      <c r="E72" s="12" t="n">
        <f aca="false">D72*(1+g_dc27)</f>
        <v>0.621894</v>
      </c>
      <c r="F72" s="12" t="n">
        <f aca="false">$E72*F66*F67</f>
        <v>0.87617843216129</v>
      </c>
      <c r="G72" s="12" t="n">
        <f aca="false">$E72*G66*G67</f>
        <v>1.15880086870936</v>
      </c>
      <c r="H72" s="6" t="s">
        <v>467</v>
      </c>
    </row>
    <row r="73" customFormat="false" ht="15" hidden="false" customHeight="false" outlineLevel="0" collapsed="false">
      <c r="A73" s="3" t="s">
        <v>468</v>
      </c>
      <c r="B73" s="0" t="s">
        <v>46</v>
      </c>
      <c r="C73" s="12" t="n">
        <f aca="false">au_s*a25_ro</f>
        <v>0.19512</v>
      </c>
      <c r="D73" s="12" t="n">
        <f aca="false">au_s*a26_ro</f>
        <v>0.23517</v>
      </c>
      <c r="E73" s="12" t="n">
        <f aca="false">D73*(1+g_au27)</f>
        <v>0.2704455</v>
      </c>
      <c r="F73" s="12" t="n">
        <f aca="false">E73*(1+g_au)</f>
        <v>0.311012325</v>
      </c>
      <c r="G73" s="12" t="n">
        <f aca="false">F73*(1+g_au)</f>
        <v>0.35766417375</v>
      </c>
    </row>
    <row r="74" customFormat="false" ht="17.15" hidden="false" customHeight="false" outlineLevel="0" collapsed="false">
      <c r="A74" s="3" t="s">
        <v>469</v>
      </c>
      <c r="B74" s="0" t="s">
        <v>46</v>
      </c>
      <c r="C74" s="12" t="n">
        <f aca="false">a25_ro-C71-C72-C73</f>
        <v>0.73712</v>
      </c>
      <c r="D74" s="12" t="n">
        <f aca="false">a26_ro-D71-D72-D73</f>
        <v>0.88842</v>
      </c>
      <c r="E74" s="12" t="n">
        <f aca="false">a27_ro-E71-E72-E73</f>
        <v>0.8778397</v>
      </c>
      <c r="F74" s="12" t="n">
        <f aca="false">E74*(1+g_iot)</f>
        <v>0.912953288</v>
      </c>
      <c r="G74" s="12" t="n">
        <f aca="false">F74*(1+g_iot)</f>
        <v>0.94947141952</v>
      </c>
      <c r="H74" s="6" t="s">
        <v>470</v>
      </c>
    </row>
    <row r="75" customFormat="false" ht="17.15" hidden="false" customHeight="false" outlineLevel="0" collapsed="false">
      <c r="A75" s="3" t="s">
        <v>360</v>
      </c>
      <c r="B75" s="0" t="s">
        <v>46</v>
      </c>
      <c r="C75" s="12" t="n">
        <f aca="false">C71+C72+C73+C74</f>
        <v>2.168</v>
      </c>
      <c r="D75" s="12" t="n">
        <f aca="false">D71+D72+D73+D74</f>
        <v>2.613</v>
      </c>
      <c r="E75" s="12" t="n">
        <f aca="false">E71+E72+E73+E74</f>
        <v>3.0286</v>
      </c>
      <c r="F75" s="12" t="n">
        <f aca="false">F71+F72+F73+F74</f>
        <v>3.50605176292129</v>
      </c>
      <c r="G75" s="12" t="n">
        <f aca="false">G71+G72+G73+G74</f>
        <v>4.08469860820822</v>
      </c>
      <c r="H75" s="3" t="s">
        <v>471</v>
      </c>
    </row>
    <row r="76" customFormat="false" ht="15" hidden="false" customHeight="false" outlineLevel="0" collapsed="false">
      <c r="A76" s="3" t="s">
        <v>472</v>
      </c>
      <c r="B76" s="0" t="s">
        <v>27</v>
      </c>
      <c r="D76" s="13" t="n">
        <f aca="false">D75/C75-1</f>
        <v>0.205258302583026</v>
      </c>
      <c r="E76" s="13" t="n">
        <f aca="false">E75/D75-1</f>
        <v>0.159050899349407</v>
      </c>
      <c r="F76" s="13" t="n">
        <f aca="false">F75/E75-1</f>
        <v>0.157647679760051</v>
      </c>
      <c r="G76" s="13" t="n">
        <f aca="false">G75/F75-1</f>
        <v>0.165042299548023</v>
      </c>
    </row>
    <row r="77" customFormat="false" ht="17.15" hidden="false" customHeight="false" outlineLevel="0" collapsed="false">
      <c r="A77" s="1" t="s">
        <v>473</v>
      </c>
    </row>
    <row r="78" customFormat="false" ht="17.15" hidden="false" customHeight="false" outlineLevel="0" collapsed="false">
      <c r="A78" s="3" t="s">
        <v>474</v>
      </c>
      <c r="B78" s="0" t="s">
        <v>46</v>
      </c>
      <c r="C78" s="12" t="n">
        <f aca="false">0</f>
        <v>0</v>
      </c>
      <c r="D78" s="12" t="n">
        <f aca="false">0</f>
        <v>0</v>
      </c>
      <c r="E78" s="12" t="n">
        <f aca="false">chip_27</f>
        <v>0.15</v>
      </c>
      <c r="F78" s="12" t="n">
        <f aca="false">chip28_A</f>
        <v>1.4</v>
      </c>
      <c r="G78" s="12" t="n">
        <f aca="false">chip29_A</f>
        <v>3</v>
      </c>
      <c r="H78" s="3" t="s">
        <v>475</v>
      </c>
    </row>
    <row r="79" customFormat="false" ht="17.15" hidden="false" customHeight="false" outlineLevel="0" collapsed="false">
      <c r="A79" s="3" t="s">
        <v>476</v>
      </c>
      <c r="B79" s="0" t="s">
        <v>46</v>
      </c>
      <c r="C79" s="12" t="n">
        <f aca="false">a25_lo</f>
        <v>1.839</v>
      </c>
      <c r="D79" s="12" t="n">
        <f aca="false">a26_lo</f>
        <v>2.307</v>
      </c>
      <c r="E79" s="12" t="n">
        <f aca="false">a27_lo-E78</f>
        <v>2.70805</v>
      </c>
      <c r="F79" s="12" t="n">
        <f aca="false">E79*(1+g_lic)</f>
        <v>2.978855</v>
      </c>
      <c r="G79" s="12" t="n">
        <f aca="false">F79*(1+g_lic)</f>
        <v>3.2767405</v>
      </c>
    </row>
    <row r="80" customFormat="false" ht="17.15" hidden="false" customHeight="false" outlineLevel="0" collapsed="false">
      <c r="A80" s="3" t="s">
        <v>356</v>
      </c>
      <c r="B80" s="0" t="s">
        <v>46</v>
      </c>
      <c r="C80" s="12" t="n">
        <f aca="false">C79+C78</f>
        <v>1.839</v>
      </c>
      <c r="D80" s="12" t="n">
        <f aca="false">D79+D78</f>
        <v>2.307</v>
      </c>
      <c r="E80" s="12" t="n">
        <f aca="false">E79+E78</f>
        <v>2.85805</v>
      </c>
      <c r="F80" s="12" t="n">
        <f aca="false">F79+F78</f>
        <v>4.378855</v>
      </c>
      <c r="G80" s="12" t="n">
        <f aca="false">G79+G78</f>
        <v>6.2767405</v>
      </c>
      <c r="H80" s="3" t="s">
        <v>471</v>
      </c>
    </row>
    <row r="81" customFormat="false" ht="15" hidden="false" customHeight="false" outlineLevel="0" collapsed="false">
      <c r="A81" s="3" t="s">
        <v>361</v>
      </c>
      <c r="B81" s="0" t="s">
        <v>46</v>
      </c>
      <c r="C81" s="12" t="n">
        <f aca="false">C80+C75</f>
        <v>4.007</v>
      </c>
      <c r="D81" s="12" t="n">
        <f aca="false">D80+D75</f>
        <v>4.92</v>
      </c>
      <c r="E81" s="12" t="n">
        <f aca="false">E80+E75</f>
        <v>5.88665</v>
      </c>
      <c r="F81" s="12" t="n">
        <f aca="false">F80+F75</f>
        <v>7.88490676292129</v>
      </c>
      <c r="G81" s="12" t="n">
        <f aca="false">G80+G75</f>
        <v>10.3614391082082</v>
      </c>
    </row>
    <row r="82" customFormat="false" ht="15" hidden="false" customHeight="false" outlineLevel="0" collapsed="false">
      <c r="A82" s="3" t="s">
        <v>477</v>
      </c>
      <c r="B82" s="0" t="s">
        <v>27</v>
      </c>
      <c r="D82" s="13" t="n">
        <f aca="false">D81/C81-1</f>
        <v>0.227851260294485</v>
      </c>
      <c r="E82" s="13" t="n">
        <f aca="false">E81/D81-1</f>
        <v>0.196473577235772</v>
      </c>
      <c r="F82" s="13" t="n">
        <f aca="false">F81/E81-1</f>
        <v>0.339455677324334</v>
      </c>
      <c r="G82" s="13" t="n">
        <f aca="false">G81/F81-1</f>
        <v>0.314085178144756</v>
      </c>
    </row>
    <row r="83" customFormat="false" ht="17.15" hidden="false" customHeight="false" outlineLevel="0" collapsed="false">
      <c r="A83" s="3" t="s">
        <v>478</v>
      </c>
      <c r="B83" s="0" t="s">
        <v>46</v>
      </c>
      <c r="C83" s="16" t="n">
        <f aca="false">C80+C75-C81+(C71+C72+C73+C74-C75)+(C79+C78-C80)</f>
        <v>0</v>
      </c>
      <c r="D83" s="16" t="n">
        <f aca="false">D80+D75-D81+(D71+D72+D73+D74-D75)+(D79+D78-D80)</f>
        <v>0</v>
      </c>
      <c r="E83" s="16" t="n">
        <f aca="false">E80+E75-E81+(E71+E72+E73+E74-E75)+(E79+E78-E80)</f>
        <v>0</v>
      </c>
      <c r="F83" s="16" t="n">
        <f aca="false">F80+F75-F81+(F71+F72+F73+F74-F75)+(F79+F78-F80)</f>
        <v>0</v>
      </c>
      <c r="G83" s="16" t="n">
        <f aca="false">G80+G75-G81+(G71+G72+G73+G74-G75)+(G79+G78-G80)</f>
        <v>0</v>
      </c>
      <c r="H83" s="3" t="s">
        <v>479</v>
      </c>
    </row>
    <row r="84" customFormat="false" ht="17.15" hidden="false" customHeight="false" outlineLevel="0" collapsed="false">
      <c r="A84" s="3" t="s">
        <v>480</v>
      </c>
      <c r="B84" s="0" t="s">
        <v>46</v>
      </c>
      <c r="C84" s="16" t="n">
        <f aca="false">C81-a25_rev</f>
        <v>0</v>
      </c>
      <c r="D84" s="16" t="n">
        <f aca="false">D81-a26_rev</f>
        <v>0</v>
      </c>
      <c r="E84" s="16" t="n">
        <f aca="false">E81-a27_rev</f>
        <v>0</v>
      </c>
    </row>
    <row r="85" customFormat="false" ht="17.15" hidden="false" customHeight="false" outlineLevel="0" collapsed="false">
      <c r="A85" s="3" t="s">
        <v>429</v>
      </c>
      <c r="B85" s="0" t="s">
        <v>27</v>
      </c>
      <c r="C85" s="13" t="n">
        <f aca="false">C72/C75</f>
        <v>0.14</v>
      </c>
      <c r="D85" s="13" t="n">
        <f aca="false">D72/D75</f>
        <v>0.14</v>
      </c>
      <c r="E85" s="13" t="n">
        <f aca="false">E72/E75</f>
        <v>0.20534042131678</v>
      </c>
      <c r="F85" s="13" t="n">
        <f aca="false">F72/F75</f>
        <v>0.249904591092302</v>
      </c>
      <c r="G85" s="13" t="n">
        <f aca="false">G72/G75</f>
        <v>0.283693114194702</v>
      </c>
    </row>
    <row r="86" customFormat="false" ht="17.15" hidden="false" customHeight="false" outlineLevel="0" collapsed="false">
      <c r="A86" s="3" t="s">
        <v>481</v>
      </c>
      <c r="B86" s="0" t="s">
        <v>27</v>
      </c>
      <c r="C86" s="13" t="n">
        <f aca="false">C71/C75</f>
        <v>0.43</v>
      </c>
      <c r="D86" s="13" t="n">
        <f aca="false">D71/D75</f>
        <v>0.43</v>
      </c>
      <c r="E86" s="13" t="n">
        <f aca="false">E71/E75</f>
        <v>0.415512381958661</v>
      </c>
      <c r="F86" s="13" t="n">
        <f aca="false">F71/F75</f>
        <v>0.400994569626256</v>
      </c>
      <c r="G86" s="13" t="n">
        <f aca="false">G71/G75</f>
        <v>0.396299042229445</v>
      </c>
    </row>
    <row r="87" customFormat="false" ht="17.15" hidden="false" customHeight="false" outlineLevel="0" collapsed="false">
      <c r="A87" s="1" t="s">
        <v>482</v>
      </c>
    </row>
    <row r="88" customFormat="false" ht="17.15" hidden="false" customHeight="false" outlineLevel="0" collapsed="false">
      <c r="A88" s="3" t="s">
        <v>483</v>
      </c>
      <c r="B88" s="0" t="s">
        <v>46</v>
      </c>
      <c r="C88" s="12" t="n">
        <f aca="false">a25_cogs</f>
        <v>0.0869999999999997</v>
      </c>
      <c r="D88" s="12" t="n">
        <f aca="false">a26_cogs</f>
        <v>0.0879999999999996</v>
      </c>
      <c r="E88" s="12" t="n">
        <f aca="false">a27_cogs+E78*(1-chip_gm-cogs_r)</f>
        <v>0.19200535</v>
      </c>
      <c r="F88" s="12" t="n">
        <f aca="false">(F81-F78)*cogs_r+F78*(1-chip_gm)</f>
        <v>0.893213228495505</v>
      </c>
      <c r="G88" s="12" t="n">
        <f aca="false">(G81-G78)*cogs_r+G78*(1-chip_gm)</f>
        <v>1.78986734305596</v>
      </c>
      <c r="H88" s="6" t="s">
        <v>484</v>
      </c>
    </row>
    <row r="89" customFormat="false" ht="15" hidden="false" customHeight="false" outlineLevel="0" collapsed="false">
      <c r="A89" s="3" t="s">
        <v>485</v>
      </c>
      <c r="B89" s="0" t="s">
        <v>46</v>
      </c>
      <c r="C89" s="12" t="n">
        <f aca="false">C81-C88</f>
        <v>3.92</v>
      </c>
      <c r="D89" s="12" t="n">
        <f aca="false">D81-D88</f>
        <v>4.832</v>
      </c>
      <c r="E89" s="12" t="n">
        <f aca="false">E81-E88</f>
        <v>5.69464465</v>
      </c>
      <c r="F89" s="12" t="n">
        <f aca="false">F81-F88</f>
        <v>6.99169353442579</v>
      </c>
      <c r="G89" s="12" t="n">
        <f aca="false">G81-G88</f>
        <v>8.57157176515226</v>
      </c>
    </row>
    <row r="90" customFormat="false" ht="15" hidden="false" customHeight="false" outlineLevel="0" collapsed="false">
      <c r="A90" s="3" t="s">
        <v>441</v>
      </c>
      <c r="B90" s="0" t="s">
        <v>27</v>
      </c>
      <c r="C90" s="13" t="n">
        <f aca="false">C89/C81</f>
        <v>0.978287996006988</v>
      </c>
      <c r="D90" s="13" t="n">
        <f aca="false">D89/D81</f>
        <v>0.982113821138212</v>
      </c>
      <c r="E90" s="13" t="n">
        <f aca="false">E89/E81</f>
        <v>0.967382917278928</v>
      </c>
      <c r="F90" s="13" t="n">
        <f aca="false">F89/F81</f>
        <v>0.886718606148162</v>
      </c>
      <c r="G90" s="13" t="n">
        <f aca="false">G89/G81</f>
        <v>0.827256877701666</v>
      </c>
    </row>
    <row r="91" customFormat="false" ht="17.15" hidden="false" customHeight="false" outlineLevel="0" collapsed="false">
      <c r="A91" s="3" t="s">
        <v>486</v>
      </c>
      <c r="B91" s="0" t="s">
        <v>46</v>
      </c>
      <c r="C91" s="12" t="n">
        <f aca="false">a25_opx</f>
        <v>2.049</v>
      </c>
      <c r="D91" s="12" t="n">
        <f aca="false">a26_opx</f>
        <v>2.717</v>
      </c>
      <c r="E91" s="12" t="n">
        <f aca="false">a27_opx</f>
        <v>3.133</v>
      </c>
      <c r="F91" s="12" t="n">
        <f aca="false">E91*(1+g_opx)</f>
        <v>3.54029</v>
      </c>
      <c r="G91" s="12" t="n">
        <f aca="false">F91*(1+g_opx)</f>
        <v>4.0005277</v>
      </c>
    </row>
    <row r="92" customFormat="false" ht="17.15" hidden="false" customHeight="false" outlineLevel="0" collapsed="false">
      <c r="A92" s="3" t="s">
        <v>369</v>
      </c>
      <c r="B92" s="0" t="s">
        <v>46</v>
      </c>
      <c r="C92" s="12" t="n">
        <f aca="false">C89-C91</f>
        <v>1.871</v>
      </c>
      <c r="D92" s="12" t="n">
        <f aca="false">D89-D91</f>
        <v>2.115</v>
      </c>
      <c r="E92" s="12" t="n">
        <f aca="false">E89-E91</f>
        <v>2.56164465</v>
      </c>
      <c r="F92" s="12" t="n">
        <f aca="false">F89-F91</f>
        <v>3.45140353442579</v>
      </c>
      <c r="G92" s="12" t="n">
        <f aca="false">G89-G91</f>
        <v>4.57104406515227</v>
      </c>
    </row>
    <row r="93" customFormat="false" ht="15" hidden="false" customHeight="false" outlineLevel="0" collapsed="false">
      <c r="A93" s="3" t="s">
        <v>442</v>
      </c>
      <c r="B93" s="0" t="s">
        <v>27</v>
      </c>
      <c r="C93" s="13" t="n">
        <f aca="false">C92/C81</f>
        <v>0.466932867481907</v>
      </c>
      <c r="D93" s="13" t="n">
        <f aca="false">D92/D81</f>
        <v>0.429878048780488</v>
      </c>
      <c r="E93" s="13" t="n">
        <f aca="false">E92/E81</f>
        <v>0.435161704874589</v>
      </c>
      <c r="F93" s="13" t="n">
        <f aca="false">F92/F81</f>
        <v>0.437722808677458</v>
      </c>
      <c r="G93" s="13" t="n">
        <f aca="false">G92/G81</f>
        <v>0.441159188160565</v>
      </c>
    </row>
    <row r="94" customFormat="false" ht="17.15" hidden="false" customHeight="false" outlineLevel="0" collapsed="false">
      <c r="A94" s="3" t="s">
        <v>379</v>
      </c>
      <c r="B94" s="0" t="s">
        <v>46</v>
      </c>
      <c r="C94" s="12" t="n">
        <f aca="false">a25_ni</f>
        <v>1.737</v>
      </c>
      <c r="D94" s="12" t="n">
        <f aca="false">a26_ni</f>
        <v>1.889</v>
      </c>
      <c r="E94" s="12" t="n">
        <f aca="false">a27_ni-E78*(1-chip_gm-cogs_r)*(1-q_tx)</f>
        <v>2.2927479525</v>
      </c>
      <c r="F94" s="12" t="n">
        <f aca="false">(F92+oth_f)*(1-tx_f)</f>
        <v>3.05269300426192</v>
      </c>
      <c r="G94" s="12" t="n">
        <f aca="false">(G92+oth_f)*(1-tx_f)</f>
        <v>4.00438745537942</v>
      </c>
      <c r="H94" s="6" t="s">
        <v>487</v>
      </c>
    </row>
    <row r="95" customFormat="false" ht="15" hidden="false" customHeight="false" outlineLevel="0" collapsed="false">
      <c r="A95" s="3" t="s">
        <v>488</v>
      </c>
      <c r="B95" s="0" t="s">
        <v>27</v>
      </c>
      <c r="C95" s="13" t="n">
        <f aca="false">C94/C81</f>
        <v>0.433491390067382</v>
      </c>
      <c r="D95" s="13" t="n">
        <f aca="false">D94/D81</f>
        <v>0.383943089430894</v>
      </c>
      <c r="E95" s="13" t="n">
        <f aca="false">E94/E81</f>
        <v>0.389482634860235</v>
      </c>
      <c r="F95" s="13" t="n">
        <f aca="false">F94/F81</f>
        <v>0.387156512568694</v>
      </c>
      <c r="G95" s="13" t="n">
        <f aca="false">G94/G81</f>
        <v>0.386470201056067</v>
      </c>
    </row>
    <row r="96" customFormat="false" ht="15" hidden="false" customHeight="false" outlineLevel="0" collapsed="false">
      <c r="A96" s="3" t="s">
        <v>489</v>
      </c>
      <c r="B96" s="3" t="s">
        <v>71</v>
      </c>
      <c r="C96" s="17" t="n">
        <f aca="false">a25_sh</f>
        <v>1.063</v>
      </c>
      <c r="D96" s="17" t="n">
        <f aca="false">a26_sh</f>
        <v>1.068</v>
      </c>
      <c r="E96" s="17" t="n">
        <f aca="false">a27_sh</f>
        <v>1.08</v>
      </c>
      <c r="F96" s="17" t="n">
        <f aca="false">E96*(1+sh_g)</f>
        <v>1.08864</v>
      </c>
      <c r="G96" s="17" t="n">
        <f aca="false">F96*(1+sh_g)</f>
        <v>1.09734912</v>
      </c>
    </row>
    <row r="97" customFormat="false" ht="17.15" hidden="false" customHeight="false" outlineLevel="0" collapsed="false">
      <c r="A97" s="0" t="s">
        <v>382</v>
      </c>
      <c r="B97" s="0" t="s">
        <v>255</v>
      </c>
      <c r="C97" s="14" t="n">
        <f aca="false">C94/C96</f>
        <v>1.6340545625588</v>
      </c>
      <c r="D97" s="14" t="n">
        <f aca="false">D94/D96</f>
        <v>1.7687265917603</v>
      </c>
      <c r="E97" s="14" t="n">
        <f aca="false">E94/E96</f>
        <v>2.12291477083333</v>
      </c>
      <c r="F97" s="14" t="n">
        <f aca="false">F94/F96</f>
        <v>2.80413452037581</v>
      </c>
      <c r="G97" s="14" t="n">
        <f aca="false">G94/G96</f>
        <v>3.64914627660104</v>
      </c>
    </row>
    <row r="98" customFormat="false" ht="17.15" hidden="false" customHeight="false" outlineLevel="0" collapsed="false">
      <c r="A98" s="0" t="s">
        <v>490</v>
      </c>
      <c r="B98" s="0" t="s">
        <v>27</v>
      </c>
      <c r="D98" s="13" t="n">
        <f aca="false">D97/C97-1</f>
        <v>0.0824158704900391</v>
      </c>
      <c r="E98" s="13" t="n">
        <f aca="false">E97/D97-1</f>
        <v>0.200250383933298</v>
      </c>
      <c r="F98" s="13" t="n">
        <f aca="false">F97/E97-1</f>
        <v>0.320888883012042</v>
      </c>
      <c r="G98" s="13" t="n">
        <f aca="false">G97/F97-1</f>
        <v>0.301344942649892</v>
      </c>
    </row>
    <row r="101" customFormat="false" ht="17.15" hidden="false" customHeight="false" outlineLevel="0" collapsed="false">
      <c r="A101" s="9" t="s">
        <v>491</v>
      </c>
    </row>
    <row r="102" customFormat="false" ht="17.15" hidden="false" customHeight="false" outlineLevel="0" collapsed="false">
      <c r="A102" s="4" t="s">
        <v>16</v>
      </c>
      <c r="B102" s="4" t="s">
        <v>17</v>
      </c>
      <c r="C102" s="10" t="s">
        <v>349</v>
      </c>
      <c r="D102" s="10" t="s">
        <v>350</v>
      </c>
      <c r="E102" s="10" t="s">
        <v>410</v>
      </c>
      <c r="F102" s="10" t="s">
        <v>411</v>
      </c>
      <c r="G102" s="10" t="s">
        <v>412</v>
      </c>
      <c r="H102" s="4" t="s">
        <v>325</v>
      </c>
    </row>
    <row r="103" customFormat="false" ht="17.15" hidden="false" customHeight="false" outlineLevel="0" collapsed="false">
      <c r="A103" s="1" t="s">
        <v>452</v>
      </c>
    </row>
    <row r="104" customFormat="false" ht="17.15" hidden="false" customHeight="false" outlineLevel="0" collapsed="false">
      <c r="A104" s="0" t="s">
        <v>453</v>
      </c>
      <c r="B104" s="3" t="s">
        <v>137</v>
      </c>
      <c r="D104" s="14" t="n">
        <f aca="false">0.75*nv_cy25+0.25*(nvbw_26+nvrb_26+nvru_26)</f>
        <v>6.275</v>
      </c>
      <c r="E104" s="14" t="n">
        <f aca="false">0.75*(nvbw_26+nvrb_26+nvru_26)+0.25*(nvbw_27+nvrb_27+nvru_27)</f>
        <v>7.75</v>
      </c>
      <c r="F104" s="14" t="n">
        <f aca="false">0.75*(nvbw_27+nvrb_27+nvru_27)+0.25*(nvbw_28+nvrb_28+nvru_28)*uc28_B</f>
        <v>9.175</v>
      </c>
      <c r="G104" s="14" t="n">
        <f aca="false">0.75*(nvbw_28+nvrb_28+nvru_28)*uc28_B+0.25*(nvbw_29+nvrb_29+nvru_29)*uc29_B</f>
        <v>7.9525</v>
      </c>
      <c r="H104" s="6" t="s">
        <v>492</v>
      </c>
    </row>
    <row r="105" customFormat="false" ht="17.15" hidden="false" customHeight="false" outlineLevel="0" collapsed="false">
      <c r="A105" s="0" t="s">
        <v>455</v>
      </c>
      <c r="B105" s="3" t="s">
        <v>137</v>
      </c>
      <c r="D105" s="14" t="n">
        <f aca="false">D104*cpu_gpu</f>
        <v>3.1375</v>
      </c>
      <c r="E105" s="14" t="n">
        <f aca="false">E104*cpu_gpu</f>
        <v>3.875</v>
      </c>
      <c r="F105" s="14" t="n">
        <f aca="false">F104*cpu_gpu</f>
        <v>4.5875</v>
      </c>
      <c r="G105" s="14" t="n">
        <f aca="false">G104*cpu_gpu</f>
        <v>3.97625</v>
      </c>
    </row>
    <row r="106" customFormat="false" ht="17.15" hidden="false" customHeight="false" outlineLevel="0" collapsed="false">
      <c r="A106" s="3" t="s">
        <v>456</v>
      </c>
      <c r="B106" s="0" t="s">
        <v>175</v>
      </c>
      <c r="E106" s="14" t="n">
        <f aca="false">1</f>
        <v>1</v>
      </c>
      <c r="F106" s="14" t="n">
        <f aca="false">E106*(1+g_hc)*(0.75*1+0.25*uc28_B)</f>
        <v>1.235</v>
      </c>
      <c r="G106" s="14" t="n">
        <f aca="false">F106*(1+g_hc)*(0.75*uc28_B+0.25*uc29_B)/(0.75*1+0.25*uc28_B)</f>
        <v>1.373125</v>
      </c>
      <c r="H106" s="3" t="s">
        <v>457</v>
      </c>
    </row>
    <row r="107" customFormat="false" ht="17.15" hidden="false" customHeight="false" outlineLevel="0" collapsed="false">
      <c r="A107" s="3" t="s">
        <v>458</v>
      </c>
      <c r="B107" s="0" t="s">
        <v>175</v>
      </c>
      <c r="E107" s="14" t="n">
        <f aca="false">1</f>
        <v>1</v>
      </c>
      <c r="F107" s="14" t="n">
        <f aca="false">w_nv*F105/$E$105+(1-w_nv)*F106</f>
        <v>1.21710483870968</v>
      </c>
      <c r="G107" s="14" t="n">
        <f aca="false">w_nv*G105/$E$105+(1-w_nv)*G106</f>
        <v>1.25167641129032</v>
      </c>
    </row>
    <row r="108" customFormat="false" ht="17.15" hidden="false" customHeight="false" outlineLevel="0" collapsed="false">
      <c r="A108" s="3" t="s">
        <v>459</v>
      </c>
      <c r="B108" s="0" t="s">
        <v>175</v>
      </c>
      <c r="E108" s="14" t="n">
        <f aca="false">1</f>
        <v>1</v>
      </c>
      <c r="F108" s="14" t="n">
        <f aca="false">E108*(1+dcr)</f>
        <v>1.1</v>
      </c>
      <c r="G108" s="14" t="n">
        <f aca="false">F108*(1+dcr)</f>
        <v>1.21</v>
      </c>
    </row>
    <row r="109" customFormat="false" ht="17.15" hidden="false" customHeight="false" outlineLevel="0" collapsed="false">
      <c r="A109" s="1" t="s">
        <v>460</v>
      </c>
    </row>
    <row r="110" customFormat="false" ht="17.15" hidden="false" customHeight="false" outlineLevel="0" collapsed="false">
      <c r="A110" s="3" t="s">
        <v>421</v>
      </c>
      <c r="B110" s="3" t="s">
        <v>94</v>
      </c>
      <c r="D110" s="16" t="n">
        <f aca="false">ph_u26</f>
        <v>1.22</v>
      </c>
      <c r="E110" s="16" t="n">
        <f aca="false">D110</f>
        <v>1.22</v>
      </c>
      <c r="F110" s="16" t="n">
        <f aca="false">E110*(1+g_phu28)</f>
        <v>1.1956</v>
      </c>
      <c r="G110" s="16" t="n">
        <f aca="false">F110*(1+g_phu29)</f>
        <v>1.207556</v>
      </c>
      <c r="H110" s="6" t="s">
        <v>461</v>
      </c>
    </row>
    <row r="111" customFormat="false" ht="17.15" hidden="false" customHeight="false" outlineLevel="0" collapsed="false">
      <c r="A111" s="3" t="s">
        <v>462</v>
      </c>
      <c r="B111" s="0" t="s">
        <v>255</v>
      </c>
      <c r="D111" s="16" t="n">
        <f aca="false">ph_s*a26_ro/D110</f>
        <v>0.920975409836066</v>
      </c>
      <c r="E111" s="16" t="n">
        <f aca="false">D111*(1+g_ph27)</f>
        <v>1.03149245901639</v>
      </c>
      <c r="F111" s="16" t="n">
        <f aca="false">E111*(1+phr_B)</f>
        <v>1.1449566295082</v>
      </c>
      <c r="G111" s="16" t="n">
        <f aca="false">F111*(1+phr_B)</f>
        <v>1.2709018587541</v>
      </c>
      <c r="H111" s="6" t="s">
        <v>493</v>
      </c>
    </row>
    <row r="112" customFormat="false" ht="17.15" hidden="false" customHeight="false" outlineLevel="0" collapsed="false">
      <c r="A112" s="3" t="s">
        <v>464</v>
      </c>
      <c r="B112" s="0" t="s">
        <v>46</v>
      </c>
      <c r="C112" s="12" t="n">
        <f aca="false">ph_s*a25_ro</f>
        <v>0.93224</v>
      </c>
      <c r="D112" s="12" t="n">
        <f aca="false">ph_s*a26_ro</f>
        <v>1.12359</v>
      </c>
      <c r="E112" s="12" t="n">
        <f aca="false">E110*E111</f>
        <v>1.2584208</v>
      </c>
      <c r="F112" s="12" t="n">
        <f aca="false">F110*F111*(1+qc_adj)</f>
        <v>1.36891014624</v>
      </c>
      <c r="G112" s="12" t="n">
        <f aca="false">G110*G111*(1+qc_adj)</f>
        <v>1.53468516494966</v>
      </c>
      <c r="H112" s="6" t="s">
        <v>465</v>
      </c>
    </row>
    <row r="113" customFormat="false" ht="17.15" hidden="false" customHeight="false" outlineLevel="0" collapsed="false">
      <c r="A113" s="3" t="s">
        <v>466</v>
      </c>
      <c r="B113" s="0" t="s">
        <v>46</v>
      </c>
      <c r="C113" s="12" t="n">
        <f aca="false">dc_s*a25_ro</f>
        <v>0.30352</v>
      </c>
      <c r="D113" s="12" t="n">
        <f aca="false">dc_s*a26_ro</f>
        <v>0.36582</v>
      </c>
      <c r="E113" s="12" t="n">
        <f aca="false">D113*(1+g_dc27)</f>
        <v>0.621894</v>
      </c>
      <c r="F113" s="12" t="n">
        <f aca="false">$E113*F107*F108</f>
        <v>0.832601216220968</v>
      </c>
      <c r="G113" s="12" t="n">
        <f aca="false">$E113*G107*G108</f>
        <v>0.941876160648811</v>
      </c>
      <c r="H113" s="6" t="s">
        <v>467</v>
      </c>
    </row>
    <row r="114" customFormat="false" ht="15" hidden="false" customHeight="false" outlineLevel="0" collapsed="false">
      <c r="A114" s="3" t="s">
        <v>468</v>
      </c>
      <c r="B114" s="0" t="s">
        <v>46</v>
      </c>
      <c r="C114" s="12" t="n">
        <f aca="false">au_s*a25_ro</f>
        <v>0.19512</v>
      </c>
      <c r="D114" s="12" t="n">
        <f aca="false">au_s*a26_ro</f>
        <v>0.23517</v>
      </c>
      <c r="E114" s="12" t="n">
        <f aca="false">D114*(1+g_au27)</f>
        <v>0.2704455</v>
      </c>
      <c r="F114" s="12" t="n">
        <f aca="false">E114*(1+g_au)</f>
        <v>0.311012325</v>
      </c>
      <c r="G114" s="12" t="n">
        <f aca="false">F114*(1+g_au)</f>
        <v>0.35766417375</v>
      </c>
    </row>
    <row r="115" customFormat="false" ht="17.15" hidden="false" customHeight="false" outlineLevel="0" collapsed="false">
      <c r="A115" s="3" t="s">
        <v>469</v>
      </c>
      <c r="B115" s="0" t="s">
        <v>46</v>
      </c>
      <c r="C115" s="12" t="n">
        <f aca="false">a25_ro-C112-C113-C114</f>
        <v>0.73712</v>
      </c>
      <c r="D115" s="12" t="n">
        <f aca="false">a26_ro-D112-D113-D114</f>
        <v>0.88842</v>
      </c>
      <c r="E115" s="12" t="n">
        <f aca="false">a27_ro-E112-E113-E114</f>
        <v>0.8778397</v>
      </c>
      <c r="F115" s="12" t="n">
        <f aca="false">E115*(1+g_iot)</f>
        <v>0.912953288</v>
      </c>
      <c r="G115" s="12" t="n">
        <f aca="false">F115*(1+g_iot)</f>
        <v>0.94947141952</v>
      </c>
      <c r="H115" s="6" t="s">
        <v>470</v>
      </c>
    </row>
    <row r="116" customFormat="false" ht="17.15" hidden="false" customHeight="false" outlineLevel="0" collapsed="false">
      <c r="A116" s="3" t="s">
        <v>360</v>
      </c>
      <c r="B116" s="0" t="s">
        <v>46</v>
      </c>
      <c r="C116" s="12" t="n">
        <f aca="false">C112+C113+C114+C115</f>
        <v>2.168</v>
      </c>
      <c r="D116" s="12" t="n">
        <f aca="false">D112+D113+D114+D115</f>
        <v>2.613</v>
      </c>
      <c r="E116" s="12" t="n">
        <f aca="false">E112+E113+E114+E115</f>
        <v>3.0286</v>
      </c>
      <c r="F116" s="12" t="n">
        <f aca="false">F112+F113+F114+F115</f>
        <v>3.42547697546097</v>
      </c>
      <c r="G116" s="12" t="n">
        <f aca="false">G112+G113+G114+G115</f>
        <v>3.78369691886848</v>
      </c>
      <c r="H116" s="3" t="s">
        <v>471</v>
      </c>
    </row>
    <row r="117" customFormat="false" ht="15" hidden="false" customHeight="false" outlineLevel="0" collapsed="false">
      <c r="A117" s="3" t="s">
        <v>472</v>
      </c>
      <c r="B117" s="0" t="s">
        <v>27</v>
      </c>
      <c r="D117" s="13" t="n">
        <f aca="false">D116/C116-1</f>
        <v>0.205258302583026</v>
      </c>
      <c r="E117" s="13" t="n">
        <f aca="false">E116/D116-1</f>
        <v>0.159050899349407</v>
      </c>
      <c r="F117" s="13" t="n">
        <f aca="false">F116/E116-1</f>
        <v>0.131043048095149</v>
      </c>
      <c r="G117" s="13" t="n">
        <f aca="false">G116/F116-1</f>
        <v>0.104575201051907</v>
      </c>
    </row>
    <row r="118" customFormat="false" ht="17.15" hidden="false" customHeight="false" outlineLevel="0" collapsed="false">
      <c r="A118" s="1" t="s">
        <v>473</v>
      </c>
    </row>
    <row r="119" customFormat="false" ht="17.15" hidden="false" customHeight="false" outlineLevel="0" collapsed="false">
      <c r="A119" s="3" t="s">
        <v>474</v>
      </c>
      <c r="B119" s="0" t="s">
        <v>46</v>
      </c>
      <c r="C119" s="12" t="n">
        <f aca="false">0</f>
        <v>0</v>
      </c>
      <c r="D119" s="12" t="n">
        <f aca="false">0</f>
        <v>0</v>
      </c>
      <c r="E119" s="12" t="n">
        <f aca="false">chip_27</f>
        <v>0.15</v>
      </c>
      <c r="F119" s="12" t="n">
        <f aca="false">chip28_B</f>
        <v>1</v>
      </c>
      <c r="G119" s="12" t="n">
        <f aca="false">chip29_B</f>
        <v>2</v>
      </c>
      <c r="H119" s="3" t="s">
        <v>494</v>
      </c>
    </row>
    <row r="120" customFormat="false" ht="17.15" hidden="false" customHeight="false" outlineLevel="0" collapsed="false">
      <c r="A120" s="3" t="s">
        <v>476</v>
      </c>
      <c r="B120" s="0" t="s">
        <v>46</v>
      </c>
      <c r="C120" s="12" t="n">
        <f aca="false">a25_lo</f>
        <v>1.839</v>
      </c>
      <c r="D120" s="12" t="n">
        <f aca="false">a26_lo</f>
        <v>2.307</v>
      </c>
      <c r="E120" s="12" t="n">
        <f aca="false">a27_lo-E119</f>
        <v>2.70805</v>
      </c>
      <c r="F120" s="12" t="n">
        <f aca="false">E120*(1+g_lic)</f>
        <v>2.978855</v>
      </c>
      <c r="G120" s="12" t="n">
        <f aca="false">F120*(1+g_lic)</f>
        <v>3.2767405</v>
      </c>
    </row>
    <row r="121" customFormat="false" ht="17.15" hidden="false" customHeight="false" outlineLevel="0" collapsed="false">
      <c r="A121" s="3" t="s">
        <v>356</v>
      </c>
      <c r="B121" s="0" t="s">
        <v>46</v>
      </c>
      <c r="C121" s="12" t="n">
        <f aca="false">C120+C119</f>
        <v>1.839</v>
      </c>
      <c r="D121" s="12" t="n">
        <f aca="false">D120+D119</f>
        <v>2.307</v>
      </c>
      <c r="E121" s="12" t="n">
        <f aca="false">E120+E119</f>
        <v>2.85805</v>
      </c>
      <c r="F121" s="12" t="n">
        <f aca="false">F120+F119</f>
        <v>3.978855</v>
      </c>
      <c r="G121" s="12" t="n">
        <f aca="false">G120+G119</f>
        <v>5.2767405</v>
      </c>
      <c r="H121" s="3" t="s">
        <v>471</v>
      </c>
    </row>
    <row r="122" customFormat="false" ht="15" hidden="false" customHeight="false" outlineLevel="0" collapsed="false">
      <c r="A122" s="3" t="s">
        <v>361</v>
      </c>
      <c r="B122" s="0" t="s">
        <v>46</v>
      </c>
      <c r="C122" s="12" t="n">
        <f aca="false">C121+C116</f>
        <v>4.007</v>
      </c>
      <c r="D122" s="12" t="n">
        <f aca="false">D121+D116</f>
        <v>4.92</v>
      </c>
      <c r="E122" s="12" t="n">
        <f aca="false">E121+E116</f>
        <v>5.88665</v>
      </c>
      <c r="F122" s="12" t="n">
        <f aca="false">F121+F116</f>
        <v>7.40433197546097</v>
      </c>
      <c r="G122" s="12" t="n">
        <f aca="false">G121+G116</f>
        <v>9.06043741886848</v>
      </c>
    </row>
    <row r="123" customFormat="false" ht="15" hidden="false" customHeight="false" outlineLevel="0" collapsed="false">
      <c r="A123" s="3" t="s">
        <v>477</v>
      </c>
      <c r="B123" s="0" t="s">
        <v>27</v>
      </c>
      <c r="D123" s="13" t="n">
        <f aca="false">D122/C122-1</f>
        <v>0.227851260294485</v>
      </c>
      <c r="E123" s="13" t="n">
        <f aca="false">E122/D122-1</f>
        <v>0.196473577235772</v>
      </c>
      <c r="F123" s="13" t="n">
        <f aca="false">F122/E122-1</f>
        <v>0.257817600071512</v>
      </c>
      <c r="G123" s="13" t="n">
        <f aca="false">G122/F122-1</f>
        <v>0.223667097706597</v>
      </c>
    </row>
    <row r="124" customFormat="false" ht="17.15" hidden="false" customHeight="false" outlineLevel="0" collapsed="false">
      <c r="A124" s="3" t="s">
        <v>478</v>
      </c>
      <c r="B124" s="0" t="s">
        <v>46</v>
      </c>
      <c r="C124" s="16" t="n">
        <f aca="false">C121+C116-C122+(C112+C113+C114+C115-C116)+(C120+C119-C121)</f>
        <v>0</v>
      </c>
      <c r="D124" s="16" t="n">
        <f aca="false">D121+D116-D122+(D112+D113+D114+D115-D116)+(D120+D119-D121)</f>
        <v>0</v>
      </c>
      <c r="E124" s="16" t="n">
        <f aca="false">E121+E116-E122+(E112+E113+E114+E115-E116)+(E120+E119-E121)</f>
        <v>0</v>
      </c>
      <c r="F124" s="16" t="n">
        <f aca="false">F121+F116-F122+(F112+F113+F114+F115-F116)+(F120+F119-F121)</f>
        <v>0</v>
      </c>
      <c r="G124" s="16" t="n">
        <f aca="false">G121+G116-G122+(G112+G113+G114+G115-G116)+(G120+G119-G121)</f>
        <v>0</v>
      </c>
      <c r="H124" s="3" t="s">
        <v>479</v>
      </c>
    </row>
    <row r="125" customFormat="false" ht="17.15" hidden="false" customHeight="false" outlineLevel="0" collapsed="false">
      <c r="A125" s="3" t="s">
        <v>480</v>
      </c>
      <c r="B125" s="0" t="s">
        <v>46</v>
      </c>
      <c r="C125" s="16" t="n">
        <f aca="false">C122-a25_rev</f>
        <v>0</v>
      </c>
      <c r="D125" s="16" t="n">
        <f aca="false">D122-a26_rev</f>
        <v>0</v>
      </c>
      <c r="E125" s="16" t="n">
        <f aca="false">E122-a27_rev</f>
        <v>0</v>
      </c>
    </row>
    <row r="126" customFormat="false" ht="17.15" hidden="false" customHeight="false" outlineLevel="0" collapsed="false">
      <c r="A126" s="3" t="s">
        <v>429</v>
      </c>
      <c r="B126" s="0" t="s">
        <v>27</v>
      </c>
      <c r="C126" s="13" t="n">
        <f aca="false">C113/C116</f>
        <v>0.14</v>
      </c>
      <c r="D126" s="13" t="n">
        <f aca="false">D113/D116</f>
        <v>0.14</v>
      </c>
      <c r="E126" s="13" t="n">
        <f aca="false">E113/E116</f>
        <v>0.20534042131678</v>
      </c>
      <c r="F126" s="13" t="n">
        <f aca="false">F113/F116</f>
        <v>0.243061396175032</v>
      </c>
      <c r="G126" s="13" t="n">
        <f aca="false">G113/G116</f>
        <v>0.2489301286136</v>
      </c>
    </row>
    <row r="127" customFormat="false" ht="17.15" hidden="false" customHeight="false" outlineLevel="0" collapsed="false">
      <c r="A127" s="3" t="s">
        <v>481</v>
      </c>
      <c r="B127" s="0" t="s">
        <v>27</v>
      </c>
      <c r="C127" s="13" t="n">
        <f aca="false">C112/C116</f>
        <v>0.43</v>
      </c>
      <c r="D127" s="13" t="n">
        <f aca="false">D112/D116</f>
        <v>0.43</v>
      </c>
      <c r="E127" s="13" t="n">
        <f aca="false">E112/E116</f>
        <v>0.415512381958661</v>
      </c>
      <c r="F127" s="13" t="n">
        <f aca="false">F112/F116</f>
        <v>0.399626141423936</v>
      </c>
      <c r="G127" s="13" t="n">
        <f aca="false">G112/G116</f>
        <v>0.405604676552322</v>
      </c>
    </row>
    <row r="128" customFormat="false" ht="17.15" hidden="false" customHeight="false" outlineLevel="0" collapsed="false">
      <c r="A128" s="1" t="s">
        <v>482</v>
      </c>
    </row>
    <row r="129" customFormat="false" ht="17.15" hidden="false" customHeight="false" outlineLevel="0" collapsed="false">
      <c r="A129" s="3" t="s">
        <v>483</v>
      </c>
      <c r="B129" s="0" t="s">
        <v>46</v>
      </c>
      <c r="C129" s="12" t="n">
        <f aca="false">a25_cogs</f>
        <v>0.0869999999999997</v>
      </c>
      <c r="D129" s="12" t="n">
        <f aca="false">a26_cogs</f>
        <v>0.0879999999999996</v>
      </c>
      <c r="E129" s="12" t="n">
        <f aca="false">a27_cogs+E119*(1-chip_gm-cogs_r)</f>
        <v>0.19200535</v>
      </c>
      <c r="F129" s="12" t="n">
        <f aca="false">(F122-F119)*cogs_r+F119*(1-chip_gm)</f>
        <v>0.671682307533759</v>
      </c>
      <c r="G129" s="12" t="n">
        <f aca="false">(G122-G119)*cogs_r+G119*(1-chip_gm)</f>
        <v>1.2341483109585</v>
      </c>
      <c r="H129" s="6" t="s">
        <v>484</v>
      </c>
    </row>
    <row r="130" customFormat="false" ht="15" hidden="false" customHeight="false" outlineLevel="0" collapsed="false">
      <c r="A130" s="3" t="s">
        <v>485</v>
      </c>
      <c r="B130" s="0" t="s">
        <v>46</v>
      </c>
      <c r="C130" s="12" t="n">
        <f aca="false">C122-C129</f>
        <v>3.92</v>
      </c>
      <c r="D130" s="12" t="n">
        <f aca="false">D122-D129</f>
        <v>4.832</v>
      </c>
      <c r="E130" s="12" t="n">
        <f aca="false">E122-E129</f>
        <v>5.69464465</v>
      </c>
      <c r="F130" s="12" t="n">
        <f aca="false">F122-F129</f>
        <v>6.73264966792721</v>
      </c>
      <c r="G130" s="12" t="n">
        <f aca="false">G122-G129</f>
        <v>7.82628910790998</v>
      </c>
    </row>
    <row r="131" customFormat="false" ht="15" hidden="false" customHeight="false" outlineLevel="0" collapsed="false">
      <c r="A131" s="3" t="s">
        <v>441</v>
      </c>
      <c r="B131" s="0" t="s">
        <v>27</v>
      </c>
      <c r="C131" s="13" t="n">
        <f aca="false">C130/C122</f>
        <v>0.978287996006988</v>
      </c>
      <c r="D131" s="13" t="n">
        <f aca="false">D130/D122</f>
        <v>0.982113821138212</v>
      </c>
      <c r="E131" s="13" t="n">
        <f aca="false">E130/E122</f>
        <v>0.967382917278928</v>
      </c>
      <c r="F131" s="13" t="n">
        <f aca="false">F130/F122</f>
        <v>0.909285225222233</v>
      </c>
      <c r="G131" s="13" t="n">
        <f aca="false">G130/G122</f>
        <v>0.863787116018442</v>
      </c>
    </row>
    <row r="132" customFormat="false" ht="17.15" hidden="false" customHeight="false" outlineLevel="0" collapsed="false">
      <c r="A132" s="3" t="s">
        <v>486</v>
      </c>
      <c r="B132" s="0" t="s">
        <v>46</v>
      </c>
      <c r="C132" s="12" t="n">
        <f aca="false">a25_opx</f>
        <v>2.049</v>
      </c>
      <c r="D132" s="12" t="n">
        <f aca="false">a26_opx</f>
        <v>2.717</v>
      </c>
      <c r="E132" s="12" t="n">
        <f aca="false">a27_opx</f>
        <v>3.133</v>
      </c>
      <c r="F132" s="12" t="n">
        <f aca="false">E132*(1+g_opx)</f>
        <v>3.54029</v>
      </c>
      <c r="G132" s="12" t="n">
        <f aca="false">F132*(1+g_opx)</f>
        <v>4.0005277</v>
      </c>
    </row>
    <row r="133" customFormat="false" ht="17.15" hidden="false" customHeight="false" outlineLevel="0" collapsed="false">
      <c r="A133" s="3" t="s">
        <v>369</v>
      </c>
      <c r="B133" s="0" t="s">
        <v>46</v>
      </c>
      <c r="C133" s="12" t="n">
        <f aca="false">C130-C132</f>
        <v>1.871</v>
      </c>
      <c r="D133" s="12" t="n">
        <f aca="false">D130-D132</f>
        <v>2.115</v>
      </c>
      <c r="E133" s="12" t="n">
        <f aca="false">E130-E132</f>
        <v>2.56164465</v>
      </c>
      <c r="F133" s="12" t="n">
        <f aca="false">F130-F132</f>
        <v>3.19235966792721</v>
      </c>
      <c r="G133" s="12" t="n">
        <f aca="false">G130-G132</f>
        <v>3.82576140790998</v>
      </c>
    </row>
    <row r="134" customFormat="false" ht="15" hidden="false" customHeight="false" outlineLevel="0" collapsed="false">
      <c r="A134" s="3" t="s">
        <v>442</v>
      </c>
      <c r="B134" s="0" t="s">
        <v>27</v>
      </c>
      <c r="C134" s="13" t="n">
        <f aca="false">C133/C122</f>
        <v>0.466932867481907</v>
      </c>
      <c r="D134" s="13" t="n">
        <f aca="false">D133/D122</f>
        <v>0.429878048780488</v>
      </c>
      <c r="E134" s="13" t="n">
        <f aca="false">E133/E122</f>
        <v>0.435161704874589</v>
      </c>
      <c r="F134" s="13" t="n">
        <f aca="false">F133/F122</f>
        <v>0.43114756044261</v>
      </c>
      <c r="G134" s="13" t="n">
        <f aca="false">G133/G122</f>
        <v>0.422249084789525</v>
      </c>
    </row>
    <row r="135" customFormat="false" ht="17.15" hidden="false" customHeight="false" outlineLevel="0" collapsed="false">
      <c r="A135" s="3" t="s">
        <v>379</v>
      </c>
      <c r="B135" s="0" t="s">
        <v>46</v>
      </c>
      <c r="C135" s="12" t="n">
        <f aca="false">a25_ni</f>
        <v>1.737</v>
      </c>
      <c r="D135" s="12" t="n">
        <f aca="false">a26_ni</f>
        <v>1.889</v>
      </c>
      <c r="E135" s="12" t="n">
        <f aca="false">a27_ni-E119*(1-chip_gm-cogs_r)*(1-q_tx)</f>
        <v>2.2927479525</v>
      </c>
      <c r="F135" s="12" t="n">
        <f aca="false">(F133+oth_f)*(1-tx_f)</f>
        <v>2.83250571773813</v>
      </c>
      <c r="G135" s="12" t="n">
        <f aca="false">(G133+oth_f)*(1-tx_f)</f>
        <v>3.37089719672348</v>
      </c>
      <c r="H135" s="6" t="s">
        <v>487</v>
      </c>
    </row>
    <row r="136" customFormat="false" ht="15" hidden="false" customHeight="false" outlineLevel="0" collapsed="false">
      <c r="A136" s="3" t="s">
        <v>488</v>
      </c>
      <c r="B136" s="0" t="s">
        <v>27</v>
      </c>
      <c r="C136" s="13" t="n">
        <f aca="false">C135/C122</f>
        <v>0.433491390067382</v>
      </c>
      <c r="D136" s="13" t="n">
        <f aca="false">D135/D122</f>
        <v>0.383943089430894</v>
      </c>
      <c r="E136" s="13" t="n">
        <f aca="false">E135/E122</f>
        <v>0.389482634860235</v>
      </c>
      <c r="F136" s="13" t="n">
        <f aca="false">F135/F122</f>
        <v>0.382547099066528</v>
      </c>
      <c r="G136" s="13" t="n">
        <f aca="false">G135/G122</f>
        <v>0.372045745794076</v>
      </c>
    </row>
    <row r="137" customFormat="false" ht="15" hidden="false" customHeight="false" outlineLevel="0" collapsed="false">
      <c r="A137" s="3" t="s">
        <v>489</v>
      </c>
      <c r="B137" s="3" t="s">
        <v>71</v>
      </c>
      <c r="C137" s="17" t="n">
        <f aca="false">a25_sh</f>
        <v>1.063</v>
      </c>
      <c r="D137" s="17" t="n">
        <f aca="false">a26_sh</f>
        <v>1.068</v>
      </c>
      <c r="E137" s="17" t="n">
        <f aca="false">a27_sh</f>
        <v>1.08</v>
      </c>
      <c r="F137" s="17" t="n">
        <f aca="false">E137*(1+sh_g)</f>
        <v>1.08864</v>
      </c>
      <c r="G137" s="17" t="n">
        <f aca="false">F137*(1+sh_g)</f>
        <v>1.09734912</v>
      </c>
    </row>
    <row r="138" customFormat="false" ht="17.15" hidden="false" customHeight="false" outlineLevel="0" collapsed="false">
      <c r="A138" s="0" t="s">
        <v>382</v>
      </c>
      <c r="B138" s="0" t="s">
        <v>255</v>
      </c>
      <c r="C138" s="14" t="n">
        <f aca="false">C135/C137</f>
        <v>1.6340545625588</v>
      </c>
      <c r="D138" s="14" t="n">
        <f aca="false">D135/D137</f>
        <v>1.7687265917603</v>
      </c>
      <c r="E138" s="14" t="n">
        <f aca="false">E135/E137</f>
        <v>2.12291477083333</v>
      </c>
      <c r="F138" s="14" t="n">
        <f aca="false">F135/F137</f>
        <v>2.6018754755825</v>
      </c>
      <c r="G138" s="14" t="n">
        <f aca="false">G135/G137</f>
        <v>3.07185483205516</v>
      </c>
    </row>
    <row r="139" customFormat="false" ht="17.15" hidden="false" customHeight="false" outlineLevel="0" collapsed="false">
      <c r="A139" s="0" t="s">
        <v>490</v>
      </c>
      <c r="B139" s="0" t="s">
        <v>27</v>
      </c>
      <c r="D139" s="13" t="n">
        <f aca="false">D138/C138-1</f>
        <v>0.0824158704900391</v>
      </c>
      <c r="E139" s="13" t="n">
        <f aca="false">E138/D138-1</f>
        <v>0.200250383933298</v>
      </c>
      <c r="F139" s="13" t="n">
        <f aca="false">F138/E138-1</f>
        <v>0.225614664954802</v>
      </c>
      <c r="G139" s="13" t="n">
        <f aca="false">G138/F138-1</f>
        <v>0.180630995173759</v>
      </c>
    </row>
    <row r="142" customFormat="false" ht="17.15" hidden="false" customHeight="false" outlineLevel="0" collapsed="false">
      <c r="A142" s="9" t="s">
        <v>495</v>
      </c>
    </row>
    <row r="143" customFormat="false" ht="17.15" hidden="false" customHeight="false" outlineLevel="0" collapsed="false">
      <c r="A143" s="4" t="s">
        <v>16</v>
      </c>
      <c r="B143" s="4" t="s">
        <v>17</v>
      </c>
      <c r="C143" s="10" t="s">
        <v>349</v>
      </c>
      <c r="D143" s="10" t="s">
        <v>350</v>
      </c>
      <c r="E143" s="10" t="s">
        <v>410</v>
      </c>
      <c r="F143" s="10" t="s">
        <v>411</v>
      </c>
      <c r="G143" s="10" t="s">
        <v>412</v>
      </c>
      <c r="H143" s="4" t="s">
        <v>325</v>
      </c>
    </row>
    <row r="144" customFormat="false" ht="17.15" hidden="false" customHeight="false" outlineLevel="0" collapsed="false">
      <c r="A144" s="1" t="s">
        <v>452</v>
      </c>
    </row>
    <row r="145" customFormat="false" ht="17.15" hidden="false" customHeight="false" outlineLevel="0" collapsed="false">
      <c r="A145" s="0" t="s">
        <v>453</v>
      </c>
      <c r="B145" s="3" t="s">
        <v>137</v>
      </c>
      <c r="D145" s="14" t="n">
        <f aca="false">0.75*nv_cy25+0.25*(nvbw_26+nvrb_26+nvru_26)</f>
        <v>6.275</v>
      </c>
      <c r="E145" s="14" t="n">
        <f aca="false">0.75*(nvbw_26+nvrb_26+nvru_26)+0.25*(nvbw_27+nvrb_27+nvru_27)</f>
        <v>7.75</v>
      </c>
      <c r="F145" s="14" t="n">
        <f aca="false">0.75*(nvbw_27+nvrb_27+nvru_27)+0.25*(nvbw_28+nvrb_28+nvru_28)*uc28_C</f>
        <v>8.7</v>
      </c>
      <c r="G145" s="14" t="n">
        <f aca="false">0.75*(nvbw_28+nvrb_28+nvru_28)*uc28_C+0.25*(nvbw_29+nvrb_29+nvru_29)*uc29_C</f>
        <v>5.865</v>
      </c>
      <c r="H145" s="6" t="s">
        <v>496</v>
      </c>
    </row>
    <row r="146" customFormat="false" ht="17.15" hidden="false" customHeight="false" outlineLevel="0" collapsed="false">
      <c r="A146" s="0" t="s">
        <v>455</v>
      </c>
      <c r="B146" s="3" t="s">
        <v>137</v>
      </c>
      <c r="D146" s="14" t="n">
        <f aca="false">D145*cpu_gpu</f>
        <v>3.1375</v>
      </c>
      <c r="E146" s="14" t="n">
        <f aca="false">E145*cpu_gpu</f>
        <v>3.875</v>
      </c>
      <c r="F146" s="14" t="n">
        <f aca="false">F145*cpu_gpu</f>
        <v>4.35</v>
      </c>
      <c r="G146" s="14" t="n">
        <f aca="false">G145*cpu_gpu</f>
        <v>2.9325</v>
      </c>
    </row>
    <row r="147" customFormat="false" ht="17.15" hidden="false" customHeight="false" outlineLevel="0" collapsed="false">
      <c r="A147" s="3" t="s">
        <v>456</v>
      </c>
      <c r="B147" s="0" t="s">
        <v>175</v>
      </c>
      <c r="E147" s="14" t="n">
        <f aca="false">1</f>
        <v>1</v>
      </c>
      <c r="F147" s="14" t="n">
        <f aca="false">E147*(1+g_hc)*(0.75*1+0.25*uc28_C)</f>
        <v>1.17</v>
      </c>
      <c r="G147" s="14" t="n">
        <f aca="false">F147*(1+g_hc)*(0.75*uc28_C+0.25*uc29_C)/(0.75*1+0.25*uc28_C)</f>
        <v>1.014</v>
      </c>
      <c r="H147" s="3" t="s">
        <v>457</v>
      </c>
    </row>
    <row r="148" customFormat="false" ht="17.15" hidden="false" customHeight="false" outlineLevel="0" collapsed="false">
      <c r="A148" s="3" t="s">
        <v>458</v>
      </c>
      <c r="B148" s="0" t="s">
        <v>175</v>
      </c>
      <c r="E148" s="14" t="n">
        <f aca="false">1</f>
        <v>1</v>
      </c>
      <c r="F148" s="14" t="n">
        <f aca="false">w_nv*F146/$E$146+(1-w_nv)*F147</f>
        <v>1.15340322580645</v>
      </c>
      <c r="G148" s="14" t="n">
        <f aca="false">w_nv*G146/$E$146+(1-w_nv)*G147</f>
        <v>0.923970967741936</v>
      </c>
    </row>
    <row r="149" customFormat="false" ht="17.15" hidden="false" customHeight="false" outlineLevel="0" collapsed="false">
      <c r="A149" s="3" t="s">
        <v>459</v>
      </c>
      <c r="B149" s="0" t="s">
        <v>175</v>
      </c>
      <c r="E149" s="14" t="n">
        <f aca="false">1</f>
        <v>1</v>
      </c>
      <c r="F149" s="14" t="n">
        <f aca="false">E149*(1+dcr)</f>
        <v>1.1</v>
      </c>
      <c r="G149" s="14" t="n">
        <f aca="false">F149*(1+dcr)</f>
        <v>1.21</v>
      </c>
    </row>
    <row r="150" customFormat="false" ht="17.15" hidden="false" customHeight="false" outlineLevel="0" collapsed="false">
      <c r="A150" s="1" t="s">
        <v>460</v>
      </c>
    </row>
    <row r="151" customFormat="false" ht="17.15" hidden="false" customHeight="false" outlineLevel="0" collapsed="false">
      <c r="A151" s="3" t="s">
        <v>421</v>
      </c>
      <c r="B151" s="3" t="s">
        <v>94</v>
      </c>
      <c r="D151" s="16" t="n">
        <f aca="false">ph_u26</f>
        <v>1.22</v>
      </c>
      <c r="E151" s="16" t="n">
        <f aca="false">D151</f>
        <v>1.22</v>
      </c>
      <c r="F151" s="16" t="n">
        <f aca="false">E151*(1+g_phu28)</f>
        <v>1.1956</v>
      </c>
      <c r="G151" s="16" t="n">
        <f aca="false">F151*(1+g_phu29)</f>
        <v>1.207556</v>
      </c>
      <c r="H151" s="6" t="s">
        <v>461</v>
      </c>
    </row>
    <row r="152" customFormat="false" ht="17.15" hidden="false" customHeight="false" outlineLevel="0" collapsed="false">
      <c r="A152" s="3" t="s">
        <v>462</v>
      </c>
      <c r="B152" s="0" t="s">
        <v>255</v>
      </c>
      <c r="D152" s="16" t="n">
        <f aca="false">ph_s*a26_ro/D151</f>
        <v>0.920975409836066</v>
      </c>
      <c r="E152" s="16" t="n">
        <f aca="false">D152*(1+g_ph27)</f>
        <v>1.03149245901639</v>
      </c>
      <c r="F152" s="16" t="n">
        <f aca="false">E152*(1+phr_C)</f>
        <v>1.10369693114754</v>
      </c>
      <c r="G152" s="16" t="n">
        <f aca="false">F152*(1+phr_C)</f>
        <v>1.18095571632787</v>
      </c>
      <c r="H152" s="6" t="s">
        <v>497</v>
      </c>
    </row>
    <row r="153" customFormat="false" ht="17.15" hidden="false" customHeight="false" outlineLevel="0" collapsed="false">
      <c r="A153" s="3" t="s">
        <v>464</v>
      </c>
      <c r="B153" s="0" t="s">
        <v>46</v>
      </c>
      <c r="C153" s="12" t="n">
        <f aca="false">ph_s*a25_ro</f>
        <v>0.93224</v>
      </c>
      <c r="D153" s="12" t="n">
        <f aca="false">ph_s*a26_ro</f>
        <v>1.12359</v>
      </c>
      <c r="E153" s="12" t="n">
        <f aca="false">E151*E152</f>
        <v>1.2584208</v>
      </c>
      <c r="F153" s="12" t="n">
        <f aca="false">F151*F152*(1+qc_adj)</f>
        <v>1.31958005088</v>
      </c>
      <c r="G153" s="12" t="n">
        <f aca="false">G151*G152*(1+qc_adj)</f>
        <v>1.42607016098602</v>
      </c>
      <c r="H153" s="6" t="s">
        <v>465</v>
      </c>
    </row>
    <row r="154" customFormat="false" ht="17.15" hidden="false" customHeight="false" outlineLevel="0" collapsed="false">
      <c r="A154" s="3" t="s">
        <v>466</v>
      </c>
      <c r="B154" s="0" t="s">
        <v>46</v>
      </c>
      <c r="C154" s="12" t="n">
        <f aca="false">dc_s*a25_ro</f>
        <v>0.30352</v>
      </c>
      <c r="D154" s="12" t="n">
        <f aca="false">dc_s*a26_ro</f>
        <v>0.36582</v>
      </c>
      <c r="E154" s="12" t="n">
        <f aca="false">D154*(1+g_dc27)</f>
        <v>0.621894</v>
      </c>
      <c r="F154" s="12" t="n">
        <f aca="false">$E154*F148*F149</f>
        <v>0.789024000280645</v>
      </c>
      <c r="G154" s="12" t="n">
        <f aca="false">$E154*G148*G149</f>
        <v>0.695280521225613</v>
      </c>
      <c r="H154" s="6" t="s">
        <v>467</v>
      </c>
    </row>
    <row r="155" customFormat="false" ht="15" hidden="false" customHeight="false" outlineLevel="0" collapsed="false">
      <c r="A155" s="3" t="s">
        <v>468</v>
      </c>
      <c r="B155" s="0" t="s">
        <v>46</v>
      </c>
      <c r="C155" s="12" t="n">
        <f aca="false">au_s*a25_ro</f>
        <v>0.19512</v>
      </c>
      <c r="D155" s="12" t="n">
        <f aca="false">au_s*a26_ro</f>
        <v>0.23517</v>
      </c>
      <c r="E155" s="12" t="n">
        <f aca="false">D155*(1+g_au27)</f>
        <v>0.2704455</v>
      </c>
      <c r="F155" s="12" t="n">
        <f aca="false">E155*(1+g_au)</f>
        <v>0.311012325</v>
      </c>
      <c r="G155" s="12" t="n">
        <f aca="false">F155*(1+g_au)</f>
        <v>0.35766417375</v>
      </c>
    </row>
    <row r="156" customFormat="false" ht="17.15" hidden="false" customHeight="false" outlineLevel="0" collapsed="false">
      <c r="A156" s="3" t="s">
        <v>469</v>
      </c>
      <c r="B156" s="0" t="s">
        <v>46</v>
      </c>
      <c r="C156" s="12" t="n">
        <f aca="false">a25_ro-C153-C154-C155</f>
        <v>0.73712</v>
      </c>
      <c r="D156" s="12" t="n">
        <f aca="false">a26_ro-D153-D154-D155</f>
        <v>0.88842</v>
      </c>
      <c r="E156" s="12" t="n">
        <f aca="false">a27_ro-E153-E154-E155</f>
        <v>0.8778397</v>
      </c>
      <c r="F156" s="12" t="n">
        <f aca="false">E156*(1+g_iot)</f>
        <v>0.912953288</v>
      </c>
      <c r="G156" s="12" t="n">
        <f aca="false">F156*(1+g_iot)</f>
        <v>0.94947141952</v>
      </c>
      <c r="H156" s="6" t="s">
        <v>470</v>
      </c>
    </row>
    <row r="157" customFormat="false" ht="17.15" hidden="false" customHeight="false" outlineLevel="0" collapsed="false">
      <c r="A157" s="3" t="s">
        <v>360</v>
      </c>
      <c r="B157" s="0" t="s">
        <v>46</v>
      </c>
      <c r="C157" s="12" t="n">
        <f aca="false">C153+C154+C155+C156</f>
        <v>2.168</v>
      </c>
      <c r="D157" s="12" t="n">
        <f aca="false">D153+D154+D155+D156</f>
        <v>2.613</v>
      </c>
      <c r="E157" s="12" t="n">
        <f aca="false">E153+E154+E155+E156</f>
        <v>3.0286</v>
      </c>
      <c r="F157" s="12" t="n">
        <f aca="false">F153+F154+F155+F156</f>
        <v>3.33256966416065</v>
      </c>
      <c r="G157" s="12" t="n">
        <f aca="false">G153+G154+G155+G156</f>
        <v>3.42848627548163</v>
      </c>
      <c r="H157" s="3" t="s">
        <v>471</v>
      </c>
    </row>
    <row r="158" customFormat="false" ht="15" hidden="false" customHeight="false" outlineLevel="0" collapsed="false">
      <c r="A158" s="3" t="s">
        <v>472</v>
      </c>
      <c r="B158" s="0" t="s">
        <v>27</v>
      </c>
      <c r="D158" s="13" t="n">
        <f aca="false">D157/C157-1</f>
        <v>0.205258302583026</v>
      </c>
      <c r="E158" s="13" t="n">
        <f aca="false">E157/D157-1</f>
        <v>0.159050899349407</v>
      </c>
      <c r="F158" s="13" t="n">
        <f aca="false">F157/E157-1</f>
        <v>0.100366395087052</v>
      </c>
      <c r="G158" s="13" t="n">
        <f aca="false">G157/F157-1</f>
        <v>0.0287815772772875</v>
      </c>
    </row>
    <row r="159" customFormat="false" ht="17.15" hidden="false" customHeight="false" outlineLevel="0" collapsed="false">
      <c r="A159" s="1" t="s">
        <v>473</v>
      </c>
    </row>
    <row r="160" customFormat="false" ht="17.15" hidden="false" customHeight="false" outlineLevel="0" collapsed="false">
      <c r="A160" s="3" t="s">
        <v>474</v>
      </c>
      <c r="B160" s="0" t="s">
        <v>46</v>
      </c>
      <c r="C160" s="12" t="n">
        <f aca="false">0</f>
        <v>0</v>
      </c>
      <c r="D160" s="12" t="n">
        <f aca="false">0</f>
        <v>0</v>
      </c>
      <c r="E160" s="12" t="n">
        <f aca="false">chip_27</f>
        <v>0.15</v>
      </c>
      <c r="F160" s="12" t="n">
        <f aca="false">chip28_C</f>
        <v>0.5</v>
      </c>
      <c r="G160" s="12" t="n">
        <f aca="false">chip29_C</f>
        <v>0.8</v>
      </c>
      <c r="H160" s="3" t="s">
        <v>498</v>
      </c>
    </row>
    <row r="161" customFormat="false" ht="17.15" hidden="false" customHeight="false" outlineLevel="0" collapsed="false">
      <c r="A161" s="3" t="s">
        <v>476</v>
      </c>
      <c r="B161" s="0" t="s">
        <v>46</v>
      </c>
      <c r="C161" s="12" t="n">
        <f aca="false">a25_lo</f>
        <v>1.839</v>
      </c>
      <c r="D161" s="12" t="n">
        <f aca="false">a26_lo</f>
        <v>2.307</v>
      </c>
      <c r="E161" s="12" t="n">
        <f aca="false">a27_lo-E160</f>
        <v>2.70805</v>
      </c>
      <c r="F161" s="12" t="n">
        <f aca="false">E161*(1+g_lic)</f>
        <v>2.978855</v>
      </c>
      <c r="G161" s="12" t="n">
        <f aca="false">F161*(1+g_lic)</f>
        <v>3.2767405</v>
      </c>
    </row>
    <row r="162" customFormat="false" ht="17.15" hidden="false" customHeight="false" outlineLevel="0" collapsed="false">
      <c r="A162" s="3" t="s">
        <v>356</v>
      </c>
      <c r="B162" s="0" t="s">
        <v>46</v>
      </c>
      <c r="C162" s="12" t="n">
        <f aca="false">C161+C160</f>
        <v>1.839</v>
      </c>
      <c r="D162" s="12" t="n">
        <f aca="false">D161+D160</f>
        <v>2.307</v>
      </c>
      <c r="E162" s="12" t="n">
        <f aca="false">E161+E160</f>
        <v>2.85805</v>
      </c>
      <c r="F162" s="12" t="n">
        <f aca="false">F161+F160</f>
        <v>3.478855</v>
      </c>
      <c r="G162" s="12" t="n">
        <f aca="false">G161+G160</f>
        <v>4.0767405</v>
      </c>
      <c r="H162" s="3" t="s">
        <v>471</v>
      </c>
    </row>
    <row r="163" customFormat="false" ht="15" hidden="false" customHeight="false" outlineLevel="0" collapsed="false">
      <c r="A163" s="3" t="s">
        <v>361</v>
      </c>
      <c r="B163" s="0" t="s">
        <v>46</v>
      </c>
      <c r="C163" s="12" t="n">
        <f aca="false">C162+C157</f>
        <v>4.007</v>
      </c>
      <c r="D163" s="12" t="n">
        <f aca="false">D162+D157</f>
        <v>4.92</v>
      </c>
      <c r="E163" s="12" t="n">
        <f aca="false">E162+E157</f>
        <v>5.88665</v>
      </c>
      <c r="F163" s="12" t="n">
        <f aca="false">F162+F157</f>
        <v>6.81142466416065</v>
      </c>
      <c r="G163" s="12" t="n">
        <f aca="false">G162+G157</f>
        <v>7.50522677548163</v>
      </c>
    </row>
    <row r="164" customFormat="false" ht="15" hidden="false" customHeight="false" outlineLevel="0" collapsed="false">
      <c r="A164" s="3" t="s">
        <v>477</v>
      </c>
      <c r="B164" s="0" t="s">
        <v>27</v>
      </c>
      <c r="D164" s="13" t="n">
        <f aca="false">D163/C163-1</f>
        <v>0.227851260294485</v>
      </c>
      <c r="E164" s="13" t="n">
        <f aca="false">E163/D163-1</f>
        <v>0.196473577235772</v>
      </c>
      <c r="F164" s="13" t="n">
        <f aca="false">F163/E163-1</f>
        <v>0.157096933597317</v>
      </c>
      <c r="G164" s="13" t="n">
        <f aca="false">G163/F163-1</f>
        <v>0.1018585898735</v>
      </c>
    </row>
    <row r="165" customFormat="false" ht="17.15" hidden="false" customHeight="false" outlineLevel="0" collapsed="false">
      <c r="A165" s="3" t="s">
        <v>478</v>
      </c>
      <c r="B165" s="0" t="s">
        <v>46</v>
      </c>
      <c r="C165" s="16" t="n">
        <f aca="false">C162+C157-C163+(C153+C154+C155+C156-C157)+(C161+C160-C162)</f>
        <v>0</v>
      </c>
      <c r="D165" s="16" t="n">
        <f aca="false">D162+D157-D163+(D153+D154+D155+D156-D157)+(D161+D160-D162)</f>
        <v>0</v>
      </c>
      <c r="E165" s="16" t="n">
        <f aca="false">E162+E157-E163+(E153+E154+E155+E156-E157)+(E161+E160-E162)</f>
        <v>0</v>
      </c>
      <c r="F165" s="16" t="n">
        <f aca="false">F162+F157-F163+(F153+F154+F155+F156-F157)+(F161+F160-F162)</f>
        <v>0</v>
      </c>
      <c r="G165" s="16" t="n">
        <f aca="false">G162+G157-G163+(G153+G154+G155+G156-G157)+(G161+G160-G162)</f>
        <v>0</v>
      </c>
      <c r="H165" s="3" t="s">
        <v>479</v>
      </c>
    </row>
    <row r="166" customFormat="false" ht="17.15" hidden="false" customHeight="false" outlineLevel="0" collapsed="false">
      <c r="A166" s="3" t="s">
        <v>480</v>
      </c>
      <c r="B166" s="0" t="s">
        <v>46</v>
      </c>
      <c r="C166" s="16" t="n">
        <f aca="false">C163-a25_rev</f>
        <v>0</v>
      </c>
      <c r="D166" s="16" t="n">
        <f aca="false">D163-a26_rev</f>
        <v>0</v>
      </c>
      <c r="E166" s="16" t="n">
        <f aca="false">E163-a27_rev</f>
        <v>0</v>
      </c>
    </row>
    <row r="167" customFormat="false" ht="17.15" hidden="false" customHeight="false" outlineLevel="0" collapsed="false">
      <c r="A167" s="3" t="s">
        <v>429</v>
      </c>
      <c r="B167" s="0" t="s">
        <v>27</v>
      </c>
      <c r="C167" s="13" t="n">
        <f aca="false">C154/C157</f>
        <v>0.14</v>
      </c>
      <c r="D167" s="13" t="n">
        <f aca="false">D154/D157</f>
        <v>0.14</v>
      </c>
      <c r="E167" s="13" t="n">
        <f aca="false">E154/E157</f>
        <v>0.20534042131678</v>
      </c>
      <c r="F167" s="13" t="n">
        <f aca="false">F154/F157</f>
        <v>0.236761442308625</v>
      </c>
      <c r="G167" s="13" t="n">
        <f aca="false">G154/G157</f>
        <v>0.202795188709904</v>
      </c>
    </row>
    <row r="168" customFormat="false" ht="17.15" hidden="false" customHeight="false" outlineLevel="0" collapsed="false">
      <c r="A168" s="3" t="s">
        <v>481</v>
      </c>
      <c r="B168" s="0" t="s">
        <v>27</v>
      </c>
      <c r="C168" s="13" t="n">
        <f aca="false">C153/C157</f>
        <v>0.43</v>
      </c>
      <c r="D168" s="13" t="n">
        <f aca="false">D153/D157</f>
        <v>0.43</v>
      </c>
      <c r="E168" s="13" t="n">
        <f aca="false">E153/E157</f>
        <v>0.415512381958661</v>
      </c>
      <c r="F168" s="13" t="n">
        <f aca="false">F153/F157</f>
        <v>0.39596473108158</v>
      </c>
      <c r="G168" s="13" t="n">
        <f aca="false">G153/G157</f>
        <v>0.415947460890939</v>
      </c>
    </row>
    <row r="169" customFormat="false" ht="17.15" hidden="false" customHeight="false" outlineLevel="0" collapsed="false">
      <c r="A169" s="1" t="s">
        <v>482</v>
      </c>
    </row>
    <row r="170" customFormat="false" ht="17.15" hidden="false" customHeight="false" outlineLevel="0" collapsed="false">
      <c r="A170" s="3" t="s">
        <v>483</v>
      </c>
      <c r="B170" s="0" t="s">
        <v>46</v>
      </c>
      <c r="C170" s="12" t="n">
        <f aca="false">a25_cogs</f>
        <v>0.0869999999999997</v>
      </c>
      <c r="D170" s="12" t="n">
        <f aca="false">a26_cogs</f>
        <v>0.0879999999999996</v>
      </c>
      <c r="E170" s="12" t="n">
        <f aca="false">a27_cogs+E160*(1-chip_gm-cogs_r)</f>
        <v>0.19200535</v>
      </c>
      <c r="F170" s="12" t="n">
        <f aca="false">(F163-F160)*cogs_r+F160*(1-chip_gm)</f>
        <v>0.394917068619052</v>
      </c>
      <c r="G170" s="12" t="n">
        <f aca="false">(G163-G160)*cogs_r+G160*(1-chip_gm)</f>
        <v>0.567399308734151</v>
      </c>
      <c r="H170" s="6" t="s">
        <v>484</v>
      </c>
    </row>
    <row r="171" customFormat="false" ht="15" hidden="false" customHeight="false" outlineLevel="0" collapsed="false">
      <c r="A171" s="3" t="s">
        <v>485</v>
      </c>
      <c r="B171" s="0" t="s">
        <v>46</v>
      </c>
      <c r="C171" s="12" t="n">
        <f aca="false">C163-C170</f>
        <v>3.92</v>
      </c>
      <c r="D171" s="12" t="n">
        <f aca="false">D163-D170</f>
        <v>4.832</v>
      </c>
      <c r="E171" s="12" t="n">
        <f aca="false">E163-E170</f>
        <v>5.69464465</v>
      </c>
      <c r="F171" s="12" t="n">
        <f aca="false">F163-F170</f>
        <v>6.41650759554159</v>
      </c>
      <c r="G171" s="12" t="n">
        <f aca="false">G163-G170</f>
        <v>6.93782746674748</v>
      </c>
    </row>
    <row r="172" customFormat="false" ht="15" hidden="false" customHeight="false" outlineLevel="0" collapsed="false">
      <c r="A172" s="3" t="s">
        <v>441</v>
      </c>
      <c r="B172" s="0" t="s">
        <v>27</v>
      </c>
      <c r="C172" s="13" t="n">
        <f aca="false">C171/C163</f>
        <v>0.978287996006988</v>
      </c>
      <c r="D172" s="13" t="n">
        <f aca="false">D171/D163</f>
        <v>0.982113821138212</v>
      </c>
      <c r="E172" s="13" t="n">
        <f aca="false">E171/E163</f>
        <v>0.967382917278928</v>
      </c>
      <c r="F172" s="13" t="n">
        <f aca="false">F171/F163</f>
        <v>0.942021370257977</v>
      </c>
      <c r="G172" s="13" t="n">
        <f aca="false">G171/G163</f>
        <v>0.924399445119</v>
      </c>
    </row>
    <row r="173" customFormat="false" ht="17.15" hidden="false" customHeight="false" outlineLevel="0" collapsed="false">
      <c r="A173" s="3" t="s">
        <v>486</v>
      </c>
      <c r="B173" s="0" t="s">
        <v>46</v>
      </c>
      <c r="C173" s="12" t="n">
        <f aca="false">a25_opx</f>
        <v>2.049</v>
      </c>
      <c r="D173" s="12" t="n">
        <f aca="false">a26_opx</f>
        <v>2.717</v>
      </c>
      <c r="E173" s="12" t="n">
        <f aca="false">a27_opx</f>
        <v>3.133</v>
      </c>
      <c r="F173" s="12" t="n">
        <f aca="false">E173*(1+g_opx)</f>
        <v>3.54029</v>
      </c>
      <c r="G173" s="12" t="n">
        <f aca="false">F173*(1+g_opx)</f>
        <v>4.0005277</v>
      </c>
    </row>
    <row r="174" customFormat="false" ht="17.15" hidden="false" customHeight="false" outlineLevel="0" collapsed="false">
      <c r="A174" s="3" t="s">
        <v>369</v>
      </c>
      <c r="B174" s="0" t="s">
        <v>46</v>
      </c>
      <c r="C174" s="12" t="n">
        <f aca="false">C171-C173</f>
        <v>1.871</v>
      </c>
      <c r="D174" s="12" t="n">
        <f aca="false">D171-D173</f>
        <v>2.115</v>
      </c>
      <c r="E174" s="12" t="n">
        <f aca="false">E171-E173</f>
        <v>2.56164465</v>
      </c>
      <c r="F174" s="12" t="n">
        <f aca="false">F171-F173</f>
        <v>2.87621759554159</v>
      </c>
      <c r="G174" s="12" t="n">
        <f aca="false">G171-G173</f>
        <v>2.93729976674748</v>
      </c>
    </row>
    <row r="175" customFormat="false" ht="15" hidden="false" customHeight="false" outlineLevel="0" collapsed="false">
      <c r="A175" s="3" t="s">
        <v>442</v>
      </c>
      <c r="B175" s="0" t="s">
        <v>27</v>
      </c>
      <c r="C175" s="13" t="n">
        <f aca="false">C174/C163</f>
        <v>0.466932867481907</v>
      </c>
      <c r="D175" s="13" t="n">
        <f aca="false">D174/D163</f>
        <v>0.429878048780488</v>
      </c>
      <c r="E175" s="13" t="n">
        <f aca="false">E174/E163</f>
        <v>0.435161704874589</v>
      </c>
      <c r="F175" s="13" t="n">
        <f aca="false">F174/F163</f>
        <v>0.422263731503228</v>
      </c>
      <c r="G175" s="13" t="n">
        <f aca="false">G174/G163</f>
        <v>0.391367223751741</v>
      </c>
    </row>
    <row r="176" customFormat="false" ht="17.15" hidden="false" customHeight="false" outlineLevel="0" collapsed="false">
      <c r="A176" s="3" t="s">
        <v>379</v>
      </c>
      <c r="B176" s="0" t="s">
        <v>46</v>
      </c>
      <c r="C176" s="12" t="n">
        <f aca="false">a25_ni</f>
        <v>1.737</v>
      </c>
      <c r="D176" s="12" t="n">
        <f aca="false">a26_ni</f>
        <v>1.889</v>
      </c>
      <c r="E176" s="12" t="n">
        <f aca="false">a27_ni-E160*(1-chip_gm-cogs_r)*(1-q_tx)</f>
        <v>2.2927479525</v>
      </c>
      <c r="F176" s="12" t="n">
        <f aca="false">(F174+oth_f)*(1-tx_f)</f>
        <v>2.56378495621036</v>
      </c>
      <c r="G176" s="12" t="n">
        <f aca="false">(G174+oth_f)*(1-tx_f)</f>
        <v>2.61570480173536</v>
      </c>
      <c r="H176" s="6" t="s">
        <v>487</v>
      </c>
    </row>
    <row r="177" customFormat="false" ht="15" hidden="false" customHeight="false" outlineLevel="0" collapsed="false">
      <c r="A177" s="3" t="s">
        <v>488</v>
      </c>
      <c r="B177" s="0" t="s">
        <v>27</v>
      </c>
      <c r="C177" s="13" t="n">
        <f aca="false">C176/C163</f>
        <v>0.433491390067382</v>
      </c>
      <c r="D177" s="13" t="n">
        <f aca="false">D176/D163</f>
        <v>0.383943089430894</v>
      </c>
      <c r="E177" s="13" t="n">
        <f aca="false">E176/E163</f>
        <v>0.389482634860235</v>
      </c>
      <c r="F177" s="13" t="n">
        <f aca="false">F176/F163</f>
        <v>0.376394819383396</v>
      </c>
      <c r="G177" s="13" t="n">
        <f aca="false">G176/G163</f>
        <v>0.348517757022405</v>
      </c>
    </row>
    <row r="178" customFormat="false" ht="15" hidden="false" customHeight="false" outlineLevel="0" collapsed="false">
      <c r="A178" s="3" t="s">
        <v>489</v>
      </c>
      <c r="B178" s="3" t="s">
        <v>71</v>
      </c>
      <c r="C178" s="17" t="n">
        <f aca="false">a25_sh</f>
        <v>1.063</v>
      </c>
      <c r="D178" s="17" t="n">
        <f aca="false">a26_sh</f>
        <v>1.068</v>
      </c>
      <c r="E178" s="17" t="n">
        <f aca="false">a27_sh</f>
        <v>1.08</v>
      </c>
      <c r="F178" s="17" t="n">
        <f aca="false">E178*(1+sh_g)</f>
        <v>1.08864</v>
      </c>
      <c r="G178" s="17" t="n">
        <f aca="false">F178*(1+sh_g)</f>
        <v>1.09734912</v>
      </c>
    </row>
    <row r="179" customFormat="false" ht="17.15" hidden="false" customHeight="false" outlineLevel="0" collapsed="false">
      <c r="A179" s="0" t="s">
        <v>382</v>
      </c>
      <c r="B179" s="0" t="s">
        <v>255</v>
      </c>
      <c r="C179" s="14" t="n">
        <f aca="false">C176/C178</f>
        <v>1.6340545625588</v>
      </c>
      <c r="D179" s="14" t="n">
        <f aca="false">D176/D178</f>
        <v>1.7687265917603</v>
      </c>
      <c r="E179" s="14" t="n">
        <f aca="false">E176/E178</f>
        <v>2.12291477083333</v>
      </c>
      <c r="F179" s="14" t="n">
        <f aca="false">F176/F178</f>
        <v>2.35503468199805</v>
      </c>
      <c r="G179" s="14" t="n">
        <f aca="false">G176/G178</f>
        <v>2.38365781141316</v>
      </c>
    </row>
    <row r="180" customFormat="false" ht="17.15" hidden="false" customHeight="false" outlineLevel="0" collapsed="false">
      <c r="A180" s="0" t="s">
        <v>490</v>
      </c>
      <c r="B180" s="0" t="s">
        <v>27</v>
      </c>
      <c r="D180" s="13" t="n">
        <f aca="false">D179/C179-1</f>
        <v>0.0824158704900391</v>
      </c>
      <c r="E180" s="13" t="n">
        <f aca="false">E179/D179-1</f>
        <v>0.200250383933298</v>
      </c>
      <c r="F180" s="13" t="n">
        <f aca="false">F179/E179-1</f>
        <v>0.109340193188065</v>
      </c>
      <c r="G180" s="13" t="n">
        <f aca="false">G179/F179-1</f>
        <v>0.0121540160889813</v>
      </c>
    </row>
    <row r="183" customFormat="false" ht="17.15" hidden="false" customHeight="false" outlineLevel="0" collapsed="false">
      <c r="A183" s="9" t="s">
        <v>499</v>
      </c>
    </row>
    <row r="184" customFormat="false" ht="17.15" hidden="false" customHeight="false" outlineLevel="0" collapsed="false">
      <c r="A184" s="9" t="s">
        <v>500</v>
      </c>
    </row>
    <row r="185" customFormat="false" ht="17.15" hidden="false" customHeight="false" outlineLevel="0" collapsed="false">
      <c r="A185" s="4" t="s">
        <v>16</v>
      </c>
      <c r="B185" s="4" t="s">
        <v>17</v>
      </c>
      <c r="C185" s="10" t="s">
        <v>349</v>
      </c>
      <c r="D185" s="10" t="s">
        <v>350</v>
      </c>
      <c r="E185" s="10" t="s">
        <v>410</v>
      </c>
      <c r="F185" s="10" t="s">
        <v>411</v>
      </c>
      <c r="G185" s="10" t="s">
        <v>412</v>
      </c>
      <c r="H185" s="10" t="s">
        <v>501</v>
      </c>
      <c r="I185" s="10" t="s">
        <v>502</v>
      </c>
      <c r="J185" s="10" t="s">
        <v>503</v>
      </c>
      <c r="K185" s="4" t="s">
        <v>325</v>
      </c>
    </row>
    <row r="186" customFormat="false" ht="17.15" hidden="false" customHeight="false" outlineLevel="0" collapsed="false">
      <c r="A186" s="3" t="s">
        <v>504</v>
      </c>
      <c r="B186" s="0" t="s">
        <v>46</v>
      </c>
      <c r="C186" s="12" t="n">
        <f aca="false">C81</f>
        <v>4.007</v>
      </c>
      <c r="D186" s="12" t="n">
        <f aca="false">D81</f>
        <v>4.92</v>
      </c>
      <c r="E186" s="12" t="n">
        <f aca="false">E81</f>
        <v>5.88665</v>
      </c>
      <c r="F186" s="12" t="n">
        <f aca="false">F81</f>
        <v>7.88490676292129</v>
      </c>
      <c r="G186" s="12" t="n">
        <f aca="false">G81</f>
        <v>10.3614391082082</v>
      </c>
      <c r="H186" s="18" t="n">
        <f aca="false">G186*(1+H187)</f>
        <v>12.7382508557975</v>
      </c>
      <c r="I186" s="18" t="n">
        <f aca="false">H186*(1+I187)</f>
        <v>14.5814128197946</v>
      </c>
      <c r="J186" s="18" t="n">
        <f aca="false">I186*(1+J187)</f>
        <v>15.4562975889823</v>
      </c>
      <c r="K186" s="6" t="s">
        <v>505</v>
      </c>
    </row>
    <row r="187" customFormat="false" ht="15" hidden="false" customHeight="false" outlineLevel="0" collapsed="false">
      <c r="A187" s="3" t="s">
        <v>436</v>
      </c>
      <c r="B187" s="0" t="s">
        <v>27</v>
      </c>
      <c r="C187" s="13"/>
      <c r="D187" s="13" t="n">
        <f aca="false">D186/C186-1</f>
        <v>0.227851260294485</v>
      </c>
      <c r="E187" s="13" t="n">
        <f aca="false">E186/D186-1</f>
        <v>0.196473577235772</v>
      </c>
      <c r="F187" s="13" t="n">
        <f aca="false">F186/E186-1</f>
        <v>0.339455677324334</v>
      </c>
      <c r="G187" s="13" t="n">
        <f aca="false">G186/F186-1</f>
        <v>0.314085178144756</v>
      </c>
      <c r="H187" s="19" t="n">
        <f aca="false">$G$187+($C$193-$G$187)*1/3</f>
        <v>0.229390118763171</v>
      </c>
      <c r="I187" s="19" t="n">
        <f aca="false">$G$187+($C$193-$G$187)*2/3</f>
        <v>0.144695059381585</v>
      </c>
      <c r="J187" s="19" t="n">
        <f aca="false">$G$187+($C$193-$G$187)*3/3</f>
        <v>0.06</v>
      </c>
    </row>
    <row r="188" customFormat="false" ht="15" hidden="false" customHeight="false" outlineLevel="0" collapsed="false">
      <c r="A188" s="3" t="s">
        <v>506</v>
      </c>
      <c r="B188" s="0" t="s">
        <v>46</v>
      </c>
      <c r="C188" s="12" t="n">
        <f aca="false">C94</f>
        <v>1.737</v>
      </c>
      <c r="D188" s="12" t="n">
        <f aca="false">D94</f>
        <v>1.889</v>
      </c>
      <c r="E188" s="12" t="n">
        <f aca="false">E94</f>
        <v>2.2927479525</v>
      </c>
      <c r="F188" s="12" t="n">
        <f aca="false">F94</f>
        <v>3.05269300426192</v>
      </c>
      <c r="G188" s="12" t="n">
        <f aca="false">G94</f>
        <v>4.00438745537942</v>
      </c>
      <c r="H188" s="18" t="n">
        <f aca="false">H186*H189</f>
        <v>4.92295436934266</v>
      </c>
      <c r="I188" s="18" t="n">
        <f aca="false">I186*I189</f>
        <v>5.63528154414753</v>
      </c>
      <c r="J188" s="18" t="n">
        <f aca="false">J186*J189</f>
        <v>5.97339843679639</v>
      </c>
    </row>
    <row r="189" customFormat="false" ht="15" hidden="false" customHeight="false" outlineLevel="0" collapsed="false">
      <c r="A189" s="3" t="s">
        <v>507</v>
      </c>
      <c r="B189" s="0" t="s">
        <v>27</v>
      </c>
      <c r="C189" s="13" t="n">
        <f aca="false">C188/C186</f>
        <v>0.433491390067382</v>
      </c>
      <c r="D189" s="13" t="n">
        <f aca="false">D188/D186</f>
        <v>0.383943089430894</v>
      </c>
      <c r="E189" s="13" t="n">
        <f aca="false">E188/E186</f>
        <v>0.389482634860235</v>
      </c>
      <c r="F189" s="13" t="n">
        <f aca="false">F188/F186</f>
        <v>0.387156512568694</v>
      </c>
      <c r="G189" s="13" t="n">
        <f aca="false">G188/G186</f>
        <v>0.386470201056067</v>
      </c>
      <c r="H189" s="19" t="n">
        <f aca="false">$G$189+($C$194-$G$189)*1/3</f>
        <v>0.386470201056067</v>
      </c>
      <c r="I189" s="19" t="n">
        <f aca="false">$G$189+($C$194-$G$189)*2/3</f>
        <v>0.386470201056067</v>
      </c>
      <c r="J189" s="19" t="n">
        <f aca="false">$G$189+($C$194-$G$189)*3/3</f>
        <v>0.386470201056067</v>
      </c>
    </row>
    <row r="190" customFormat="false" ht="17.15" hidden="false" customHeight="false" outlineLevel="0" collapsed="false">
      <c r="A190" s="3" t="s">
        <v>508</v>
      </c>
      <c r="B190" s="3" t="s">
        <v>71</v>
      </c>
      <c r="C190" s="17" t="n">
        <f aca="false">C96</f>
        <v>1.063</v>
      </c>
      <c r="D190" s="17" t="n">
        <f aca="false">D96</f>
        <v>1.068</v>
      </c>
      <c r="E190" s="17" t="n">
        <f aca="false">E96</f>
        <v>1.08</v>
      </c>
      <c r="F190" s="17" t="n">
        <f aca="false">F96</f>
        <v>1.08864</v>
      </c>
      <c r="G190" s="17" t="n">
        <f aca="false">G96</f>
        <v>1.09734912</v>
      </c>
      <c r="H190" s="20" t="n">
        <f aca="false">G190*(1+sh_g)</f>
        <v>1.10612791296</v>
      </c>
      <c r="I190" s="20" t="n">
        <f aca="false">H190*(1+sh_g)</f>
        <v>1.11497693626368</v>
      </c>
      <c r="J190" s="20" t="n">
        <f aca="false">I190*(1+sh_g)</f>
        <v>1.12389675175379</v>
      </c>
      <c r="K190" s="6" t="s">
        <v>509</v>
      </c>
    </row>
    <row r="191" customFormat="false" ht="17.15" hidden="false" customHeight="false" outlineLevel="0" collapsed="false">
      <c r="A191" s="0" t="s">
        <v>510</v>
      </c>
      <c r="B191" s="0" t="s">
        <v>255</v>
      </c>
      <c r="C191" s="14" t="n">
        <f aca="false">C97</f>
        <v>1.6340545625588</v>
      </c>
      <c r="D191" s="14" t="n">
        <f aca="false">D97</f>
        <v>1.7687265917603</v>
      </c>
      <c r="E191" s="14" t="n">
        <f aca="false">E97</f>
        <v>2.12291477083333</v>
      </c>
      <c r="F191" s="14" t="n">
        <f aca="false">F97</f>
        <v>2.80413452037581</v>
      </c>
      <c r="G191" s="14" t="n">
        <f aca="false">G97</f>
        <v>3.64914627660104</v>
      </c>
      <c r="H191" s="21" t="n">
        <f aca="false">H188/H190</f>
        <v>4.45061941902255</v>
      </c>
      <c r="I191" s="21" t="n">
        <f aca="false">I188/I190</f>
        <v>5.05416871045918</v>
      </c>
      <c r="J191" s="21" t="n">
        <f aca="false">J188/J190</f>
        <v>5.31489963599874</v>
      </c>
    </row>
    <row r="192" customFormat="false" ht="17.15" hidden="false" customHeight="false" outlineLevel="0" collapsed="false">
      <c r="A192" s="0" t="s">
        <v>443</v>
      </c>
      <c r="B192" s="0" t="s">
        <v>27</v>
      </c>
      <c r="C192" s="13"/>
      <c r="D192" s="13" t="n">
        <f aca="false">D191/C191-1</f>
        <v>0.0824158704900391</v>
      </c>
      <c r="E192" s="13" t="n">
        <f aca="false">E191/D191-1</f>
        <v>0.200250383933298</v>
      </c>
      <c r="F192" s="13" t="n">
        <f aca="false">F191/E191-1</f>
        <v>0.320888883012042</v>
      </c>
      <c r="G192" s="13" t="n">
        <f aca="false">G191/F191-1</f>
        <v>0.301344942649892</v>
      </c>
      <c r="H192" s="19" t="n">
        <f aca="false">H191/G191-1</f>
        <v>0.219633054328543</v>
      </c>
      <c r="I192" s="19" t="n">
        <f aca="false">I191/H191-1</f>
        <v>0.135610177957922</v>
      </c>
      <c r="J192" s="19" t="n">
        <f aca="false">J191/I191-1</f>
        <v>0.0515873015873016</v>
      </c>
    </row>
    <row r="193" customFormat="false" ht="17.15" hidden="false" customHeight="false" outlineLevel="0" collapsed="false">
      <c r="A193" s="3" t="s">
        <v>511</v>
      </c>
      <c r="B193" s="0" t="s">
        <v>27</v>
      </c>
      <c r="C193" s="13" t="n">
        <f aca="false">fade_gA</f>
        <v>0.06</v>
      </c>
      <c r="K193" s="6" t="s">
        <v>512</v>
      </c>
    </row>
    <row r="194" customFormat="false" ht="17.15" hidden="false" customHeight="false" outlineLevel="0" collapsed="false">
      <c r="A194" s="3" t="s">
        <v>513</v>
      </c>
      <c r="B194" s="0" t="s">
        <v>27</v>
      </c>
      <c r="C194" s="13" t="n">
        <f aca="false">G189</f>
        <v>0.386470201056067</v>
      </c>
      <c r="K194" s="3" t="s">
        <v>514</v>
      </c>
    </row>
    <row r="196" customFormat="false" ht="17.15" hidden="false" customHeight="false" outlineLevel="0" collapsed="false">
      <c r="A196" s="9" t="s">
        <v>515</v>
      </c>
    </row>
    <row r="197" customFormat="false" ht="17.15" hidden="false" customHeight="false" outlineLevel="0" collapsed="false">
      <c r="A197" s="4" t="s">
        <v>16</v>
      </c>
      <c r="B197" s="4" t="s">
        <v>17</v>
      </c>
      <c r="C197" s="10" t="s">
        <v>349</v>
      </c>
      <c r="D197" s="10" t="s">
        <v>350</v>
      </c>
      <c r="E197" s="10" t="s">
        <v>410</v>
      </c>
      <c r="F197" s="10" t="s">
        <v>411</v>
      </c>
      <c r="G197" s="10" t="s">
        <v>412</v>
      </c>
      <c r="H197" s="10" t="s">
        <v>501</v>
      </c>
      <c r="I197" s="10" t="s">
        <v>502</v>
      </c>
      <c r="J197" s="10" t="s">
        <v>503</v>
      </c>
      <c r="K197" s="4" t="s">
        <v>325</v>
      </c>
    </row>
    <row r="198" customFormat="false" ht="17.15" hidden="false" customHeight="false" outlineLevel="0" collapsed="false">
      <c r="A198" s="3" t="s">
        <v>504</v>
      </c>
      <c r="B198" s="0" t="s">
        <v>46</v>
      </c>
      <c r="C198" s="12" t="n">
        <f aca="false">C122</f>
        <v>4.007</v>
      </c>
      <c r="D198" s="12" t="n">
        <f aca="false">D122</f>
        <v>4.92</v>
      </c>
      <c r="E198" s="12" t="n">
        <f aca="false">E122</f>
        <v>5.88665</v>
      </c>
      <c r="F198" s="12" t="n">
        <f aca="false">F122</f>
        <v>7.40433197546097</v>
      </c>
      <c r="G198" s="12" t="n">
        <f aca="false">G122</f>
        <v>9.06043741886848</v>
      </c>
      <c r="H198" s="18" t="n">
        <f aca="false">G198*(1+H199)</f>
        <v>10.5322577454071</v>
      </c>
      <c r="I198" s="18" t="n">
        <f aca="false">H198*(1+I199)</f>
        <v>11.598357792689</v>
      </c>
      <c r="J198" s="18" t="n">
        <f aca="false">I198*(1+J199)</f>
        <v>12.0622921043965</v>
      </c>
      <c r="K198" s="6" t="s">
        <v>505</v>
      </c>
    </row>
    <row r="199" customFormat="false" ht="15" hidden="false" customHeight="false" outlineLevel="0" collapsed="false">
      <c r="A199" s="3" t="s">
        <v>436</v>
      </c>
      <c r="B199" s="0" t="s">
        <v>27</v>
      </c>
      <c r="C199" s="13"/>
      <c r="D199" s="13" t="n">
        <f aca="false">D198/C198-1</f>
        <v>0.227851260294485</v>
      </c>
      <c r="E199" s="13" t="n">
        <f aca="false">E198/D198-1</f>
        <v>0.196473577235772</v>
      </c>
      <c r="F199" s="13" t="n">
        <f aca="false">F198/E198-1</f>
        <v>0.257817600071512</v>
      </c>
      <c r="G199" s="13" t="n">
        <f aca="false">G198/F198-1</f>
        <v>0.223667097706597</v>
      </c>
      <c r="H199" s="19" t="n">
        <f aca="false">$G$199+($C$205-$G$199)*1/3</f>
        <v>0.162444731804398</v>
      </c>
      <c r="I199" s="19" t="n">
        <f aca="false">$G$199+($C$205-$G$199)*2/3</f>
        <v>0.101222365902199</v>
      </c>
      <c r="J199" s="19" t="n">
        <f aca="false">$G$199+($C$205-$G$199)*3/3</f>
        <v>0.04</v>
      </c>
    </row>
    <row r="200" customFormat="false" ht="15" hidden="false" customHeight="false" outlineLevel="0" collapsed="false">
      <c r="A200" s="3" t="s">
        <v>506</v>
      </c>
      <c r="B200" s="0" t="s">
        <v>46</v>
      </c>
      <c r="C200" s="12" t="n">
        <f aca="false">C135</f>
        <v>1.737</v>
      </c>
      <c r="D200" s="12" t="n">
        <f aca="false">D135</f>
        <v>1.889</v>
      </c>
      <c r="E200" s="12" t="n">
        <f aca="false">E135</f>
        <v>2.2927479525</v>
      </c>
      <c r="F200" s="12" t="n">
        <f aca="false">F135</f>
        <v>2.83250571773813</v>
      </c>
      <c r="G200" s="12" t="n">
        <f aca="false">G135</f>
        <v>3.37089719672348</v>
      </c>
      <c r="H200" s="18" t="n">
        <f aca="false">H198*H201</f>
        <v>3.78786563152591</v>
      </c>
      <c r="I200" s="18" t="n">
        <f aca="false">I198*I201</f>
        <v>4.02744502996967</v>
      </c>
      <c r="J200" s="18" t="n">
        <f aca="false">J198*J201</f>
        <v>4.03895201576958</v>
      </c>
    </row>
    <row r="201" customFormat="false" ht="15" hidden="false" customHeight="false" outlineLevel="0" collapsed="false">
      <c r="A201" s="3" t="s">
        <v>507</v>
      </c>
      <c r="B201" s="0" t="s">
        <v>27</v>
      </c>
      <c r="C201" s="13" t="n">
        <f aca="false">C200/C198</f>
        <v>0.433491390067382</v>
      </c>
      <c r="D201" s="13" t="n">
        <f aca="false">D200/D198</f>
        <v>0.383943089430894</v>
      </c>
      <c r="E201" s="13" t="n">
        <f aca="false">E200/E198</f>
        <v>0.389482634860235</v>
      </c>
      <c r="F201" s="13" t="n">
        <f aca="false">F200/F198</f>
        <v>0.382547099066528</v>
      </c>
      <c r="G201" s="13" t="n">
        <f aca="false">G200/G198</f>
        <v>0.372045745794076</v>
      </c>
      <c r="H201" s="19" t="n">
        <f aca="false">$G$201+($C$206-$G$201)*1/3</f>
        <v>0.359644220934274</v>
      </c>
      <c r="I201" s="19" t="n">
        <f aca="false">$G$201+($C$206-$G$201)*2/3</f>
        <v>0.347242696074471</v>
      </c>
      <c r="J201" s="19" t="n">
        <f aca="false">$G$201+($C$206-$G$201)*3/3</f>
        <v>0.334841171214669</v>
      </c>
    </row>
    <row r="202" customFormat="false" ht="17.15" hidden="false" customHeight="false" outlineLevel="0" collapsed="false">
      <c r="A202" s="3" t="s">
        <v>508</v>
      </c>
      <c r="B202" s="3" t="s">
        <v>71</v>
      </c>
      <c r="C202" s="17" t="n">
        <f aca="false">C137</f>
        <v>1.063</v>
      </c>
      <c r="D202" s="17" t="n">
        <f aca="false">D137</f>
        <v>1.068</v>
      </c>
      <c r="E202" s="17" t="n">
        <f aca="false">E137</f>
        <v>1.08</v>
      </c>
      <c r="F202" s="17" t="n">
        <f aca="false">F137</f>
        <v>1.08864</v>
      </c>
      <c r="G202" s="17" t="n">
        <f aca="false">G137</f>
        <v>1.09734912</v>
      </c>
      <c r="H202" s="20" t="n">
        <f aca="false">G202*(1+sh_g)</f>
        <v>1.10612791296</v>
      </c>
      <c r="I202" s="20" t="n">
        <f aca="false">H202*(1+sh_g)</f>
        <v>1.11497693626368</v>
      </c>
      <c r="J202" s="20" t="n">
        <f aca="false">I202*(1+sh_g)</f>
        <v>1.12389675175379</v>
      </c>
      <c r="K202" s="6" t="s">
        <v>509</v>
      </c>
    </row>
    <row r="203" customFormat="false" ht="17.15" hidden="false" customHeight="false" outlineLevel="0" collapsed="false">
      <c r="A203" s="0" t="s">
        <v>510</v>
      </c>
      <c r="B203" s="0" t="s">
        <v>255</v>
      </c>
      <c r="C203" s="14" t="n">
        <f aca="false">C138</f>
        <v>1.6340545625588</v>
      </c>
      <c r="D203" s="14" t="n">
        <f aca="false">D138</f>
        <v>1.7687265917603</v>
      </c>
      <c r="E203" s="14" t="n">
        <f aca="false">E138</f>
        <v>2.12291477083333</v>
      </c>
      <c r="F203" s="14" t="n">
        <f aca="false">F138</f>
        <v>2.6018754755825</v>
      </c>
      <c r="G203" s="14" t="n">
        <f aca="false">G138</f>
        <v>3.07185483205516</v>
      </c>
      <c r="H203" s="21" t="n">
        <f aca="false">H200/H202</f>
        <v>3.42443725282149</v>
      </c>
      <c r="I203" s="21" t="n">
        <f aca="false">I200/I202</f>
        <v>3.61213303968937</v>
      </c>
      <c r="J203" s="21" t="n">
        <f aca="false">J200/J202</f>
        <v>3.59370378948688</v>
      </c>
    </row>
    <row r="204" customFormat="false" ht="17.15" hidden="false" customHeight="false" outlineLevel="0" collapsed="false">
      <c r="A204" s="0" t="s">
        <v>443</v>
      </c>
      <c r="B204" s="0" t="s">
        <v>27</v>
      </c>
      <c r="C204" s="13"/>
      <c r="D204" s="13" t="n">
        <f aca="false">D203/C203-1</f>
        <v>0.0824158704900391</v>
      </c>
      <c r="E204" s="13" t="n">
        <f aca="false">E203/D203-1</f>
        <v>0.200250383933298</v>
      </c>
      <c r="F204" s="13" t="n">
        <f aca="false">F203/E203-1</f>
        <v>0.225614664954802</v>
      </c>
      <c r="G204" s="13" t="n">
        <f aca="false">G203/F203-1</f>
        <v>0.180630995173759</v>
      </c>
      <c r="H204" s="19" t="n">
        <f aca="false">H203/G203-1</f>
        <v>0.114778347299191</v>
      </c>
      <c r="I204" s="19" t="n">
        <f aca="false">I203/H203-1</f>
        <v>0.0548106953086198</v>
      </c>
      <c r="J204" s="19" t="n">
        <f aca="false">J203/I203-1</f>
        <v>-0.00510204081632637</v>
      </c>
    </row>
    <row r="205" customFormat="false" ht="17.15" hidden="false" customHeight="false" outlineLevel="0" collapsed="false">
      <c r="A205" s="3" t="s">
        <v>511</v>
      </c>
      <c r="B205" s="0" t="s">
        <v>27</v>
      </c>
      <c r="C205" s="13" t="n">
        <f aca="false">fade_gB</f>
        <v>0.04</v>
      </c>
      <c r="K205" s="6" t="s">
        <v>516</v>
      </c>
    </row>
    <row r="206" customFormat="false" ht="17.15" hidden="false" customHeight="false" outlineLevel="0" collapsed="false">
      <c r="A206" s="3" t="s">
        <v>513</v>
      </c>
      <c r="B206" s="0" t="s">
        <v>27</v>
      </c>
      <c r="C206" s="13" t="n">
        <f aca="false">G201*(1+nim10_f)/2</f>
        <v>0.334841171214669</v>
      </c>
      <c r="K206" s="3" t="s">
        <v>517</v>
      </c>
    </row>
    <row r="208" customFormat="false" ht="17.15" hidden="false" customHeight="false" outlineLevel="0" collapsed="false">
      <c r="A208" s="9" t="s">
        <v>518</v>
      </c>
    </row>
    <row r="209" customFormat="false" ht="17.15" hidden="false" customHeight="false" outlineLevel="0" collapsed="false">
      <c r="A209" s="4" t="s">
        <v>16</v>
      </c>
      <c r="B209" s="4" t="s">
        <v>17</v>
      </c>
      <c r="C209" s="10" t="s">
        <v>349</v>
      </c>
      <c r="D209" s="10" t="s">
        <v>350</v>
      </c>
      <c r="E209" s="10" t="s">
        <v>410</v>
      </c>
      <c r="F209" s="10" t="s">
        <v>411</v>
      </c>
      <c r="G209" s="10" t="s">
        <v>412</v>
      </c>
      <c r="H209" s="10" t="s">
        <v>501</v>
      </c>
      <c r="I209" s="10" t="s">
        <v>502</v>
      </c>
      <c r="J209" s="10" t="s">
        <v>503</v>
      </c>
      <c r="K209" s="4" t="s">
        <v>325</v>
      </c>
    </row>
    <row r="210" customFormat="false" ht="17.15" hidden="false" customHeight="false" outlineLevel="0" collapsed="false">
      <c r="A210" s="3" t="s">
        <v>504</v>
      </c>
      <c r="B210" s="0" t="s">
        <v>46</v>
      </c>
      <c r="C210" s="12" t="n">
        <f aca="false">C163</f>
        <v>4.007</v>
      </c>
      <c r="D210" s="12" t="n">
        <f aca="false">D163</f>
        <v>4.92</v>
      </c>
      <c r="E210" s="12" t="n">
        <f aca="false">E163</f>
        <v>5.88665</v>
      </c>
      <c r="F210" s="12" t="n">
        <f aca="false">F163</f>
        <v>6.81142466416065</v>
      </c>
      <c r="G210" s="12" t="n">
        <f aca="false">G163</f>
        <v>7.50522677548163</v>
      </c>
      <c r="H210" s="18" t="n">
        <f aca="false">G210*(1+H211)</f>
        <v>8.06490949800577</v>
      </c>
      <c r="I210" s="18" t="n">
        <f aca="false">H210*(1+I211)</f>
        <v>8.44626839428727</v>
      </c>
      <c r="J210" s="18" t="n">
        <f aca="false">I210*(1+J211)</f>
        <v>8.61519376217302</v>
      </c>
      <c r="K210" s="6" t="s">
        <v>505</v>
      </c>
    </row>
    <row r="211" customFormat="false" ht="15" hidden="false" customHeight="false" outlineLevel="0" collapsed="false">
      <c r="A211" s="3" t="s">
        <v>436</v>
      </c>
      <c r="B211" s="0" t="s">
        <v>27</v>
      </c>
      <c r="C211" s="13"/>
      <c r="D211" s="13" t="n">
        <f aca="false">D210/C210-1</f>
        <v>0.227851260294485</v>
      </c>
      <c r="E211" s="13" t="n">
        <f aca="false">E210/D210-1</f>
        <v>0.196473577235772</v>
      </c>
      <c r="F211" s="13" t="n">
        <f aca="false">F210/E210-1</f>
        <v>0.157096933597317</v>
      </c>
      <c r="G211" s="13" t="n">
        <f aca="false">G210/F210-1</f>
        <v>0.1018585898735</v>
      </c>
      <c r="H211" s="19" t="n">
        <f aca="false">$G$211+($C$217-$G$211)*1/3</f>
        <v>0.0745723932490002</v>
      </c>
      <c r="I211" s="19" t="n">
        <f aca="false">$G$211+($C$217-$G$211)*2/3</f>
        <v>0.0472861966245001</v>
      </c>
      <c r="J211" s="19" t="n">
        <f aca="false">$G$211+($C$217-$G$211)*3/3</f>
        <v>0.02</v>
      </c>
    </row>
    <row r="212" customFormat="false" ht="15" hidden="false" customHeight="false" outlineLevel="0" collapsed="false">
      <c r="A212" s="3" t="s">
        <v>506</v>
      </c>
      <c r="B212" s="0" t="s">
        <v>46</v>
      </c>
      <c r="C212" s="12" t="n">
        <f aca="false">C176</f>
        <v>1.737</v>
      </c>
      <c r="D212" s="12" t="n">
        <f aca="false">D176</f>
        <v>1.889</v>
      </c>
      <c r="E212" s="12" t="n">
        <f aca="false">E176</f>
        <v>2.2927479525</v>
      </c>
      <c r="F212" s="12" t="n">
        <f aca="false">F176</f>
        <v>2.56378495621036</v>
      </c>
      <c r="G212" s="12" t="n">
        <f aca="false">G176</f>
        <v>2.61570480173536</v>
      </c>
      <c r="H212" s="18" t="n">
        <f aca="false">H210*H213</f>
        <v>2.62337989091142</v>
      </c>
      <c r="I212" s="18" t="n">
        <f aca="false">I210*I213</f>
        <v>2.5511845805214</v>
      </c>
      <c r="J212" s="18" t="n">
        <f aca="false">J210*J213</f>
        <v>2.40203840504477</v>
      </c>
    </row>
    <row r="213" customFormat="false" ht="15" hidden="false" customHeight="false" outlineLevel="0" collapsed="false">
      <c r="A213" s="3" t="s">
        <v>507</v>
      </c>
      <c r="B213" s="0" t="s">
        <v>27</v>
      </c>
      <c r="C213" s="13" t="n">
        <f aca="false">C212/C210</f>
        <v>0.433491390067382</v>
      </c>
      <c r="D213" s="13" t="n">
        <f aca="false">D212/D210</f>
        <v>0.383943089430894</v>
      </c>
      <c r="E213" s="13" t="n">
        <f aca="false">E212/E210</f>
        <v>0.389482634860235</v>
      </c>
      <c r="F213" s="13" t="n">
        <f aca="false">F212/F210</f>
        <v>0.376394819383396</v>
      </c>
      <c r="G213" s="13" t="n">
        <f aca="false">G212/G210</f>
        <v>0.348517757022405</v>
      </c>
      <c r="H213" s="19" t="n">
        <f aca="false">$G$213+($C$218-$G$213)*1/3</f>
        <v>0.325283239887578</v>
      </c>
      <c r="I213" s="19" t="n">
        <f aca="false">$G$213+($C$218-$G$213)*2/3</f>
        <v>0.302048722752751</v>
      </c>
      <c r="J213" s="19" t="n">
        <f aca="false">$G$213+($C$218-$G$213)*3/3</f>
        <v>0.278814205617924</v>
      </c>
    </row>
    <row r="214" customFormat="false" ht="17.15" hidden="false" customHeight="false" outlineLevel="0" collapsed="false">
      <c r="A214" s="3" t="s">
        <v>508</v>
      </c>
      <c r="B214" s="3" t="s">
        <v>71</v>
      </c>
      <c r="C214" s="17" t="n">
        <f aca="false">C178</f>
        <v>1.063</v>
      </c>
      <c r="D214" s="17" t="n">
        <f aca="false">D178</f>
        <v>1.068</v>
      </c>
      <c r="E214" s="17" t="n">
        <f aca="false">E178</f>
        <v>1.08</v>
      </c>
      <c r="F214" s="17" t="n">
        <f aca="false">F178</f>
        <v>1.08864</v>
      </c>
      <c r="G214" s="17" t="n">
        <f aca="false">G178</f>
        <v>1.09734912</v>
      </c>
      <c r="H214" s="20" t="n">
        <f aca="false">G214*(1+sh_g)</f>
        <v>1.10612791296</v>
      </c>
      <c r="I214" s="20" t="n">
        <f aca="false">H214*(1+sh_g)</f>
        <v>1.11497693626368</v>
      </c>
      <c r="J214" s="20" t="n">
        <f aca="false">I214*(1+sh_g)</f>
        <v>1.12389675175379</v>
      </c>
      <c r="K214" s="6" t="s">
        <v>509</v>
      </c>
    </row>
    <row r="215" customFormat="false" ht="17.15" hidden="false" customHeight="false" outlineLevel="0" collapsed="false">
      <c r="A215" s="0" t="s">
        <v>510</v>
      </c>
      <c r="B215" s="0" t="s">
        <v>255</v>
      </c>
      <c r="C215" s="14" t="n">
        <f aca="false">C179</f>
        <v>1.6340545625588</v>
      </c>
      <c r="D215" s="14" t="n">
        <f aca="false">D179</f>
        <v>1.7687265917603</v>
      </c>
      <c r="E215" s="14" t="n">
        <f aca="false">E179</f>
        <v>2.12291477083333</v>
      </c>
      <c r="F215" s="14" t="n">
        <f aca="false">F179</f>
        <v>2.35503468199805</v>
      </c>
      <c r="G215" s="14" t="n">
        <f aca="false">G179</f>
        <v>2.38365781141316</v>
      </c>
      <c r="H215" s="21" t="n">
        <f aca="false">H212/H214</f>
        <v>2.3716785917564</v>
      </c>
      <c r="I215" s="21" t="n">
        <f aca="false">I212/I214</f>
        <v>2.28810524912784</v>
      </c>
      <c r="J215" s="21" t="n">
        <f aca="false">J212/J214</f>
        <v>2.13724116676776</v>
      </c>
    </row>
    <row r="216" customFormat="false" ht="17.15" hidden="false" customHeight="false" outlineLevel="0" collapsed="false">
      <c r="A216" s="0" t="s">
        <v>443</v>
      </c>
      <c r="B216" s="0" t="s">
        <v>27</v>
      </c>
      <c r="C216" s="13"/>
      <c r="D216" s="13" t="n">
        <f aca="false">D215/C215-1</f>
        <v>0.0824158704900391</v>
      </c>
      <c r="E216" s="13" t="n">
        <f aca="false">E215/D215-1</f>
        <v>0.200250383933298</v>
      </c>
      <c r="F216" s="13" t="n">
        <f aca="false">F215/E215-1</f>
        <v>0.109340193188065</v>
      </c>
      <c r="G216" s="13" t="n">
        <f aca="false">G215/F215-1</f>
        <v>0.0121540160889813</v>
      </c>
      <c r="H216" s="19" t="n">
        <f aca="false">H215/G215-1</f>
        <v>-0.00502556180648162</v>
      </c>
      <c r="I216" s="19" t="n">
        <f aca="false">I215/H215-1</f>
        <v>-0.035238055830605</v>
      </c>
      <c r="J216" s="19" t="n">
        <f aca="false">J215/I215-1</f>
        <v>-0.0659340659340658</v>
      </c>
    </row>
    <row r="217" customFormat="false" ht="17.15" hidden="false" customHeight="false" outlineLevel="0" collapsed="false">
      <c r="A217" s="3" t="s">
        <v>511</v>
      </c>
      <c r="B217" s="0" t="s">
        <v>27</v>
      </c>
      <c r="C217" s="13" t="n">
        <f aca="false">fade_gC</f>
        <v>0.02</v>
      </c>
      <c r="K217" s="6" t="s">
        <v>519</v>
      </c>
    </row>
    <row r="218" customFormat="false" ht="17.15" hidden="false" customHeight="false" outlineLevel="0" collapsed="false">
      <c r="A218" s="3" t="s">
        <v>513</v>
      </c>
      <c r="B218" s="0" t="s">
        <v>27</v>
      </c>
      <c r="C218" s="13" t="n">
        <f aca="false">G213*nim10_f</f>
        <v>0.278814205617924</v>
      </c>
      <c r="K218" s="3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521</v>
      </c>
    </row>
    <row r="2" customFormat="false" ht="17.15" hidden="false" customHeight="false" outlineLevel="0" collapsed="false">
      <c r="A2" s="3" t="s">
        <v>522</v>
      </c>
    </row>
    <row r="4" customFormat="false" ht="17.15" hidden="false" customHeight="false" outlineLevel="0" collapsed="false">
      <c r="A4" s="1" t="s">
        <v>523</v>
      </c>
    </row>
    <row r="5" customFormat="false" ht="17.15" hidden="false" customHeight="false" outlineLevel="0" collapsed="false">
      <c r="A5" s="1" t="s">
        <v>524</v>
      </c>
    </row>
    <row r="6" customFormat="false" ht="17.15" hidden="false" customHeight="false" outlineLevel="0" collapsed="false">
      <c r="A6" s="4" t="s">
        <v>16</v>
      </c>
      <c r="B6" s="10" t="s">
        <v>525</v>
      </c>
      <c r="C6" s="10" t="s">
        <v>526</v>
      </c>
      <c r="D6" s="10" t="s">
        <v>527</v>
      </c>
      <c r="E6" s="4" t="s">
        <v>325</v>
      </c>
    </row>
    <row r="7" customFormat="false" ht="17.15" hidden="false" customHeight="false" outlineLevel="0" collapsed="false">
      <c r="A7" s="3" t="s">
        <v>528</v>
      </c>
      <c r="E7" s="0" t="s">
        <v>529</v>
      </c>
    </row>
    <row r="8" customFormat="false" ht="15" hidden="false" customHeight="false" outlineLevel="0" collapsed="false">
      <c r="A8" s="0" t="s">
        <v>530</v>
      </c>
      <c r="B8" s="14" t="n">
        <f aca="false">PL!E191</f>
        <v>2.12291477083333</v>
      </c>
      <c r="C8" s="14" t="n">
        <f aca="false">PL!E203</f>
        <v>2.12291477083333</v>
      </c>
      <c r="D8" s="14" t="n">
        <f aca="false">PL!E215</f>
        <v>2.12291477083333</v>
      </c>
    </row>
    <row r="9" customFormat="false" ht="15" hidden="false" customHeight="false" outlineLevel="0" collapsed="false">
      <c r="A9" s="0" t="s">
        <v>531</v>
      </c>
      <c r="B9" s="14" t="n">
        <f aca="false">PL!F191</f>
        <v>2.80413452037581</v>
      </c>
      <c r="C9" s="14" t="n">
        <f aca="false">PL!F203</f>
        <v>2.6018754755825</v>
      </c>
      <c r="D9" s="14" t="n">
        <f aca="false">PL!F215</f>
        <v>2.35503468199805</v>
      </c>
    </row>
    <row r="10" customFormat="false" ht="15" hidden="false" customHeight="false" outlineLevel="0" collapsed="false">
      <c r="A10" s="0" t="s">
        <v>532</v>
      </c>
      <c r="B10" s="14" t="n">
        <f aca="false">PL!G191</f>
        <v>3.64914627660104</v>
      </c>
      <c r="C10" s="14" t="n">
        <f aca="false">PL!G203</f>
        <v>3.07185483205516</v>
      </c>
      <c r="D10" s="14" t="n">
        <f aca="false">PL!G215</f>
        <v>2.38365781141316</v>
      </c>
    </row>
    <row r="11" customFormat="false" ht="15" hidden="false" customHeight="false" outlineLevel="0" collapsed="false">
      <c r="A11" s="0" t="s">
        <v>533</v>
      </c>
      <c r="B11" s="14" t="n">
        <f aca="false">PL!H191</f>
        <v>4.45061941902255</v>
      </c>
      <c r="C11" s="14" t="n">
        <f aca="false">PL!H203</f>
        <v>3.42443725282149</v>
      </c>
      <c r="D11" s="14" t="n">
        <f aca="false">PL!H215</f>
        <v>2.3716785917564</v>
      </c>
    </row>
    <row r="12" customFormat="false" ht="15" hidden="false" customHeight="false" outlineLevel="0" collapsed="false">
      <c r="A12" s="0" t="s">
        <v>534</v>
      </c>
      <c r="B12" s="14" t="n">
        <f aca="false">PL!I191</f>
        <v>5.05416871045918</v>
      </c>
      <c r="C12" s="14" t="n">
        <f aca="false">PL!I203</f>
        <v>3.61213303968937</v>
      </c>
      <c r="D12" s="14" t="n">
        <f aca="false">PL!I215</f>
        <v>2.28810524912784</v>
      </c>
    </row>
    <row r="13" customFormat="false" ht="15" hidden="false" customHeight="false" outlineLevel="0" collapsed="false">
      <c r="A13" s="0" t="s">
        <v>535</v>
      </c>
      <c r="B13" s="14" t="n">
        <f aca="false">PL!J191</f>
        <v>5.31489963599874</v>
      </c>
      <c r="C13" s="14" t="n">
        <f aca="false">PL!J203</f>
        <v>3.59370378948688</v>
      </c>
      <c r="D13" s="14" t="n">
        <f aca="false">PL!J215</f>
        <v>2.13724116676776</v>
      </c>
    </row>
    <row r="14" customFormat="false" ht="17.15" hidden="false" customHeight="false" outlineLevel="0" collapsed="false">
      <c r="A14" s="3" t="s">
        <v>536</v>
      </c>
    </row>
    <row r="15" customFormat="false" ht="17.15" hidden="false" customHeight="false" outlineLevel="0" collapsed="false">
      <c r="A15" s="3" t="s">
        <v>537</v>
      </c>
      <c r="B15" s="13" t="n">
        <f aca="false">MIN(tp_g/tp_roe,0.8)</f>
        <v>0.380348652931854</v>
      </c>
      <c r="E15" s="6" t="s">
        <v>538</v>
      </c>
    </row>
    <row r="16" customFormat="false" ht="15" hidden="false" customHeight="false" outlineLevel="0" collapsed="false">
      <c r="A16" s="0" t="s">
        <v>530</v>
      </c>
      <c r="B16" s="14" t="n">
        <f aca="false">B8*(1-$B$15)</f>
        <v>1.31546699745774</v>
      </c>
      <c r="C16" s="14" t="n">
        <f aca="false">C8*(1-$B$15)</f>
        <v>1.31546699745774</v>
      </c>
      <c r="D16" s="14" t="n">
        <f aca="false">D8*(1-$B$15)</f>
        <v>1.31546699745774</v>
      </c>
    </row>
    <row r="17" customFormat="false" ht="15" hidden="false" customHeight="false" outlineLevel="0" collapsed="false">
      <c r="A17" s="0" t="s">
        <v>531</v>
      </c>
      <c r="B17" s="14" t="n">
        <f aca="false">B9*(1-$B$15)</f>
        <v>1.73758573291116</v>
      </c>
      <c r="C17" s="14" t="n">
        <f aca="false">C9*(1-$B$15)</f>
        <v>1.61225564334827</v>
      </c>
      <c r="D17" s="14" t="n">
        <f aca="false">D9*(1-$B$15)</f>
        <v>1.45930041309229</v>
      </c>
    </row>
    <row r="18" customFormat="false" ht="15" hidden="false" customHeight="false" outlineLevel="0" collapsed="false">
      <c r="A18" s="0" t="s">
        <v>532</v>
      </c>
      <c r="B18" s="14" t="n">
        <f aca="false">B10*(1-$B$15)</f>
        <v>2.26119840594454</v>
      </c>
      <c r="C18" s="14" t="n">
        <f aca="false">C10*(1-$B$15)</f>
        <v>1.90347898468077</v>
      </c>
      <c r="D18" s="14" t="n">
        <f aca="false">D10*(1-$B$15)</f>
        <v>1.47703677379167</v>
      </c>
    </row>
    <row r="19" customFormat="false" ht="15" hidden="false" customHeight="false" outlineLevel="0" collapsed="false">
      <c r="A19" s="0" t="s">
        <v>533</v>
      </c>
      <c r="B19" s="14" t="n">
        <f aca="false">B11*(1-$B$15)</f>
        <v>2.75783231828497</v>
      </c>
      <c r="C19" s="14" t="n">
        <f aca="false">C11*(1-$B$15)</f>
        <v>2.12195715666118</v>
      </c>
      <c r="D19" s="14" t="n">
        <f aca="false">D11*(1-$B$15)</f>
        <v>1.46961383419454</v>
      </c>
    </row>
    <row r="20" customFormat="false" ht="15" hidden="false" customHeight="false" outlineLevel="0" collapsed="false">
      <c r="A20" s="0" t="s">
        <v>534</v>
      </c>
      <c r="B20" s="14" t="n">
        <f aca="false">B12*(1-$B$15)</f>
        <v>3.13182244974571</v>
      </c>
      <c r="C20" s="14" t="n">
        <f aca="false">C12*(1-$B$15)</f>
        <v>2.23826310383288</v>
      </c>
      <c r="D20" s="14" t="n">
        <f aca="false">D12*(1-$B$15)</f>
        <v>1.41782749985576</v>
      </c>
    </row>
    <row r="21" customFormat="false" ht="15" hidden="false" customHeight="false" outlineLevel="0" collapsed="false">
      <c r="A21" s="0" t="s">
        <v>535</v>
      </c>
      <c r="B21" s="14" t="n">
        <f aca="false">B13*(1-$B$15)</f>
        <v>3.29338471897862</v>
      </c>
      <c r="C21" s="14" t="n">
        <f aca="false">C13*(1-$B$15)</f>
        <v>2.22684339411944</v>
      </c>
      <c r="D21" s="14" t="n">
        <f aca="false">D13*(1-$B$15)</f>
        <v>1.32434436799714</v>
      </c>
    </row>
    <row r="22" customFormat="false" ht="17.15" hidden="false" customHeight="false" outlineLevel="0" collapsed="false">
      <c r="A22" s="0" t="s">
        <v>539</v>
      </c>
      <c r="B22" s="22" t="n">
        <f aca="false">MAX(0,SUMPRODUCT(B16:B21,1/(1+tp_r)^{1;2;3;4;5;6})+B21*(1+tp_g)/(tp_r-tp_g)/(1+tp_r)^6)</f>
        <v>42.2412373899231</v>
      </c>
      <c r="C22" s="22" t="n">
        <f aca="false">MAX(0,SUMPRODUCT(C16:C21,1/(1+tp_r)^{1;2;3;4;5;6})+C21*(1+tp_g)/(tp_r-tp_g)/(1+tp_r)^6)</f>
        <v>29.8424533896441</v>
      </c>
      <c r="D22" s="22" t="n">
        <f aca="false">MAX(0,SUMPRODUCT(D16:D21,1/(1+tp_r)^{1;2;3;4;5;6})+D21*(1+tp_g)/(tp_r-tp_g)/(1+tp_r)^6)</f>
        <v>19.1009850468777</v>
      </c>
      <c r="E22" s="6" t="s">
        <v>540</v>
      </c>
    </row>
    <row r="23" customFormat="false" ht="17.15" hidden="false" customHeight="false" outlineLevel="0" collapsed="false">
      <c r="A23" s="0" t="s">
        <v>541</v>
      </c>
      <c r="B23" s="22" t="n">
        <f aca="false">B22*(1+tp_r)</f>
        <v>46.4653611289154</v>
      </c>
      <c r="C23" s="22" t="n">
        <f aca="false">C22*(1+tp_r)</f>
        <v>32.8266987286085</v>
      </c>
      <c r="D23" s="22" t="n">
        <f aca="false">D22*(1+tp_r)</f>
        <v>21.0110835515655</v>
      </c>
    </row>
    <row r="24" customFormat="false" ht="17.15" hidden="false" customHeight="false" outlineLevel="0" collapsed="false">
      <c r="A24" s="0" t="s">
        <v>542</v>
      </c>
      <c r="B24" s="23" t="n">
        <f aca="false">tp_wA*B23+tp_wB*C23+tp_wC*D23</f>
        <v>34.5551744132919</v>
      </c>
      <c r="E24" s="6" t="s">
        <v>543</v>
      </c>
    </row>
    <row r="26" customFormat="false" ht="17.15" hidden="false" customHeight="false" outlineLevel="0" collapsed="false">
      <c r="A26" s="1" t="s">
        <v>544</v>
      </c>
    </row>
    <row r="27" customFormat="false" ht="17.15" hidden="false" customHeight="false" outlineLevel="0" collapsed="false">
      <c r="A27" s="4" t="s">
        <v>545</v>
      </c>
      <c r="B27" s="4" t="s">
        <v>546</v>
      </c>
      <c r="C27" s="4" t="s">
        <v>547</v>
      </c>
      <c r="D27" s="4" t="s">
        <v>548</v>
      </c>
      <c r="E27" s="4" t="s">
        <v>549</v>
      </c>
      <c r="F27" s="4" t="s">
        <v>21</v>
      </c>
    </row>
    <row r="28" customFormat="false" ht="17.15" hidden="false" customHeight="false" outlineLevel="0" collapsed="false">
      <c r="A28" s="3" t="s">
        <v>550</v>
      </c>
      <c r="B28" s="0" t="s">
        <v>551</v>
      </c>
      <c r="C28" s="24" t="n">
        <v>19.47</v>
      </c>
      <c r="D28" s="6" t="s">
        <v>552</v>
      </c>
      <c r="E28" s="6" t="s">
        <v>553</v>
      </c>
      <c r="F28" s="6" t="s">
        <v>554</v>
      </c>
    </row>
    <row r="29" customFormat="false" ht="17.15" hidden="false" customHeight="false" outlineLevel="0" collapsed="false">
      <c r="A29" s="3" t="s">
        <v>555</v>
      </c>
      <c r="B29" s="0" t="s">
        <v>556</v>
      </c>
      <c r="C29" s="24" t="n">
        <v>18.52</v>
      </c>
      <c r="D29" s="6" t="s">
        <v>557</v>
      </c>
      <c r="E29" s="6" t="s">
        <v>558</v>
      </c>
      <c r="F29" s="6" t="s">
        <v>554</v>
      </c>
    </row>
    <row r="30" customFormat="false" ht="17.15" hidden="false" customHeight="false" outlineLevel="0" collapsed="false">
      <c r="A30" s="3" t="s">
        <v>559</v>
      </c>
      <c r="B30" s="0" t="s">
        <v>560</v>
      </c>
      <c r="C30" s="24" t="n">
        <v>42.96</v>
      </c>
      <c r="D30" s="6" t="s">
        <v>552</v>
      </c>
      <c r="E30" s="6" t="s">
        <v>553</v>
      </c>
      <c r="F30" s="6" t="s">
        <v>554</v>
      </c>
    </row>
    <row r="31" customFormat="false" ht="17.15" hidden="false" customHeight="false" outlineLevel="0" collapsed="false">
      <c r="A31" s="0" t="s">
        <v>561</v>
      </c>
      <c r="B31" s="0" t="s">
        <v>562</v>
      </c>
      <c r="C31" s="24" t="n">
        <v>24.24</v>
      </c>
      <c r="D31" s="6" t="s">
        <v>563</v>
      </c>
      <c r="E31" s="6" t="s">
        <v>553</v>
      </c>
      <c r="F31" s="6" t="s">
        <v>554</v>
      </c>
    </row>
    <row r="32" customFormat="false" ht="17.15" hidden="false" customHeight="false" outlineLevel="0" collapsed="false">
      <c r="A32" s="3" t="s">
        <v>564</v>
      </c>
      <c r="B32" s="0" t="s">
        <v>565</v>
      </c>
      <c r="C32" s="24" t="n">
        <v>25.72</v>
      </c>
      <c r="D32" s="6" t="s">
        <v>563</v>
      </c>
      <c r="E32" s="6" t="s">
        <v>553</v>
      </c>
      <c r="F32" s="6" t="s">
        <v>554</v>
      </c>
    </row>
    <row r="33" customFormat="false" ht="17.15" hidden="false" customHeight="false" outlineLevel="0" collapsed="false">
      <c r="A33" s="3" t="s">
        <v>566</v>
      </c>
      <c r="B33" s="0" t="s">
        <v>567</v>
      </c>
      <c r="C33" s="24" t="n">
        <v>36</v>
      </c>
      <c r="D33" s="6" t="s">
        <v>552</v>
      </c>
      <c r="E33" s="6" t="s">
        <v>553</v>
      </c>
      <c r="F33" s="6" t="s">
        <v>554</v>
      </c>
    </row>
    <row r="34" customFormat="false" ht="17.15" hidden="false" customHeight="false" outlineLevel="0" collapsed="false">
      <c r="A34" s="3" t="s">
        <v>568</v>
      </c>
      <c r="B34" s="25" t="n">
        <f aca="false">MEDIAN(C28:C33)</f>
        <v>24.98</v>
      </c>
      <c r="E34" s="6" t="s">
        <v>569</v>
      </c>
    </row>
    <row r="35" customFormat="false" ht="17.15" hidden="false" customHeight="false" outlineLevel="0" collapsed="false">
      <c r="A35" s="0" t="s">
        <v>570</v>
      </c>
      <c r="B35" s="14" t="n">
        <f aca="false">tp_wA*(0.416666666666667*B9+0.583333333333333*B10)+tp_wB*(0.416666666666667*C9+0.583333333333333*C10)+tp_wC*(0.416666666666667*D9+0.583333333333333*D10)</f>
        <v>2.90147876504597</v>
      </c>
      <c r="E35" s="3" t="s">
        <v>571</v>
      </c>
    </row>
    <row r="36" customFormat="false" ht="17.15" hidden="false" customHeight="false" outlineLevel="0" collapsed="false">
      <c r="A36" s="0" t="s">
        <v>572</v>
      </c>
      <c r="B36" s="23" t="n">
        <f aca="false">B34*B35</f>
        <v>72.4789395508484</v>
      </c>
      <c r="E36" s="3" t="s">
        <v>573</v>
      </c>
    </row>
    <row r="38" customFormat="false" ht="17.15" hidden="false" customHeight="false" outlineLevel="0" collapsed="false">
      <c r="A38" s="1" t="s">
        <v>574</v>
      </c>
    </row>
    <row r="39" customFormat="false" ht="15" hidden="false" customHeight="false" outlineLevel="0" collapsed="false">
      <c r="A39" s="4" t="s">
        <v>16</v>
      </c>
      <c r="B39" s="4" t="s">
        <v>575</v>
      </c>
      <c r="C39" s="10"/>
      <c r="D39" s="10"/>
      <c r="E39" s="4" t="s">
        <v>325</v>
      </c>
    </row>
    <row r="40" customFormat="false" ht="17.15" hidden="false" customHeight="false" outlineLevel="0" collapsed="false">
      <c r="A40" s="9" t="s">
        <v>576</v>
      </c>
      <c r="B40" s="23" t="n">
        <f aca="false">tp_w_dcf*B24+(1-tp_w_dcf)*tp_comp_adj</f>
        <v>53.5170569820702</v>
      </c>
      <c r="E40" s="6" t="s">
        <v>577</v>
      </c>
    </row>
    <row r="41" customFormat="false" ht="17.15" hidden="false" customHeight="false" outlineLevel="0" collapsed="false">
      <c r="A41" s="0" t="s">
        <v>578</v>
      </c>
      <c r="B41" s="22" t="n">
        <f aca="false">B36</f>
        <v>72.4789395508484</v>
      </c>
      <c r="E41" s="3" t="s">
        <v>579</v>
      </c>
    </row>
    <row r="42" customFormat="false" ht="17.15" hidden="false" customHeight="false" outlineLevel="0" collapsed="false">
      <c r="A42" s="3" t="s">
        <v>580</v>
      </c>
      <c r="B42" s="22" t="n">
        <f aca="false">cons_tp</f>
        <v>290.71</v>
      </c>
      <c r="E42" s="6" t="s">
        <v>581</v>
      </c>
    </row>
    <row r="43" customFormat="false" ht="17.15" hidden="false" customHeight="false" outlineLevel="0" collapsed="false">
      <c r="A43" s="3" t="s">
        <v>582</v>
      </c>
      <c r="B43" s="13" t="n">
        <f aca="false">B40/px-1</f>
        <v>-0.766178534681623</v>
      </c>
      <c r="E43" s="3" t="s">
        <v>583</v>
      </c>
    </row>
    <row r="44" customFormat="false" ht="17.15" hidden="false" customHeight="false" outlineLevel="0" collapsed="false">
      <c r="A44" s="3" t="s">
        <v>584</v>
      </c>
      <c r="B44" s="13" t="n">
        <f aca="false">B41/px-1</f>
        <v>-0.683332141074588</v>
      </c>
    </row>
    <row r="45" customFormat="false" ht="17.15" hidden="false" customHeight="false" outlineLevel="0" collapsed="false">
      <c r="A45" s="3" t="s">
        <v>585</v>
      </c>
      <c r="B45" s="0" t="str">
        <f aca="false">IF(B43&gt;0.5,"大於 50%",IF(B43&gt;0.25,"25%–50%",IF(B43&gt;=0,"0%–25%",IF(B43&gt;=-0.25,"0%～−25%",IF(B43&gt;=-0.5,"−25%～−50%","小於 −50%")))))</f>
        <v>小於 −50%</v>
      </c>
      <c r="E45" s="3" t="s">
        <v>586</v>
      </c>
    </row>
    <row r="46" customFormat="false" ht="17.15" hidden="false" customHeight="false" outlineLevel="0" collapsed="false">
      <c r="A46" s="3" t="s">
        <v>587</v>
      </c>
      <c r="B46" s="0" t="str">
        <f aca="false">IF(B43&gt;0.5,"強力買進",IF(B43&gt;0.25,"買進",IF(B43&gt;=-0.25,"中立",IF(B43&gt;=-0.5,"放空","強力放空"))))</f>
        <v>強力放空</v>
      </c>
      <c r="E46" s="3" t="s">
        <v>588</v>
      </c>
    </row>
    <row r="47" customFormat="false" ht="17.15" hidden="false" customHeight="false" outlineLevel="0" collapsed="false">
      <c r="A47" s="3" t="s">
        <v>589</v>
      </c>
      <c r="B47" s="13" t="n">
        <f aca="false">B35/cons_feps-1</f>
        <v>0.200913007776496</v>
      </c>
      <c r="E47" s="3" t="s">
        <v>590</v>
      </c>
    </row>
    <row r="48" customFormat="false" ht="17.15" hidden="false" customHeight="false" outlineLevel="0" collapsed="false">
      <c r="A48" s="3" t="s">
        <v>591</v>
      </c>
      <c r="B48" s="13" t="n">
        <f aca="false">(cons_tp/cons_feps)/B34-1</f>
        <v>3.81681192708094</v>
      </c>
      <c r="E48" s="0" t="str">
        <f aca="false">"共識目標價 ÷ 共識前瞻 EPS 隱含 "&amp;TEXT(cons_tp/cons_feps,"0.0")&amp;"x，同業中位數 "&amp;TEXT(B34,"0.0")&amp;"x"</f>
        <v>共識目標價 ÷ 共識前瞻 EPS 隱含 120.3x，同業中位數 25.0x</v>
      </c>
    </row>
    <row r="49" customFormat="false" ht="17.15" hidden="false" customHeight="false" outlineLevel="0" collapsed="false">
      <c r="A49" s="3" t="s">
        <v>592</v>
      </c>
      <c r="B49" s="26" t="str">
        <f aca="false">TEXT(D23,"#,##0.00")&amp;"～"&amp;TEXT(B23,"#,##0.00")</f>
        <v>21.01～46.47</v>
      </c>
      <c r="E49" s="6" t="s">
        <v>593</v>
      </c>
    </row>
    <row r="50" customFormat="false" ht="17.15" hidden="false" customHeight="false" outlineLevel="0" collapsed="false">
      <c r="A50" s="3" t="s">
        <v>594</v>
      </c>
      <c r="B50" s="27" t="n">
        <f aca="false">IF(px/B9&lt;=MIN($B$54:$K$54),0,IF(px/B9&gt;=MAX($B$54:$K$54),1,PERCENTRANK($B$54:$K$54,px/B9)))</f>
        <v>1</v>
      </c>
      <c r="C50" s="27" t="n">
        <f aca="false">IF(px/C9&lt;=MIN($B$54:$K$54),0,IF(px/C9&gt;=MAX($B$54:$K$54),1,PERCENTRANK($B$54:$K$54,px/C9)))</f>
        <v>1</v>
      </c>
      <c r="D50" s="27" t="n">
        <f aca="false">IF(px/D9&lt;=MIN($B$54:$K$54),0,IF(px/D9&gt;=MAX($B$54:$K$54),1,PERCENTRANK($B$54:$K$54,px/D9)))</f>
        <v>1</v>
      </c>
      <c r="E50" s="3" t="s">
        <v>595</v>
      </c>
    </row>
    <row r="51" customFormat="false" ht="17.15" hidden="false" customHeight="false" outlineLevel="0" collapsed="false">
      <c r="A51" s="3" t="s">
        <v>596</v>
      </c>
      <c r="B51" s="0" t="s">
        <v>597</v>
      </c>
    </row>
    <row r="53" customFormat="false" ht="17.15" hidden="false" customHeight="false" outlineLevel="0" collapsed="false">
      <c r="A53" s="9" t="s">
        <v>598</v>
      </c>
      <c r="B53" s="6" t="s">
        <v>599</v>
      </c>
      <c r="C53" s="6" t="s">
        <v>600</v>
      </c>
      <c r="D53" s="6" t="s">
        <v>601</v>
      </c>
      <c r="E53" s="6" t="s">
        <v>602</v>
      </c>
      <c r="F53" s="6" t="s">
        <v>603</v>
      </c>
      <c r="G53" s="6" t="s">
        <v>604</v>
      </c>
      <c r="H53" s="6" t="s">
        <v>605</v>
      </c>
      <c r="I53" s="6" t="s">
        <v>606</v>
      </c>
      <c r="J53" s="6" t="s">
        <v>607</v>
      </c>
      <c r="K53" s="6" t="s">
        <v>608</v>
      </c>
    </row>
    <row r="54" customFormat="false" ht="17.15" hidden="false" customHeight="false" outlineLevel="0" collapsed="false">
      <c r="A54" s="3" t="s">
        <v>609</v>
      </c>
      <c r="I54" s="25" t="n">
        <f aca="false">75.14/1.27</f>
        <v>59.1653543307087</v>
      </c>
      <c r="J54" s="25" t="n">
        <f aca="false">123.36/1.63</f>
        <v>75.680981595092</v>
      </c>
      <c r="K54" s="25" t="n">
        <f aca="false">109.31/1.77</f>
        <v>61.7570621468927</v>
      </c>
    </row>
    <row r="55" customFormat="false" ht="17.15" hidden="false" customHeight="false" outlineLevel="0" collapsed="false">
      <c r="A55" s="3" t="s">
        <v>610</v>
      </c>
    </row>
    <row r="58" customFormat="false" ht="17.15" hidden="false" customHeight="false" outlineLevel="0" collapsed="false">
      <c r="A58" s="1" t="s">
        <v>611</v>
      </c>
    </row>
    <row r="59" customFormat="false" ht="15" hidden="false" customHeight="false" outlineLevel="0" collapsed="false">
      <c r="A59" s="4" t="s">
        <v>16</v>
      </c>
      <c r="B59" s="10" t="s">
        <v>612</v>
      </c>
      <c r="C59" s="10" t="s">
        <v>613</v>
      </c>
      <c r="D59" s="10" t="s">
        <v>614</v>
      </c>
      <c r="E59" s="4" t="s">
        <v>325</v>
      </c>
    </row>
    <row r="60" customFormat="false" ht="17.15" hidden="false" customHeight="false" outlineLevel="0" collapsed="false">
      <c r="A60" s="3" t="s">
        <v>615</v>
      </c>
      <c r="B60" s="22" t="n">
        <f aca="false">px</f>
        <v>228.88</v>
      </c>
    </row>
    <row r="61" customFormat="false" ht="17.15" hidden="false" customHeight="false" outlineLevel="0" collapsed="false">
      <c r="A61" s="3" t="s">
        <v>616</v>
      </c>
      <c r="B61" s="25" t="n">
        <f aca="false">px/PL!D14</f>
        <v>129.403832715723</v>
      </c>
      <c r="C61" s="25" t="n">
        <f aca="false">px/PL!D27</f>
        <v>129.403832715723</v>
      </c>
      <c r="D61" s="25" t="n">
        <f aca="false">px/PL!D40</f>
        <v>129.403832715723</v>
      </c>
    </row>
    <row r="62" customFormat="false" ht="17.15" hidden="false" customHeight="false" outlineLevel="0" collapsed="false">
      <c r="A62" s="3" t="s">
        <v>617</v>
      </c>
      <c r="B62" s="25" t="n">
        <f aca="false">px/PL!E14</f>
        <v>107.81403151204</v>
      </c>
      <c r="C62" s="25" t="n">
        <f aca="false">px/PL!E27</f>
        <v>107.81403151204</v>
      </c>
      <c r="D62" s="25" t="n">
        <f aca="false">px/PL!E40</f>
        <v>107.81403151204</v>
      </c>
    </row>
    <row r="63" customFormat="false" ht="17.15" hidden="false" customHeight="false" outlineLevel="0" collapsed="false">
      <c r="A63" s="3" t="s">
        <v>618</v>
      </c>
      <c r="B63" s="25" t="n">
        <f aca="false">px/PL!F14</f>
        <v>81.6223324298029</v>
      </c>
      <c r="C63" s="25" t="n">
        <f aca="false">px/PL!F27</f>
        <v>87.967315172437</v>
      </c>
      <c r="D63" s="25" t="n">
        <f aca="false">px/PL!F40</f>
        <v>97.1875283831551</v>
      </c>
    </row>
    <row r="64" customFormat="false" ht="17.15" hidden="false" customHeight="false" outlineLevel="0" collapsed="false">
      <c r="A64" s="3" t="s">
        <v>619</v>
      </c>
      <c r="B64" s="25" t="n">
        <f aca="false">px/PL!G14</f>
        <v>62.7215196791695</v>
      </c>
      <c r="C64" s="25" t="n">
        <f aca="false">px/PL!G27</f>
        <v>74.5087292575192</v>
      </c>
      <c r="D64" s="25" t="n">
        <f aca="false">px/PL!G40</f>
        <v>96.0204937571587</v>
      </c>
    </row>
    <row r="65" customFormat="false" ht="17.15" hidden="false" customHeight="false" outlineLevel="0" collapsed="false">
      <c r="A65" s="3" t="s">
        <v>620</v>
      </c>
      <c r="B65" s="14" t="n">
        <f aca="false">1.77-0.35+0.45</f>
        <v>1.87</v>
      </c>
    </row>
    <row r="66" customFormat="false" ht="17.15" hidden="false" customHeight="false" outlineLevel="0" collapsed="false">
      <c r="A66" s="3" t="s">
        <v>621</v>
      </c>
      <c r="B66" s="25" t="n">
        <f aca="false">px/B65</f>
        <v>122.395721925134</v>
      </c>
    </row>
    <row r="67" customFormat="false" ht="17.15" hidden="false" customHeight="false" outlineLevel="0" collapsed="false">
      <c r="A67" s="3" t="s">
        <v>622</v>
      </c>
      <c r="B67" s="25" t="n">
        <f aca="false">px/cons_feps</f>
        <v>94.7327178579332</v>
      </c>
    </row>
    <row r="68" customFormat="false" ht="17.15" hidden="false" customHeight="false" outlineLevel="0" collapsed="false">
      <c r="A68" s="3" t="s">
        <v>623</v>
      </c>
      <c r="B68" s="28" t="n">
        <f aca="false">px*q_sh</f>
        <v>247.1904</v>
      </c>
    </row>
    <row r="69" customFormat="false" ht="17.15" hidden="false" customHeight="false" outlineLevel="0" collapsed="false">
      <c r="A69" s="3" t="s">
        <v>624</v>
      </c>
      <c r="B69" s="28" t="n">
        <f aca="false">px*q_sh*(1-sb_own)</f>
        <v>24.71904</v>
      </c>
    </row>
    <row r="72" customFormat="false" ht="17.15" hidden="false" customHeight="false" outlineLevel="0" collapsed="false">
      <c r="A72" s="1" t="s">
        <v>625</v>
      </c>
    </row>
    <row r="73" customFormat="false" ht="17.15" hidden="false" customHeight="false" outlineLevel="0" collapsed="false">
      <c r="A73" s="3" t="s">
        <v>626</v>
      </c>
    </row>
    <row r="74" customFormat="false" ht="17.15" hidden="false" customHeight="false" outlineLevel="0" collapsed="false">
      <c r="A74" s="4" t="s">
        <v>627</v>
      </c>
      <c r="B74" s="4" t="s">
        <v>546</v>
      </c>
      <c r="C74" s="4" t="s">
        <v>628</v>
      </c>
      <c r="D74" s="10" t="s">
        <v>629</v>
      </c>
      <c r="E74" s="10" t="s">
        <v>630</v>
      </c>
      <c r="F74" s="10" t="s">
        <v>631</v>
      </c>
      <c r="G74" s="10" t="s">
        <v>632</v>
      </c>
      <c r="H74" s="10" t="s">
        <v>633</v>
      </c>
      <c r="I74" s="10" t="s">
        <v>634</v>
      </c>
      <c r="J74" s="10" t="s">
        <v>635</v>
      </c>
      <c r="K74" s="10" t="s">
        <v>636</v>
      </c>
      <c r="L74" s="10" t="s">
        <v>637</v>
      </c>
      <c r="M74" s="10" t="s">
        <v>638</v>
      </c>
      <c r="N74" s="4" t="s">
        <v>639</v>
      </c>
      <c r="O74" s="10" t="s">
        <v>640</v>
      </c>
      <c r="P74" s="4" t="s">
        <v>641</v>
      </c>
      <c r="Q74" s="4" t="s">
        <v>549</v>
      </c>
    </row>
    <row r="75" customFormat="false" ht="15" hidden="false" customHeight="false" outlineLevel="0" collapsed="false">
      <c r="A75" s="0" t="s">
        <v>642</v>
      </c>
      <c r="B75" s="0" t="s">
        <v>643</v>
      </c>
      <c r="C75" s="3" t="s">
        <v>644</v>
      </c>
      <c r="N75" s="0" t="n">
        <f aca="false">COUNT(D75:M75)</f>
        <v>0</v>
      </c>
      <c r="O75" s="14" t="str">
        <f aca="false">IF(N75&gt;0,MEDIAN(D75:M75),"")</f>
        <v/>
      </c>
      <c r="P75" s="14" t="str">
        <f aca="false">IF(N75&gt;=7,O75,"")</f>
        <v/>
      </c>
      <c r="Q75" s="3" t="s">
        <v>645</v>
      </c>
    </row>
    <row r="76" customFormat="false" ht="17.15" hidden="false" customHeight="false" outlineLevel="0" collapsed="false">
      <c r="A76" s="3" t="s">
        <v>550</v>
      </c>
      <c r="B76" s="0" t="s">
        <v>551</v>
      </c>
      <c r="C76" s="3" t="s">
        <v>646</v>
      </c>
      <c r="D76" s="15" t="n">
        <v>13.58</v>
      </c>
      <c r="E76" s="15" t="n">
        <v>16.82</v>
      </c>
      <c r="F76" s="15" t="n">
        <v>14.898</v>
      </c>
      <c r="G76" s="15" t="n">
        <v>17.535</v>
      </c>
      <c r="H76" s="15" t="n">
        <v>16.8875</v>
      </c>
      <c r="I76" s="15" t="n">
        <v>11.188</v>
      </c>
      <c r="J76" s="15" t="n">
        <v>12.0455</v>
      </c>
      <c r="K76" s="15" t="n">
        <v>15.679</v>
      </c>
      <c r="L76" s="15" t="n">
        <v>13.405</v>
      </c>
      <c r="M76" s="15" t="n">
        <v>15.5145</v>
      </c>
      <c r="N76" s="6" t="n">
        <f aca="false">COUNT(D76:M76)</f>
        <v>10</v>
      </c>
      <c r="O76" s="14" t="n">
        <f aca="false">IF(N76&gt;0,MEDIAN(D76:M76),"")</f>
        <v>15.20625</v>
      </c>
      <c r="P76" s="14" t="n">
        <f aca="false">IF(N76&gt;=7,O76,"")</f>
        <v>15.20625</v>
      </c>
      <c r="Q76" s="6" t="s">
        <v>647</v>
      </c>
    </row>
    <row r="77" customFormat="false" ht="17.15" hidden="false" customHeight="false" outlineLevel="0" collapsed="false">
      <c r="A77" s="3" t="s">
        <v>555</v>
      </c>
      <c r="B77" s="0" t="s">
        <v>556</v>
      </c>
      <c r="C77" s="3" t="s">
        <v>646</v>
      </c>
      <c r="D77" s="15" t="n">
        <v>14.324</v>
      </c>
      <c r="E77" s="15" t="n">
        <v>11.8025</v>
      </c>
      <c r="F77" s="15" t="n">
        <v>12.0165</v>
      </c>
      <c r="G77" s="15" t="n">
        <v>13.4005</v>
      </c>
      <c r="H77" s="15" t="n">
        <v>16.6275</v>
      </c>
      <c r="I77" s="15" t="n">
        <v>14.926</v>
      </c>
      <c r="J77" s="15" t="n">
        <v>16.6365</v>
      </c>
      <c r="K77" s="15" t="n">
        <v>26.099</v>
      </c>
      <c r="L77" s="15" t="n">
        <v>34.256</v>
      </c>
      <c r="M77" s="15" t="n">
        <v>25.1125</v>
      </c>
      <c r="N77" s="6" t="n">
        <f aca="false">COUNT(D77:M77)</f>
        <v>10</v>
      </c>
      <c r="O77" s="14" t="n">
        <f aca="false">IF(N77&gt;0,MEDIAN(D77:M77),"")</f>
        <v>15.77675</v>
      </c>
      <c r="P77" s="14" t="n">
        <f aca="false">IF(N77&gt;=7,O77,"")</f>
        <v>15.77675</v>
      </c>
      <c r="Q77" s="6" t="s">
        <v>648</v>
      </c>
    </row>
    <row r="78" customFormat="false" ht="17.15" hidden="false" customHeight="false" outlineLevel="0" collapsed="false">
      <c r="A78" s="3" t="s">
        <v>559</v>
      </c>
      <c r="B78" s="0" t="s">
        <v>560</v>
      </c>
      <c r="C78" s="3" t="s">
        <v>646</v>
      </c>
      <c r="D78" s="15" t="n">
        <v>15.149</v>
      </c>
      <c r="E78" s="15" t="n">
        <v>15.2585</v>
      </c>
      <c r="F78" s="15" t="n">
        <v>23.416</v>
      </c>
      <c r="G78" s="15" t="n">
        <v>29.4115</v>
      </c>
      <c r="H78" s="15" t="n">
        <v>35.586</v>
      </c>
      <c r="I78" s="15" t="n">
        <v>23.5535</v>
      </c>
      <c r="J78" s="15" t="n">
        <v>24.969</v>
      </c>
      <c r="K78" s="15" t="n">
        <v>35.5045</v>
      </c>
      <c r="L78" s="15" t="n">
        <v>25.813</v>
      </c>
      <c r="M78" s="15" t="n">
        <v>36.897</v>
      </c>
      <c r="N78" s="6" t="n">
        <f aca="false">COUNT(D78:M78)</f>
        <v>10</v>
      </c>
      <c r="O78" s="14" t="n">
        <f aca="false">IF(N78&gt;0,MEDIAN(D78:M78),"")</f>
        <v>25.391</v>
      </c>
      <c r="P78" s="14" t="n">
        <f aca="false">IF(N78&gt;=7,O78,"")</f>
        <v>25.391</v>
      </c>
      <c r="Q78" s="6" t="s">
        <v>649</v>
      </c>
    </row>
    <row r="79" customFormat="false" ht="17.15" hidden="false" customHeight="false" outlineLevel="0" collapsed="false">
      <c r="A79" s="0" t="s">
        <v>561</v>
      </c>
      <c r="B79" s="0" t="s">
        <v>562</v>
      </c>
      <c r="C79" s="3" t="s">
        <v>646</v>
      </c>
      <c r="D79" s="15" t="n">
        <v>19.1405</v>
      </c>
      <c r="E79" s="15" t="n">
        <v>14.7895</v>
      </c>
      <c r="F79" s="15" t="n">
        <v>12.3635</v>
      </c>
      <c r="G79" s="15" t="n">
        <v>14.111</v>
      </c>
      <c r="H79" s="15" t="n">
        <v>16.3885</v>
      </c>
      <c r="I79" s="15" t="n">
        <v>16.8025</v>
      </c>
      <c r="J79" s="15" t="n">
        <v>26.5045</v>
      </c>
      <c r="K79" s="15" t="n">
        <v>25.812</v>
      </c>
      <c r="L79" s="15" t="n">
        <v>24.1025</v>
      </c>
      <c r="M79" s="15" t="n">
        <v>31.7485</v>
      </c>
      <c r="N79" s="6" t="n">
        <f aca="false">COUNT(D79:M79)</f>
        <v>10</v>
      </c>
      <c r="O79" s="14" t="n">
        <f aca="false">IF(N79&gt;0,MEDIAN(D79:M79),"")</f>
        <v>17.9715</v>
      </c>
      <c r="P79" s="14" t="n">
        <f aca="false">IF(N79&gt;=7,O79,"")</f>
        <v>17.9715</v>
      </c>
      <c r="Q79" s="6" t="s">
        <v>650</v>
      </c>
    </row>
    <row r="80" customFormat="false" ht="17.15" hidden="false" customHeight="false" outlineLevel="0" collapsed="false">
      <c r="A80" s="3" t="s">
        <v>564</v>
      </c>
      <c r="B80" s="0" t="s">
        <v>565</v>
      </c>
      <c r="C80" s="3" t="s">
        <v>646</v>
      </c>
      <c r="N80" s="0" t="n">
        <f aca="false">COUNT(D80:M80)</f>
        <v>0</v>
      </c>
      <c r="O80" s="14" t="str">
        <f aca="false">IF(N80&gt;0,MEDIAN(D80:M80),"")</f>
        <v/>
      </c>
      <c r="P80" s="14" t="str">
        <f aca="false">IF(N80&gt;=7,O80,"")</f>
        <v/>
      </c>
      <c r="Q80" s="3" t="s">
        <v>645</v>
      </c>
    </row>
    <row r="81" customFormat="false" ht="17.15" hidden="false" customHeight="false" outlineLevel="0" collapsed="false">
      <c r="A81" s="3" t="s">
        <v>566</v>
      </c>
      <c r="B81" s="0" t="s">
        <v>567</v>
      </c>
      <c r="C81" s="3" t="s">
        <v>646</v>
      </c>
      <c r="N81" s="0" t="n">
        <f aca="false">COUNT(D81:M81)</f>
        <v>0</v>
      </c>
      <c r="O81" s="14" t="str">
        <f aca="false">IF(N81&gt;0,MEDIAN(D81:M81),"")</f>
        <v/>
      </c>
      <c r="P81" s="14" t="str">
        <f aca="false">IF(N81&gt;=7,O81,"")</f>
        <v/>
      </c>
      <c r="Q81" s="3" t="s">
        <v>645</v>
      </c>
    </row>
    <row r="83" customFormat="false" ht="17.15" hidden="false" customHeight="false" outlineLevel="0" collapsed="false">
      <c r="A83" s="3" t="s">
        <v>651</v>
      </c>
      <c r="B83" s="14" t="str">
        <f aca="false">P75</f>
        <v/>
      </c>
      <c r="E83" s="3" t="s">
        <v>652</v>
      </c>
    </row>
    <row r="84" customFormat="false" ht="15" hidden="false" customHeight="false" outlineLevel="0" collapsed="false">
      <c r="A84" s="3" t="s">
        <v>653</v>
      </c>
      <c r="B84" s="29" t="n">
        <f aca="false">COUNT(P76:P81)</f>
        <v>4</v>
      </c>
    </row>
    <row r="85" customFormat="false" ht="17.15" hidden="false" customHeight="false" outlineLevel="0" collapsed="false">
      <c r="A85" s="3" t="s">
        <v>654</v>
      </c>
      <c r="B85" s="14" t="n">
        <f aca="false">IF(B84&gt;0,MEDIAN(P76:P81),"")</f>
        <v>16.874125</v>
      </c>
    </row>
    <row r="86" customFormat="false" ht="17.15" hidden="false" customHeight="false" outlineLevel="0" collapsed="false">
      <c r="A86" s="3" t="s">
        <v>655</v>
      </c>
      <c r="B86" s="14" t="str">
        <f aca="false">IF(AND(ISNUMBER(B83),B84&gt;=2),B83/B85,"")</f>
        <v/>
      </c>
      <c r="E86" s="3" t="s">
        <v>656</v>
      </c>
    </row>
    <row r="87" customFormat="false" ht="17.15" hidden="false" customHeight="false" outlineLevel="0" collapsed="false">
      <c r="A87" s="3" t="s">
        <v>657</v>
      </c>
      <c r="B87" s="15" t="n">
        <v>0.5</v>
      </c>
      <c r="E87" s="6" t="s">
        <v>658</v>
      </c>
    </row>
    <row r="88" customFormat="false" ht="17.15" hidden="false" customHeight="false" outlineLevel="0" collapsed="false">
      <c r="A88" s="3" t="s">
        <v>659</v>
      </c>
      <c r="B88" s="15" t="n">
        <v>2</v>
      </c>
      <c r="E88" s="6" t="s">
        <v>660</v>
      </c>
    </row>
    <row r="89" customFormat="false" ht="17.15" hidden="false" customHeight="false" outlineLevel="0" collapsed="false">
      <c r="A89" s="9" t="s">
        <v>661</v>
      </c>
      <c r="B89" s="30" t="n">
        <f aca="false">IF(ISNUMBER(B86),MIN(MAX(B86,B87),B88),1)</f>
        <v>1</v>
      </c>
      <c r="E89" s="3" t="s">
        <v>662</v>
      </c>
    </row>
    <row r="90" customFormat="false" ht="17.15" hidden="false" customHeight="false" outlineLevel="0" collapsed="false">
      <c r="A90" s="1" t="s">
        <v>663</v>
      </c>
      <c r="B90" s="23" t="n">
        <f aca="false">Val!$B$36*B89</f>
        <v>72.4789395508484</v>
      </c>
      <c r="E90" s="3" t="s">
        <v>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665</v>
      </c>
    </row>
    <row r="3" customFormat="false" ht="17.15" hidden="false" customHeight="false" outlineLevel="0" collapsed="false">
      <c r="A3" s="4" t="s">
        <v>16</v>
      </c>
      <c r="B3" s="4" t="s">
        <v>666</v>
      </c>
      <c r="C3" s="4" t="s">
        <v>667</v>
      </c>
      <c r="D3" s="4" t="s">
        <v>668</v>
      </c>
      <c r="E3" s="4" t="s">
        <v>669</v>
      </c>
      <c r="F3" s="4" t="s">
        <v>670</v>
      </c>
      <c r="G3" s="4" t="s">
        <v>671</v>
      </c>
      <c r="H3" s="4" t="s">
        <v>672</v>
      </c>
      <c r="I3" s="4" t="s">
        <v>673</v>
      </c>
      <c r="J3" s="4" t="s">
        <v>325</v>
      </c>
    </row>
    <row r="4" customFormat="false" ht="17.15" hidden="false" customHeight="false" outlineLevel="0" collapsed="false">
      <c r="A4" s="1" t="s">
        <v>674</v>
      </c>
    </row>
    <row r="5" customFormat="false" ht="17.15" hidden="false" customHeight="false" outlineLevel="0" collapsed="false">
      <c r="A5" s="0" t="s">
        <v>675</v>
      </c>
      <c r="B5" s="12" t="n">
        <f aca="false">1.38</f>
        <v>1.38</v>
      </c>
      <c r="C5" s="12" t="n">
        <f aca="false">Q!E6</f>
        <v>1.38965</v>
      </c>
      <c r="D5" s="13" t="n">
        <f aca="false">C5/B5-1</f>
        <v>0.00699275362318863</v>
      </c>
      <c r="E5" s="12" t="n">
        <f aca="false">Q!E6</f>
        <v>1.38965</v>
      </c>
      <c r="F5" s="13" t="n">
        <f aca="false">E5/B5-1</f>
        <v>0.00699275362318863</v>
      </c>
      <c r="G5" s="12" t="n">
        <f aca="false">Q!E6</f>
        <v>1.38965</v>
      </c>
      <c r="H5" s="13" t="n">
        <f aca="false">G5/B5-1</f>
        <v>0.00699275362318863</v>
      </c>
      <c r="I5" s="3" t="s">
        <v>676</v>
      </c>
      <c r="J5" s="3" t="s">
        <v>677</v>
      </c>
    </row>
    <row r="6" customFormat="false" ht="17.15" hidden="false" customHeight="false" outlineLevel="0" collapsed="false">
      <c r="A6" s="0" t="s">
        <v>678</v>
      </c>
      <c r="B6" s="12" t="n">
        <f aca="false">c_q2rev</f>
        <v>1.376</v>
      </c>
      <c r="C6" s="12" t="n">
        <f aca="false">Q!E6</f>
        <v>1.38965</v>
      </c>
      <c r="D6" s="13" t="n">
        <f aca="false">C6/B6-1</f>
        <v>0.00992005813953489</v>
      </c>
      <c r="E6" s="12" t="n">
        <f aca="false">Q!E6</f>
        <v>1.38965</v>
      </c>
      <c r="F6" s="13" t="n">
        <f aca="false">E6/B6-1</f>
        <v>0.00992005813953489</v>
      </c>
      <c r="G6" s="12" t="n">
        <f aca="false">Q!E6</f>
        <v>1.38965</v>
      </c>
      <c r="H6" s="13" t="n">
        <f aca="false">G6/B6-1</f>
        <v>0.00992005813953489</v>
      </c>
      <c r="I6" s="6" t="s">
        <v>679</v>
      </c>
    </row>
    <row r="7" customFormat="false" ht="17.15" hidden="false" customHeight="false" outlineLevel="0" collapsed="false">
      <c r="A7" s="0" t="s">
        <v>680</v>
      </c>
      <c r="B7" s="14" t="n">
        <f aca="false">0.47</f>
        <v>0.47</v>
      </c>
      <c r="C7" s="14" t="n">
        <f aca="false">Q!E15</f>
        <v>0.485795974537037</v>
      </c>
      <c r="D7" s="13" t="n">
        <f aca="false">C7/B7-1</f>
        <v>0.0336084564617809</v>
      </c>
      <c r="E7" s="14" t="n">
        <f aca="false">Q!E15</f>
        <v>0.485795974537037</v>
      </c>
      <c r="F7" s="13" t="n">
        <f aca="false">E7/B7-1</f>
        <v>0.0336084564617809</v>
      </c>
      <c r="G7" s="14" t="n">
        <f aca="false">Q!E15</f>
        <v>0.485795974537037</v>
      </c>
      <c r="H7" s="13" t="n">
        <f aca="false">G7/B7-1</f>
        <v>0.0336084564617809</v>
      </c>
      <c r="I7" s="3" t="s">
        <v>371</v>
      </c>
    </row>
    <row r="8" customFormat="false" ht="17.15" hidden="false" customHeight="false" outlineLevel="0" collapsed="false">
      <c r="A8" s="0" t="s">
        <v>681</v>
      </c>
      <c r="B8" s="12" t="n">
        <f aca="false">c_rev27</f>
        <v>6.1</v>
      </c>
      <c r="C8" s="12" t="n">
        <f aca="false">PL!E81</f>
        <v>5.88665</v>
      </c>
      <c r="D8" s="13" t="n">
        <f aca="false">C8/B8-1</f>
        <v>-0.0349754098360655</v>
      </c>
      <c r="E8" s="12" t="n">
        <f aca="false">PL!E122</f>
        <v>5.88665</v>
      </c>
      <c r="F8" s="13" t="n">
        <f aca="false">E8/B8-1</f>
        <v>-0.0349754098360655</v>
      </c>
      <c r="G8" s="12" t="n">
        <f aca="false">PL!E163</f>
        <v>5.88665</v>
      </c>
      <c r="H8" s="13" t="n">
        <f aca="false">G8/B8-1</f>
        <v>-0.0349754098360655</v>
      </c>
      <c r="I8" s="6" t="s">
        <v>682</v>
      </c>
    </row>
    <row r="9" customFormat="false" ht="17.15" hidden="false" customHeight="false" outlineLevel="0" collapsed="false">
      <c r="A9" s="0" t="s">
        <v>683</v>
      </c>
      <c r="B9" s="14" t="n">
        <f aca="false">c_eps27</f>
        <v>2.23</v>
      </c>
      <c r="C9" s="14" t="n">
        <f aca="false">PL!E97</f>
        <v>2.12291477083333</v>
      </c>
      <c r="D9" s="13" t="n">
        <f aca="false">C9/B9-1</f>
        <v>-0.0480202821375186</v>
      </c>
      <c r="E9" s="14" t="n">
        <f aca="false">PL!E138</f>
        <v>2.12291477083333</v>
      </c>
      <c r="F9" s="13" t="n">
        <f aca="false">E9/B9-1</f>
        <v>-0.0480202821375186</v>
      </c>
      <c r="G9" s="14" t="n">
        <f aca="false">PL!E179</f>
        <v>2.12291477083333</v>
      </c>
      <c r="H9" s="13" t="n">
        <f aca="false">G9/B9-1</f>
        <v>-0.0480202821375186</v>
      </c>
      <c r="I9" s="3" t="s">
        <v>33</v>
      </c>
      <c r="J9" s="3" t="s">
        <v>257</v>
      </c>
    </row>
    <row r="10" customFormat="false" ht="17.15" hidden="false" customHeight="false" outlineLevel="0" collapsed="false">
      <c r="A10" s="1" t="s">
        <v>684</v>
      </c>
    </row>
    <row r="11" customFormat="false" ht="17.15" hidden="false" customHeight="false" outlineLevel="0" collapsed="false">
      <c r="A11" s="0" t="s">
        <v>685</v>
      </c>
      <c r="B11" s="13" t="n">
        <f aca="false">ph_s</f>
        <v>0.43</v>
      </c>
      <c r="C11" s="13" t="n">
        <f aca="false">PL!D86</f>
        <v>0.43</v>
      </c>
      <c r="D11" s="13" t="n">
        <f aca="false">C11-B11</f>
        <v>0</v>
      </c>
      <c r="E11" s="13" t="n">
        <f aca="false">PL!D127</f>
        <v>0.43</v>
      </c>
      <c r="F11" s="13" t="n">
        <f aca="false">E11-B11</f>
        <v>0</v>
      </c>
      <c r="G11" s="13" t="n">
        <f aca="false">PL!D168</f>
        <v>0.43</v>
      </c>
      <c r="H11" s="13" t="n">
        <f aca="false">G11-B11</f>
        <v>0</v>
      </c>
      <c r="I11" s="6" t="s">
        <v>686</v>
      </c>
    </row>
    <row r="12" customFormat="false" ht="17.15" hidden="false" customHeight="false" outlineLevel="0" collapsed="false">
      <c r="A12" s="0" t="s">
        <v>687</v>
      </c>
      <c r="C12" s="13" t="n">
        <f aca="false">PL!F85</f>
        <v>0.249904591092302</v>
      </c>
      <c r="E12" s="13" t="n">
        <f aca="false">PL!F126</f>
        <v>0.243061396175032</v>
      </c>
      <c r="G12" s="13" t="n">
        <f aca="false">PL!F167</f>
        <v>0.236761442308625</v>
      </c>
      <c r="I12" s="6" t="s">
        <v>55</v>
      </c>
      <c r="J12" s="3" t="s">
        <v>688</v>
      </c>
    </row>
    <row r="13" customFormat="false" ht="17.15" hidden="false" customHeight="false" outlineLevel="0" collapsed="false">
      <c r="A13" s="0" t="s">
        <v>689</v>
      </c>
      <c r="C13" s="13" t="n">
        <f aca="false">PL!G85</f>
        <v>0.283693114194702</v>
      </c>
      <c r="E13" s="13" t="n">
        <f aca="false">PL!G126</f>
        <v>0.2489301286136</v>
      </c>
      <c r="G13" s="13" t="n">
        <f aca="false">PL!G167</f>
        <v>0.202795188709904</v>
      </c>
      <c r="I13" s="6" t="s">
        <v>55</v>
      </c>
    </row>
    <row r="14" customFormat="false" ht="17.15" hidden="false" customHeight="false" outlineLevel="0" collapsed="false">
      <c r="A14" s="0" t="s">
        <v>690</v>
      </c>
      <c r="C14" s="16" t="n">
        <f aca="false">PL!D70</f>
        <v>0.920975409836066</v>
      </c>
      <c r="E14" s="16" t="n">
        <f aca="false">PL!D111</f>
        <v>0.920975409836066</v>
      </c>
      <c r="G14" s="16" t="n">
        <f aca="false">PL!D152</f>
        <v>0.920975409836066</v>
      </c>
      <c r="I14" s="6" t="s">
        <v>55</v>
      </c>
      <c r="J14" s="6" t="s">
        <v>691</v>
      </c>
    </row>
    <row r="15" customFormat="false" ht="17.15" hidden="false" customHeight="false" outlineLevel="0" collapsed="false">
      <c r="A15" s="0" t="s">
        <v>692</v>
      </c>
      <c r="C15" s="14" t="n">
        <f aca="false">PL!F64</f>
        <v>4.825</v>
      </c>
      <c r="E15" s="14" t="n">
        <f aca="false">PL!F105</f>
        <v>4.5875</v>
      </c>
      <c r="G15" s="14" t="n">
        <f aca="false">PL!F146</f>
        <v>4.35</v>
      </c>
      <c r="I15" s="6" t="s">
        <v>693</v>
      </c>
    </row>
    <row r="16" customFormat="false" ht="17.15" hidden="false" customHeight="false" outlineLevel="0" collapsed="false">
      <c r="A16" s="0" t="s">
        <v>694</v>
      </c>
      <c r="C16" s="16" t="n">
        <f aca="false">PL!F78</f>
        <v>1.4</v>
      </c>
      <c r="E16" s="16" t="n">
        <f aca="false">PL!F119</f>
        <v>1</v>
      </c>
      <c r="G16" s="16" t="n">
        <f aca="false">PL!F160</f>
        <v>0.5</v>
      </c>
      <c r="I16" s="6" t="s">
        <v>55</v>
      </c>
      <c r="J16" s="3" t="s">
        <v>695</v>
      </c>
    </row>
    <row r="17" customFormat="false" ht="17.15" hidden="false" customHeight="false" outlineLevel="0" collapsed="false">
      <c r="A17" s="0" t="s">
        <v>696</v>
      </c>
      <c r="B17" s="16" t="n">
        <f aca="false">2</f>
        <v>2</v>
      </c>
      <c r="C17" s="16" t="n">
        <f aca="false">PL!E78+PL!F78</f>
        <v>1.55</v>
      </c>
      <c r="D17" s="13" t="n">
        <f aca="false">C17/B17-1</f>
        <v>-0.225</v>
      </c>
      <c r="E17" s="16" t="n">
        <f aca="false">PL!E119+PL!F119</f>
        <v>1.15</v>
      </c>
      <c r="F17" s="13" t="n">
        <f aca="false">E17/B17-1</f>
        <v>-0.425</v>
      </c>
      <c r="G17" s="16" t="n">
        <f aca="false">PL!E160+PL!F160</f>
        <v>0.65</v>
      </c>
      <c r="H17" s="13" t="n">
        <f aca="false">G17/B17-1</f>
        <v>-0.675</v>
      </c>
      <c r="I17" s="3" t="s">
        <v>676</v>
      </c>
      <c r="J17" s="3" t="s">
        <v>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8" min="3" style="0" width="14"/>
    <col collapsed="false" customWidth="true" hidden="false" outlineLevel="0" max="9" min="9" style="0" width="30"/>
  </cols>
  <sheetData>
    <row r="1" customFormat="false" ht="17.15" hidden="false" customHeight="false" outlineLevel="0" collapsed="false">
      <c r="A1" s="0" t="s">
        <v>698</v>
      </c>
    </row>
    <row r="2" customFormat="false" ht="17.15" hidden="false" customHeight="false" outlineLevel="0" collapsed="false">
      <c r="A2" s="3" t="s">
        <v>699</v>
      </c>
    </row>
    <row r="3" customFormat="false" ht="17.15" hidden="false" customHeight="false" outlineLevel="0" collapsed="false">
      <c r="A3" s="4" t="s">
        <v>700</v>
      </c>
      <c r="B3" s="4" t="s">
        <v>701</v>
      </c>
      <c r="C3" s="4" t="s">
        <v>702</v>
      </c>
      <c r="D3" s="4" t="s">
        <v>703</v>
      </c>
      <c r="E3" s="4" t="s">
        <v>704</v>
      </c>
      <c r="F3" s="4" t="s">
        <v>15</v>
      </c>
      <c r="G3" s="10" t="s">
        <v>705</v>
      </c>
      <c r="H3" s="10" t="s">
        <v>706</v>
      </c>
      <c r="I3" s="4" t="s">
        <v>325</v>
      </c>
    </row>
    <row r="4" customFormat="false" ht="17.15" hidden="false" customHeight="false" outlineLevel="0" collapsed="false">
      <c r="A4" s="3" t="s">
        <v>19</v>
      </c>
      <c r="B4" s="0" t="s">
        <v>707</v>
      </c>
      <c r="C4" s="0" t="s">
        <v>55</v>
      </c>
      <c r="D4" s="22" t="n">
        <f aca="false">tp_final</f>
        <v>53.5170569820702</v>
      </c>
      <c r="E4" s="13" t="n">
        <v>0</v>
      </c>
      <c r="G4" s="14" t="n">
        <f aca="false">PL!F27</f>
        <v>2.6018754755825</v>
      </c>
      <c r="H4" s="13" t="n">
        <v>0</v>
      </c>
      <c r="I4" s="3" t="s">
        <v>708</v>
      </c>
    </row>
    <row r="5" customFormat="false" ht="17.15" hidden="false" customHeight="false" outlineLevel="0" collapsed="false">
      <c r="A5" s="0" t="s">
        <v>709</v>
      </c>
      <c r="B5" s="0" t="s">
        <v>710</v>
      </c>
      <c r="C5" s="3" t="s">
        <v>711</v>
      </c>
      <c r="D5" s="22" t="n">
        <v>53.1076627996548</v>
      </c>
      <c r="E5" s="13" t="n">
        <f aca="false">D5/D$4-1</f>
        <v>-0.00764978878701295</v>
      </c>
      <c r="F5" s="6" t="s">
        <v>25</v>
      </c>
      <c r="G5" s="14" t="n">
        <v>2.58017978072469</v>
      </c>
      <c r="H5" s="13" t="n">
        <f aca="false">G5/G$4-1</f>
        <v>-0.00833848316778096</v>
      </c>
      <c r="I5" s="3" t="s">
        <v>712</v>
      </c>
    </row>
    <row r="6" customFormat="false" ht="17.15" hidden="false" customHeight="false" outlineLevel="0" collapsed="false">
      <c r="A6" s="0" t="s">
        <v>713</v>
      </c>
      <c r="B6" s="0" t="s">
        <v>714</v>
      </c>
      <c r="C6" s="3" t="s">
        <v>715</v>
      </c>
      <c r="D6" s="22" t="n">
        <v>53.7626724396442</v>
      </c>
      <c r="E6" s="13" t="n">
        <f aca="false">D6/D$4-1</f>
        <v>0.00458947990462777</v>
      </c>
      <c r="F6" s="6" t="s">
        <v>25</v>
      </c>
      <c r="G6" s="14" t="n">
        <v>2.61489289249718</v>
      </c>
      <c r="H6" s="13" t="n">
        <f aca="false">G6/G$4-1</f>
        <v>0.00500308990066833</v>
      </c>
      <c r="I6" s="3" t="s">
        <v>712</v>
      </c>
    </row>
    <row r="7" customFormat="false" ht="17.15" hidden="false" customHeight="false" outlineLevel="0" collapsed="false">
      <c r="A7" s="0" t="s">
        <v>716</v>
      </c>
      <c r="B7" s="0" t="s">
        <v>717</v>
      </c>
      <c r="C7" s="3" t="s">
        <v>711</v>
      </c>
      <c r="D7" s="22" t="n">
        <v>53.339055899106</v>
      </c>
      <c r="E7" s="13" t="n">
        <f aca="false">D7/D$4-1</f>
        <v>-0.00332606262380619</v>
      </c>
      <c r="F7" s="6" t="s">
        <v>31</v>
      </c>
      <c r="G7" s="14" t="n">
        <v>2.59199771103223</v>
      </c>
      <c r="H7" s="13" t="n">
        <f aca="false">G7/G$4-1</f>
        <v>-0.00379640172750972</v>
      </c>
      <c r="I7" s="3" t="s">
        <v>712</v>
      </c>
    </row>
    <row r="8" customFormat="false" ht="17.15" hidden="false" customHeight="false" outlineLevel="0" collapsed="false">
      <c r="A8" s="0" t="s">
        <v>718</v>
      </c>
      <c r="B8" s="0" t="s">
        <v>719</v>
      </c>
      <c r="C8" s="3" t="s">
        <v>715</v>
      </c>
      <c r="D8" s="22" t="n">
        <v>53.6950463288352</v>
      </c>
      <c r="E8" s="13" t="n">
        <f aca="false">D8/D$4-1</f>
        <v>0.003325843325515</v>
      </c>
      <c r="F8" s="6" t="s">
        <v>31</v>
      </c>
      <c r="G8" s="14" t="n">
        <v>2.61175324013276</v>
      </c>
      <c r="H8" s="13" t="n">
        <f aca="false">G8/G$4-1</f>
        <v>0.0037964017275085</v>
      </c>
      <c r="I8" s="3" t="s">
        <v>712</v>
      </c>
    </row>
    <row r="9" customFormat="false" ht="17.15" hidden="false" customHeight="false" outlineLevel="0" collapsed="false">
      <c r="A9" s="0" t="s">
        <v>720</v>
      </c>
      <c r="B9" s="0" t="s">
        <v>721</v>
      </c>
      <c r="C9" s="3" t="s">
        <v>711</v>
      </c>
      <c r="D9" s="22" t="n">
        <v>50.9903370125563</v>
      </c>
      <c r="E9" s="13" t="n">
        <f aca="false">D9/D$4-1</f>
        <v>-0.0472133579834256</v>
      </c>
      <c r="F9" s="6" t="s">
        <v>35</v>
      </c>
      <c r="G9" s="14" t="n">
        <v>2.4680109319317</v>
      </c>
      <c r="H9" s="13" t="n">
        <f aca="false">G9/G$4-1</f>
        <v>-0.0514492507066764</v>
      </c>
      <c r="I9" s="3" t="s">
        <v>712</v>
      </c>
    </row>
    <row r="10" customFormat="false" ht="17.15" hidden="false" customHeight="false" outlineLevel="0" collapsed="false">
      <c r="A10" s="0" t="s">
        <v>722</v>
      </c>
      <c r="B10" s="0" t="s">
        <v>723</v>
      </c>
      <c r="C10" s="3" t="s">
        <v>715</v>
      </c>
      <c r="D10" s="22" t="n">
        <v>55.6213778373701</v>
      </c>
      <c r="E10" s="13" t="n">
        <f aca="false">D10/D$4-1</f>
        <v>0.0393205638345349</v>
      </c>
      <c r="F10" s="6" t="s">
        <v>35</v>
      </c>
      <c r="G10" s="14" t="n">
        <v>2.71342926195816</v>
      </c>
      <c r="H10" s="13" t="n">
        <f aca="false">G10/G$4-1</f>
        <v>0.0428743755888967</v>
      </c>
      <c r="I10" s="3" t="s">
        <v>712</v>
      </c>
    </row>
    <row r="11" customFormat="false" ht="17.15" hidden="false" customHeight="false" outlineLevel="0" collapsed="false">
      <c r="A11" s="0" t="s">
        <v>724</v>
      </c>
      <c r="B11" s="0" t="s">
        <v>725</v>
      </c>
      <c r="C11" s="3" t="s">
        <v>711</v>
      </c>
      <c r="D11" s="22" t="n">
        <v>52.1019061509098</v>
      </c>
      <c r="E11" s="13" t="n">
        <f aca="false">D11/D$4-1</f>
        <v>-0.0264429867964244</v>
      </c>
      <c r="F11" s="6" t="s">
        <v>40</v>
      </c>
      <c r="G11" s="14" t="n">
        <v>2.5233631792862</v>
      </c>
      <c r="H11" s="13" t="n">
        <f aca="false">G11/G$4-1</f>
        <v>-0.0301752705051035</v>
      </c>
      <c r="I11" s="3" t="s">
        <v>712</v>
      </c>
    </row>
    <row r="12" customFormat="false" ht="17.15" hidden="false" customHeight="false" outlineLevel="0" collapsed="false">
      <c r="A12" s="0" t="s">
        <v>726</v>
      </c>
      <c r="B12" s="0" t="s">
        <v>727</v>
      </c>
      <c r="C12" s="3" t="s">
        <v>715</v>
      </c>
      <c r="D12" s="22" t="n">
        <v>54.5274231459526</v>
      </c>
      <c r="E12" s="13" t="n">
        <f aca="false">D12/D$4-1</f>
        <v>0.0188793297101695</v>
      </c>
      <c r="F12" s="6" t="s">
        <v>40</v>
      </c>
      <c r="G12" s="14" t="n">
        <v>2.65795568722271</v>
      </c>
      <c r="H12" s="13" t="n">
        <f aca="false">G12/G$4-1</f>
        <v>0.0215537646465032</v>
      </c>
      <c r="I12" s="3" t="s">
        <v>712</v>
      </c>
    </row>
    <row r="13" customFormat="false" ht="17.15" hidden="false" customHeight="false" outlineLevel="0" collapsed="false">
      <c r="A13" s="0" t="s">
        <v>728</v>
      </c>
      <c r="B13" s="0" t="s">
        <v>729</v>
      </c>
      <c r="C13" s="3" t="s">
        <v>711</v>
      </c>
      <c r="D13" s="22" t="n">
        <v>53.8619043119354</v>
      </c>
      <c r="E13" s="13" t="n">
        <f aca="false">D13/D$4-1</f>
        <v>0.00644369009268875</v>
      </c>
      <c r="F13" s="6" t="s">
        <v>49</v>
      </c>
      <c r="G13" s="14" t="n">
        <v>2.61952134565892</v>
      </c>
      <c r="H13" s="13" t="n">
        <f aca="false">G13/G$4-1</f>
        <v>0.00678198101408856</v>
      </c>
      <c r="I13" s="3" t="s">
        <v>712</v>
      </c>
    </row>
    <row r="14" customFormat="false" ht="17.15" hidden="false" customHeight="false" outlineLevel="0" collapsed="false">
      <c r="A14" s="0" t="s">
        <v>730</v>
      </c>
      <c r="B14" s="0" t="s">
        <v>731</v>
      </c>
      <c r="C14" s="3" t="s">
        <v>715</v>
      </c>
      <c r="D14" s="22" t="n">
        <v>52.9997859872723</v>
      </c>
      <c r="E14" s="13" t="n">
        <f aca="false">D14/D$4-1</f>
        <v>-0.0096655351390339</v>
      </c>
      <c r="F14" s="6" t="s">
        <v>49</v>
      </c>
      <c r="G14" s="14" t="n">
        <v>2.57540667046786</v>
      </c>
      <c r="H14" s="13" t="n">
        <f aca="false">G14/G$4-1</f>
        <v>-0.0101729715211336</v>
      </c>
      <c r="I14" s="3" t="s">
        <v>712</v>
      </c>
    </row>
    <row r="15" customFormat="false" ht="17.15" hidden="false" customHeight="false" outlineLevel="0" collapsed="false">
      <c r="A15" s="0" t="s">
        <v>732</v>
      </c>
      <c r="B15" s="0" t="s">
        <v>733</v>
      </c>
      <c r="C15" s="3" t="s">
        <v>711</v>
      </c>
      <c r="D15" s="22" t="n">
        <v>53.8619043119354</v>
      </c>
      <c r="E15" s="13" t="n">
        <f aca="false">D15/D$4-1</f>
        <v>0.00644369009268875</v>
      </c>
      <c r="F15" s="6" t="s">
        <v>53</v>
      </c>
      <c r="G15" s="14" t="n">
        <v>2.61952134565892</v>
      </c>
      <c r="H15" s="13" t="n">
        <f aca="false">G15/G$4-1</f>
        <v>0.00678198101408856</v>
      </c>
      <c r="I15" s="3" t="s">
        <v>712</v>
      </c>
    </row>
    <row r="16" customFormat="false" ht="17.15" hidden="false" customHeight="false" outlineLevel="0" collapsed="false">
      <c r="A16" s="0" t="s">
        <v>734</v>
      </c>
      <c r="B16" s="0" t="s">
        <v>735</v>
      </c>
      <c r="C16" s="3" t="s">
        <v>715</v>
      </c>
      <c r="D16" s="22" t="n">
        <v>52.8273623223397</v>
      </c>
      <c r="E16" s="13" t="n">
        <f aca="false">D16/D$4-1</f>
        <v>-0.0128873801853779</v>
      </c>
      <c r="F16" s="6" t="s">
        <v>53</v>
      </c>
      <c r="G16" s="14" t="n">
        <v>2.56658373542965</v>
      </c>
      <c r="H16" s="13" t="n">
        <f aca="false">G16/G$4-1</f>
        <v>-0.0135639620281772</v>
      </c>
      <c r="I16" s="3" t="s">
        <v>712</v>
      </c>
    </row>
    <row r="17" customFormat="false" ht="17.15" hidden="false" customHeight="false" outlineLevel="0" collapsed="false">
      <c r="A17" s="0" t="s">
        <v>736</v>
      </c>
      <c r="B17" s="0" t="s">
        <v>737</v>
      </c>
      <c r="C17" s="3" t="s">
        <v>711</v>
      </c>
      <c r="D17" s="22" t="n">
        <v>53.9013869520438</v>
      </c>
      <c r="E17" s="13" t="n">
        <f aca="false">D17/D$4-1</f>
        <v>0.00718144815217303</v>
      </c>
      <c r="F17" s="6" t="s">
        <v>56</v>
      </c>
      <c r="G17" s="14" t="n">
        <v>2.62187724725777</v>
      </c>
      <c r="H17" s="13" t="n">
        <f aca="false">G17/G$4-1</f>
        <v>0.0076874438700012</v>
      </c>
      <c r="I17" s="3" t="s">
        <v>712</v>
      </c>
    </row>
    <row r="18" customFormat="false" ht="17.15" hidden="false" customHeight="false" outlineLevel="0" collapsed="false">
      <c r="A18" s="0" t="s">
        <v>738</v>
      </c>
      <c r="B18" s="0" t="s">
        <v>739</v>
      </c>
      <c r="C18" s="3" t="s">
        <v>715</v>
      </c>
      <c r="D18" s="22" t="n">
        <v>52.9405620271097</v>
      </c>
      <c r="E18" s="13" t="n">
        <f aca="false">D18/D$4-1</f>
        <v>-0.0107721722282602</v>
      </c>
      <c r="F18" s="6" t="s">
        <v>56</v>
      </c>
      <c r="G18" s="14" t="n">
        <v>2.57187281806959</v>
      </c>
      <c r="H18" s="13" t="n">
        <f aca="false">G18/G$4-1</f>
        <v>-0.0115311658050007</v>
      </c>
      <c r="I18" s="3" t="s">
        <v>712</v>
      </c>
    </row>
    <row r="19" customFormat="false" ht="17.15" hidden="false" customHeight="false" outlineLevel="0" collapsed="false">
      <c r="A19" s="3" t="s">
        <v>740</v>
      </c>
      <c r="B19" s="0" t="s">
        <v>741</v>
      </c>
      <c r="C19" s="3" t="s">
        <v>711</v>
      </c>
      <c r="D19" s="22" t="n">
        <v>53.5104731865076</v>
      </c>
      <c r="E19" s="13" t="n">
        <f aca="false">D19/D$4-1</f>
        <v>-0.000123022377048421</v>
      </c>
      <c r="F19" s="6" t="s">
        <v>61</v>
      </c>
      <c r="G19" s="14" t="n">
        <v>2.6018754755825</v>
      </c>
      <c r="H19" s="13" t="n">
        <f aca="false">G19/G$4-1</f>
        <v>0</v>
      </c>
      <c r="I19" s="3" t="s">
        <v>712</v>
      </c>
    </row>
    <row r="20" customFormat="false" ht="17.15" hidden="false" customHeight="false" outlineLevel="0" collapsed="false">
      <c r="A20" s="3" t="s">
        <v>742</v>
      </c>
      <c r="B20" s="0" t="s">
        <v>743</v>
      </c>
      <c r="C20" s="3" t="s">
        <v>715</v>
      </c>
      <c r="D20" s="22" t="n">
        <v>53.5214461791119</v>
      </c>
      <c r="E20" s="13" t="n">
        <f aca="false">D20/D$4-1</f>
        <v>8.20149180325025E-005</v>
      </c>
      <c r="F20" s="6" t="s">
        <v>61</v>
      </c>
      <c r="G20" s="14" t="n">
        <v>2.6018754755825</v>
      </c>
      <c r="H20" s="13" t="n">
        <f aca="false">G20/G$4-1</f>
        <v>0</v>
      </c>
      <c r="I20" s="3" t="s">
        <v>712</v>
      </c>
    </row>
    <row r="21" customFormat="false" ht="17.15" hidden="false" customHeight="false" outlineLevel="0" collapsed="false">
      <c r="A21" s="0" t="s">
        <v>744</v>
      </c>
      <c r="B21" s="0" t="s">
        <v>745</v>
      </c>
      <c r="C21" s="3" t="s">
        <v>711</v>
      </c>
      <c r="D21" s="22" t="n">
        <v>53.5292930573497</v>
      </c>
      <c r="E21" s="13" t="n">
        <f aca="false">D21/D$4-1</f>
        <v>0.000228638792369118</v>
      </c>
      <c r="F21" s="6" t="s">
        <v>65</v>
      </c>
      <c r="G21" s="14" t="n">
        <v>2.6018754755825</v>
      </c>
      <c r="H21" s="13" t="n">
        <f aca="false">G21/G$4-1</f>
        <v>0</v>
      </c>
      <c r="I21" s="3" t="s">
        <v>712</v>
      </c>
    </row>
    <row r="22" customFormat="false" ht="17.15" hidden="false" customHeight="false" outlineLevel="0" collapsed="false">
      <c r="A22" s="0" t="s">
        <v>746</v>
      </c>
      <c r="B22" s="0" t="s">
        <v>747</v>
      </c>
      <c r="C22" s="3" t="s">
        <v>715</v>
      </c>
      <c r="D22" s="22" t="n">
        <v>53.4987028691509</v>
      </c>
      <c r="E22" s="13" t="n">
        <f aca="false">D22/D$4-1</f>
        <v>-0.000342958188553344</v>
      </c>
      <c r="F22" s="6" t="s">
        <v>65</v>
      </c>
      <c r="G22" s="14" t="n">
        <v>2.6018754755825</v>
      </c>
      <c r="H22" s="13" t="n">
        <f aca="false">G22/G$4-1</f>
        <v>0</v>
      </c>
      <c r="I22" s="3" t="s">
        <v>712</v>
      </c>
    </row>
    <row r="23" customFormat="false" ht="17.15" hidden="false" customHeight="false" outlineLevel="0" collapsed="false">
      <c r="A23" s="0" t="s">
        <v>748</v>
      </c>
      <c r="B23" s="0" t="s">
        <v>749</v>
      </c>
      <c r="C23" s="3" t="s">
        <v>711</v>
      </c>
      <c r="D23" s="22" t="n">
        <v>55.8845631740989</v>
      </c>
      <c r="E23" s="13" t="n">
        <f aca="false">D23/D$4-1</f>
        <v>0.0442383480246664</v>
      </c>
      <c r="F23" s="6" t="s">
        <v>74</v>
      </c>
      <c r="G23" s="14" t="n">
        <v>2.72825816407456</v>
      </c>
      <c r="H23" s="13" t="n">
        <f aca="false">G23/G$4-1</f>
        <v>0.048573688356</v>
      </c>
      <c r="I23" s="3" t="s">
        <v>712</v>
      </c>
    </row>
    <row r="24" customFormat="false" ht="17.15" hidden="false" customHeight="false" outlineLevel="0" collapsed="false">
      <c r="A24" s="0" t="s">
        <v>750</v>
      </c>
      <c r="B24" s="0" t="s">
        <v>751</v>
      </c>
      <c r="C24" s="3" t="s">
        <v>715</v>
      </c>
      <c r="D24" s="22" t="n">
        <v>49.5678584999841</v>
      </c>
      <c r="E24" s="13" t="n">
        <f aca="false">D24/D$4-1</f>
        <v>-0.0737932671336762</v>
      </c>
      <c r="F24" s="6" t="s">
        <v>74</v>
      </c>
      <c r="G24" s="14" t="n">
        <v>2.39123766142906</v>
      </c>
      <c r="H24" s="13" t="n">
        <f aca="false">G24/G$4-1</f>
        <v>-0.0809561472599991</v>
      </c>
      <c r="I24" s="3" t="s">
        <v>712</v>
      </c>
    </row>
    <row r="25" customFormat="false" ht="17.15" hidden="false" customHeight="false" outlineLevel="0" collapsed="false">
      <c r="A25" s="0" t="s">
        <v>752</v>
      </c>
      <c r="B25" s="0" t="s">
        <v>753</v>
      </c>
      <c r="C25" s="3" t="s">
        <v>711</v>
      </c>
      <c r="D25" s="22" t="n">
        <v>53.3685704958226</v>
      </c>
      <c r="E25" s="13" t="n">
        <f aca="false">D25/D$4-1</f>
        <v>-0.00277456374884955</v>
      </c>
      <c r="F25" s="6" t="s">
        <v>79</v>
      </c>
      <c r="G25" s="14" t="n">
        <v>2.59866099927416</v>
      </c>
      <c r="H25" s="13" t="n">
        <f aca="false">G25/G$4-1</f>
        <v>-0.00123544586914448</v>
      </c>
      <c r="I25" s="3" t="s">
        <v>712</v>
      </c>
    </row>
    <row r="26" customFormat="false" ht="17.15" hidden="false" customHeight="false" outlineLevel="0" collapsed="false">
      <c r="A26" s="0" t="s">
        <v>754</v>
      </c>
      <c r="B26" s="0" t="s">
        <v>755</v>
      </c>
      <c r="C26" s="3" t="s">
        <v>715</v>
      </c>
      <c r="D26" s="22" t="n">
        <v>53.6656124606766</v>
      </c>
      <c r="E26" s="13" t="n">
        <f aca="false">D26/D$4-1</f>
        <v>0.002775852914636</v>
      </c>
      <c r="F26" s="6" t="s">
        <v>79</v>
      </c>
      <c r="G26" s="14" t="n">
        <v>2.60508995189083</v>
      </c>
      <c r="H26" s="13" t="n">
        <f aca="false">G26/G$4-1</f>
        <v>0.00123544586914326</v>
      </c>
      <c r="I26" s="3" t="s">
        <v>712</v>
      </c>
    </row>
    <row r="27" customFormat="false" ht="17.15" hidden="false" customHeight="false" outlineLevel="0" collapsed="false">
      <c r="A27" s="0" t="s">
        <v>756</v>
      </c>
      <c r="B27" s="0" t="s">
        <v>757</v>
      </c>
      <c r="C27" s="3" t="s">
        <v>711</v>
      </c>
      <c r="D27" s="22" t="n">
        <v>52.4677811635954</v>
      </c>
      <c r="E27" s="13" t="n">
        <f aca="false">D27/D$4-1</f>
        <v>-0.0196063811735072</v>
      </c>
      <c r="F27" s="6" t="s">
        <v>84</v>
      </c>
      <c r="G27" s="14" t="n">
        <v>2.56120728676241</v>
      </c>
      <c r="H27" s="13" t="n">
        <f aca="false">G27/G$4-1</f>
        <v>-0.0156303363484305</v>
      </c>
      <c r="I27" s="3" t="s">
        <v>712</v>
      </c>
    </row>
    <row r="28" customFormat="false" ht="17.15" hidden="false" customHeight="false" outlineLevel="0" collapsed="false">
      <c r="A28" s="0" t="s">
        <v>758</v>
      </c>
      <c r="B28" s="0" t="s">
        <v>759</v>
      </c>
      <c r="C28" s="3" t="s">
        <v>715</v>
      </c>
      <c r="D28" s="22" t="n">
        <v>54.8312165532791</v>
      </c>
      <c r="E28" s="13" t="n">
        <f aca="false">D28/D$4-1</f>
        <v>0.0245559013390666</v>
      </c>
      <c r="F28" s="6" t="s">
        <v>84</v>
      </c>
      <c r="G28" s="14" t="n">
        <v>2.65271071160761</v>
      </c>
      <c r="H28" s="13" t="n">
        <f aca="false">G28/G$4-1</f>
        <v>0.0195379204355399</v>
      </c>
      <c r="I28" s="3" t="s">
        <v>712</v>
      </c>
    </row>
    <row r="29" customFormat="false" ht="17.15" hidden="false" customHeight="false" outlineLevel="0" collapsed="false">
      <c r="A29" s="0" t="s">
        <v>760</v>
      </c>
      <c r="B29" s="0" t="s">
        <v>761</v>
      </c>
      <c r="C29" s="3" t="s">
        <v>711</v>
      </c>
      <c r="D29" s="22" t="n">
        <v>53.3433704811029</v>
      </c>
      <c r="E29" s="13" t="n">
        <f aca="false">D29/D$4-1</f>
        <v>-0.00324544193499765</v>
      </c>
      <c r="F29" s="6" t="s">
        <v>88</v>
      </c>
      <c r="G29" s="14" t="n">
        <v>2.59681182678537</v>
      </c>
      <c r="H29" s="13" t="n">
        <f aca="false">G29/G$4-1</f>
        <v>-0.00194615339767279</v>
      </c>
      <c r="I29" s="3" t="s">
        <v>712</v>
      </c>
    </row>
    <row r="30" customFormat="false" ht="17.15" hidden="false" customHeight="false" outlineLevel="0" collapsed="false">
      <c r="A30" s="0" t="s">
        <v>762</v>
      </c>
      <c r="B30" s="0" t="s">
        <v>763</v>
      </c>
      <c r="C30" s="3" t="s">
        <v>715</v>
      </c>
      <c r="D30" s="22" t="n">
        <v>53.6908038111844</v>
      </c>
      <c r="E30" s="13" t="n">
        <f aca="false">D30/D$4-1</f>
        <v>0.00324656920451427</v>
      </c>
      <c r="F30" s="6" t="s">
        <v>88</v>
      </c>
      <c r="G30" s="14" t="n">
        <v>2.60693912437962</v>
      </c>
      <c r="H30" s="13" t="n">
        <f aca="false">G30/G$4-1</f>
        <v>0.00194615339767168</v>
      </c>
      <c r="I30" s="3" t="s">
        <v>712</v>
      </c>
    </row>
    <row r="31" customFormat="false" ht="17.15" hidden="false" customHeight="false" outlineLevel="0" collapsed="false">
      <c r="A31" s="0" t="s">
        <v>764</v>
      </c>
      <c r="B31" s="0" t="s">
        <v>765</v>
      </c>
      <c r="C31" s="3" t="s">
        <v>711</v>
      </c>
      <c r="D31" s="22" t="n">
        <v>53.5170569820702</v>
      </c>
      <c r="E31" s="13" t="n">
        <f aca="false">D31/D$4-1</f>
        <v>0</v>
      </c>
      <c r="F31" s="6" t="s">
        <v>92</v>
      </c>
      <c r="G31" s="14" t="n">
        <v>2.6018754755825</v>
      </c>
      <c r="H31" s="13" t="n">
        <f aca="false">G31/G$4-1</f>
        <v>0</v>
      </c>
      <c r="I31" s="3" t="s">
        <v>712</v>
      </c>
    </row>
    <row r="32" customFormat="false" ht="17.15" hidden="false" customHeight="false" outlineLevel="0" collapsed="false">
      <c r="A32" s="0" t="s">
        <v>766</v>
      </c>
      <c r="B32" s="0" t="s">
        <v>767</v>
      </c>
      <c r="C32" s="3" t="s">
        <v>715</v>
      </c>
      <c r="D32" s="22" t="n">
        <v>53.5170569820702</v>
      </c>
      <c r="E32" s="13" t="n">
        <f aca="false">D32/D$4-1</f>
        <v>0</v>
      </c>
      <c r="F32" s="6" t="s">
        <v>92</v>
      </c>
      <c r="G32" s="14" t="n">
        <v>2.6018754755825</v>
      </c>
      <c r="H32" s="13" t="n">
        <f aca="false">G32/G$4-1</f>
        <v>0</v>
      </c>
      <c r="I32" s="3" t="s">
        <v>712</v>
      </c>
    </row>
    <row r="33" customFormat="false" ht="17.15" hidden="false" customHeight="false" outlineLevel="0" collapsed="false">
      <c r="A33" s="0" t="s">
        <v>768</v>
      </c>
      <c r="B33" s="0" t="s">
        <v>769</v>
      </c>
      <c r="C33" s="3" t="s">
        <v>711</v>
      </c>
      <c r="D33" s="22" t="n">
        <v>53.441037416683</v>
      </c>
      <c r="E33" s="13" t="n">
        <f aca="false">D33/D$4-1</f>
        <v>-0.00142047357747344</v>
      </c>
      <c r="F33" s="6" t="s">
        <v>97</v>
      </c>
      <c r="G33" s="14" t="n">
        <v>2.60022996985323</v>
      </c>
      <c r="H33" s="13" t="n">
        <f aca="false">G33/G$4-1</f>
        <v>-0.000632430623490277</v>
      </c>
      <c r="I33" s="3" t="s">
        <v>712</v>
      </c>
    </row>
    <row r="34" customFormat="false" ht="17.15" hidden="false" customHeight="false" outlineLevel="0" collapsed="false">
      <c r="A34" s="0" t="s">
        <v>770</v>
      </c>
      <c r="B34" s="0" t="s">
        <v>771</v>
      </c>
      <c r="C34" s="3" t="s">
        <v>715</v>
      </c>
      <c r="D34" s="22" t="n">
        <v>53.631120224101</v>
      </c>
      <c r="E34" s="13" t="n">
        <f aca="false">D34/D$4-1</f>
        <v>0.00213134369606749</v>
      </c>
      <c r="F34" s="6" t="s">
        <v>97</v>
      </c>
      <c r="G34" s="14" t="n">
        <v>2.6043437341764</v>
      </c>
      <c r="H34" s="13" t="n">
        <f aca="false">G34/G$4-1</f>
        <v>0.000948645935236803</v>
      </c>
      <c r="I34" s="3" t="s">
        <v>712</v>
      </c>
    </row>
    <row r="35" customFormat="false" ht="17.15" hidden="false" customHeight="false" outlineLevel="0" collapsed="false">
      <c r="A35" s="0" t="s">
        <v>772</v>
      </c>
      <c r="B35" s="0" t="s">
        <v>773</v>
      </c>
      <c r="C35" s="3" t="s">
        <v>711</v>
      </c>
      <c r="D35" s="22" t="n">
        <v>53.0847787363612</v>
      </c>
      <c r="E35" s="13" t="n">
        <f aca="false">D35/D$4-1</f>
        <v>-0.008077391958489</v>
      </c>
      <c r="F35" s="6" t="s">
        <v>101</v>
      </c>
      <c r="G35" s="14" t="n">
        <v>2.58512975077423</v>
      </c>
      <c r="H35" s="13" t="n">
        <f aca="false">G35/G$4-1</f>
        <v>-0.00643602084935202</v>
      </c>
      <c r="I35" s="3" t="s">
        <v>712</v>
      </c>
    </row>
    <row r="36" customFormat="false" ht="17.15" hidden="false" customHeight="false" outlineLevel="0" collapsed="false">
      <c r="A36" s="0" t="s">
        <v>774</v>
      </c>
      <c r="B36" s="0" t="s">
        <v>775</v>
      </c>
      <c r="C36" s="3" t="s">
        <v>715</v>
      </c>
      <c r="D36" s="22" t="n">
        <v>54.0578400828411</v>
      </c>
      <c r="E36" s="13" t="n">
        <f aca="false">D36/D$4-1</f>
        <v>0.0101048736845173</v>
      </c>
      <c r="F36" s="6" t="s">
        <v>101</v>
      </c>
      <c r="G36" s="14" t="n">
        <v>2.62280763159284</v>
      </c>
      <c r="H36" s="13" t="n">
        <f aca="false">G36/G$4-1</f>
        <v>0.00804502606169399</v>
      </c>
      <c r="I36" s="3" t="s">
        <v>712</v>
      </c>
    </row>
    <row r="37" customFormat="false" ht="17.15" hidden="false" customHeight="false" outlineLevel="0" collapsed="false">
      <c r="A37" s="0" t="s">
        <v>776</v>
      </c>
      <c r="B37" s="0" t="s">
        <v>725</v>
      </c>
      <c r="C37" s="3" t="s">
        <v>711</v>
      </c>
      <c r="D37" s="22" t="n">
        <v>53.4694759791727</v>
      </c>
      <c r="E37" s="13" t="n">
        <f aca="false">D37/D$4-1</f>
        <v>-0.000889081081446919</v>
      </c>
      <c r="F37" s="6" t="s">
        <v>105</v>
      </c>
      <c r="G37" s="14" t="n">
        <v>2.60048847612937</v>
      </c>
      <c r="H37" s="13" t="n">
        <f aca="false">G37/G$4-1</f>
        <v>-0.000533076800232402</v>
      </c>
      <c r="I37" s="3" t="s">
        <v>712</v>
      </c>
    </row>
    <row r="38" customFormat="false" ht="17.15" hidden="false" customHeight="false" outlineLevel="0" collapsed="false">
      <c r="A38" s="0" t="s">
        <v>777</v>
      </c>
      <c r="B38" s="0" t="s">
        <v>778</v>
      </c>
      <c r="C38" s="3" t="s">
        <v>715</v>
      </c>
      <c r="D38" s="22" t="n">
        <v>53.5646425112871</v>
      </c>
      <c r="E38" s="13" t="n">
        <f aca="false">D38/D$4-1</f>
        <v>0.000889165658583657</v>
      </c>
      <c r="F38" s="6" t="s">
        <v>105</v>
      </c>
      <c r="G38" s="14" t="n">
        <v>2.60326247503562</v>
      </c>
      <c r="H38" s="13" t="n">
        <f aca="false">G38/G$4-1</f>
        <v>0.00053307680023118</v>
      </c>
      <c r="I38" s="3" t="s">
        <v>712</v>
      </c>
    </row>
    <row r="39" customFormat="false" ht="17.15" hidden="false" customHeight="false" outlineLevel="0" collapsed="false">
      <c r="A39" s="3" t="s">
        <v>779</v>
      </c>
      <c r="B39" s="0" t="s">
        <v>780</v>
      </c>
      <c r="C39" s="3" t="s">
        <v>711</v>
      </c>
      <c r="D39" s="22" t="n">
        <v>52.2990200791275</v>
      </c>
      <c r="E39" s="13" t="n">
        <f aca="false">D39/D$4-1</f>
        <v>-0.0227597885913411</v>
      </c>
      <c r="F39" s="6" t="s">
        <v>110</v>
      </c>
      <c r="G39" s="14" t="n">
        <v>2.5376800972575</v>
      </c>
      <c r="H39" s="13" t="n">
        <f aca="false">G39/G$4-1</f>
        <v>-0.0246727327758162</v>
      </c>
      <c r="I39" s="3" t="s">
        <v>712</v>
      </c>
    </row>
    <row r="40" customFormat="false" ht="17.15" hidden="false" customHeight="false" outlineLevel="0" collapsed="false">
      <c r="A40" s="3" t="s">
        <v>781</v>
      </c>
      <c r="B40" s="0" t="s">
        <v>782</v>
      </c>
      <c r="C40" s="3" t="s">
        <v>715</v>
      </c>
      <c r="D40" s="22" t="n">
        <v>54.5318200321249</v>
      </c>
      <c r="E40" s="13" t="n">
        <f aca="false">D40/D$4-1</f>
        <v>0.0189614883044615</v>
      </c>
      <c r="F40" s="6" t="s">
        <v>110</v>
      </c>
      <c r="G40" s="14" t="n">
        <v>2.65537162418666</v>
      </c>
      <c r="H40" s="13" t="n">
        <f aca="false">G40/G$4-1</f>
        <v>0.0205606106465133</v>
      </c>
      <c r="I40" s="3" t="s">
        <v>712</v>
      </c>
    </row>
    <row r="41" customFormat="false" ht="17.15" hidden="false" customHeight="false" outlineLevel="0" collapsed="false">
      <c r="A41" s="3" t="s">
        <v>783</v>
      </c>
      <c r="B41" s="0" t="s">
        <v>784</v>
      </c>
      <c r="C41" s="3" t="s">
        <v>711</v>
      </c>
      <c r="D41" s="22" t="n">
        <v>52.8433309217349</v>
      </c>
      <c r="E41" s="13" t="n">
        <f aca="false">D41/D$4-1</f>
        <v>-0.0125889968232182</v>
      </c>
      <c r="F41" s="6" t="s">
        <v>113</v>
      </c>
      <c r="G41" s="14" t="n">
        <v>2.6018754755825</v>
      </c>
      <c r="H41" s="13" t="n">
        <f aca="false">G41/G$4-1</f>
        <v>0</v>
      </c>
      <c r="I41" s="3" t="s">
        <v>712</v>
      </c>
    </row>
    <row r="42" customFormat="false" ht="17.15" hidden="false" customHeight="false" outlineLevel="0" collapsed="false">
      <c r="A42" s="3" t="s">
        <v>785</v>
      </c>
      <c r="B42" s="0" t="s">
        <v>786</v>
      </c>
      <c r="C42" s="3" t="s">
        <v>715</v>
      </c>
      <c r="D42" s="22" t="n">
        <v>54.0245930172094</v>
      </c>
      <c r="E42" s="13" t="n">
        <f aca="false">D42/D$4-1</f>
        <v>0.00948363127122742</v>
      </c>
      <c r="F42" s="6" t="s">
        <v>113</v>
      </c>
      <c r="G42" s="14" t="n">
        <v>2.6018754755825</v>
      </c>
      <c r="H42" s="13" t="n">
        <f aca="false">G42/G$4-1</f>
        <v>0</v>
      </c>
      <c r="I42" s="3" t="s">
        <v>712</v>
      </c>
    </row>
    <row r="43" customFormat="false" ht="17.15" hidden="false" customHeight="false" outlineLevel="0" collapsed="false">
      <c r="A43" s="0" t="s">
        <v>787</v>
      </c>
      <c r="B43" s="0" t="s">
        <v>788</v>
      </c>
      <c r="C43" s="3" t="s">
        <v>711</v>
      </c>
      <c r="D43" s="22" t="n">
        <v>52.3233843234604</v>
      </c>
      <c r="E43" s="13" t="n">
        <f aca="false">D43/D$4-1</f>
        <v>-0.0223045273025698</v>
      </c>
      <c r="F43" s="6" t="s">
        <v>126</v>
      </c>
      <c r="G43" s="14" t="n">
        <v>2.538964004824</v>
      </c>
      <c r="H43" s="13" t="n">
        <f aca="false">G43/G$4-1</f>
        <v>-0.0241792781203</v>
      </c>
      <c r="I43" s="3" t="s">
        <v>712</v>
      </c>
    </row>
    <row r="44" customFormat="false" ht="17.15" hidden="false" customHeight="false" outlineLevel="0" collapsed="false">
      <c r="A44" s="0" t="s">
        <v>789</v>
      </c>
      <c r="B44" s="0" t="s">
        <v>790</v>
      </c>
      <c r="C44" s="3" t="s">
        <v>715</v>
      </c>
      <c r="D44" s="22" t="n">
        <v>53.9148726615288</v>
      </c>
      <c r="E44" s="13" t="n">
        <f aca="false">D44/D$4-1</f>
        <v>0.0074334371486815</v>
      </c>
      <c r="F44" s="6" t="s">
        <v>126</v>
      </c>
      <c r="G44" s="14" t="n">
        <v>2.62284596583533</v>
      </c>
      <c r="H44" s="13" t="n">
        <f aca="false">G44/G$4-1</f>
        <v>0.00805975937343373</v>
      </c>
      <c r="I44" s="3" t="s">
        <v>712</v>
      </c>
    </row>
    <row r="45" customFormat="false" ht="17.15" hidden="false" customHeight="false" outlineLevel="0" collapsed="false">
      <c r="A45" s="3" t="s">
        <v>791</v>
      </c>
      <c r="B45" s="0" t="s">
        <v>792</v>
      </c>
      <c r="C45" s="3" t="s">
        <v>711</v>
      </c>
      <c r="D45" s="22" t="n">
        <v>53.5170569820702</v>
      </c>
      <c r="E45" s="13" t="n">
        <f aca="false">D45/D$4-1</f>
        <v>0</v>
      </c>
      <c r="F45" s="6" t="s">
        <v>130</v>
      </c>
      <c r="G45" s="14" t="n">
        <v>2.6018754755825</v>
      </c>
      <c r="H45" s="13" t="n">
        <f aca="false">G45/G$4-1</f>
        <v>0</v>
      </c>
      <c r="I45" s="3" t="s">
        <v>712</v>
      </c>
    </row>
    <row r="46" customFormat="false" ht="17.15" hidden="false" customHeight="false" outlineLevel="0" collapsed="false">
      <c r="A46" s="3" t="s">
        <v>793</v>
      </c>
      <c r="B46" s="0" t="s">
        <v>794</v>
      </c>
      <c r="C46" s="3" t="s">
        <v>715</v>
      </c>
      <c r="D46" s="22" t="n">
        <v>53.5170569820702</v>
      </c>
      <c r="E46" s="13" t="n">
        <f aca="false">D46/D$4-1</f>
        <v>0</v>
      </c>
      <c r="F46" s="6" t="s">
        <v>130</v>
      </c>
      <c r="G46" s="14" t="n">
        <v>2.6018754755825</v>
      </c>
      <c r="H46" s="13" t="n">
        <f aca="false">G46/G$4-1</f>
        <v>0</v>
      </c>
      <c r="I46" s="3" t="s">
        <v>712</v>
      </c>
    </row>
    <row r="47" customFormat="false" ht="17.15" hidden="false" customHeight="false" outlineLevel="0" collapsed="false">
      <c r="A47" s="0" t="s">
        <v>795</v>
      </c>
      <c r="B47" s="0" t="s">
        <v>796</v>
      </c>
      <c r="C47" s="3" t="s">
        <v>711</v>
      </c>
      <c r="D47" s="22" t="n">
        <v>53.5170569820702</v>
      </c>
      <c r="E47" s="13" t="n">
        <f aca="false">D47/D$4-1</f>
        <v>0</v>
      </c>
      <c r="F47" s="6" t="s">
        <v>193</v>
      </c>
      <c r="G47" s="14" t="n">
        <v>2.6018754755825</v>
      </c>
      <c r="H47" s="13" t="n">
        <f aca="false">G47/G$4-1</f>
        <v>0</v>
      </c>
      <c r="I47" s="3" t="s">
        <v>712</v>
      </c>
    </row>
    <row r="48" customFormat="false" ht="17.15" hidden="false" customHeight="false" outlineLevel="0" collapsed="false">
      <c r="A48" s="0" t="s">
        <v>797</v>
      </c>
      <c r="B48" s="0" t="s">
        <v>798</v>
      </c>
      <c r="C48" s="3" t="s">
        <v>715</v>
      </c>
      <c r="D48" s="22" t="n">
        <v>53.5170569820702</v>
      </c>
      <c r="E48" s="13" t="n">
        <f aca="false">D48/D$4-1</f>
        <v>0</v>
      </c>
      <c r="F48" s="6" t="s">
        <v>193</v>
      </c>
      <c r="G48" s="14" t="n">
        <v>2.6018754755825</v>
      </c>
      <c r="H48" s="13" t="n">
        <f aca="false">G48/G$4-1</f>
        <v>0</v>
      </c>
      <c r="I48" s="3" t="s">
        <v>712</v>
      </c>
    </row>
    <row r="49" customFormat="false" ht="17.15" hidden="false" customHeight="false" outlineLevel="0" collapsed="false">
      <c r="A49" s="0" t="s">
        <v>799</v>
      </c>
      <c r="B49" s="0" t="s">
        <v>800</v>
      </c>
      <c r="C49" s="3" t="s">
        <v>711</v>
      </c>
      <c r="D49" s="22" t="n">
        <v>53.9755824282517</v>
      </c>
      <c r="E49" s="13" t="n">
        <f aca="false">D49/D$4-1</f>
        <v>0.00856783747161471</v>
      </c>
      <c r="F49" s="6" t="s">
        <v>197</v>
      </c>
      <c r="G49" s="14" t="n">
        <v>2.60589404550341</v>
      </c>
      <c r="H49" s="13" t="n">
        <f aca="false">G49/G$4-1</f>
        <v>0.00154448971852261</v>
      </c>
      <c r="I49" s="3" t="s">
        <v>712</v>
      </c>
    </row>
    <row r="50" customFormat="false" ht="17.15" hidden="false" customHeight="false" outlineLevel="0" collapsed="false">
      <c r="A50" s="0" t="s">
        <v>801</v>
      </c>
      <c r="B50" s="0" t="s">
        <v>802</v>
      </c>
      <c r="C50" s="3" t="s">
        <v>715</v>
      </c>
      <c r="D50" s="22" t="n">
        <v>53.05971364214</v>
      </c>
      <c r="E50" s="13" t="n">
        <f aca="false">D50/D$4-1</f>
        <v>-0.00854574906993488</v>
      </c>
      <c r="F50" s="6" t="s">
        <v>197</v>
      </c>
      <c r="G50" s="14" t="n">
        <v>2.59785690566159</v>
      </c>
      <c r="H50" s="13" t="n">
        <f aca="false">G50/G$4-1</f>
        <v>-0.00154448971852006</v>
      </c>
      <c r="I50" s="3" t="s">
        <v>712</v>
      </c>
    </row>
    <row r="51" customFormat="false" ht="17.15" hidden="false" customHeight="false" outlineLevel="0" collapsed="false">
      <c r="A51" s="3" t="s">
        <v>803</v>
      </c>
      <c r="B51" s="0" t="s">
        <v>804</v>
      </c>
      <c r="C51" s="3" t="s">
        <v>711</v>
      </c>
      <c r="D51" s="22" t="n">
        <v>51.7257326596894</v>
      </c>
      <c r="E51" s="13" t="n">
        <f aca="false">D51/D$4-1</f>
        <v>-0.0334720259931506</v>
      </c>
      <c r="F51" s="6" t="s">
        <v>201</v>
      </c>
      <c r="G51" s="14" t="n">
        <v>2.5533420530519</v>
      </c>
      <c r="H51" s="13" t="n">
        <f aca="false">G51/G$4-1</f>
        <v>-0.018653245701442</v>
      </c>
      <c r="I51" s="3" t="s">
        <v>712</v>
      </c>
    </row>
    <row r="52" customFormat="false" ht="17.15" hidden="false" customHeight="false" outlineLevel="0" collapsed="false">
      <c r="A52" s="3" t="s">
        <v>805</v>
      </c>
      <c r="B52" s="0" t="s">
        <v>806</v>
      </c>
      <c r="C52" s="3" t="s">
        <v>715</v>
      </c>
      <c r="D52" s="22" t="n">
        <v>55.5214043423177</v>
      </c>
      <c r="E52" s="13" t="n">
        <f aca="false">D52/D$4-1</f>
        <v>0.0374524959569254</v>
      </c>
      <c r="F52" s="6" t="s">
        <v>201</v>
      </c>
      <c r="G52" s="14" t="n">
        <v>2.6504088981131</v>
      </c>
      <c r="H52" s="13" t="n">
        <f aca="false">G52/G$4-1</f>
        <v>0.0186532457014446</v>
      </c>
      <c r="I52" s="3" t="s">
        <v>712</v>
      </c>
    </row>
    <row r="53" customFormat="false" ht="17.15" hidden="false" customHeight="false" outlineLevel="0" collapsed="false">
      <c r="A53" s="3" t="s">
        <v>807</v>
      </c>
      <c r="B53" s="0" t="s">
        <v>808</v>
      </c>
      <c r="C53" s="3" t="s">
        <v>711</v>
      </c>
      <c r="D53" s="22" t="n">
        <v>52.2861852974686</v>
      </c>
      <c r="E53" s="13" t="n">
        <f aca="false">D53/D$4-1</f>
        <v>-0.0229996145904278</v>
      </c>
      <c r="F53" s="6" t="s">
        <v>205</v>
      </c>
      <c r="G53" s="14" t="n">
        <v>2.56708989536836</v>
      </c>
      <c r="H53" s="13" t="n">
        <f aca="false">G53/G$4-1</f>
        <v>-0.0133694254550553</v>
      </c>
      <c r="I53" s="3" t="s">
        <v>712</v>
      </c>
    </row>
    <row r="54" customFormat="false" ht="17.15" hidden="false" customHeight="false" outlineLevel="0" collapsed="false">
      <c r="A54" s="3" t="s">
        <v>809</v>
      </c>
      <c r="B54" s="0" t="s">
        <v>810</v>
      </c>
      <c r="C54" s="3" t="s">
        <v>715</v>
      </c>
      <c r="D54" s="22" t="n">
        <v>54.5942891679531</v>
      </c>
      <c r="E54" s="13" t="n">
        <f aca="false">D54/D$4-1</f>
        <v>0.0201287635499805</v>
      </c>
      <c r="F54" s="6" t="s">
        <v>205</v>
      </c>
      <c r="G54" s="14" t="n">
        <v>2.63086345909428</v>
      </c>
      <c r="H54" s="13" t="n">
        <f aca="false">G54/G$4-1</f>
        <v>0.0111411878792138</v>
      </c>
      <c r="I54" s="3" t="s">
        <v>712</v>
      </c>
    </row>
    <row r="55" customFormat="false" ht="17.15" hidden="false" customHeight="false" outlineLevel="0" collapsed="false">
      <c r="A55" s="3" t="s">
        <v>811</v>
      </c>
      <c r="B55" s="0" t="s">
        <v>725</v>
      </c>
      <c r="C55" s="3" t="s">
        <v>711</v>
      </c>
      <c r="D55" s="22" t="n">
        <v>53.0114943613371</v>
      </c>
      <c r="E55" s="13" t="n">
        <f aca="false">D55/D$4-1</f>
        <v>-0.00944675677704876</v>
      </c>
      <c r="F55" s="6" t="s">
        <v>208</v>
      </c>
      <c r="G55" s="14" t="n">
        <v>2.58737502675437</v>
      </c>
      <c r="H55" s="13" t="n">
        <f aca="false">G55/G$4-1</f>
        <v>-0.00557307563878717</v>
      </c>
      <c r="I55" s="3" t="s">
        <v>712</v>
      </c>
    </row>
    <row r="56" customFormat="false" ht="17.15" hidden="false" customHeight="false" outlineLevel="0" collapsed="false">
      <c r="A56" s="3" t="s">
        <v>812</v>
      </c>
      <c r="B56" s="0" t="s">
        <v>778</v>
      </c>
      <c r="C56" s="3" t="s">
        <v>715</v>
      </c>
      <c r="D56" s="22" t="n">
        <v>54.0524917010822</v>
      </c>
      <c r="E56" s="13" t="n">
        <f aca="false">D56/D$4-1</f>
        <v>0.0100049357944219</v>
      </c>
      <c r="F56" s="6" t="s">
        <v>208</v>
      </c>
      <c r="G56" s="14" t="n">
        <v>2.61637592441062</v>
      </c>
      <c r="H56" s="13" t="n">
        <f aca="false">G56/G$4-1</f>
        <v>0.00557307563878595</v>
      </c>
      <c r="I56" s="3" t="s">
        <v>712</v>
      </c>
    </row>
    <row r="57" customFormat="false" ht="17.15" hidden="false" customHeight="false" outlineLevel="0" collapsed="false">
      <c r="A57" s="3" t="s">
        <v>813</v>
      </c>
      <c r="B57" s="0" t="s">
        <v>814</v>
      </c>
      <c r="C57" s="3" t="s">
        <v>711</v>
      </c>
      <c r="D57" s="22" t="n">
        <v>52.2333554908598</v>
      </c>
      <c r="E57" s="13" t="n">
        <f aca="false">D57/D$4-1</f>
        <v>-0.0239867728832781</v>
      </c>
      <c r="F57" s="6" t="s">
        <v>211</v>
      </c>
      <c r="G57" s="14" t="n">
        <v>2.56153229690938</v>
      </c>
      <c r="H57" s="13" t="n">
        <f aca="false">G57/G$4-1</f>
        <v>-0.0155054225506641</v>
      </c>
      <c r="I57" s="3" t="s">
        <v>712</v>
      </c>
    </row>
    <row r="58" customFormat="false" ht="17.15" hidden="false" customHeight="false" outlineLevel="0" collapsed="false">
      <c r="A58" s="3" t="s">
        <v>815</v>
      </c>
      <c r="B58" s="0" t="s">
        <v>816</v>
      </c>
      <c r="C58" s="3" t="s">
        <v>715</v>
      </c>
      <c r="D58" s="22" t="n">
        <v>54.4133450806945</v>
      </c>
      <c r="E58" s="13" t="n">
        <f aca="false">D58/D$4-1</f>
        <v>0.0167477090327408</v>
      </c>
      <c r="F58" s="6" t="s">
        <v>211</v>
      </c>
      <c r="G58" s="14" t="n">
        <v>2.62877092803124</v>
      </c>
      <c r="H58" s="13" t="n">
        <f aca="false">G58/G$4-1</f>
        <v>0.010336948367109</v>
      </c>
      <c r="I58" s="3" t="s">
        <v>712</v>
      </c>
    </row>
    <row r="59" customFormat="false" ht="17.15" hidden="false" customHeight="false" outlineLevel="0" collapsed="false">
      <c r="A59" s="3" t="s">
        <v>817</v>
      </c>
      <c r="B59" s="0" t="s">
        <v>818</v>
      </c>
      <c r="C59" s="3" t="s">
        <v>711</v>
      </c>
      <c r="D59" s="22" t="n">
        <v>48.02118962505</v>
      </c>
      <c r="E59" s="13" t="n">
        <f aca="false">D59/D$4-1</f>
        <v>-0.102693751617572</v>
      </c>
      <c r="F59" s="6" t="s">
        <v>215</v>
      </c>
      <c r="G59" s="14" t="n">
        <v>2.43593577154811</v>
      </c>
      <c r="H59" s="13" t="n">
        <f aca="false">G59/G$4-1</f>
        <v>-0.0637769584254361</v>
      </c>
      <c r="I59" s="3" t="s">
        <v>712</v>
      </c>
    </row>
    <row r="60" customFormat="false" ht="17.15" hidden="false" customHeight="false" outlineLevel="0" collapsed="false">
      <c r="A60" s="3" t="s">
        <v>819</v>
      </c>
      <c r="B60" s="0" t="s">
        <v>810</v>
      </c>
      <c r="C60" s="3" t="s">
        <v>715</v>
      </c>
      <c r="D60" s="22" t="n">
        <v>57.1785808680568</v>
      </c>
      <c r="E60" s="13" t="n">
        <f aca="false">D60/D$4-1</f>
        <v>0.0684178856698594</v>
      </c>
      <c r="F60" s="6" t="s">
        <v>215</v>
      </c>
      <c r="G60" s="14" t="n">
        <v>2.70558779060399</v>
      </c>
      <c r="H60" s="13" t="n">
        <f aca="false">G60/G$4-1</f>
        <v>0.0398605990158982</v>
      </c>
      <c r="I60" s="3" t="s">
        <v>712</v>
      </c>
    </row>
    <row r="61" customFormat="false" ht="17.15" hidden="false" customHeight="false" outlineLevel="0" collapsed="false">
      <c r="A61" s="3" t="s">
        <v>820</v>
      </c>
      <c r="B61" s="0" t="s">
        <v>821</v>
      </c>
      <c r="C61" s="3" t="s">
        <v>711</v>
      </c>
      <c r="D61" s="22" t="n">
        <v>51.0711811294262</v>
      </c>
      <c r="E61" s="13" t="n">
        <f aca="false">D61/D$4-1</f>
        <v>-0.0457027346153099</v>
      </c>
      <c r="F61" s="6" t="s">
        <v>233</v>
      </c>
      <c r="G61" s="14" t="n">
        <v>2.52379640444787</v>
      </c>
      <c r="H61" s="13" t="n">
        <f aca="false">G61/G$4-1</f>
        <v>-0.0300087655490687</v>
      </c>
      <c r="I61" s="3" t="s">
        <v>712</v>
      </c>
    </row>
    <row r="62" customFormat="false" ht="17.15" hidden="false" customHeight="false" outlineLevel="0" collapsed="false">
      <c r="A62" s="3" t="s">
        <v>822</v>
      </c>
      <c r="B62" s="0" t="s">
        <v>823</v>
      </c>
      <c r="C62" s="3" t="s">
        <v>715</v>
      </c>
      <c r="D62" s="22" t="n">
        <v>55.9629328347141</v>
      </c>
      <c r="E62" s="13" t="n">
        <f aca="false">D62/D$4-1</f>
        <v>0.0457027346153092</v>
      </c>
      <c r="F62" s="6" t="s">
        <v>233</v>
      </c>
      <c r="G62" s="14" t="n">
        <v>2.67995454671712</v>
      </c>
      <c r="H62" s="13" t="n">
        <f aca="false">G62/G$4-1</f>
        <v>0.0300087655490673</v>
      </c>
      <c r="I62" s="3" t="s">
        <v>712</v>
      </c>
    </row>
    <row r="63" customFormat="false" ht="17.15" hidden="false" customHeight="false" outlineLevel="0" collapsed="false">
      <c r="A63" s="0" t="s">
        <v>824</v>
      </c>
      <c r="B63" s="0" t="s">
        <v>825</v>
      </c>
      <c r="C63" s="3" t="s">
        <v>711</v>
      </c>
      <c r="D63" s="22" t="n">
        <v>57.4844542565135</v>
      </c>
      <c r="E63" s="13" t="n">
        <f aca="false">D63/D$4-1</f>
        <v>0.0741333230594599</v>
      </c>
      <c r="F63" s="6" t="s">
        <v>238</v>
      </c>
      <c r="G63" s="14" t="n">
        <v>2.72418634051489</v>
      </c>
      <c r="H63" s="13" t="n">
        <f aca="false">G63/G$4-1</f>
        <v>0.0470087312326164</v>
      </c>
      <c r="I63" s="3" t="s">
        <v>712</v>
      </c>
    </row>
    <row r="64" customFormat="false" ht="17.15" hidden="false" customHeight="false" outlineLevel="0" collapsed="false">
      <c r="A64" s="0" t="s">
        <v>826</v>
      </c>
      <c r="B64" s="0" t="s">
        <v>827</v>
      </c>
      <c r="C64" s="3" t="s">
        <v>715</v>
      </c>
      <c r="D64" s="22" t="n">
        <v>49.400500381551</v>
      </c>
      <c r="E64" s="13" t="n">
        <f aca="false">D64/D$4-1</f>
        <v>-0.0769204592453271</v>
      </c>
      <c r="F64" s="6" t="s">
        <v>238</v>
      </c>
      <c r="G64" s="14" t="n">
        <v>2.4795646106501</v>
      </c>
      <c r="H64" s="13" t="n">
        <f aca="false">G64/G$4-1</f>
        <v>-0.0470087312326175</v>
      </c>
      <c r="I64" s="3" t="s">
        <v>712</v>
      </c>
    </row>
    <row r="65" customFormat="false" ht="17.15" hidden="false" customHeight="false" outlineLevel="0" collapsed="false">
      <c r="A65" s="3" t="s">
        <v>828</v>
      </c>
      <c r="B65" s="0" t="s">
        <v>829</v>
      </c>
      <c r="C65" s="3" t="s">
        <v>711</v>
      </c>
      <c r="D65" s="22" t="n">
        <v>52.6887507852263</v>
      </c>
      <c r="E65" s="13" t="n">
        <f aca="false">D65/D$4-1</f>
        <v>-0.0154774242746828</v>
      </c>
      <c r="F65" s="6" t="s">
        <v>242</v>
      </c>
      <c r="G65" s="14" t="n">
        <v>2.55502803290172</v>
      </c>
      <c r="H65" s="13" t="n">
        <f aca="false">G65/G$4-1</f>
        <v>-0.0180052593294414</v>
      </c>
      <c r="I65" s="3" t="s">
        <v>712</v>
      </c>
    </row>
    <row r="66" customFormat="false" ht="17.15" hidden="false" customHeight="false" outlineLevel="0" collapsed="false">
      <c r="A66" s="3" t="s">
        <v>830</v>
      </c>
      <c r="B66" s="0" t="s">
        <v>831</v>
      </c>
      <c r="C66" s="3" t="s">
        <v>715</v>
      </c>
      <c r="D66" s="22" t="n">
        <v>54.0692611132994</v>
      </c>
      <c r="E66" s="13" t="n">
        <f aca="false">D66/D$4-1</f>
        <v>0.0103182828497881</v>
      </c>
      <c r="F66" s="6" t="s">
        <v>242</v>
      </c>
      <c r="G66" s="14" t="n">
        <v>2.63310710403635</v>
      </c>
      <c r="H66" s="13" t="n">
        <f aca="false">G66/G$4-1</f>
        <v>0.0120035062196284</v>
      </c>
      <c r="I66" s="3" t="s">
        <v>712</v>
      </c>
    </row>
    <row r="67" customFormat="false" ht="17.15" hidden="false" customHeight="false" outlineLevel="0" collapsed="false">
      <c r="A67" s="0" t="s">
        <v>832</v>
      </c>
      <c r="B67" s="0" t="s">
        <v>745</v>
      </c>
      <c r="C67" s="3" t="s">
        <v>711</v>
      </c>
      <c r="D67" s="22" t="n">
        <v>54.7608057699135</v>
      </c>
      <c r="E67" s="13" t="n">
        <f aca="false">D67/D$4-1</f>
        <v>0.0232402313950115</v>
      </c>
      <c r="F67" s="6" t="s">
        <v>245</v>
      </c>
      <c r="G67" s="14" t="n">
        <v>2.66309607500797</v>
      </c>
      <c r="H67" s="13" t="n">
        <f aca="false">G67/G$4-1</f>
        <v>0.0235294117647069</v>
      </c>
      <c r="I67" s="3" t="s">
        <v>712</v>
      </c>
    </row>
    <row r="68" customFormat="false" ht="17.15" hidden="false" customHeight="false" outlineLevel="0" collapsed="false">
      <c r="A68" s="0" t="s">
        <v>833</v>
      </c>
      <c r="B68" s="0" t="s">
        <v>747</v>
      </c>
      <c r="C68" s="3" t="s">
        <v>715</v>
      </c>
      <c r="D68" s="22" t="n">
        <v>51.6514338003052</v>
      </c>
      <c r="E68" s="13" t="n">
        <f aca="false">D68/D$4-1</f>
        <v>-0.034860347092517</v>
      </c>
      <c r="F68" s="6" t="s">
        <v>245</v>
      </c>
      <c r="G68" s="14" t="n">
        <v>2.51004457644429</v>
      </c>
      <c r="H68" s="13" t="n">
        <f aca="false">G68/G$4-1</f>
        <v>-0.0352941176470593</v>
      </c>
      <c r="I68" s="3" t="s">
        <v>712</v>
      </c>
    </row>
    <row r="69" customFormat="false" ht="17.15" hidden="false" customHeight="false" outlineLevel="0" collapsed="false">
      <c r="A69" s="3" t="s">
        <v>834</v>
      </c>
      <c r="B69" s="0" t="s">
        <v>835</v>
      </c>
      <c r="C69" s="3" t="s">
        <v>711</v>
      </c>
      <c r="D69" s="22" t="n">
        <v>54.6013781605061</v>
      </c>
      <c r="E69" s="13" t="n">
        <f aca="false">D69/D$4-1</f>
        <v>0.0202612258517729</v>
      </c>
      <c r="F69" s="6" t="s">
        <v>248</v>
      </c>
      <c r="G69" s="14" t="n">
        <v>2.62269047938716</v>
      </c>
      <c r="H69" s="13" t="n">
        <f aca="false">G69/G$4-1</f>
        <v>0.00800000000000134</v>
      </c>
      <c r="I69" s="3" t="s">
        <v>712</v>
      </c>
    </row>
    <row r="70" customFormat="false" ht="17.15" hidden="false" customHeight="false" outlineLevel="0" collapsed="false">
      <c r="A70" s="3" t="s">
        <v>836</v>
      </c>
      <c r="B70" s="0" t="s">
        <v>837</v>
      </c>
      <c r="C70" s="3" t="s">
        <v>715</v>
      </c>
      <c r="D70" s="22" t="n">
        <v>52.5993036774408</v>
      </c>
      <c r="E70" s="13" t="n">
        <f aca="false">D70/D$4-1</f>
        <v>-0.0171487999599239</v>
      </c>
      <c r="F70" s="6" t="s">
        <v>248</v>
      </c>
      <c r="G70" s="14" t="n">
        <v>2.58393150678538</v>
      </c>
      <c r="H70" s="13" t="n">
        <f aca="false">G70/G$4-1</f>
        <v>-0.00689655172413639</v>
      </c>
      <c r="I70" s="3" t="s">
        <v>712</v>
      </c>
    </row>
    <row r="71" customFormat="false" ht="17.15" hidden="false" customHeight="false" outlineLevel="0" collapsed="false">
      <c r="A71" s="3" t="s">
        <v>838</v>
      </c>
      <c r="B71" s="0" t="s">
        <v>839</v>
      </c>
      <c r="C71" s="3" t="s">
        <v>711</v>
      </c>
      <c r="D71" s="22" t="n">
        <v>56.8860244011826</v>
      </c>
      <c r="E71" s="13" t="n">
        <f aca="false">D71/D$4-1</f>
        <v>0.0629512833682377</v>
      </c>
      <c r="F71" s="6" t="s">
        <v>285</v>
      </c>
      <c r="G71" s="14" t="n">
        <v>2.6018754755825</v>
      </c>
      <c r="H71" s="13" t="n">
        <f aca="false">G71/G$4-1</f>
        <v>0</v>
      </c>
      <c r="I71" s="3" t="s">
        <v>712</v>
      </c>
    </row>
    <row r="72" customFormat="false" ht="17.15" hidden="false" customHeight="false" outlineLevel="0" collapsed="false">
      <c r="A72" s="3" t="s">
        <v>840</v>
      </c>
      <c r="B72" s="0" t="s">
        <v>841</v>
      </c>
      <c r="C72" s="3" t="s">
        <v>715</v>
      </c>
      <c r="D72" s="22" t="n">
        <v>51.1112624238305</v>
      </c>
      <c r="E72" s="13" t="n">
        <f aca="false">D72/D$4-1</f>
        <v>-0.0449537903223207</v>
      </c>
      <c r="F72" s="6" t="s">
        <v>285</v>
      </c>
      <c r="G72" s="14" t="n">
        <v>2.6018754755825</v>
      </c>
      <c r="H72" s="13" t="n">
        <f aca="false">G72/G$4-1</f>
        <v>0</v>
      </c>
      <c r="I72" s="3" t="s">
        <v>712</v>
      </c>
    </row>
    <row r="73" customFormat="false" ht="17.15" hidden="false" customHeight="false" outlineLevel="0" collapsed="false">
      <c r="A73" s="3" t="s">
        <v>842</v>
      </c>
      <c r="B73" s="0" t="s">
        <v>843</v>
      </c>
      <c r="C73" s="3" t="s">
        <v>711</v>
      </c>
      <c r="D73" s="22" t="n">
        <v>53.6947789033089</v>
      </c>
      <c r="E73" s="13" t="n">
        <f aca="false">D73/D$4-1</f>
        <v>0.00332084631070551</v>
      </c>
      <c r="F73" s="6" t="s">
        <v>289</v>
      </c>
      <c r="G73" s="14" t="n">
        <v>2.6018754755825</v>
      </c>
      <c r="H73" s="13" t="n">
        <f aca="false">G73/G$4-1</f>
        <v>0</v>
      </c>
      <c r="I73" s="3" t="s">
        <v>712</v>
      </c>
    </row>
    <row r="74" customFormat="false" ht="17.15" hidden="false" customHeight="false" outlineLevel="0" collapsed="false">
      <c r="A74" s="3" t="s">
        <v>844</v>
      </c>
      <c r="B74" s="0" t="s">
        <v>845</v>
      </c>
      <c r="C74" s="3" t="s">
        <v>715</v>
      </c>
      <c r="D74" s="22" t="n">
        <v>53.4069646845292</v>
      </c>
      <c r="E74" s="13" t="n">
        <f aca="false">D74/D$4-1</f>
        <v>-0.00205714409104851</v>
      </c>
      <c r="F74" s="6" t="s">
        <v>289</v>
      </c>
      <c r="G74" s="14" t="n">
        <v>2.6018754755825</v>
      </c>
      <c r="H74" s="13" t="n">
        <f aca="false">G74/G$4-1</f>
        <v>0</v>
      </c>
      <c r="I74" s="3" t="s">
        <v>712</v>
      </c>
    </row>
    <row r="75" customFormat="false" ht="17.15" hidden="false" customHeight="false" outlineLevel="0" collapsed="false">
      <c r="A75" s="3" t="s">
        <v>846</v>
      </c>
      <c r="B75" s="0" t="s">
        <v>847</v>
      </c>
      <c r="C75" s="3" t="s">
        <v>711</v>
      </c>
      <c r="D75" s="22" t="n">
        <v>61.1018100095815</v>
      </c>
      <c r="E75" s="13" t="n">
        <f aca="false">D75/D$4-1</f>
        <v>0.141725899278289</v>
      </c>
      <c r="F75" s="6" t="s">
        <v>297</v>
      </c>
      <c r="G75" s="14" t="n">
        <v>2.6018754755825</v>
      </c>
      <c r="H75" s="13" t="n">
        <f aca="false">G75/G$4-1</f>
        <v>0</v>
      </c>
      <c r="I75" s="3" t="s">
        <v>712</v>
      </c>
    </row>
    <row r="76" customFormat="false" ht="17.15" hidden="false" customHeight="false" outlineLevel="0" collapsed="false">
      <c r="A76" s="3" t="s">
        <v>848</v>
      </c>
      <c r="B76" s="0" t="s">
        <v>849</v>
      </c>
      <c r="C76" s="3" t="s">
        <v>715</v>
      </c>
      <c r="D76" s="22" t="n">
        <v>45.9323039545589</v>
      </c>
      <c r="E76" s="13" t="n">
        <f aca="false">D76/D$4-1</f>
        <v>-0.141725899278288</v>
      </c>
      <c r="F76" s="6" t="s">
        <v>297</v>
      </c>
      <c r="G76" s="14" t="n">
        <v>2.6018754755825</v>
      </c>
      <c r="H76" s="13" t="n">
        <f aca="false">G76/G$4-1</f>
        <v>0</v>
      </c>
      <c r="I76" s="3" t="s">
        <v>712</v>
      </c>
    </row>
    <row r="78" customFormat="false" ht="17.15" hidden="false" customHeight="false" outlineLevel="0" collapsed="false">
      <c r="A78" s="3" t="s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9" t="s">
        <v>851</v>
      </c>
    </row>
    <row r="2" customFormat="false" ht="17.15" hidden="false" customHeight="false" outlineLevel="0" collapsed="false">
      <c r="A2" s="3" t="s">
        <v>852</v>
      </c>
      <c r="B2" s="0" t="s">
        <v>853</v>
      </c>
    </row>
    <row r="3" customFormat="false" ht="17.15" hidden="false" customHeight="false" outlineLevel="0" collapsed="false">
      <c r="A3" s="3" t="s">
        <v>854</v>
      </c>
      <c r="B3" s="0" t="s">
        <v>855</v>
      </c>
    </row>
    <row r="4" customFormat="false" ht="17.15" hidden="false" customHeight="false" outlineLevel="0" collapsed="false">
      <c r="A4" s="3" t="s">
        <v>856</v>
      </c>
      <c r="B4" s="0" t="s">
        <v>857</v>
      </c>
    </row>
    <row r="5" customFormat="false" ht="17.15" hidden="false" customHeight="false" outlineLevel="0" collapsed="false">
      <c r="A5" s="3" t="s">
        <v>858</v>
      </c>
      <c r="B5" s="0" t="s">
        <v>859</v>
      </c>
    </row>
    <row r="6" customFormat="false" ht="17.15" hidden="false" customHeight="false" outlineLevel="0" collapsed="false">
      <c r="A6" s="3" t="s">
        <v>860</v>
      </c>
      <c r="B6" s="0" t="s">
        <v>861</v>
      </c>
    </row>
    <row r="7" customFormat="false" ht="17.15" hidden="false" customHeight="false" outlineLevel="0" collapsed="false">
      <c r="A7" s="3" t="s">
        <v>862</v>
      </c>
      <c r="B7" s="0" t="s">
        <v>863</v>
      </c>
    </row>
    <row r="8" customFormat="false" ht="17.15" hidden="false" customHeight="false" outlineLevel="0" collapsed="false">
      <c r="A8" s="3" t="s">
        <v>864</v>
      </c>
      <c r="B8" s="0" t="s">
        <v>865</v>
      </c>
    </row>
    <row r="9" customFormat="false" ht="17.15" hidden="false" customHeight="false" outlineLevel="0" collapsed="false">
      <c r="A9" s="3" t="s">
        <v>866</v>
      </c>
      <c r="B9" s="0" t="s">
        <v>867</v>
      </c>
    </row>
    <row r="10" customFormat="false" ht="17.15" hidden="false" customHeight="false" outlineLevel="0" collapsed="false">
      <c r="A10" s="3" t="s">
        <v>868</v>
      </c>
      <c r="B10" s="0" t="s">
        <v>264</v>
      </c>
    </row>
    <row r="11" customFormat="false" ht="17.15" hidden="false" customHeight="false" outlineLevel="0" collapsed="false">
      <c r="A11" s="3" t="s">
        <v>869</v>
      </c>
      <c r="B11" s="0" t="s">
        <v>870</v>
      </c>
    </row>
    <row r="12" customFormat="false" ht="17.15" hidden="false" customHeight="false" outlineLevel="0" collapsed="false">
      <c r="A12" s="3" t="s">
        <v>871</v>
      </c>
      <c r="B12" s="0" t="s">
        <v>260</v>
      </c>
    </row>
    <row r="13" customFormat="false" ht="17.15" hidden="false" customHeight="false" outlineLevel="0" collapsed="false">
      <c r="A13" s="3" t="s">
        <v>872</v>
      </c>
      <c r="B13" s="0" t="s">
        <v>873</v>
      </c>
    </row>
    <row r="14" customFormat="false" ht="17.15" hidden="false" customHeight="false" outlineLevel="0" collapsed="false">
      <c r="A14" s="3" t="s">
        <v>874</v>
      </c>
      <c r="B14" s="0" t="s">
        <v>693</v>
      </c>
    </row>
    <row r="15" customFormat="false" ht="17.15" hidden="false" customHeight="false" outlineLevel="0" collapsed="false">
      <c r="A15" s="3" t="s">
        <v>875</v>
      </c>
      <c r="B15" s="3" t="s">
        <v>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2026-10-31T05:50:35Z</dcterms:created>
  <dc:creator>openpyxl</dc:creator>
  <dc:description/>
  <dc:language>en-US</dc:language>
  <cp:lastModifiedBy/>
  <dcterms:modified xsi:type="dcterms:W3CDTF">2026-10-31T05:50:35Z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