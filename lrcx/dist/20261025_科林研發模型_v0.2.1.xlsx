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s" vbProcedure="false">Q!$B$5</definedName>
    <definedName function="false" hidden="false" name="a25_dsh" vbProcedure="false">Q!$B$19</definedName>
    <definedName function="false" hidden="false" name="a25_eps" vbProcedure="false">Q!$B$18</definedName>
    <definedName function="false" hidden="false" name="a25_epsb" vbProcedure="false">Q!$B$20</definedName>
    <definedName function="false" hidden="false" name="a25_gp" vbProcedure="false">Q!$B$8</definedName>
    <definedName function="false" hidden="false" name="a25_ni" vbProcedure="false">Q!$B$17</definedName>
    <definedName function="false" hidden="false" name="a25_oi" vbProcedure="false">Q!$B$13</definedName>
    <definedName function="false" hidden="false" name="a25_opx" vbProcedure="false">Q!$B$12</definedName>
    <definedName function="false" hidden="false" name="a25_rev" vbProcedure="false">Q!$B$6</definedName>
    <definedName function="false" hidden="false" name="a25_sys" vbProcedure="false">Q!$B$4</definedName>
    <definedName function="false" hidden="false" name="a26_cs" vbProcedure="false">Q!$I$5</definedName>
    <definedName function="false" hidden="false" name="a26_dsh" vbProcedure="false">Q!$I$19</definedName>
    <definedName function="false" hidden="false" name="a26_eps" vbProcedure="false">Q!$I$18</definedName>
    <definedName function="false" hidden="false" name="a26_epsb" vbProcedure="false">Q!$I$20</definedName>
    <definedName function="false" hidden="false" name="a26_gp" vbProcedure="false">Q!$I$8</definedName>
    <definedName function="false" hidden="false" name="a26_ni" vbProcedure="false">Q!$I$17</definedName>
    <definedName function="false" hidden="false" name="a26_oi" vbProcedure="false">Q!$I$13</definedName>
    <definedName function="false" hidden="false" name="a26_opx" vbProcedure="false">Q!$I$12</definedName>
    <definedName function="false" hidden="false" name="a26_rev" vbProcedure="false">Q!$I$6</definedName>
    <definedName function="false" hidden="false" name="a26_sys" vbProcedure="false">Q!$I$4</definedName>
    <definedName function="false" hidden="false" name="advA_25" vbProcedure="false">In!$E$5</definedName>
    <definedName function="false" hidden="false" name="advA_26" vbProcedure="false">In!$E$6</definedName>
    <definedName function="false" hidden="false" name="advA_27" vbProcedure="false">In!$E$7</definedName>
    <definedName function="false" hidden="false" name="advA_28" vbProcedure="false">In!$E$8</definedName>
    <definedName function="false" hidden="false" name="advA_29" vbProcedure="false">In!$E$9</definedName>
    <definedName function="false" hidden="false" name="advB_25" vbProcedure="false">In!$E$30</definedName>
    <definedName function="false" hidden="false" name="advB_26" vbProcedure="false">In!$E$31</definedName>
    <definedName function="false" hidden="false" name="advB_27" vbProcedure="false">In!$E$32</definedName>
    <definedName function="false" hidden="false" name="advB_28" vbProcedure="false">In!$E$33</definedName>
    <definedName function="false" hidden="false" name="advB_29" vbProcedure="false">In!$E$34</definedName>
    <definedName function="false" hidden="false" name="advC_25" vbProcedure="false">In!$E$55</definedName>
    <definedName function="false" hidden="false" name="advC_26" vbProcedure="false">In!$E$56</definedName>
    <definedName function="false" hidden="false" name="advC_27" vbProcedure="false">In!$E$57</definedName>
    <definedName function="false" hidden="false" name="advC_28" vbProcedure="false">In!$E$58</definedName>
    <definedName function="false" hidden="false" name="advC_29" vbProcedure="false">In!$E$59</definedName>
    <definedName function="false" hidden="false" name="bb" vbProcedure="false">In!$E$108</definedName>
    <definedName function="false" hidden="false" name="bb_hi" vbProcedure="false">In!$F$108</definedName>
    <definedName function="false" hidden="false" name="bb_lo" vbProcedure="false">In!$D$108</definedName>
    <definedName function="false" hidden="false" name="cn_sh" vbProcedure="false">In!$E$86</definedName>
    <definedName function="false" hidden="false" name="cn_sh_hi" vbProcedure="false">In!$F$86</definedName>
    <definedName function="false" hidden="false" name="cn_sh_lo" vbProcedure="false">In!$D$86</definedName>
    <definedName function="false" hidden="false" name="cons_eps27" vbProcedure="false">In!$E$119</definedName>
    <definedName function="false" hidden="false" name="cons_eps27b" vbProcedure="false">In!$E$120</definedName>
    <definedName function="false" hidden="false" name="cons_eps28" vbProcedure="false">In!$E$122</definedName>
    <definedName function="false" hidden="false" name="cons_feps" vbProcedure="false">In!$E$137</definedName>
    <definedName function="false" hidden="false" name="cons_rev27" vbProcedure="false">In!$E$121</definedName>
    <definedName function="false" hidden="false" name="cons_rev28" vbProcedure="false">In!$E$123</definedName>
    <definedName function="false" hidden="false" name="cons_tp" vbProcedure="false">In!$E$136</definedName>
    <definedName function="false" hidden="false" name="co_cs26" vbProcedure="false">In!$E$118</definedName>
    <definedName function="false" hidden="false" name="co_sys26" vbProcedure="false">In!$E$117</definedName>
    <definedName function="false" hidden="false" name="co_wfe25" vbProcedure="false">In!$E$115</definedName>
    <definedName function="false" hidden="false" name="co_wfe26" vbProcedure="false">In!$E$114</definedName>
    <definedName function="false" hidden="false" name="co_wfe27" vbProcedure="false">In!$E$116</definedName>
    <definedName function="false" hidden="false" name="csq2_g" vbProcedure="false">In!$E$89</definedName>
    <definedName function="false" hidden="false" name="csq2_g_hi" vbProcedure="false">In!$F$89</definedName>
    <definedName function="false" hidden="false" name="csq2_g_lo" vbProcedure="false">In!$D$89</definedName>
    <definedName function="false" hidden="false" name="cutC" vbProcedure="false">In!$E$87</definedName>
    <definedName function="false" hidden="false" name="cutC_hi" vbProcedure="false">In!$F$87</definedName>
    <definedName function="false" hidden="false" name="cutC_lo" vbProcedure="false">In!$D$87</definedName>
    <definedName function="false" hidden="false" name="cut_sens" vbProcedure="false">In!$E$88</definedName>
    <definedName function="false" hidden="false" name="cut_sens_hi" vbProcedure="false">In!$F$88</definedName>
    <definedName function="false" hidden="false" name="cut_sens_lo" vbProcedure="false">In!$D$88</definedName>
    <definedName function="false" hidden="false" name="cy25_cs" vbProcedure="false">Units!$G$13</definedName>
    <definedName function="false" hidden="false" name="cy25_sys" vbProcedure="false">Units!$G$12</definedName>
    <definedName function="false" hidden="false" name="cy26_cs" vbProcedure="false">Units!$G$9</definedName>
    <definedName function="false" hidden="false" name="cy26_dram" vbProcedure="false">Units!$G$6</definedName>
    <definedName function="false" hidden="false" name="cy26_fl" vbProcedure="false">Units!$G$5</definedName>
    <definedName function="false" hidden="false" name="cy26_nand" vbProcedure="false">Units!$G$7</definedName>
    <definedName function="false" hidden="false" name="cy26_sys" vbProcedure="false">Units!$G$4</definedName>
    <definedName function="false" hidden="false" name="dramA_25" vbProcedure="false">In!$E$15</definedName>
    <definedName function="false" hidden="false" name="dramA_26" vbProcedure="false">In!$E$16</definedName>
    <definedName function="false" hidden="false" name="dramA_27" vbProcedure="false">In!$E$17</definedName>
    <definedName function="false" hidden="false" name="dramA_28" vbProcedure="false">In!$E$18</definedName>
    <definedName function="false" hidden="false" name="dramA_29" vbProcedure="false">In!$E$19</definedName>
    <definedName function="false" hidden="false" name="dramB_25" vbProcedure="false">In!$E$40</definedName>
    <definedName function="false" hidden="false" name="dramB_26" vbProcedure="false">In!$E$41</definedName>
    <definedName function="false" hidden="false" name="dramB_27" vbProcedure="false">In!$E$42</definedName>
    <definedName function="false" hidden="false" name="dramB_28" vbProcedure="false">In!$E$43</definedName>
    <definedName function="false" hidden="false" name="dramB_29" vbProcedure="false">In!$E$44</definedName>
    <definedName function="false" hidden="false" name="dramC_25" vbProcedure="false">In!$E$65</definedName>
    <definedName function="false" hidden="false" name="dramC_26" vbProcedure="false">In!$E$66</definedName>
    <definedName function="false" hidden="false" name="dramC_27" vbProcedure="false">In!$E$67</definedName>
    <definedName function="false" hidden="false" name="dramC_28" vbProcedure="false">In!$E$68</definedName>
    <definedName function="false" hidden="false" name="dramC_29" vbProcedure="false">In!$E$69</definedName>
    <definedName function="false" hidden="false" name="drift" vbProcedure="false">In!$E$85</definedName>
    <definedName function="false" hidden="false" name="drift_hi" vbProcedure="false">In!$F$85</definedName>
    <definedName function="false" hidden="false" name="drift_lo" vbProcedure="false">In!$D$85</definedName>
    <definedName function="false" hidden="false" name="gm_a" vbProcedure="false">In!$E$99</definedName>
    <definedName function="false" hidden="false" name="gm_b" vbProcedure="false">In!$E$98</definedName>
    <definedName function="false" hidden="false" name="gm_h1" vbProcedure="false">In!$E$97</definedName>
    <definedName function="false" hidden="false" name="g_cs27" vbProcedure="false">In!$E$91</definedName>
    <definedName function="false" hidden="false" name="g_cs27_hi" vbProcedure="false">In!$F$91</definedName>
    <definedName function="false" hidden="false" name="g_cs27_lo" vbProcedure="false">In!$D$91</definedName>
    <definedName function="false" hidden="false" name="g_cs_A" vbProcedure="false">In!$E$92</definedName>
    <definedName function="false" hidden="false" name="g_cs_A_hi" vbProcedure="false">In!$F$92</definedName>
    <definedName function="false" hidden="false" name="g_cs_A_lo" vbProcedure="false">In!$D$92</definedName>
    <definedName function="false" hidden="false" name="g_cs_B" vbProcedure="false">In!$E$93</definedName>
    <definedName function="false" hidden="false" name="g_cs_B_hi" vbProcedure="false">In!$F$93</definedName>
    <definedName function="false" hidden="false" name="g_cs_B_lo" vbProcedure="false">In!$D$93</definedName>
    <definedName function="false" hidden="false" name="g_cs_C" vbProcedure="false">In!$E$94</definedName>
    <definedName function="false" hidden="false" name="g_cs_C_hi" vbProcedure="false">In!$F$94</definedName>
    <definedName function="false" hidden="false" name="g_cs_C_lo" vbProcedure="false">In!$D$94</definedName>
    <definedName function="false" hidden="false" name="g_q2eps" vbProcedure="false">In!$E$113</definedName>
    <definedName function="false" hidden="false" name="g_q2eps_hi" vbProcedure="false">In!$F$113</definedName>
    <definedName function="false" hidden="false" name="g_q2eps_lo" vbProcedure="false">In!$D$113</definedName>
    <definedName function="false" hidden="false" name="g_q2gm" vbProcedure="false">In!$E$111</definedName>
    <definedName function="false" hidden="false" name="g_q2gm_hi" vbProcedure="false">In!$F$111</definedName>
    <definedName function="false" hidden="false" name="g_q2gm_lo" vbProcedure="false">In!$D$111</definedName>
    <definedName function="false" hidden="false" name="g_q2om" vbProcedure="false">In!$E$112</definedName>
    <definedName function="false" hidden="false" name="g_q2om_hi" vbProcedure="false">In!$F$112</definedName>
    <definedName function="false" hidden="false" name="g_q2om_lo" vbProcedure="false">In!$D$112</definedName>
    <definedName function="false" hidden="false" name="g_q2rev" vbProcedure="false">In!$E$110</definedName>
    <definedName function="false" hidden="false" name="g_q2rev_hi" vbProcedure="false">In!$F$110</definedName>
    <definedName function="false" hidden="false" name="g_q2rev_lo" vbProcedure="false">In!$D$110</definedName>
    <definedName function="false" hidden="false" name="h1s" vbProcedure="false">In!$E$84</definedName>
    <definedName function="false" hidden="false" name="h1s_hi" vbProcedure="false">In!$F$84</definedName>
    <definedName function="false" hidden="false" name="h1s_lo" vbProcedure="false">In!$D$84</definedName>
    <definedName function="false" hidden="false" name="h2c26" vbProcedure="false">Units!$G$17</definedName>
    <definedName function="false" hidden="false" name="h2s26" vbProcedure="false">Units!$G$16</definedName>
    <definedName function="false" hidden="false" name="h2_26_cs" vbProcedure="false">Units!$E$9:$F$9</definedName>
    <definedName function="false" hidden="false" name="h2_26_sys" vbProcedure="false">Units!$E$4:$F$4</definedName>
    <definedName function="false" hidden="false" name="k_dram" vbProcedure="false">Units!$E$22</definedName>
    <definedName function="false" hidden="false" name="k_fl" vbProcedure="false">Units!$E$21</definedName>
    <definedName function="false" hidden="false" name="k_nand" vbProcedure="false">Units!$E$23</definedName>
    <definedName function="false" hidden="false" name="nandA_25" vbProcedure="false">In!$E$20</definedName>
    <definedName function="false" hidden="false" name="nandA_26" vbProcedure="false">In!$E$21</definedName>
    <definedName function="false" hidden="false" name="nandA_27" vbProcedure="false">In!$E$22</definedName>
    <definedName function="false" hidden="false" name="nandA_28" vbProcedure="false">In!$E$23</definedName>
    <definedName function="false" hidden="false" name="nandA_29" vbProcedure="false">In!$E$24</definedName>
    <definedName function="false" hidden="false" name="nandB_25" vbProcedure="false">In!$E$45</definedName>
    <definedName function="false" hidden="false" name="nandB_26" vbProcedure="false">In!$E$46</definedName>
    <definedName function="false" hidden="false" name="nandB_27" vbProcedure="false">In!$E$47</definedName>
    <definedName function="false" hidden="false" name="nandB_28" vbProcedure="false">In!$E$48</definedName>
    <definedName function="false" hidden="false" name="nandB_29" vbProcedure="false">In!$E$49</definedName>
    <definedName function="false" hidden="false" name="nandC_25" vbProcedure="false">In!$E$70</definedName>
    <definedName function="false" hidden="false" name="nandC_26" vbProcedure="false">In!$E$71</definedName>
    <definedName function="false" hidden="false" name="nandC_27" vbProcedure="false">In!$E$72</definedName>
    <definedName function="false" hidden="false" name="nandC_28" vbProcedure="false">In!$E$73</definedName>
    <definedName function="false" hidden="false" name="nandC_29" vbProcedure="false">In!$E$74</definedName>
    <definedName function="false" hidden="false" name="nim10" vbProcedure="false">In!$E$135</definedName>
    <definedName function="false" hidden="false" name="oflA_25" vbProcedure="false">In!$E$10</definedName>
    <definedName function="false" hidden="false" name="oflA_26" vbProcedure="false">In!$E$11</definedName>
    <definedName function="false" hidden="false" name="oflA_27" vbProcedure="false">In!$E$12</definedName>
    <definedName function="false" hidden="false" name="oflA_28" vbProcedure="false">In!$E$13</definedName>
    <definedName function="false" hidden="false" name="oflA_29" vbProcedure="false">In!$E$14</definedName>
    <definedName function="false" hidden="false" name="oflB_25" vbProcedure="false">In!$E$35</definedName>
    <definedName function="false" hidden="false" name="oflB_26" vbProcedure="false">In!$E$36</definedName>
    <definedName function="false" hidden="false" name="oflB_27" vbProcedure="false">In!$E$37</definedName>
    <definedName function="false" hidden="false" name="oflB_28" vbProcedure="false">In!$E$38</definedName>
    <definedName function="false" hidden="false" name="oflB_29" vbProcedure="false">In!$E$39</definedName>
    <definedName function="false" hidden="false" name="oflC_25" vbProcedure="false">In!$E$60</definedName>
    <definedName function="false" hidden="false" name="oflC_26" vbProcedure="false">In!$E$61</definedName>
    <definedName function="false" hidden="false" name="oflC_27" vbProcedure="false">In!$E$62</definedName>
    <definedName function="false" hidden="false" name="oflC_28" vbProcedure="false">In!$E$63</definedName>
    <definedName function="false" hidden="false" name="oflC_29" vbProcedure="false">In!$E$64</definedName>
    <definedName function="false" hidden="false" name="opex_fix" vbProcedure="false">In!$E$102</definedName>
    <definedName function="false" hidden="false" name="opex_var" vbProcedure="false">In!$E$101</definedName>
    <definedName function="false" hidden="false" name="opx_h1" vbProcedure="false">In!$E$100</definedName>
    <definedName function="false" hidden="false" name="oth_inc" vbProcedure="false">In!$E$105</definedName>
    <definedName function="false" hidden="false" name="oth_inc_hi" vbProcedure="false">In!$F$105</definedName>
    <definedName function="false" hidden="false" name="oth_inc_lo" vbProcedure="false">In!$D$105</definedName>
    <definedName function="false" hidden="false" name="pe_mid" vbProcedure="false">Val!$B$47</definedName>
    <definedName function="false" hidden="false" name="pe_peak" vbProcedure="false">Val!$B$46</definedName>
    <definedName function="false" hidden="false" name="pe_trough" vbProcedure="false">Val!$B$48</definedName>
    <definedName function="false" hidden="false" name="phi" vbProcedure="false">In!$E$103</definedName>
    <definedName function="false" hidden="false" name="phi_hi" vbProcedure="false">In!$F$103</definedName>
    <definedName function="false" hidden="false" name="phi_lo" vbProcedure="false">In!$D$103</definedName>
    <definedName function="false" hidden="false" name="pk_A" vbProcedure="false">In!$E$80</definedName>
    <definedName function="false" hidden="false" name="pk_B" vbProcedure="false">In!$E$81</definedName>
    <definedName function="false" hidden="false" name="pk_C" vbProcedure="false">In!$E$82</definedName>
    <definedName function="false" hidden="false" name="px" vbProcedure="false">In!$E$124</definedName>
    <definedName function="false" hidden="false" name="q1_cs" vbProcedure="false">Q!$G$5</definedName>
    <definedName function="false" hidden="false" name="q1_dsh" vbProcedure="false">Q!$G$19</definedName>
    <definedName function="false" hidden="false" name="q1_eps" vbProcedure="false">Q!$G$18</definedName>
    <definedName function="false" hidden="false" name="q1_epsb" vbProcedure="false">Q!$G$20</definedName>
    <definedName function="false" hidden="false" name="q1_gp" vbProcedure="false">Q!$G$8</definedName>
    <definedName function="false" hidden="false" name="q1_ni" vbProcedure="false">Q!$G$17</definedName>
    <definedName function="false" hidden="false" name="q1_oi" vbProcedure="false">Q!$G$13</definedName>
    <definedName function="false" hidden="false" name="q1_opx" vbProcedure="false">Q!$G$12</definedName>
    <definedName function="false" hidden="false" name="q1_rev" vbProcedure="false">Q!$G$6</definedName>
    <definedName function="false" hidden="false" name="q1_sys" vbProcedure="false">Q!$G$4</definedName>
    <definedName function="false" hidden="false" name="rev_h1" vbProcedure="false">In!$E$96</definedName>
    <definedName function="false" hidden="false" name="sa_fpe" vbProcedure="false">In!$E$125</definedName>
    <definedName function="false" hidden="false" name="sh_27" vbProcedure="false">In!$E$107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p_g" vbProcedure="false">In!$E$132</definedName>
    <definedName function="false" hidden="false" name="tp_r" vbProcedure="false">In!$E$131</definedName>
    <definedName function="false" hidden="false" name="tp_roe" vbProcedure="false">In!$E$133</definedName>
    <definedName function="false" hidden="false" name="tp_wA" vbProcedure="false">In!$E$126</definedName>
    <definedName function="false" hidden="false" name="tp_wB" vbProcedure="false">In!$E$127</definedName>
    <definedName function="false" hidden="false" name="tp_wC" vbProcedure="false">In!$E$128</definedName>
    <definedName function="false" hidden="false" name="tp_w_dcf" vbProcedure="false">In!$E$134</definedName>
    <definedName function="false" hidden="false" name="wfeA_25" vbProcedure="false">In!$E$25</definedName>
    <definedName function="false" hidden="false" name="wfeA_26" vbProcedure="false">In!$E$26</definedName>
    <definedName function="false" hidden="false" name="wfeA_27" vbProcedure="false">In!$E$27</definedName>
    <definedName function="false" hidden="false" name="wfeA_28" vbProcedure="false">In!$E$28</definedName>
    <definedName function="false" hidden="false" name="wfeA_29" vbProcedure="false">In!$E$29</definedName>
    <definedName function="false" hidden="false" name="wfeB_25" vbProcedure="false">In!$E$50</definedName>
    <definedName function="false" hidden="false" name="wfeB_26" vbProcedure="false">In!$E$51</definedName>
    <definedName function="false" hidden="false" name="wfeB_27" vbProcedure="false">In!$E$52</definedName>
    <definedName function="false" hidden="false" name="wfeB_28" vbProcedure="false">In!$E$53</definedName>
    <definedName function="false" hidden="false" name="wfeB_29" vbProcedure="false">In!$E$54</definedName>
    <definedName function="false" hidden="false" name="wfeC_25" vbProcedure="false">In!$E$75</definedName>
    <definedName function="false" hidden="false" name="wfeC_26" vbProcedure="false">In!$E$76</definedName>
    <definedName function="false" hidden="false" name="wfeC_27" vbProcedure="false">In!$E$77</definedName>
    <definedName function="false" hidden="false" name="wfeC_28" vbProcedure="false">In!$E$78</definedName>
    <definedName function="false" hidden="false" name="wfeC_29" vbProcedure="false">In!$E$79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<sst xmlns="http://schemas.openxmlformats.org/spreadsheetml/2006/main" count="2657" uniqueCount="878">
  <si>
    <r>
      <rPr>
        <b val="true"/>
        <sz val="11"/>
        <rFont val="Cambria"/>
        <family val="0"/>
        <charset val="1"/>
      </rPr>
      <t xml:space="preserve">Lam Research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LRCX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</si>
  <si>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Lam </t>
    </r>
    <r>
      <rPr>
        <sz val="11"/>
        <rFont val="Noto Sans CJK SC"/>
        <family val="2"/>
      </rPr>
      <t xml:space="preserve">的系統營收跟著晶圓前段設備（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）的記憶體與代工邏輯支出走，記憶體占系統營收近一半（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升級）、中國占營收約三分之一。核心問題：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年後放緩、或對中國的出口管制加嚴時，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還撐得住現在約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倍的遠期本益比嗎？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</si>
  <si>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CY(t−1) </t>
    </r>
    <r>
      <rPr>
        <sz val="11"/>
        <rFont val="Noto Sans CJK SC"/>
        <family val="2"/>
      </rPr>
      <t xml:space="preserve">下半＋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上半（上半占比 </t>
    </r>
    <r>
      <rPr>
        <sz val="11"/>
        <rFont val="Cambria"/>
        <family val="0"/>
        <charset val="1"/>
      </rPr>
      <t xml:space="preserve">h1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第一季（</t>
    </r>
    <r>
      <rPr>
        <sz val="11"/>
        <rFont val="Cambria"/>
        <family val="0"/>
        <charset val="1"/>
      </rPr>
      <t xml:space="preserve">2026-09 </t>
    </r>
    <r>
      <rPr>
        <sz val="11"/>
        <rFont val="Noto Sans CJK SC"/>
        <family val="2"/>
      </rPr>
      <t xml:space="preserve">季）已於 </t>
    </r>
    <r>
      <rPr>
        <sz val="11"/>
        <rFont val="Cambria"/>
        <family val="0"/>
        <charset val="1"/>
      </rPr>
      <t xml:space="preserve">2026-10-21 </t>
    </r>
    <r>
      <rPr>
        <sz val="11"/>
        <rFont val="Noto Sans CJK SC"/>
        <family val="2"/>
      </rPr>
      <t xml:space="preserve">公布並納入，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月季用公司指引。金額十億美元。</t>
    </r>
  </si>
  <si>
    <t xml:space="preserve">驅動因子 → 推導量</t>
  </si>
  <si>
    <r>
      <rPr>
        <sz val="11"/>
        <rFont val="Noto Sans CJK SC"/>
        <family val="2"/>
      </rPr>
      <t xml:space="preserve">系統營收（日曆年）＝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（份額係數）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分項（代工與邏輯、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；三情境；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FY26 Q3–Q4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FY27 Q1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指引）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客戶別占比校準</t>
    </r>
  </si>
  <si>
    <r>
      <rPr>
        <sz val="11"/>
        <rFont val="Cambria"/>
        <family val="0"/>
        <charset val="1"/>
      </rPr>
      <t xml:space="preserve">CSBG</t>
    </r>
    <r>
      <rPr>
        <sz val="11"/>
        <rFont val="Noto Sans CJK SC"/>
        <family val="2"/>
      </rPr>
      <t xml:space="preserve">（服務、備件、升級、</t>
    </r>
    <r>
      <rPr>
        <sz val="11"/>
        <rFont val="Cambria"/>
        <family val="0"/>
        <charset val="1"/>
      </rPr>
      <t xml:space="preserve">Reliant</t>
    </r>
    <r>
      <rPr>
        <sz val="11"/>
        <rFont val="Noto Sans CJK SC"/>
        <family val="2"/>
      </rPr>
      <t xml:space="preserve">）另推：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公司稱逾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；之後依情境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</si>
  <si>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毛利率＝截距＋斜率 </t>
    </r>
    <r>
      <rPr>
        <sz val="11"/>
        <rFont val="Cambria"/>
        <family val="0"/>
        <charset val="1"/>
      </rPr>
      <t xml:space="preserve">× ln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上半年化兩點推導）；營業費用＝固定＋變動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營收（同兩點）；稅率 </t>
    </r>
    <r>
      <rPr>
        <sz val="11"/>
        <rFont val="Cambria"/>
        <family val="0"/>
        <charset val="1"/>
      </rPr>
      <t xml:space="preserve">16.5%</t>
    </r>
    <r>
      <rPr>
        <sz val="11"/>
        <rFont val="Noto Sans CJK SC"/>
        <family val="2"/>
      </rPr>
      <t xml:space="preserve">（公司說法）；股數 </t>
    </r>
    <r>
      <rPr>
        <sz val="11"/>
        <rFont val="Cambria"/>
        <family val="0"/>
        <charset val="1"/>
      </rPr>
      <t xml:space="preserve">1.253B </t>
    </r>
    <r>
      <rPr>
        <sz val="11"/>
        <rFont val="Noto Sans CJK SC"/>
        <family val="2"/>
      </rPr>
      <t xml:space="preserve">起每年 −</t>
    </r>
    <r>
      <rPr>
        <sz val="11"/>
        <rFont val="Cambria"/>
        <family val="0"/>
        <charset val="1"/>
      </rPr>
      <t xml:space="preserve">1.5%</t>
    </r>
  </si>
  <si>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分項讀設備市場模型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見頂）／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持平）／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2028 −20%</t>
    </r>
    <r>
      <rPr>
        <sz val="11"/>
        <rFont val="Noto Sans CJK SC"/>
        <family val="2"/>
      </rPr>
      <t xml:space="preserve">）；情境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另加出口管制：中國系統營收 −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2022 </t>
    </r>
    <r>
      <rPr>
        <sz val="11"/>
        <rFont val="Noto Sans CJK SC"/>
        <family val="2"/>
      </rPr>
      <t xml:space="preserve">管制類比約三到四成）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</si>
  <si>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2016–2025 </t>
    </r>
    <r>
      <rPr>
        <sz val="11"/>
        <rFont val="Noto Sans CJK SC"/>
        <family val="2"/>
      </rPr>
      <t xml:space="preserve">年底）當期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分位，見頂年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分位；循環位置依設備股共用規則（各情境見頂年度：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節：情境加權目標價。本版未做先驗，無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</si>
  <si>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</si>
  <si>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一點校準，之後份額不變（漂移只在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）；公司稱連續三年優於 </t>
    </r>
    <r>
      <rPr>
        <sz val="11"/>
        <rFont val="Cambria"/>
        <family val="0"/>
        <charset val="1"/>
      </rPr>
      <t xml:space="preserve">WFE</t>
    </r>
    <r>
      <rPr>
        <sz val="11"/>
        <rFont val="Noto Sans CJK SC"/>
        <family val="2"/>
      </rPr>
      <t xml:space="preserve">，若延續則模型偏低；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客戶別占比為「設備與升級營收」口徑（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），套用於系統營收；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拆分來自法說摘要；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中國以總營收占比代用系統營收占比，出口管制折損為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設備市場模型的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SEMI 2025 </t>
    </r>
    <r>
      <rPr>
        <sz val="11"/>
        <rFont val="Noto Sans CJK SC"/>
        <family val="2"/>
      </rPr>
      <t xml:space="preserve">實績校準，與公司 </t>
    </r>
    <r>
      <rPr>
        <sz val="11"/>
        <rFont val="Cambria"/>
        <family val="0"/>
        <charset val="1"/>
      </rPr>
      <t xml:space="preserve">WFE </t>
    </r>
    <r>
      <rPr>
        <sz val="11"/>
        <rFont val="Noto Sans CJK SC"/>
        <family val="2"/>
      </rPr>
      <t xml:space="preserve">口徑不同，只用成長率；</t>
    </r>
    <r>
      <rPr>
        <sz val="11"/>
        <rFont val="Cambria"/>
        <family val="0"/>
        <charset val="1"/>
      </rPr>
      <t xml:space="preserve">(5) CY→FY </t>
    </r>
    <r>
      <rPr>
        <sz val="11"/>
        <rFont val="Noto Sans CJK SC"/>
        <family val="2"/>
      </rPr>
      <t xml:space="preserve">以上下半各半轉換，成長年下半較高（</t>
    </r>
    <r>
      <rPr>
        <sz val="11"/>
        <rFont val="Cambria"/>
        <family val="0"/>
        <charset val="1"/>
      </rPr>
      <t xml:space="preserve">h1 </t>
    </r>
    <r>
      <rPr>
        <sz val="11"/>
        <rFont val="Noto Sans CJK SC"/>
        <family val="2"/>
      </rPr>
      <t xml:space="preserve">區間 </t>
    </r>
    <r>
      <rPr>
        <sz val="11"/>
        <rFont val="Cambria"/>
        <family val="0"/>
        <charset val="1"/>
      </rPr>
      <t xml:space="preserve">45–55%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(6) CSBG </t>
    </r>
    <r>
      <rPr>
        <sz val="11"/>
        <rFont val="Noto Sans CJK SC"/>
        <family val="2"/>
      </rPr>
      <t xml:space="preserve">成長無由下而上（裝機量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每腔體支出）推導；</t>
    </r>
    <r>
      <rPr>
        <sz val="11"/>
        <rFont val="Cambria"/>
        <family val="0"/>
        <charset val="1"/>
      </rPr>
      <t xml:space="preserve">(7) NAND </t>
    </r>
    <r>
      <rPr>
        <sz val="11"/>
        <rFont val="Noto Sans CJK SC"/>
        <family val="2"/>
      </rPr>
      <t xml:space="preserve">升級潮公司稱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年結束，模型的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隨設備市場模型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支出成長，可能高估 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後的 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</si>
  <si>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</si>
  <si>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之前完全相同（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只差顆數係數、而係數從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才分歧），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</si>
  <si>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</si>
  <si>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US$203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259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230.10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11.8%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+12.5%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36.2%</t>
    </r>
    <r>
      <rPr>
        <sz val="11"/>
        <color theme="1"/>
        <rFont val="Noto Sans CJK SC"/>
        <family val="2"/>
      </rPr>
      <t xml:space="preserve">，因情境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後依收斂法下滑（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EPS 5.25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FY2027 9.42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 </t>
    </r>
    <r>
      <rPr>
        <sz val="11"/>
        <color theme="1"/>
        <rFont val="Calibri"/>
        <family val="2"/>
        <charset val="1"/>
      </rPr>
      <t xml:space="preserve">56.3%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</si>
  <si>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：與市場的主要差異在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10.07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FY2028 EPS 12.15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17.1%</t>
    </r>
    <r>
      <rPr>
        <sz val="11"/>
        <color theme="1"/>
        <rFont val="Noto Sans CJK SC"/>
        <family val="2"/>
      </rPr>
      <t xml:space="preserve">（期間約晚四個月），情境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10.68 </t>
    </r>
    <r>
      <rPr>
        <sz val="11"/>
        <color theme="1"/>
        <rFont val="Noto Sans CJK SC"/>
        <family val="2"/>
      </rPr>
      <t xml:space="preserve">也比共識低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；共識目標價 </t>
    </r>
    <r>
      <rPr>
        <sz val="11"/>
        <color theme="1"/>
        <rFont val="Calibri"/>
        <family val="2"/>
        <charset val="1"/>
      </rPr>
      <t xml:space="preserve">364.03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30.0 </t>
    </r>
    <r>
      <rPr>
        <sz val="11"/>
        <color theme="1"/>
        <rFont val="Noto Sans CJK SC"/>
        <family val="2"/>
      </rPr>
      <t xml:space="preserve">倍，比同業前瞻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25.7 </t>
    </r>
    <r>
      <rPr>
        <sz val="11"/>
        <color theme="1"/>
        <rFont val="Noto Sans CJK SC"/>
        <family val="2"/>
      </rPr>
      <t xml:space="preserve">倍高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</si>
  <si>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：出口管制與設備市場情境最敏感：中國系統營收 −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FY2028 EPS −11.8%</t>
    </r>
    <r>
      <rPr>
        <sz val="11"/>
        <color theme="1"/>
        <rFont val="Noto Sans CJK SC"/>
        <family val="2"/>
      </rPr>
      <t xml:space="preserve">、設備情境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使 −</t>
    </r>
    <r>
      <rPr>
        <sz val="11"/>
        <color theme="1"/>
        <rFont val="Calibri"/>
        <family val="2"/>
        <charset val="1"/>
      </rPr>
      <t xml:space="preserve">18.2%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月季）財報（預計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下旬），檢驗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上半年的權重（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±6.6%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</si>
  <si>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美元。每個輸入附兩個來源（來源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</si>
  <si>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）取自 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原文；法說內容取自逐字稿摘要（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</si>
  <si>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</si>
  <si>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</si>
  <si>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</si>
  <si>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</si>
  <si>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</si>
  <si>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</si>
  <si>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</si>
  <si>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</si>
  <si>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</si>
  <si>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晶圓前段設備市場（讀 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；三情境；日曆年 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；唯讀，不另估）</t>
    </r>
  </si>
  <si>
    <t xml:space="preserve">advA_25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</si>
  <si>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</si>
  <si>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</si>
  <si>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</si>
  <si>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Mkt!C120:G120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</si>
  <si>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：公司資本支出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設備占比＋其他廠；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乘情境係數（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</si>
  <si>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advA_26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</si>
  <si>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</si>
  <si>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</si>
  <si>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advA_27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</si>
  <si>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</si>
  <si>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</si>
  <si>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</si>
  <si>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advA_29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</si>
  <si>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</si>
  <si>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</si>
  <si>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</si>
  <si>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Mkt!C121:G121</t>
    </r>
  </si>
  <si>
    <t xml:space="preserve">oflA_26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</si>
  <si>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</si>
  <si>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</si>
  <si>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</si>
  <si>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</si>
  <si>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</si>
  <si>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oflA_29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</si>
  <si>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</si>
  <si>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</si>
  <si>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</si>
  <si>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Mkt!C122:G122</t>
    </r>
  </si>
  <si>
    <t xml:space="preserve">dramA_26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</si>
  <si>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</si>
  <si>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</si>
  <si>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</si>
  <si>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</si>
  <si>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</si>
  <si>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dramA_29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</si>
  <si>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</si>
  <si>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</si>
  <si>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</si>
  <si>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Mkt!C123:G123</t>
    </r>
  </si>
  <si>
    <t xml:space="preserve">nandA_26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</si>
  <si>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</si>
  <si>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</si>
  <si>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</si>
  <si>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</si>
  <si>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</si>
  <si>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nandA_29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</si>
  <si>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</si>
  <si>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</si>
  <si>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</si>
  <si>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</si>
  <si>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</si>
  <si>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</si>
  <si>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</si>
  <si>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</si>
  <si>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</si>
  <si>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</si>
  <si>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</si>
  <si>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</si>
  <si>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advB_25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</si>
  <si>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</si>
  <si>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Mkt!C139:G139</t>
    </r>
  </si>
  <si>
    <t xml:space="preserve">advB_26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</si>
  <si>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</si>
  <si>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</si>
  <si>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</si>
  <si>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</si>
  <si>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</si>
  <si>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advB_29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</si>
  <si>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</si>
  <si>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</si>
  <si>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</si>
  <si>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Mkt!C140:G140</t>
    </r>
  </si>
  <si>
    <t xml:space="preserve">oflB_26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</si>
  <si>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</si>
  <si>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</si>
  <si>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</si>
  <si>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</si>
  <si>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</si>
  <si>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oflB_29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</si>
  <si>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</si>
  <si>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</si>
  <si>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</si>
  <si>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Mkt!C141:G141</t>
    </r>
  </si>
  <si>
    <t xml:space="preserve">dramB_26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</si>
  <si>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</si>
  <si>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</si>
  <si>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</si>
  <si>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</si>
  <si>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</si>
  <si>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dramB_29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</si>
  <si>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</si>
  <si>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</si>
  <si>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</si>
  <si>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Mkt!C142:G142</t>
    </r>
  </si>
  <si>
    <t xml:space="preserve">nandB_26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</si>
  <si>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</si>
  <si>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</si>
  <si>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</si>
  <si>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</si>
  <si>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</si>
  <si>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nandB_29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</si>
  <si>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</si>
  <si>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</si>
  <si>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</si>
  <si>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</si>
  <si>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</si>
  <si>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</si>
  <si>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</si>
  <si>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</si>
  <si>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</si>
  <si>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</si>
  <si>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</si>
  <si>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</si>
  <si>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advC_25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</si>
  <si>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</si>
  <si>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Mkt!C158:G158</t>
    </r>
  </si>
  <si>
    <t xml:space="preserve">advC_26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</si>
  <si>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</si>
  <si>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advC_27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</si>
  <si>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</si>
  <si>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advC_28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</si>
  <si>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</si>
  <si>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advC_29</t>
  </si>
  <si>
    <r>
      <rPr>
        <sz val="11"/>
        <color theme="1"/>
        <rFont val="Noto Sans CJK SC"/>
        <family val="2"/>
      </rPr>
      <t xml:space="preserve">先進邏輯〔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</si>
  <si>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oflC_25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</si>
  <si>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</si>
  <si>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Mkt!C159:G159</t>
    </r>
  </si>
  <si>
    <t xml:space="preserve">oflC_26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</si>
  <si>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</si>
  <si>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oflC_27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</si>
  <si>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</si>
  <si>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oflC_28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</si>
  <si>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</si>
  <si>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oflC_29</t>
  </si>
  <si>
    <r>
      <rPr>
        <sz val="11"/>
        <color theme="1"/>
        <rFont val="Noto Sans CJK SC"/>
        <family val="2"/>
      </rPr>
      <t xml:space="preserve">其他代工與邏輯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</si>
  <si>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dramC_25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</si>
  <si>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</si>
  <si>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Mkt!C160:G160</t>
    </r>
  </si>
  <si>
    <t xml:space="preserve">dramC_26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</si>
  <si>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</si>
  <si>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dramC_27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</si>
  <si>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</si>
  <si>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dramC_28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</si>
  <si>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</si>
  <si>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dramC_29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</si>
  <si>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</si>
  <si>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nandC_25</t>
  </si>
  <si>
    <r>
      <rPr>
        <sz val="11"/>
        <color theme="1"/>
        <rFont val="Calibri"/>
        <family val="2"/>
        <charset val="1"/>
      </rPr>
      <t xml:space="preserve">NAND 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</si>
  <si>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Mkt!C161:G161</t>
    </r>
  </si>
  <si>
    <t xml:space="preserve">nandC_26</t>
  </si>
  <si>
    <r>
      <rPr>
        <sz val="11"/>
        <color theme="1"/>
        <rFont val="Calibri"/>
        <family val="2"/>
        <charset val="1"/>
      </rPr>
      <t xml:space="preserve">NAND 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</si>
  <si>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nandC_27</t>
  </si>
  <si>
    <r>
      <rPr>
        <sz val="11"/>
        <color theme="1"/>
        <rFont val="Calibri"/>
        <family val="2"/>
        <charset val="1"/>
      </rPr>
      <t xml:space="preserve">NAND 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</si>
  <si>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nandC_28</t>
  </si>
  <si>
    <r>
      <rPr>
        <sz val="11"/>
        <color theme="1"/>
        <rFont val="Calibri"/>
        <family val="2"/>
        <charset val="1"/>
      </rPr>
      <t xml:space="preserve">NAND 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</si>
  <si>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nandC_29</t>
  </si>
  <si>
    <r>
      <rPr>
        <sz val="11"/>
        <color theme="1"/>
        <rFont val="Calibri"/>
        <family val="2"/>
        <charset val="1"/>
      </rPr>
      <t xml:space="preserve">NAND 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</si>
  <si>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</si>
  <si>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</si>
  <si>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</si>
  <si>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</si>
  <si>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</si>
  <si>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</si>
  <si>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</si>
  <si>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</si>
  <si>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</si>
  <si>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</si>
  <si>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晶圓前段設備合計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</si>
  <si>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</si>
  <si>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</si>
  <si>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</si>
  <si>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</si>
  <si>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</si>
  <si>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</si>
  <si>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</si>
  <si>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</si>
  <si>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</si>
  <si>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</si>
  <si>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</si>
  <si>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系統營收的情境與份額參數</t>
    </r>
  </si>
  <si>
    <t xml:space="preserve">h1s</t>
  </si>
  <si>
    <r>
      <rPr>
        <sz val="11"/>
        <color theme="1"/>
        <rFont val="Noto Sans CJK SC"/>
        <family val="2"/>
      </rPr>
      <t xml:space="preserve">上半年（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月）占日曆年系統營收與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的比例（</t>
    </r>
    <r>
      <rPr>
        <sz val="11"/>
        <color theme="1"/>
        <rFont val="Calibri"/>
        <family val="2"/>
        <charset val="1"/>
      </rPr>
      <t xml:space="preserve">CY→FY </t>
    </r>
    <r>
      <rPr>
        <sz val="11"/>
        <color theme="1"/>
        <rFont val="Noto Sans CJK SC"/>
        <family val="2"/>
      </rPr>
      <t xml:space="preserve">轉換用）</t>
    </r>
  </si>
  <si>
    <t xml:space="preserve">%</t>
  </si>
  <si>
    <t xml:space="preserve">Assumed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</si>
  <si>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CY(t−1) </t>
    </r>
    <r>
      <rPr>
        <sz val="11"/>
        <color theme="1"/>
        <rFont val="Noto Sans CJK SC"/>
        <family val="2"/>
      </rPr>
      <t xml:space="preserve">下半＋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上半；基準各半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</si>
  <si>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實績＋指引：上半 </t>
    </r>
    <r>
      <rPr>
        <sz val="11"/>
        <color theme="1"/>
        <rFont val="Calibri"/>
        <family val="2"/>
        <charset val="1"/>
      </rPr>
      <t xml:space="preserve">8.0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11.8</t>
    </r>
    <r>
      <rPr>
        <sz val="11"/>
        <color theme="1"/>
        <rFont val="Noto Sans CJK SC"/>
        <family val="2"/>
      </rPr>
      <t xml:space="preserve">（系統）——成長年下半較高，故區間 </t>
    </r>
    <r>
      <rPr>
        <sz val="11"/>
        <color theme="1"/>
        <rFont val="Calibri"/>
        <family val="2"/>
        <charset val="1"/>
      </rPr>
      <t xml:space="preserve">45–55%</t>
    </r>
  </si>
  <si>
    <t xml:space="preserve">drift</t>
  </si>
  <si>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分項的份額漂移（每年，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</si>
  <si>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</si>
  <si>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的份額錨點延續）</t>
    </r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</si>
  <si>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為連續第三年優於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比重上升約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）；不放進基準，只在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±2%</t>
    </r>
  </si>
  <si>
    <t xml:space="preserve">cn_sh</t>
  </si>
  <si>
    <r>
      <rPr>
        <sz val="11"/>
        <color theme="1"/>
        <rFont val="Noto Sans CJK SC"/>
        <family val="2"/>
      </rPr>
      <t xml:space="preserve">中國占系統營收比重（以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中國占總營收代用）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</si>
  <si>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</si>
  <si>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Lam FY2026 10-K</t>
    </r>
    <r>
      <rPr>
        <sz val="11"/>
        <color theme="1"/>
        <rFont val="Noto Sans CJK SC"/>
        <family val="2"/>
      </rPr>
      <t xml:space="preserve">：中國占營收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</si>
  <si>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季別：</t>
    </r>
    <r>
      <rPr>
        <sz val="11"/>
        <color theme="1"/>
        <rFont val="Calibri"/>
        <family val="2"/>
        <charset val="1"/>
      </rPr>
      <t xml:space="preserve">FY26 Q1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）；低／高＝季別最小／最大。系統營收的中國比重未揭露（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同總營收）</t>
    </r>
  </si>
  <si>
    <t xml:space="preserve">cutC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</si>
  <si>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：出口管制加嚴，中國系統營收折損（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</si>
  <si>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美國出口管制，公司估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年營收影響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techwireasia </t>
    </r>
    <r>
      <rPr>
        <sz val="11"/>
        <color theme="1"/>
        <rFont val="Noto Sans CJK SC"/>
        <family val="2"/>
      </rPr>
      <t xml:space="preserve">轉述；當時中國約占營收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），約為中國營收的三到四成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</si>
  <si>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＝類比區間的一半；高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＝類比上緣。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成熟製程設備）未套用</t>
    </r>
  </si>
  <si>
    <t xml:space="preserve">cut_sens</t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</si>
  <si>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：中國系統營收折損（情境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</si>
  <si>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同上：基準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（現行管制已反映在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</si>
  <si>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</si>
  <si>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csq2_g</t>
  </si>
  <si>
    <r>
      <rPr>
        <sz val="11"/>
        <color theme="1"/>
        <rFont val="Calibri"/>
        <family val="2"/>
        <charset val="1"/>
      </rPr>
      <t xml:space="preserve">FY2027 Q2 CSBG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的變化（拆分指引營收用）</t>
    </r>
  </si>
  <si>
    <r>
      <rPr>
        <sz val="11"/>
        <color theme="1"/>
        <rFont val="Noto Sans CJK SC"/>
        <family val="2"/>
      </rPr>
      <t xml:space="preserve">無：公司只給總營收指引 </t>
    </r>
    <r>
      <rPr>
        <sz val="11"/>
        <color theme="1"/>
        <rFont val="Calibri"/>
        <family val="2"/>
        <charset val="1"/>
      </rPr>
      <t xml:space="preserve">8.6</t>
    </r>
  </si>
  <si>
    <r>
      <rPr>
        <sz val="11"/>
        <color theme="1"/>
        <rFont val="Noto Sans CJK SC"/>
        <family val="2"/>
      </rPr>
      <t xml:space="preserve">結果檢查：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（公司稱逾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</si>
  <si>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客戶支援事業群 </t>
    </r>
    <r>
      <rPr>
        <b val="true"/>
        <sz val="11"/>
        <rFont val="Cambria"/>
        <family val="0"/>
        <charset val="1"/>
      </rPr>
      <t xml:space="preserve">CSBG</t>
    </r>
    <r>
      <rPr>
        <b val="true"/>
        <sz val="11"/>
        <rFont val="Noto Sans CJK SC"/>
        <family val="2"/>
      </rPr>
      <t xml:space="preserve">（服務、備件、升級、</t>
    </r>
    <r>
      <rPr>
        <b val="true"/>
        <sz val="11"/>
        <rFont val="Cambria"/>
        <family val="0"/>
        <charset val="1"/>
      </rPr>
      <t xml:space="preserve">Reliant </t>
    </r>
    <r>
      <rPr>
        <b val="true"/>
        <sz val="11"/>
        <rFont val="Noto Sans CJK SC"/>
        <family val="2"/>
      </rPr>
      <t xml:space="preserve">成熟製程設備）</t>
    </r>
  </si>
  <si>
    <t xml:space="preserve">g_cs27</t>
  </si>
  <si>
    <r>
      <rPr>
        <sz val="11"/>
        <color theme="1"/>
        <rFont val="Calibri"/>
        <family val="2"/>
        <charset val="1"/>
      </rPr>
      <t xml:space="preserve">CSBG CY2027 </t>
    </r>
    <r>
      <rPr>
        <sz val="11"/>
        <color theme="1"/>
        <rFont val="Noto Sans CJK SC"/>
        <family val="2"/>
      </rPr>
      <t xml:space="preserve">年增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</si>
  <si>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</si>
  <si>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成長逾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</si>
  <si>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第二來源：未找到。低／高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</si>
  <si>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g_cs_A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</si>
  <si>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</si>
  <si>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無：裝機量（公司稱逾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萬腔體）持續增加、記憶體稼動率隨情境；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升級潮結束（公司稱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年結束）</t>
    </r>
  </si>
  <si>
    <t xml:space="preserve">—</t>
  </si>
  <si>
    <t xml:space="preserve">g_cs_B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</si>
  <si>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</si>
  <si>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g_cs_C</t>
  </si>
  <si>
    <r>
      <rPr>
        <sz val="11"/>
        <color theme="1"/>
        <rFont val="Calibri"/>
        <family val="2"/>
        <charset val="1"/>
      </rPr>
      <t xml:space="preserve">CSBG CY2028–29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</si>
  <si>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毛利率與營業費用（兩點推導：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實績與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上半〔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指引〕年化；不寫死利益率）</t>
    </r>
  </si>
  <si>
    <t xml:space="preserve">rev_h1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</si>
  <si>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上半營收年化（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</si>
  <si>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</si>
  <si>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gm_h1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</si>
  <si>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上半毛利率（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  <r>
      <rPr>
        <sz val="11"/>
        <color theme="1"/>
        <rFont val="Noto Sans CJK SC"/>
        <family val="2"/>
      </rPr>
      <t xml:space="preserve">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</si>
  <si>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</si>
  <si>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毛利率斜率（每單位 </t>
    </r>
    <r>
      <rPr>
        <sz val="11"/>
        <color theme="1"/>
        <rFont val="Calibri"/>
        <family val="2"/>
        <charset val="1"/>
      </rPr>
      <t xml:space="preserve">ln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</si>
  <si>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</si>
  <si>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兩點：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23.2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50.5%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上半年化（</t>
    </r>
    <r>
      <rPr>
        <sz val="11"/>
        <color theme="1"/>
        <rFont val="Calibri"/>
        <family val="2"/>
        <charset val="1"/>
      </rPr>
      <t xml:space="preserve">33.6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</si>
  <si>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對數形式：規模效益遞減；</t>
    </r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的斜率較大（</t>
    </r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），未採</t>
    </r>
  </si>
  <si>
    <t xml:space="preserve">gm_a</t>
  </si>
  <si>
    <t xml:space="preserve">毛利率截距</t>
  </si>
  <si>
    <r>
      <rPr>
        <sz val="11"/>
        <color theme="1"/>
        <rFont val="Noto Sans CJK SC"/>
        <family val="2"/>
      </rPr>
      <t xml:space="preserve">公司長期目標毛利率 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）；對照見 </t>
    </r>
    <r>
      <rPr>
        <sz val="11"/>
        <color theme="1"/>
        <rFont val="Calibri"/>
        <family val="2"/>
        <charset val="1"/>
      </rPr>
      <t xml:space="preserve">Recon</t>
    </r>
  </si>
  <si>
    <t xml:space="preserve">opx_h1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</si>
  <si>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上半營業費用年化（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指引〔毛利率 − 營益率〕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2</t>
    </r>
  </si>
  <si>
    <t xml:space="preserve">opex_var</t>
  </si>
  <si>
    <t xml:space="preserve">營業費用變動部分占營收（兩點斜率）</t>
  </si>
  <si>
    <r>
      <rPr>
        <sz val="11"/>
        <color theme="1"/>
        <rFont val="Noto Sans CJK SC"/>
        <family val="2"/>
      </rPr>
      <t xml:space="preserve">（上半年化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（營收差）</t>
    </r>
  </si>
  <si>
    <t xml:space="preserve">opex_fix</t>
  </si>
  <si>
    <t xml:space="preserve">營業費用固定部分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</si>
  <si>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−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</si>
  <si>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phi</t>
  </si>
  <si>
    <r>
      <rPr>
        <sz val="11"/>
        <color theme="1"/>
        <rFont val="Noto Sans CJK SC"/>
        <family val="2"/>
      </rPr>
      <t xml:space="preserve">營業費用中變動部分占比（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</si>
  <si>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基準＝兩點推導值；低／高 </t>
    </r>
    <r>
      <rPr>
        <sz val="11"/>
        <color theme="1"/>
        <rFont val="Calibri"/>
        <family val="2"/>
        <charset val="1"/>
      </rPr>
      <t xml:space="preserve">Assumed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</si>
  <si>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業外、稅率、股數</t>
    </r>
  </si>
  <si>
    <t xml:space="preserve">oth_inc</t>
  </si>
  <si>
    <t xml:space="preserve">業外收益淨額（每年）</t>
  </si>
  <si>
    <r>
      <rPr>
        <sz val="11"/>
        <color theme="1"/>
        <rFont val="Calibri"/>
        <family val="2"/>
        <charset val="1"/>
      </rPr>
      <t xml:space="preserve">FY2026 0.063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0.057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0.028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</si>
  <si>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含遞延薪酬資產評價，波動大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</si>
  <si>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</si>
  <si>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</si>
  <si>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月季「及之後」預期在此範圍（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</si>
  <si>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Q1 16.9%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559.1÷3,312.2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12.1%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10.1%</t>
    </r>
    <r>
      <rPr>
        <sz val="11"/>
        <color theme="1"/>
        <rFont val="Noto Sans CJK SC"/>
        <family val="2"/>
      </rPr>
      <t xml:space="preserve">（偏低，不當基準）</t>
    </r>
  </si>
  <si>
    <t xml:space="preserve">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</si>
  <si>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</si>
  <si>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</si>
  <si>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月季指引：稀釋股數 </t>
    </r>
    <r>
      <rPr>
        <sz val="11"/>
        <color theme="1"/>
        <rFont val="Calibri"/>
        <family val="2"/>
        <charset val="1"/>
      </rPr>
      <t xml:space="preserve">1.253B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</si>
  <si>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1.2558B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</si>
  <si>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bb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</si>
  <si>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起每年股數淨減少（庫藏股）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</si>
  <si>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1.2901→1.2611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</si>
  <si>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公司長期目標：自由現金流 </t>
    </r>
    <r>
      <rPr>
        <sz val="11"/>
        <color theme="1"/>
        <rFont val="Calibri"/>
        <family val="2"/>
        <charset val="1"/>
      </rPr>
      <t xml:space="preserve">85% </t>
    </r>
    <r>
      <rPr>
        <sz val="11"/>
        <color theme="1"/>
        <rFont val="Noto Sans CJK SC"/>
        <family val="2"/>
      </rPr>
      <t xml:space="preserve">回饋股東（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</si>
  <si>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2026-10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月季；</t>
    </r>
    <r>
      <rPr>
        <b val="true"/>
        <sz val="11"/>
        <rFont val="Cambria"/>
        <family val="0"/>
        <charset val="1"/>
      </rPr>
      <t xml:space="preserve">2026-10-21 </t>
    </r>
    <r>
      <rPr>
        <b val="true"/>
        <sz val="11"/>
        <rFont val="Noto Sans CJK SC"/>
        <family val="2"/>
      </rPr>
      <t xml:space="preserve">公布）、法說說法、共識與股價</t>
    </r>
  </si>
  <si>
    <t xml:space="preserve">g_q2rev</t>
  </si>
  <si>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</si>
  <si>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8.60 ± 0.40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</si>
  <si>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逐字稿同</t>
    </r>
  </si>
  <si>
    <t xml:space="preserve">g_q2gm</t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</si>
  <si>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</si>
  <si>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52.5% ± 1%</t>
    </r>
  </si>
  <si>
    <t xml:space="preserve">g_q2om</t>
  </si>
  <si>
    <r>
      <rPr>
        <sz val="11"/>
        <color theme="1"/>
        <rFont val="Noto Sans CJK SC"/>
        <family val="2"/>
      </rPr>
      <t xml:space="preserve">指引營業利益率 </t>
    </r>
    <r>
      <rPr>
        <sz val="11"/>
        <color theme="1"/>
        <rFont val="Calibri"/>
        <family val="2"/>
        <charset val="1"/>
      </rPr>
      <t xml:space="preserve">FY27 Q2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</si>
  <si>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40.5% ± 1%</t>
    </r>
  </si>
  <si>
    <t xml:space="preserve">g_q2eps</t>
  </si>
  <si>
    <r>
      <rPr>
        <sz val="11"/>
        <color theme="1"/>
        <rFont val="Noto Sans CJK SC"/>
        <family val="2"/>
      </rPr>
      <t xml:space="preserve">指引稀釋 </t>
    </r>
    <r>
      <rPr>
        <sz val="11"/>
        <color theme="1"/>
        <rFont val="Calibri"/>
        <family val="2"/>
        <charset val="1"/>
      </rPr>
      <t xml:space="preserve">EPS FY27 Q2</t>
    </r>
  </si>
  <si>
    <t xml:space="preserve">US$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</si>
  <si>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2.33 ± 0.15</t>
    </r>
  </si>
  <si>
    <t xml:space="preserve">co_wfe26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</si>
  <si>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</si>
  <si>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（年初 </t>
    </r>
    <r>
      <rPr>
        <sz val="11"/>
        <color theme="1"/>
        <rFont val="Calibri"/>
        <family val="2"/>
        <charset val="1"/>
      </rPr>
      <t xml:space="preserve">mid-$130B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</si>
  <si>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法說摘要；公司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口徑與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不同</t>
    </r>
  </si>
  <si>
    <t xml:space="preserve">co_wfe25</t>
  </si>
  <si>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CY2025 WFE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$110B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</si>
  <si>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FQ2-26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摘要）</t>
    </r>
  </si>
  <si>
    <t xml:space="preserve">第二來源：未找到</t>
  </si>
  <si>
    <t xml:space="preserve">co_wfe27</t>
  </si>
  <si>
    <r>
      <rPr>
        <sz val="11"/>
        <color theme="1"/>
        <rFont val="Noto Sans CJK SC"/>
        <family val="2"/>
      </rPr>
      <t xml:space="preserve">公司初步看 </t>
    </r>
    <r>
      <rPr>
        <sz val="11"/>
        <color theme="1"/>
        <rFont val="Calibri"/>
        <family val="2"/>
        <charset val="1"/>
      </rPr>
      <t xml:space="preserve">CY2027 WFE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$200B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</si>
  <si>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more than $200B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成長最多，其次代工邏輯、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</si>
  <si>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法說摘要</t>
    </r>
  </si>
  <si>
    <t xml:space="preserve">co_sys26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</si>
  <si>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</si>
  <si>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</si>
  <si>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Noto Sans CJK SC"/>
        <family val="2"/>
      </rPr>
      <t xml:space="preserve">下限值；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</t>
    </r>
  </si>
  <si>
    <t xml:space="preserve">co_cs26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</si>
  <si>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</si>
  <si>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FQ1-27 </t>
    </r>
    <r>
      <rPr>
        <sz val="11"/>
        <color theme="1"/>
        <rFont val="Noto Sans CJK SC"/>
        <family val="2"/>
      </rPr>
      <t xml:space="preserve">法說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</si>
  <si>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</si>
  <si>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</si>
  <si>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收盤後頁面）</t>
    </r>
  </si>
  <si>
    <r>
      <rPr>
        <sz val="11"/>
        <color theme="1"/>
        <rFont val="Calibri"/>
        <family val="2"/>
        <charset val="1"/>
      </rPr>
      <t xml:space="preserve">stockanalysis 9.48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</si>
  <si>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</si>
  <si>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</si>
  <si>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更新）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</si>
  <si>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</si>
  <si>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</si>
  <si>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Yahoo Finance analysis</t>
  </si>
  <si>
    <t xml:space="preserve">stockanalysis 34.9</t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</si>
  <si>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</si>
  <si>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</si>
  <si>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Yahoo Finance analysis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10.41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15.12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</si>
  <si>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</si>
  <si>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</si>
  <si>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</si>
  <si>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</si>
  <si>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</si>
  <si>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16:00 EDT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</si>
  <si>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月資料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230.10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</si>
  <si>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</si>
  <si>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</si>
  <si>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x</t>
  </si>
  <si>
    <t xml:space="preserve">stockanalysis.com</t>
  </si>
  <si>
    <r>
      <rPr>
        <sz val="11"/>
        <color theme="1"/>
        <rFont val="Noto Sans CJK SC"/>
        <family val="2"/>
      </rPr>
      <t xml:space="preserve">自算見 </t>
    </r>
    <r>
      <rPr>
        <sz val="11"/>
        <color theme="1"/>
        <rFont val="Calibri"/>
        <family val="2"/>
        <charset val="1"/>
      </rPr>
      <t xml:space="preserve">Val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</si>
  <si>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</si>
  <si>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</si>
  <si>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</si>
  <si>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節檢查）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</si>
  <si>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</si>
  <si>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</si>
  <si>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</si>
  <si>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</si>
  <si>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</si>
  <si>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</si>
  <si>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</si>
  <si>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</si>
  <si>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</si>
  <si>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</si>
  <si>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</si>
  <si>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</si>
  <si>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</si>
  <si>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</si>
  <si>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FY2024 45.71%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58.24%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65.07%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</si>
  <si>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70.12%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</si>
  <si>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</si>
  <si>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</si>
  <si>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</si>
  <si>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</si>
  <si>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</si>
  <si>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vcpscanner.com </t>
    </r>
    <r>
      <rPr>
        <sz val="11"/>
        <color theme="1"/>
        <rFont val="Noto Sans CJK SC"/>
        <family val="2"/>
      </rPr>
      <t xml:space="preserve">年度損益（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</si>
  <si>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頁實績核對；其餘年度單一來源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</si>
  <si>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</si>
  <si>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</si>
  <si>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US$364.03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352.50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255–500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2026-10-22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</si>
  <si>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</si>
  <si>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</si>
  <si>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12.15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，約晚四個月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</si>
  <si>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。藍字＝輸入；黑字＝公式（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）。來源：</t>
    </r>
    <r>
      <rPr>
        <sz val="11"/>
        <color theme="1"/>
        <rFont val="Calibri"/>
        <family val="2"/>
        <charset val="1"/>
      </rPr>
      <t xml:space="preserve">Lam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Exhibit 99.1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EDGAR </t>
    </r>
    <r>
      <rPr>
        <sz val="11"/>
        <color theme="1"/>
        <rFont val="Noto Sans CJK SC"/>
        <family val="2"/>
      </rPr>
      <t xml:space="preserve">原文）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</si>
  <si>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）已於 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公布並納入（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）。下一次財報：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第二季，預計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下旬（公司尚未公告日期）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</si>
  <si>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</si>
  <si>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</si>
  <si>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10–12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</si>
  <si>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</si>
  <si>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</si>
  <si>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7–9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</si>
  <si>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</si>
  <si>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</si>
  <si>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</si>
  <si>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系統營收（新的先進製程設備）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</si>
  <si>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Systems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</si>
  <si>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14,885.5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11,491.3</t>
    </r>
    <r>
      <rPr>
        <sz val="11"/>
        <color theme="1"/>
        <rFont val="Noto Sans CJK SC"/>
        <family val="2"/>
      </rPr>
      <t xml:space="preserve">（百萬美元）；四季合計＝全年（見檢查列）</t>
    </r>
  </si>
  <si>
    <r>
      <rPr>
        <sz val="11"/>
        <color theme="1"/>
        <rFont val="Noto Sans CJK SC"/>
        <family val="2"/>
      </rPr>
      <t xml:space="preserve">客戶支援與其他（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：服務、備件、升級、</t>
    </r>
    <r>
      <rPr>
        <sz val="11"/>
        <color theme="1"/>
        <rFont val="Calibri"/>
        <family val="2"/>
        <charset val="1"/>
      </rPr>
      <t xml:space="preserve">Reliant </t>
    </r>
    <r>
      <rPr>
        <sz val="11"/>
        <color theme="1"/>
        <rFont val="Noto Sans CJK SC"/>
        <family val="2"/>
      </rPr>
      <t xml:space="preserve">成熟製程設備）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</si>
  <si>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Customer support-related revenue and other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</si>
  <si>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</t>
    </r>
    <r>
      <rPr>
        <sz val="11"/>
        <color theme="1"/>
        <rFont val="Calibri"/>
        <family val="2"/>
        <charset val="1"/>
      </rPr>
      <t xml:space="preserve">Q1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csq2_g)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</si>
  <si>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</si>
  <si>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</si>
  <si>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23,232.7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18,435.6</t>
    </r>
  </si>
  <si>
    <r>
      <rPr>
        <sz val="11"/>
        <color theme="1"/>
        <rFont val="Noto Sans CJK SC"/>
        <family val="2"/>
      </rPr>
      <t xml:space="preserve">檢查：系統＋</t>
    </r>
    <r>
      <rPr>
        <sz val="11"/>
        <color theme="1"/>
        <rFont val="Calibri"/>
        <family val="2"/>
        <charset val="1"/>
      </rPr>
      <t xml:space="preserve">CSBG − </t>
    </r>
    <r>
      <rPr>
        <sz val="11"/>
        <color theme="1"/>
        <rFont val="Noto Sans CJK SC"/>
        <family val="2"/>
      </rPr>
      <t xml:space="preserve">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</si>
  <si>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</si>
  <si>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</si>
  <si>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</si>
  <si>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50.5%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52.3%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</si>
  <si>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研發費用</t>
  </si>
  <si>
    <t xml:space="preserve">銷管費用</t>
  </si>
  <si>
    <t xml:space="preserve">營業費用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</si>
  <si>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指引欄＝毛利 − 營業利益</t>
    </r>
  </si>
  <si>
    <t xml:space="preserve">營業利益</t>
  </si>
  <si>
    <t xml:space="preserve">營業利益率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</si>
  <si>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35.3%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40.0%</t>
    </r>
  </si>
  <si>
    <t xml:space="preserve">業外收益淨額</t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</si>
  <si>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</si>
  <si>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</si>
  <si>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指引股數（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</si>
  <si>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（稀釋，美元）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</si>
  <si>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GAAP FY2026 5.82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1.26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1.82</t>
    </r>
    <r>
      <rPr>
        <sz val="11"/>
        <color theme="1"/>
        <rFont val="Noto Sans CJK SC"/>
        <family val="2"/>
      </rPr>
      <t xml:space="preserve">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</si>
  <si>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</si>
  <si>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（基本，美元；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的十年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</si>
  <si>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檢查：四季合計 − 全年（系統、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、營收、毛利、營業利益、淨利依序在 </t>
    </r>
    <r>
      <rPr>
        <sz val="11"/>
        <color theme="1"/>
        <rFont val="Calibri"/>
        <family val="2"/>
        <charset val="1"/>
      </rPr>
      <t xml:space="preserve">B–G </t>
    </r>
    <r>
      <rPr>
        <sz val="11"/>
        <color theme="1"/>
        <rFont val="Noto Sans CJK SC"/>
        <family val="2"/>
      </rPr>
      <t xml:space="preserve">欄）</t>
    </r>
  </si>
  <si>
    <t xml:space="preserve">地區與客戶別（占比）</t>
  </si>
  <si>
    <t xml:space="preserve">中國占營收</t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</si>
  <si>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Region revenue</t>
    </r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</si>
  <si>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；管理層稱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月季中國占比將「明顯下降」（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</si>
  <si>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代工（</t>
    </r>
    <r>
      <rPr>
        <sz val="11"/>
        <color theme="1"/>
        <rFont val="Calibri"/>
        <family val="2"/>
        <charset val="1"/>
      </rPr>
      <t xml:space="preserve">Foundry</t>
    </r>
    <r>
      <rPr>
        <sz val="11"/>
        <color theme="1"/>
        <rFont val="Noto Sans CJK SC"/>
        <family val="2"/>
      </rPr>
      <t xml:space="preserve">）占系統營收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</si>
  <si>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：設備與升級營收的客戶別占比</t>
    </r>
  </si>
  <si>
    <r>
      <rPr>
        <sz val="11"/>
        <color theme="1"/>
        <rFont val="Noto Sans CJK SC"/>
        <family val="2"/>
      </rPr>
      <t xml:space="preserve">法說稱占「系統營收」，數字與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相同；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指引欄沿用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</si>
  <si>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邏輯／</t>
    </r>
    <r>
      <rPr>
        <sz val="11"/>
        <color theme="1"/>
        <rFont val="Calibri"/>
        <family val="2"/>
        <charset val="1"/>
      </rPr>
      <t xml:space="preserve">IDM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</si>
  <si>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占系統營收</t>
    </r>
  </si>
  <si>
    <r>
      <rPr>
        <sz val="11"/>
        <color theme="1"/>
        <rFont val="Noto Sans CJK SC"/>
        <family val="2"/>
      </rPr>
      <t xml:space="preserve">法說逐字稿摘要（</t>
    </r>
    <r>
      <rPr>
        <sz val="11"/>
        <color theme="1"/>
        <rFont val="Calibri"/>
        <family val="2"/>
        <charset val="1"/>
      </rPr>
      <t xml:space="preserve">TIKR FQ2-26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FQ4-26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Motley Fool FQ1-27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16%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20%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</si>
  <si>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只揭露記憶體合計；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＝記憶體（見檢查列）。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拆分：未找到</t>
    </r>
  </si>
  <si>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（非揮發性記憶體）占系統營收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</si>
  <si>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Q1 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Q1 26%</t>
    </r>
  </si>
  <si>
    <r>
      <rPr>
        <sz val="11"/>
        <color theme="1"/>
        <rFont val="Noto Sans CJK SC"/>
        <family val="2"/>
      </rPr>
      <t xml:space="preserve">記憶體占系統營收（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</si>
  <si>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Memory</t>
    </r>
  </si>
  <si>
    <r>
      <rPr>
        <sz val="11"/>
        <color theme="1"/>
        <rFont val="Noto Sans CJK SC"/>
        <family val="2"/>
      </rPr>
      <t xml:space="preserve">檢查：代工＋邏輯＋記憶體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− </t>
    </r>
    <r>
      <rPr>
        <sz val="11"/>
        <color theme="1"/>
        <rFont val="Noto Sans CJK SC"/>
        <family val="2"/>
      </rPr>
      <t xml:space="preserve">記憶體（</t>
    </r>
    <r>
      <rPr>
        <sz val="11"/>
        <color theme="1"/>
        <rFont val="Calibri"/>
        <family val="2"/>
        <charset val="1"/>
      </rPr>
      <t xml:space="preserve">C–H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</si>
  <si>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欄為三項合計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</si>
  <si>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對照用：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下半（</t>
    </r>
    <r>
      <rPr>
        <b val="true"/>
        <sz val="11"/>
        <rFont val="Cambria"/>
        <family val="0"/>
        <charset val="1"/>
      </rPr>
      <t xml:space="preserve">2025-01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</si>
  <si>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1–3</t>
    </r>
    <r>
      <rPr>
        <b val="true"/>
        <sz val="11"/>
        <rFont val="Noto Sans CJK SC"/>
        <family val="2"/>
      </rPr>
      <t xml:space="preserve">月）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</si>
  <si>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4–6</t>
    </r>
    <r>
      <rPr>
        <b val="true"/>
        <sz val="11"/>
        <rFont val="Noto Sans CJK SC"/>
        <family val="2"/>
      </rPr>
      <t xml:space="preserve">月）</t>
    </r>
  </si>
  <si>
    <t xml:space="preserve">系統營收</t>
  </si>
  <si>
    <r>
      <rPr>
        <sz val="11"/>
        <color theme="1"/>
        <rFont val="Calibri"/>
        <family val="2"/>
        <charset val="1"/>
      </rPr>
      <t xml:space="preserve">8-K 2025-04-23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Q3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新聞稿的前期比較欄</t>
    </r>
  </si>
  <si>
    <t xml:space="preserve">CSBG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</si>
  <si>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日曆年系統營收依客戶別的錨點：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（實績）＋</t>
    </r>
    <r>
      <rPr>
        <sz val="11"/>
        <color theme="1"/>
        <rFont val="Calibri"/>
        <family val="2"/>
        <charset val="1"/>
      </rPr>
      <t xml:space="preserve">FY27 Q2</t>
    </r>
    <r>
      <rPr>
        <sz val="11"/>
        <color theme="1"/>
        <rFont val="Noto Sans CJK SC"/>
        <family val="2"/>
      </rPr>
      <t xml:space="preserve">（指引）；各季系統營收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客戶別占比；再除以設備市場模型的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分項，得到份額係數 </t>
    </r>
    <r>
      <rPr>
        <sz val="11"/>
        <color theme="1"/>
        <rFont val="Calibri"/>
        <family val="2"/>
        <charset val="1"/>
      </rPr>
      <t xml:space="preserve">k</t>
    </r>
  </si>
  <si>
    <t xml:space="preserve">FY26 Q3</t>
  </si>
  <si>
    <t xml:space="preserve">FY26 Q4</t>
  </si>
  <si>
    <t xml:space="preserve">FY27 Q1</t>
  </si>
  <si>
    <t xml:space="preserve">CY2026</t>
  </si>
  <si>
    <t xml:space="preserve">說明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</si>
  <si>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指引欄＝指引營收 − 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推估</t>
    </r>
  </si>
  <si>
    <t xml:space="preserve">  代工與邏輯</t>
  </si>
  <si>
    <t xml:space="preserve">  DRAM</t>
  </si>
  <si>
    <t xml:space="preserve">  NAND</t>
  </si>
  <si>
    <r>
      <rPr>
        <sz val="11"/>
        <color theme="1"/>
        <rFont val="Noto Sans CJK SC"/>
        <family val="2"/>
      </rPr>
      <t xml:space="preserve">  檢查：三項 − 系統營收（應為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</si>
  <si>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CY2025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年增（對照公司說法）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</si>
  <si>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系統營收（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</si>
  <si>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t xml:space="preserve">CY2025 CSBG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</si>
  <si>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</si>
  <si>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月季指引中點）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</si>
  <si>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</si>
  <si>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公司：逾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</si>
  <si>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下半系統營收（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</si>
  <si>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CSBG</t>
    </r>
  </si>
  <si>
    <r>
      <rPr>
        <b val="true"/>
        <sz val="11"/>
        <rFont val="Noto Sans CJK SC"/>
        <family val="2"/>
      </rPr>
      <t xml:space="preserve">份額係數 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Lam </t>
    </r>
    <r>
      <rPr>
        <b val="true"/>
        <sz val="11"/>
        <rFont val="Noto Sans CJK SC"/>
        <family val="2"/>
      </rPr>
      <t xml:space="preserve">系統營收（客戶別）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設備市場模型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分項（三情境 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相同）</t>
    </r>
  </si>
  <si>
    <t xml:space="preserve">分項</t>
  </si>
  <si>
    <t xml:space="preserve">Lam CY2026</t>
  </si>
  <si>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分項 </t>
    </r>
    <r>
      <rPr>
        <b val="true"/>
        <sz val="11"/>
        <rFont val="Cambria"/>
        <family val="0"/>
        <charset val="1"/>
      </rPr>
      <t xml:space="preserve">CY2026</t>
    </r>
  </si>
  <si>
    <t xml:space="preserve">k</t>
  </si>
  <si>
    <t xml:space="preserve">代工與邏輯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</si>
  <si>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：只用公司實績與指引，未用共識；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是「系統營收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分項」，不是嚴格市占（口徑：系統營收不含升級與 </t>
    </r>
    <r>
      <rPr>
        <sz val="11"/>
        <color theme="1"/>
        <rFont val="Calibri"/>
        <family val="2"/>
        <charset val="1"/>
      </rPr>
      <t xml:space="preserve">Reliant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模型為設備市場模型由下而上值）</t>
    </r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</si>
  <si>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</si>
  <si>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NAND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</si>
  <si>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模型晶圓前段設備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</si>
  <si>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Lam</t>
    </r>
    <r>
      <rPr>
        <sz val="11"/>
        <color theme="1"/>
        <rFont val="Noto Sans CJK SC"/>
        <family val="2"/>
      </rPr>
      <t xml:space="preserve">（系統＋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公司估 </t>
    </r>
    <r>
      <rPr>
        <sz val="11"/>
        <color theme="1"/>
        <rFont val="Calibri"/>
        <family val="2"/>
        <charset val="1"/>
      </rPr>
      <t xml:space="preserve">CY2026 WFE</t>
    </r>
  </si>
  <si>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不屬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，僅供量級參考</t>
    </r>
  </si>
  <si>
    <r>
      <rPr>
        <sz val="11"/>
        <color theme="1"/>
        <rFont val="Calibri"/>
        <family val="2"/>
        <charset val="1"/>
      </rPr>
      <t xml:space="preserve">PL — Lam Research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上半錨定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指引）。三情境各一個完整推導區塊（見下方），本頁頂端為摘要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</si>
  <si>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</si>
  <si>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</si>
  <si>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</si>
  <si>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</si>
  <si>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</si>
  <si>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</si>
  <si>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</si>
  <si>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系統營收</t>
  </si>
  <si>
    <t xml:space="preserve">  CSBG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</si>
  <si>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</si>
  <si>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</si>
  <si>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</si>
  <si>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核對：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模型＝實績（營收、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差的絕對值合計，應為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</si>
  <si>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：設備市場續增（</t>
    </r>
    <r>
      <rPr>
        <b val="true"/>
        <sz val="11"/>
        <rFont val="Cambria"/>
        <family val="0"/>
        <charset val="1"/>
      </rPr>
      <t xml:space="preserve">markets/equipment A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見頂）</t>
    </r>
  </si>
  <si>
    <t xml:space="preserve">FY2025</t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</si>
  <si>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</si>
  <si>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</si>
  <si>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</si>
  <si>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</si>
  <si>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）</t>
    </r>
  </si>
  <si>
    <t xml:space="preserve">系統營收：代工與邏輯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</si>
  <si>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＝錨點（實績＋指引）；之後＝</t>
    </r>
    <r>
      <rPr>
        <sz val="11"/>
        <color theme="1"/>
        <rFont val="Calibri"/>
        <family val="2"/>
        <charset val="1"/>
      </rPr>
      <t xml:space="preserve">k × </t>
    </r>
    <r>
      <rPr>
        <sz val="11"/>
        <color theme="1"/>
        <rFont val="Noto Sans CJK SC"/>
        <family val="2"/>
      </rPr>
      <t xml:space="preserve">設備市場模型分項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＋份額漂移</t>
    </r>
    <r>
      <rPr>
        <sz val="11"/>
        <color theme="1"/>
        <rFont val="Calibri"/>
        <family val="2"/>
        <charset val="1"/>
      </rPr>
      <t xml:space="preserve">)^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</si>
  <si>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</si>
  <si>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系統營收：</t>
    </r>
    <r>
      <rPr>
        <sz val="11"/>
        <color theme="1"/>
        <rFont val="Calibri"/>
        <family val="2"/>
        <charset val="1"/>
      </rPr>
      <t xml:space="preserve">NAND</t>
    </r>
  </si>
  <si>
    <t xml:space="preserve">出口管制：中國系統營收折損</t>
  </si>
  <si>
    <r>
      <rPr>
        <sz val="11"/>
        <color theme="1"/>
        <rFont val="Noto Sans CJK SC"/>
        <family val="2"/>
      </rPr>
      <t xml:space="preserve">−中國占比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折損比例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系統營收；情境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cutC</t>
    </r>
    <r>
      <rPr>
        <sz val="11"/>
        <color theme="1"/>
        <rFont val="Noto Sans CJK SC"/>
        <family val="2"/>
      </rPr>
      <t xml:space="preserve">，其餘為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另設）</t>
    </r>
  </si>
  <si>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CY</t>
    </r>
  </si>
  <si>
    <t xml:space="preserve">CSBG CY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</si>
  <si>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；之後依情境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</si>
  <si>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CY(t−1) </t>
    </r>
    <r>
      <rPr>
        <b val="true"/>
        <sz val="11"/>
        <rFont val="Noto Sans CJK SC"/>
        <family val="2"/>
      </rPr>
      <t xml:space="preserve">下半＋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上半）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</si>
  <si>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下半（</t>
    </r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指引）＋ </t>
    </r>
    <r>
      <rPr>
        <sz val="11"/>
        <color theme="1"/>
        <rFont val="Calibri"/>
        <family val="2"/>
        <charset val="1"/>
      </rPr>
      <t xml:space="preserve">h1 × CY2027</t>
    </r>
  </si>
  <si>
    <r>
      <rPr>
        <sz val="11"/>
        <color theme="1"/>
        <rFont val="Noto Sans CJK SC"/>
        <family val="2"/>
      </rPr>
      <t xml:space="preserve">截距＋斜率 </t>
    </r>
    <r>
      <rPr>
        <sz val="11"/>
        <color theme="1"/>
        <rFont val="Calibri"/>
        <family val="2"/>
        <charset val="1"/>
      </rPr>
      <t xml:space="preserve">× ln </t>
    </r>
    <r>
      <rPr>
        <sz val="11"/>
        <color theme="1"/>
        <rFont val="Noto Sans CJK SC"/>
        <family val="2"/>
      </rPr>
      <t xml:space="preserve">營收（兩點推導）</t>
    </r>
  </si>
  <si>
    <r>
      <rPr>
        <sz val="11"/>
        <color theme="1"/>
        <rFont val="Noto Sans CJK SC"/>
        <family val="2"/>
      </rPr>
      <t xml:space="preserve">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</si>
  <si>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稀釋股數</t>
  </si>
  <si>
    <t xml:space="preserve">系統營收占營收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</si>
  <si>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</si>
  <si>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：設備市場 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markets/equipment C</t>
    </r>
    <r>
      <rPr>
        <b val="true"/>
        <sz val="11"/>
        <rFont val="Noto Sans CJK SC"/>
        <family val="2"/>
      </rPr>
      <t xml:space="preserve">）；另加出口管制中國系統營收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</si>
  <si>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</si>
  <si>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</si>
  <si>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</si>
  <si>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</si>
  <si>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</si>
  <si>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</si>
  <si>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</si>
  <si>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</si>
  <si>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</si>
  <si>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</si>
  <si>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</si>
  <si>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</si>
  <si>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</si>
  <si>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</si>
  <si>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分位。循環位置依設備股共用規則（見第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</si>
  <si>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（年底所在會計年度，例如 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皆為 </t>
    </r>
    <r>
      <rPr>
        <sz val="11"/>
        <color theme="1"/>
        <rFont val="Calibri"/>
        <family val="2"/>
        <charset val="1"/>
      </rPr>
      <t xml:space="preserve">2024-10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分割調整後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</si>
  <si>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</si>
  <si>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t xml:space="preserve">舊法：規則值情境加權（參考）</t>
  </si>
  <si>
    <t xml:space="preserve">數值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</si>
  <si>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</si>
  <si>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</si>
  <si>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</si>
  <si>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</si>
  <si>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</si>
  <si>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節規則值（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依循環位置的倍數）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</si>
  <si>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</si>
  <si>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</si>
  <si>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</si>
  <si>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</si>
  <si>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</si>
  <si>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各自）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依設備股共用循環規則的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年底）當期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分位）；樣本含 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記憶體下行年的低倍數與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高倍數，未調整</t>
    </r>
  </si>
  <si>
    <r>
      <rPr>
        <sz val="11"/>
        <color theme="1"/>
        <rFont val="Noto Sans CJK SC"/>
        <family val="2"/>
      </rPr>
      <t xml:space="preserve">檢查：權重合計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</si>
  <si>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公司公布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（會計年度，美元，分割調整後）— 兩個來源</t>
    </r>
  </si>
  <si>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月結束）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</si>
  <si>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</si>
  <si>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（分割調整）</t>
    </r>
  </si>
  <si>
    <r>
      <rPr>
        <b val="true"/>
        <sz val="11"/>
        <rFont val="Noto Sans CJK SC"/>
        <family val="2"/>
      </rPr>
      <t xml:space="preserve">基本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稀釋 − 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</si>
  <si>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原始基本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（分割前）</t>
    </r>
  </si>
  <si>
    <t xml:space="preserve">FY2016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</si>
  <si>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（各年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）：分割前基本 </t>
    </r>
    <r>
      <rPr>
        <sz val="11"/>
        <color theme="1"/>
        <rFont val="Calibri"/>
        <family val="2"/>
        <charset val="1"/>
      </rPr>
      <t xml:space="preserve">EPS ÷ 10</t>
    </r>
    <r>
      <rPr>
        <sz val="11"/>
        <color theme="1"/>
        <rFont val="Noto Sans CJK SC"/>
        <family val="2"/>
      </rPr>
      <t xml:space="preserve">；稀釋同理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</si>
  <si>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</si>
  <si>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</si>
  <si>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</si>
  <si>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</si>
  <si>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</si>
  <si>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</si>
  <si>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</si>
  <si>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（分割後重編）；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×10 </t>
    </r>
    <r>
      <rPr>
        <sz val="11"/>
        <color theme="1"/>
        <rFont val="Noto Sans CJK SC"/>
        <family val="2"/>
      </rPr>
      <t xml:space="preserve">還原（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</si>
  <si>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FY2024</t>
  </si>
  <si>
    <t xml:space="preserve">FY2026</t>
  </si>
  <si>
    <r>
      <rPr>
        <sz val="11"/>
        <color theme="1"/>
        <rFont val="Noto Sans CJK SC"/>
        <family val="2"/>
      </rPr>
      <t xml:space="preserve">全部年度統一用基本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Basic</t>
    </r>
    <r>
      <rPr>
        <sz val="11"/>
        <color theme="1"/>
        <rFont val="Noto Sans CJK SC"/>
        <family val="2"/>
      </rPr>
      <t xml:space="preserve">，比照樣板）。來源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為同一份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的稀釋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（非獨立來源，只作口徑對照）；獨立的第二個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來源：未找到（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頁面未取得年度表）</t>
    </r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</si>
  <si>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</si>
  <si>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</si>
  <si>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r>
      <rPr>
        <b val="true"/>
        <sz val="11"/>
        <rFont val="Noto Sans CJK SC"/>
        <family val="2"/>
      </rPr>
      <t xml:space="preserve">收盤價 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（分割調整，未還原股利）</t>
    </r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</si>
  <si>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</si>
  <si>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Noto Sans CJK SC"/>
        <family val="2"/>
      </rPr>
      <t xml:space="preserve">前期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（基本）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</si>
  <si>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當期（自算）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</si>
  <si>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前期（自算）</t>
    </r>
  </si>
  <si>
    <t xml:space="preserve">companiesmarketcap P/E</t>
  </si>
  <si>
    <r>
      <rPr>
        <b val="true"/>
        <sz val="11"/>
        <rFont val="Noto Sans CJK SC"/>
        <family val="2"/>
      </rPr>
      <t xml:space="preserve">自算當期 − </t>
    </r>
    <r>
      <rPr>
        <b val="true"/>
        <sz val="11"/>
        <rFont val="Cambria"/>
        <family val="0"/>
        <charset val="1"/>
      </rPr>
      <t xml:space="preserve">cmc</t>
    </r>
  </si>
  <si>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年底價（還原股利）</t>
    </r>
  </si>
  <si>
    <t xml:space="preserve">來源／說明</t>
  </si>
  <si>
    <t xml:space="preserve">2016-12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</si>
  <si>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</si>
  <si>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Real price</t>
    </r>
    <r>
      <rPr>
        <sz val="11"/>
        <color theme="1"/>
        <rFont val="Noto Sans CJK SC"/>
        <family val="2"/>
      </rPr>
      <t xml:space="preserve">」（分割前原價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</t>
    </r>
  </si>
  <si>
    <t xml:space="preserve">2017-12</t>
  </si>
  <si>
    <t xml:space="preserve">2018-12</t>
  </si>
  <si>
    <t xml:space="preserve">2019-12</t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</si>
  <si>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</si>
  <si>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</si>
  <si>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</si>
  <si>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</si>
  <si>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</si>
  <si>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r>
      <rPr>
        <sz val="11"/>
        <color theme="1"/>
        <rFont val="Noto Sans CJK SC"/>
        <family val="2"/>
      </rPr>
      <t xml:space="preserve">收盤價：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（分割後）</t>
    </r>
  </si>
  <si>
    <t xml:space="preserve">2025-12</t>
  </si>
  <si>
    <r>
      <rPr>
        <sz val="11"/>
        <color theme="1"/>
        <rFont val="Noto Sans CJK SC"/>
        <family val="2"/>
      </rPr>
      <t xml:space="preserve">收盤價來源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年底原價（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為分割前，公式 </t>
    </r>
    <r>
      <rPr>
        <sz val="11"/>
        <color theme="1"/>
        <rFont val="Calibri"/>
        <family val="2"/>
        <charset val="1"/>
      </rPr>
      <t xml:space="preserve">÷ 10</t>
    </r>
    <r>
      <rPr>
        <sz val="11"/>
        <color theme="1"/>
        <rFont val="Noto Sans CJK SC"/>
        <family val="2"/>
      </rPr>
      <t xml:space="preserve">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年底價（分割與股利還原，故早年較低；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相同）。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口徑，只作對照（差距見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欄）。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</si>
  <si>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</t>
    </r>
  </si>
  <si>
    <t xml:space="preserve">統計</t>
  </si>
  <si>
    <r>
      <rPr>
        <b val="true"/>
        <sz val="11"/>
        <rFont val="Cambria"/>
        <family val="0"/>
        <charset val="1"/>
      </rPr>
      <t xml:space="preserve">cmc P/E</t>
    </r>
    <r>
      <rPr>
        <b val="true"/>
        <sz val="11"/>
        <rFont val="Noto Sans CJK SC"/>
        <family val="2"/>
      </rPr>
      <t xml:space="preserve">（參考）</t>
    </r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</si>
  <si>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</si>
  <si>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</si>
  <si>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</si>
  <si>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</si>
  <si>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</si>
  <si>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</si>
  <si>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</si>
  <si>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</si>
  <si>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讀法：當期口徑的分母是年底時仍在進行中的會計年度（已過一半），接近遠期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年底記憶體下行使倍數偏低，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預期使倍數偏高。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</si>
  <si>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</si>
  <si>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月，日曆年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只占一半；比照樣板以會計年度結束的年份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對照（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</si>
  <si>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</si>
  <si>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</si>
  <si>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</si>
  <si>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</si>
  <si>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</si>
  <si>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lag 1</t>
    </r>
    <r>
      <rPr>
        <b val="true"/>
        <sz val="11"/>
        <rFont val="Noto Sans CJK SC"/>
        <family val="2"/>
      </rPr>
      <t xml:space="preserve">）的判定</t>
    </r>
  </si>
  <si>
    <t xml:space="preserve">規則</t>
  </si>
  <si>
    <t xml:space="preserve">A</t>
  </si>
  <si>
    <t xml:space="preserve">tools/cycle_position.py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</si>
  <si>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</si>
  <si>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</si>
  <si>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隱含股價（美元）：規則值＝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依循環位置的倍數；其餘倍數僅供參考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</si>
  <si>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</si>
  <si>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</si>
  <si>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</si>
  <si>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</si>
  <si>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</si>
  <si>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</si>
  <si>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</si>
  <si>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</si>
  <si>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</si>
  <si>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目前遠期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</si>
  <si>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stockanalysis 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</si>
  <si>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</si>
  <si>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22.39x</t>
    </r>
    <r>
      <rPr>
        <sz val="11"/>
        <color theme="1"/>
        <rFont val="Noto Sans CJK SC"/>
        <family val="2"/>
      </rPr>
      <t xml:space="preserve">（遠期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口徑未註明）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</si>
  <si>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</si>
  <si>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 </t>
    </r>
    <r>
      <rPr>
        <sz val="11"/>
        <color theme="1"/>
        <rFont val="Calibri"/>
        <family val="2"/>
        <charset val="1"/>
      </rPr>
      <t xml:space="preserve">5.76</t>
    </r>
    <r>
      <rPr>
        <sz val="11"/>
        <color theme="1"/>
        <rFont val="Noto Sans CJK SC"/>
        <family val="2"/>
      </rPr>
      <t xml:space="preserve">）</t>
    </r>
  </si>
  <si>
    <t xml:space="preserve">已結束的會計年度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</si>
  <si>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</si>
  <si>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</si>
  <si>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</si>
  <si>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現價隱含倍數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規則倍數（情境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）— 以 </t>
    </r>
    <r>
      <rPr>
        <sz val="11"/>
        <color theme="1"/>
        <rFont val="Calibri"/>
        <family val="2"/>
        <charset val="1"/>
      </rPr>
      <t xml:space="preserve">FY2027 A EPS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</si>
  <si>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＝現價高於規則給的倍數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</si>
  <si>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</si>
  <si>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</si>
  <si>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</si>
  <si>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</si>
  <si>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</si>
  <si>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</si>
  <si>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</si>
  <si>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</si>
  <si>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</si>
  <si>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</si>
  <si>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</si>
  <si>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</si>
  <si>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</si>
  <si>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</si>
  <si>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</si>
  <si>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</si>
  <si>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</si>
  <si>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</si>
  <si>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折現（略低估）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</si>
  <si>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</si>
  <si>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</si>
  <si>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</si>
  <si>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</si>
  <si>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</si>
  <si>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</si>
  <si>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</si>
  <si>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</si>
  <si>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</si>
  <si>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應用材料（</t>
    </r>
    <r>
      <rPr>
        <sz val="11"/>
        <color theme="1"/>
        <rFont val="Calibri"/>
        <family val="2"/>
        <charset val="1"/>
      </rPr>
      <t xml:space="preserve">Applied Materials</t>
    </r>
    <r>
      <rPr>
        <sz val="11"/>
        <color theme="1"/>
        <rFont val="Noto Sans CJK SC"/>
        <family val="2"/>
      </rPr>
      <t xml:space="preserve">）</t>
    </r>
  </si>
  <si>
    <t xml:space="preserve">AMAT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</si>
  <si>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</si>
  <si>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</si>
  <si>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科磊（</t>
    </r>
    <r>
      <rPr>
        <sz val="11"/>
        <color theme="1"/>
        <rFont val="Calibri"/>
        <family val="2"/>
        <charset val="1"/>
      </rPr>
      <t xml:space="preserve">KLA</t>
    </r>
    <r>
      <rPr>
        <sz val="11"/>
        <color theme="1"/>
        <rFont val="Noto Sans CJK SC"/>
        <family val="2"/>
      </rPr>
      <t xml:space="preserve">）</t>
    </r>
  </si>
  <si>
    <t xml:space="preserve">KLAC</t>
  </si>
  <si>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（美國 </t>
    </r>
    <r>
      <rPr>
        <sz val="11"/>
        <color theme="1"/>
        <rFont val="Calibri"/>
        <family val="2"/>
        <charset val="1"/>
      </rPr>
      <t xml:space="preserve">ADR</t>
    </r>
    <r>
      <rPr>
        <sz val="11"/>
        <color theme="1"/>
        <rFont val="Noto Sans CJK SC"/>
        <family val="2"/>
      </rPr>
      <t xml:space="preserve">）</t>
    </r>
  </si>
  <si>
    <t xml:space="preserve">ASML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</si>
  <si>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</si>
  <si>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</si>
  <si>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</si>
  <si>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</si>
  <si>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前段設備同業：應用材料、科磊、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</si>
  <si>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</si>
  <si>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</si>
  <si>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</si>
  <si>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</si>
  <si>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</si>
  <si>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</si>
  <si>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</si>
  <si>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</si>
  <si>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</si>
  <si>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</si>
  <si>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</si>
  <si>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</si>
  <si>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</si>
  <si>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</si>
  <si>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Yahoo 12.15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FY2029</t>
    </r>
    <r>
      <rPr>
        <sz val="11"/>
        <color theme="1"/>
        <rFont val="Noto Sans CJK SC"/>
        <family val="2"/>
      </rPr>
      <t xml:space="preserve">，約晚四個月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</si>
  <si>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</si>
  <si>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</si>
  <si>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</si>
  <si>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</si>
  <si>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（當期口徑自算）的分位；只作檢查，不進目標價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</si>
  <si>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</si>
  <si>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：應用材料、科磊、</t>
    </r>
    <r>
      <rPr>
        <sz val="11"/>
        <color theme="1"/>
        <rFont val="Calibri"/>
        <family val="2"/>
        <charset val="1"/>
      </rPr>
      <t xml:space="preserve">ASML</t>
    </r>
    <r>
      <rPr>
        <sz val="11"/>
        <color theme="1"/>
        <rFont val="Noto Sans CJK SC"/>
        <family val="2"/>
      </rPr>
      <t xml:space="preserve">、東京威力科創前瞻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。偏誤：會計年度 </t>
    </r>
    <r>
      <rPr>
        <sz val="11"/>
        <color theme="1"/>
        <rFont val="Calibri"/>
        <family val="2"/>
        <charset val="1"/>
      </rPr>
      <t xml:space="preserve">7–6 </t>
    </r>
    <r>
      <rPr>
        <sz val="11"/>
        <color theme="1"/>
        <rFont val="Noto Sans CJK SC"/>
        <family val="2"/>
      </rPr>
      <t xml:space="preserve">月以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折現略低估；記憶體與中國循環風險只在情境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反映。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</si>
  <si>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</si>
  <si>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131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</si>
  <si>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</si>
  <si>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</si>
  <si>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公司說法、共識、設備市場模型。只作事後對照，不為對上數字而調整參數。差距 </t>
    </r>
    <r>
      <rPr>
        <sz val="11"/>
        <color theme="1"/>
        <rFont val="Calibri"/>
        <family val="2"/>
        <charset val="1"/>
      </rPr>
      <t xml:space="preserve">&gt; 10%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</si>
  <si>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</si>
  <si>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</si>
  <si>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</si>
  <si>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</si>
  <si>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</si>
  <si>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</si>
  <si>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</si>
  <si>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</si>
  <si>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vs </t>
    </r>
    <r>
      <rPr>
        <b val="true"/>
        <sz val="11"/>
        <rFont val="Noto Sans CJK SC"/>
        <family val="2"/>
      </rPr>
      <t xml:space="preserve">共識（校準未使用共識）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</si>
  <si>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</si>
  <si>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</si>
  <si>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</si>
  <si>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</si>
  <si>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共識多為非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差約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／季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</si>
  <si>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</si>
  <si>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</si>
  <si>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</si>
  <si>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位；區間 </t>
    </r>
    <r>
      <rPr>
        <sz val="11"/>
        <color theme="1"/>
        <rFont val="Calibri"/>
        <family val="2"/>
        <charset val="1"/>
      </rPr>
      <t xml:space="preserve">36.5–49.2</t>
    </r>
    <r>
      <rPr>
        <sz val="11"/>
        <color theme="1"/>
        <rFont val="Noto Sans CJK SC"/>
        <family val="2"/>
      </rPr>
      <t xml:space="preserve">）</t>
    </r>
  </si>
  <si>
    <t xml:space="preserve">FY2028 EPS</t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</si>
  <si>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12.15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10.41–15.12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</si>
  <si>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公司說法（法說，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</si>
  <si>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系統營收年增（公司：</t>
    </r>
    <r>
      <rPr>
        <sz val="11"/>
        <color theme="1"/>
        <rFont val="Calibri"/>
        <family val="2"/>
        <charset val="1"/>
      </rPr>
      <t xml:space="preserve">well over 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</si>
  <si>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</si>
  <si>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Noto Sans CJK SC"/>
        <family val="2"/>
      </rPr>
      <t xml:space="preserve">模型值＝實績＋指引（含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拆分假設），非獨立檢驗</t>
    </r>
  </si>
  <si>
    <r>
      <rPr>
        <sz val="11"/>
        <color theme="1"/>
        <rFont val="Calibri"/>
        <family val="2"/>
        <charset val="1"/>
      </rPr>
      <t xml:space="preserve">CY2026 CSBG </t>
    </r>
    <r>
      <rPr>
        <sz val="11"/>
        <color theme="1"/>
        <rFont val="Noto Sans CJK SC"/>
        <family val="2"/>
      </rPr>
      <t xml:space="preserve">年增（公司：逾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</si>
  <si>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Q2 CSBG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持平時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</si>
  <si>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52.5%</t>
    </r>
  </si>
  <si>
    <t xml:space="preserve">8-K 2026-10-21</t>
  </si>
  <si>
    <r>
      <rPr>
        <sz val="11"/>
        <color theme="1"/>
        <rFont val="Noto Sans CJK SC"/>
        <family val="2"/>
      </rPr>
      <t xml:space="preserve">公司稱近期維持目前水準；長期 </t>
    </r>
    <r>
      <rPr>
        <sz val="11"/>
        <color theme="1"/>
        <rFont val="Calibri"/>
        <family val="2"/>
        <charset val="1"/>
      </rPr>
      <t xml:space="preserve">mid-50s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</si>
  <si>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公司長期目標（</t>
    </r>
    <r>
      <rPr>
        <sz val="11"/>
        <color theme="1"/>
        <rFont val="Calibri"/>
        <family val="2"/>
        <charset val="1"/>
      </rPr>
      <t xml:space="preserve">mid-50s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</si>
  <si>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FQ4-26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</si>
  <si>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</si>
  <si>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mid-$150B vs </t>
    </r>
    <r>
      <rPr>
        <sz val="11"/>
        <color theme="1"/>
        <rFont val="Noto Sans CJK SC"/>
        <family val="2"/>
      </rPr>
      <t xml:space="preserve">設備市場模型）</t>
    </r>
  </si>
  <si>
    <r>
      <rPr>
        <sz val="11"/>
        <color theme="1"/>
        <rFont val="Noto Sans CJK SC"/>
        <family val="2"/>
      </rPr>
      <t xml:space="preserve">口徑不同（公司 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 116.9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</si>
  <si>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晶圓前段（公司 </t>
    </r>
    <r>
      <rPr>
        <sz val="11"/>
        <color theme="1"/>
        <rFont val="Calibri"/>
        <family val="2"/>
        <charset val="1"/>
      </rPr>
      <t xml:space="preserve">&gt;$200B vs </t>
    </r>
    <r>
      <rPr>
        <sz val="11"/>
        <color theme="1"/>
        <rFont val="Noto Sans CJK SC"/>
        <family val="2"/>
      </rPr>
      <t xml:space="preserve">設備市場模型）</t>
    </r>
  </si>
  <si>
    <t xml:space="preserve">下限值</t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</si>
  <si>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晶圓前段成長：公司（</t>
    </r>
    <r>
      <rPr>
        <sz val="11"/>
        <color theme="1"/>
        <rFont val="Calibri"/>
        <family val="2"/>
        <charset val="1"/>
      </rPr>
      <t xml:space="preserve">155÷110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</si>
  <si>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</si>
  <si>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其他資訊（非對帳）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</si>
  <si>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</si>
  <si>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</si>
  <si>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模型晶圓前段（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</si>
  <si>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</si>
  <si>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</si>
  <si>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</si>
  <si>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</si>
  <si>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FY2027 EPS US$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</si>
  <si>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</si>
  <si>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US$B</t>
    </r>
  </si>
  <si>
    <t xml:space="preserve">FY2028 EPS US$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</si>
  <si>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</si>
  <si>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</si>
  <si>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份額漂移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</si>
  <si>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起每年相對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</si>
  <si>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份額漂移 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</si>
  <si>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+2%</t>
    </r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</si>
  <si>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</si>
  <si>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cn_sh 34% × 20%</t>
  </si>
  <si>
    <r>
      <rPr>
        <sz val="11"/>
        <color theme="1"/>
        <rFont val="Noto Sans CJK SC"/>
        <family val="2"/>
      </rPr>
      <t xml:space="preserve">出口管制：中國系統營收 −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</si>
  <si>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cn_sh 34% × 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管制類比上緣）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</si>
  <si>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</si>
  <si>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上半的權重</t>
    </r>
  </si>
  <si>
    <r>
      <rPr>
        <sz val="11"/>
        <color theme="1"/>
        <rFont val="Noto Sans CJK SC"/>
        <family val="2"/>
      </rPr>
      <t xml:space="preserve">上半年占比 </t>
    </r>
    <r>
      <rPr>
        <sz val="11"/>
        <color theme="1"/>
        <rFont val="Calibri"/>
        <family val="2"/>
        <charset val="1"/>
      </rPr>
      <t xml:space="preserve">55%</t>
    </r>
  </si>
  <si>
    <t xml:space="preserve">CSBG CY2027 +10%</t>
  </si>
  <si>
    <r>
      <rPr>
        <sz val="11"/>
        <color theme="1"/>
        <rFont val="Noto Sans CJK SC"/>
        <family val="2"/>
      </rPr>
      <t xml:space="preserve">公司稱逾 </t>
    </r>
    <r>
      <rPr>
        <sz val="11"/>
        <color theme="1"/>
        <rFont val="Calibri"/>
        <family val="2"/>
        <charset val="1"/>
      </rPr>
      <t xml:space="preserve">15%</t>
    </r>
  </si>
  <si>
    <t xml:space="preserve">CSBG CY2027 +20%</t>
  </si>
  <si>
    <t xml:space="preserve">CSBG CY2028–29 +8%</t>
  </si>
  <si>
    <t xml:space="preserve">CSBG CY2028–29 +16%</t>
  </si>
  <si>
    <r>
      <rPr>
        <sz val="11"/>
        <color theme="1"/>
        <rFont val="Noto Sans CJK SC"/>
        <family val="2"/>
      </rPr>
      <t xml:space="preserve">營業費用變動比例 低（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</si>
  <si>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營業費用中變動部分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</si>
  <si>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營業費用變動比例 高（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</si>
  <si>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</si>
  <si>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</si>
  <si>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</si>
  <si>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</si>
  <si>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庫藏股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</si>
  <si>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</si>
  <si>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業外收益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</si>
  <si>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</si>
  <si>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markets/equipment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</si>
  <si>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</si>
  <si>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分項讀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；出口管制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起）；</t>
    </r>
    <r>
      <rPr>
        <sz val="11"/>
        <color theme="1"/>
        <rFont val="Calibri"/>
        <family val="2"/>
        <charset val="1"/>
      </rPr>
      <t xml:space="preserve">CSBG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</si>
  <si>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上半已錨定（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指引），只有下半（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上半）隨輸入變動，所以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的敏感度小、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才明顯；設備市場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開始。</t>
    </r>
  </si>
  <si>
    <r>
      <rPr>
        <b val="true"/>
        <sz val="11"/>
        <rFont val="Noto Sans CJK SC"/>
        <family val="2"/>
      </rPr>
      <t xml:space="preserve">案例區塊：份額漂移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</si>
  <si>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案例區塊：份額漂移 </t>
    </r>
    <r>
      <rPr>
        <b val="true"/>
        <sz val="11"/>
        <rFont val="Cambria"/>
        <family val="0"/>
        <charset val="1"/>
      </rPr>
      <t xml:space="preserve">+2%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</si>
  <si>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</si>
  <si>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案例區塊：出口管制：中國系統營收 −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</si>
  <si>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</si>
  <si>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</si>
  <si>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</si>
  <si>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CY2027 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</si>
  <si>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</si>
  <si>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CSBG CY2028–29 +16%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</si>
  <si>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低（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</si>
  <si>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案例區塊：營業費用變動比例 高（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</si>
  <si>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</si>
  <si>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</si>
  <si>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</si>
  <si>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案例區塊：庫藏股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</si>
  <si>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</si>
  <si>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案例區塊：業外收益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</si>
  <si>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</si>
  <si>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</si>
  <si>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</si>
  <si>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</si>
  <si>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</si>
  <si>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</si>
  <si>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</si>
  <si>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</si>
  <si>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</si>
  <si>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</si>
  <si>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</si>
  <si>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</si>
  <si>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</si>
  <si>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</si>
  <si>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</si>
  <si>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</si>
  <si>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</si>
  <si>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r>
      <rPr>
        <b val="true"/>
        <sz val="11"/>
        <rFont val="Noto Sans CJK SC"/>
        <family val="2"/>
      </rPr>
      <t xml:space="preserve">來源（公司財報取自 </t>
    </r>
    <r>
      <rPr>
        <b val="true"/>
        <sz val="11"/>
        <rFont val="Cambria"/>
        <family val="0"/>
        <charset val="1"/>
      </rPr>
      <t xml:space="preserve">SEC EDGAR </t>
    </r>
    <r>
      <rPr>
        <b val="true"/>
        <sz val="11"/>
        <rFont val="Noto Sans CJK SC"/>
        <family val="2"/>
      </rPr>
      <t xml:space="preserve">原文；法說取自逐字稿摘要）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</si>
  <si>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</si>
  <si>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https://www.sec.gov/Archives/edgar/data/707549/000070754926000052/lrcx_exhibitx991xq1x2027.htm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</si>
  <si>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</si>
  <si>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https://www.sec.gov/Archives/edgar/data/707549/000070754926000054/lrcx-20260927.htm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</si>
  <si>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</si>
  <si>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https://www.sec.gov/Archives/edgar/data/707549/000070754926000037/lrcx-20260628.htm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</si>
  <si>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</si>
  <si>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https://www.sec.gov/Archives/edgar/data/707549/000070754926000033/lrcx_exhibitx991xq4x2026.htm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</si>
  <si>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Q3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</si>
  <si>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https://www.sec.gov/Archives/edgar/data/707549/000070754926000020/lrcx_exhibitx991xq3x2026.htm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</si>
  <si>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Q2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2026-01-28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</si>
  <si>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https://www.sec.gov/Archives/edgar/data/707549/000070754926000006/lrcx_exhibitx991xq2x2026.htm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</si>
  <si>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FY26 Q1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</si>
  <si>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https://www.sec.gov/Archives/edgar/data/707549/000070754925000082/lrcx_exhibitx991xq1x2026.htm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</si>
  <si>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FY25 Q4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2025-07-30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</si>
  <si>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https://www.sec.gov/Archives/edgar/data/707549/000070754925000068/lrcx_exhibitx991xq4x2025.htm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</si>
  <si>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：客戶別占比）</t>
    </r>
  </si>
  <si>
    <t xml:space="preserve">https://www.sec.gov/Archives/edgar/data/707549/000070754926000022/lrcx-20260329.htm</t>
  </si>
  <si>
    <r>
      <rPr>
        <sz val="11"/>
        <color theme="1"/>
        <rFont val="Calibri"/>
        <family val="2"/>
        <charset val="1"/>
      </rPr>
      <t xml:space="preserve">SEC XBRL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歷史（基本、稀釋）</t>
    </r>
  </si>
  <si>
    <t xml:space="preserve">https://data.sec.gov/api/xbrl/companyconcept/CIK0000707549/us-gaap/EarningsPerShareBasic.json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</si>
  <si>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、客戶別、</t>
    </r>
    <r>
      <rPr>
        <sz val="11"/>
        <color theme="1"/>
        <rFont val="Calibri"/>
        <family val="2"/>
        <charset val="1"/>
      </rPr>
      <t xml:space="preserve">CSBG</t>
    </r>
    <r>
      <rPr>
        <sz val="11"/>
        <color theme="1"/>
        <rFont val="Noto Sans CJK SC"/>
        <family val="2"/>
      </rPr>
      <t xml:space="preserve">、稅率）</t>
    </r>
  </si>
  <si>
    <t xml:space="preserve">https://www.fool.com/earnings/call-transcripts/2026/10/21/lam-research-lrcx-q1-2027-earnings-call-transcript/</t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</si>
  <si>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WFE low-$150B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</si>
  <si>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https://www.marketbeat.com/instant-alerts/lam-research-q4-earnings-call-highlights-2026-07-29/</t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</si>
  <si>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FQ2-26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月季客戶別、</t>
    </r>
    <r>
      <rPr>
        <sz val="11"/>
        <color theme="1"/>
        <rFont val="Calibri"/>
        <family val="2"/>
        <charset val="1"/>
      </rPr>
      <t xml:space="preserve">CY2025 WFE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</si>
  <si>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https://www.tikr.com/blog/lam-research-stock-after-q2-eps-beats-foundry-surges-and-nand-waits</t>
  </si>
  <si>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FQ1-27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$200B WFE</t>
    </r>
    <r>
      <rPr>
        <sz val="11"/>
        <color theme="1"/>
        <rFont val="Noto Sans CJK SC"/>
        <family val="2"/>
      </rPr>
      <t xml:space="preserve">）</t>
    </r>
  </si>
  <si>
    <t xml:space="preserve">https://www.gurufocus.com/news/9136007/lam-research-corp-lrcx-q1-2027-earnings-call-highlights-record-revenue-firstever-40-operating-margin-and-a-bullish-200-billion-wfe-outlook</t>
  </si>
  <si>
    <r>
      <rPr>
        <sz val="11"/>
        <color theme="1"/>
        <rFont val="Calibri"/>
        <family val="2"/>
        <charset val="1"/>
      </rPr>
      <t xml:space="preserve">techwireasia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2022-10 </t>
    </r>
    <r>
      <rPr>
        <sz val="11"/>
        <color theme="1"/>
        <rFont val="Noto Sans CJK SC"/>
        <family val="2"/>
      </rPr>
      <t xml:space="preserve">出口管制影響 </t>
    </r>
    <r>
      <rPr>
        <sz val="11"/>
        <color theme="1"/>
        <rFont val="Calibri"/>
        <family val="2"/>
        <charset val="1"/>
      </rPr>
      <t xml:space="preserve">US$2.0–2.5B</t>
    </r>
    <r>
      <rPr>
        <sz val="11"/>
        <color theme="1"/>
        <rFont val="Noto Sans CJK SC"/>
        <family val="2"/>
      </rPr>
      <t xml:space="preserve">（類比）</t>
    </r>
  </si>
  <si>
    <t xml:space="preserve">https://techwireasia.com/2022/10/us-chip-ban-on-china-may-cost-lam-research-a-staggering-us2-5bn/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</si>
  <si>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：現價、遠期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</si>
  <si>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https://stockanalysis.com/stocks/lrcx/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</si>
  <si>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</si>
  <si>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https://stockanalysis.com/stocks/lrcx/forecast/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</si>
  <si>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：共識（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</si>
  <si>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https://finance.yahoo.com/quote/LRCX/analysis/</t>
  </si>
  <si>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：年底收盤價（原價與還原價）</t>
    </r>
  </si>
  <si>
    <t xml:space="preserve">https://www.digrin.com/stocks/detail/LRCX/price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</si>
  <si>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：年底收盤價（還原股利）</t>
    </r>
  </si>
  <si>
    <t xml:space="preserve">https://www.macrotrends.net/stocks/charts/LRCX/lam-research/stock-price-history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</si>
  <si>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口徑）</t>
    </r>
  </si>
  <si>
    <t xml:space="preserve">https://companiesmarketcap.com/lam-research/pe-ratio/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</si>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</sst>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0%"/>
    <numFmt numFmtId="167" formatCode="0.00"/>
    <numFmt numFmtId="168" formatCode="#,##0.000"/>
    <numFmt numFmtId="169" formatCode="0.000"/>
    <numFmt numFmtId="170" formatCode="0.0000"/>
    <numFmt numFmtId="171" formatCode="#,##0.00"/>
    <numFmt numFmtId="172" formatCode="#,##0.0"/>
    <numFmt numFmtId="173" formatCode="0.0"/>
    <numFmt numFmtId="174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7.15" hidden="false" customHeight="false" outlineLevel="0" collapsed="false">
      <c r="A7" s="2" t="s">
        <v>4</v>
      </c>
    </row>
    <row r="8" customFormat="false" ht="17.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9</v>
      </c>
    </row>
    <row r="14" customFormat="false" ht="17.15" hidden="false" customHeight="false" outlineLevel="0" collapsed="false">
      <c r="A14" s="2" t="s">
        <v>10</v>
      </c>
    </row>
    <row r="15" customFormat="false" ht="17.15" hidden="false" customHeight="false" outlineLevel="0" collapsed="false">
      <c r="A15" s="0" t="s">
        <v>11</v>
      </c>
    </row>
    <row r="16" customFormat="false" ht="17.15" hidden="false" customHeight="false" outlineLevel="0" collapsed="false">
      <c r="A16" s="5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tr">
        <f aca="false">"投資建議："&amp;Val!B139&amp;"（依上檔空間固定規則）"</f>
        <v>投資建議：中立（依上檔空間固定規則）</v>
      </c>
    </row>
    <row r="19" customFormat="false" ht="17.15" hidden="false" customHeight="false" outlineLevel="0" collapsed="false">
      <c r="A19" s="5" t="s">
        <v>14</v>
      </c>
    </row>
    <row r="20" customFormat="false" ht="17.15" hidden="false" customHeight="false" outlineLevel="0" collapsed="false">
      <c r="A20" s="5" t="s">
        <v>15</v>
      </c>
    </row>
    <row r="21" customFormat="false" ht="17.15" hidden="false" customHeight="false" outlineLevel="0" collapsed="false">
      <c r="A21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5" t="s">
        <v>18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</row>
    <row r="4" customFormat="false" ht="17.15" hidden="false" customHeight="false" outlineLevel="0" collapsed="false">
      <c r="A4" s="1" t="s">
        <v>28</v>
      </c>
    </row>
    <row r="5" customFormat="false" ht="17.15" hidden="false" customHeight="false" outlineLevel="0" collapsed="false">
      <c r="A5" s="0" t="s">
        <v>29</v>
      </c>
      <c r="B5" s="5" t="s">
        <v>30</v>
      </c>
      <c r="C5" s="0" t="s">
        <v>31</v>
      </c>
      <c r="E5" s="7" t="n">
        <v>36.0323364171573</v>
      </c>
      <c r="G5" s="8" t="s">
        <v>32</v>
      </c>
      <c r="H5" s="8" t="s">
        <v>33</v>
      </c>
      <c r="I5" s="8" t="s">
        <v>34</v>
      </c>
    </row>
    <row r="6" customFormat="false" ht="17.15" hidden="false" customHeight="false" outlineLevel="0" collapsed="false">
      <c r="A6" s="0" t="s">
        <v>35</v>
      </c>
      <c r="B6" s="5" t="s">
        <v>36</v>
      </c>
      <c r="C6" s="0" t="s">
        <v>31</v>
      </c>
      <c r="E6" s="7" t="n">
        <v>50.3248433305299</v>
      </c>
      <c r="G6" s="8" t="s">
        <v>32</v>
      </c>
      <c r="H6" s="5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0" t="s">
        <v>31</v>
      </c>
      <c r="E7" s="7" t="n">
        <v>60.7764307969723</v>
      </c>
      <c r="G7" s="8" t="s">
        <v>32</v>
      </c>
      <c r="H7" s="5" t="s">
        <v>37</v>
      </c>
    </row>
    <row r="8" customFormat="false" ht="17.15" hidden="false" customHeight="false" outlineLevel="0" collapsed="false">
      <c r="A8" s="0" t="s">
        <v>40</v>
      </c>
      <c r="B8" s="5" t="s">
        <v>41</v>
      </c>
      <c r="C8" s="0" t="s">
        <v>31</v>
      </c>
      <c r="E8" s="7" t="n">
        <v>70.01614526073</v>
      </c>
      <c r="G8" s="8" t="s">
        <v>32</v>
      </c>
      <c r="H8" s="5" t="s">
        <v>37</v>
      </c>
    </row>
    <row r="9" customFormat="false" ht="17.15" hidden="false" customHeight="false" outlineLevel="0" collapsed="false">
      <c r="A9" s="0" t="s">
        <v>42</v>
      </c>
      <c r="B9" s="5" t="s">
        <v>43</v>
      </c>
      <c r="C9" s="0" t="s">
        <v>31</v>
      </c>
      <c r="E9" s="7" t="n">
        <v>74.2094368815884</v>
      </c>
      <c r="G9" s="8" t="s">
        <v>32</v>
      </c>
      <c r="H9" s="5" t="s">
        <v>37</v>
      </c>
    </row>
    <row r="10" customFormat="false" ht="17.15" hidden="false" customHeight="false" outlineLevel="0" collapsed="false">
      <c r="A10" s="0" t="s">
        <v>44</v>
      </c>
      <c r="B10" s="5" t="s">
        <v>45</v>
      </c>
      <c r="C10" s="0" t="s">
        <v>31</v>
      </c>
      <c r="E10" s="7" t="n">
        <v>29.5690092514718</v>
      </c>
      <c r="G10" s="8" t="s">
        <v>32</v>
      </c>
      <c r="H10" s="8" t="s">
        <v>46</v>
      </c>
      <c r="I10" s="8" t="s">
        <v>34</v>
      </c>
    </row>
    <row r="11" customFormat="false" ht="17.15" hidden="false" customHeight="false" outlineLevel="0" collapsed="false">
      <c r="A11" s="0" t="s">
        <v>47</v>
      </c>
      <c r="B11" s="5" t="s">
        <v>48</v>
      </c>
      <c r="C11" s="0" t="s">
        <v>31</v>
      </c>
      <c r="E11" s="7" t="n">
        <v>31.9345299915896</v>
      </c>
      <c r="G11" s="8" t="s">
        <v>32</v>
      </c>
      <c r="H11" s="5" t="s">
        <v>37</v>
      </c>
    </row>
    <row r="12" customFormat="false" ht="17.15" hidden="false" customHeight="false" outlineLevel="0" collapsed="false">
      <c r="A12" s="0" t="s">
        <v>49</v>
      </c>
      <c r="B12" s="5" t="s">
        <v>50</v>
      </c>
      <c r="C12" s="0" t="s">
        <v>31</v>
      </c>
      <c r="E12" s="7" t="n">
        <v>34.4892923909167</v>
      </c>
      <c r="G12" s="8" t="s">
        <v>32</v>
      </c>
      <c r="H12" s="5" t="s">
        <v>37</v>
      </c>
    </row>
    <row r="13" customFormat="false" ht="17.15" hidden="false" customHeight="false" outlineLevel="0" collapsed="false">
      <c r="A13" s="0" t="s">
        <v>51</v>
      </c>
      <c r="B13" s="5" t="s">
        <v>52</v>
      </c>
      <c r="C13" s="0" t="s">
        <v>31</v>
      </c>
      <c r="E13" s="7" t="n">
        <v>37.2484357821901</v>
      </c>
      <c r="G13" s="8" t="s">
        <v>32</v>
      </c>
      <c r="H13" s="5" t="s">
        <v>37</v>
      </c>
    </row>
    <row r="14" customFormat="false" ht="17.15" hidden="false" customHeight="false" outlineLevel="0" collapsed="false">
      <c r="A14" s="0" t="s">
        <v>53</v>
      </c>
      <c r="B14" s="5" t="s">
        <v>54</v>
      </c>
      <c r="C14" s="0" t="s">
        <v>31</v>
      </c>
      <c r="E14" s="7" t="n">
        <v>40.2283106447653</v>
      </c>
      <c r="G14" s="8" t="s">
        <v>32</v>
      </c>
      <c r="H14" s="5" t="s">
        <v>37</v>
      </c>
    </row>
    <row r="15" customFormat="false" ht="17.15" hidden="false" customHeight="false" outlineLevel="0" collapsed="false">
      <c r="A15" s="0" t="s">
        <v>55</v>
      </c>
      <c r="B15" s="0" t="s">
        <v>56</v>
      </c>
      <c r="C15" s="0" t="s">
        <v>31</v>
      </c>
      <c r="E15" s="7" t="n">
        <v>26.3761091658243</v>
      </c>
      <c r="G15" s="8" t="s">
        <v>32</v>
      </c>
      <c r="H15" s="8" t="s">
        <v>57</v>
      </c>
      <c r="I15" s="8" t="s">
        <v>34</v>
      </c>
    </row>
    <row r="16" customFormat="false" ht="17.15" hidden="false" customHeight="false" outlineLevel="0" collapsed="false">
      <c r="A16" s="0" t="s">
        <v>58</v>
      </c>
      <c r="B16" s="0" t="s">
        <v>59</v>
      </c>
      <c r="C16" s="0" t="s">
        <v>31</v>
      </c>
      <c r="E16" s="7" t="n">
        <v>39.3659468014757</v>
      </c>
      <c r="G16" s="8" t="s">
        <v>32</v>
      </c>
      <c r="H16" s="5" t="s">
        <v>37</v>
      </c>
    </row>
    <row r="17" customFormat="false" ht="17.15" hidden="false" customHeight="false" outlineLevel="0" collapsed="false">
      <c r="A17" s="0" t="s">
        <v>60</v>
      </c>
      <c r="B17" s="0" t="s">
        <v>61</v>
      </c>
      <c r="C17" s="0" t="s">
        <v>31</v>
      </c>
      <c r="E17" s="7" t="n">
        <v>53.2587328153375</v>
      </c>
      <c r="G17" s="8" t="s">
        <v>32</v>
      </c>
      <c r="H17" s="5" t="s">
        <v>37</v>
      </c>
    </row>
    <row r="18" customFormat="false" ht="17.15" hidden="false" customHeight="false" outlineLevel="0" collapsed="false">
      <c r="A18" s="0" t="s">
        <v>62</v>
      </c>
      <c r="B18" s="0" t="s">
        <v>63</v>
      </c>
      <c r="C18" s="0" t="s">
        <v>31</v>
      </c>
      <c r="E18" s="7" t="n">
        <v>59.5608998372386</v>
      </c>
      <c r="G18" s="8" t="s">
        <v>32</v>
      </c>
      <c r="H18" s="5" t="s">
        <v>37</v>
      </c>
    </row>
    <row r="19" customFormat="false" ht="17.15" hidden="false" customHeight="false" outlineLevel="0" collapsed="false">
      <c r="A19" s="0" t="s">
        <v>64</v>
      </c>
      <c r="B19" s="0" t="s">
        <v>65</v>
      </c>
      <c r="C19" s="0" t="s">
        <v>31</v>
      </c>
      <c r="E19" s="7" t="n">
        <v>61.8312930912183</v>
      </c>
      <c r="G19" s="8" t="s">
        <v>32</v>
      </c>
      <c r="H19" s="5" t="s">
        <v>37</v>
      </c>
    </row>
    <row r="20" customFormat="false" ht="17.15" hidden="false" customHeight="false" outlineLevel="0" collapsed="false">
      <c r="A20" s="0" t="s">
        <v>66</v>
      </c>
      <c r="B20" s="0" t="s">
        <v>67</v>
      </c>
      <c r="C20" s="0" t="s">
        <v>31</v>
      </c>
      <c r="E20" s="7" t="n">
        <v>12.1726019800256</v>
      </c>
      <c r="G20" s="8" t="s">
        <v>32</v>
      </c>
      <c r="H20" s="8" t="s">
        <v>68</v>
      </c>
      <c r="I20" s="8" t="s">
        <v>34</v>
      </c>
    </row>
    <row r="21" customFormat="false" ht="17.15" hidden="false" customHeight="false" outlineLevel="0" collapsed="false">
      <c r="A21" s="0" t="s">
        <v>69</v>
      </c>
      <c r="B21" s="0" t="s">
        <v>70</v>
      </c>
      <c r="C21" s="0" t="s">
        <v>31</v>
      </c>
      <c r="E21" s="7" t="n">
        <v>17.5039054704765</v>
      </c>
      <c r="G21" s="8" t="s">
        <v>32</v>
      </c>
      <c r="H21" s="5" t="s">
        <v>37</v>
      </c>
    </row>
    <row r="22" customFormat="false" ht="17.15" hidden="false" customHeight="false" outlineLevel="0" collapsed="false">
      <c r="A22" s="0" t="s">
        <v>71</v>
      </c>
      <c r="B22" s="0" t="s">
        <v>72</v>
      </c>
      <c r="C22" s="0" t="s">
        <v>31</v>
      </c>
      <c r="E22" s="7" t="n">
        <v>23.2480272411321</v>
      </c>
      <c r="G22" s="8" t="s">
        <v>32</v>
      </c>
      <c r="H22" s="5" t="s">
        <v>37</v>
      </c>
    </row>
    <row r="23" customFormat="false" ht="17.15" hidden="false" customHeight="false" outlineLevel="0" collapsed="false">
      <c r="A23" s="0" t="s">
        <v>73</v>
      </c>
      <c r="B23" s="0" t="s">
        <v>74</v>
      </c>
      <c r="C23" s="0" t="s">
        <v>31</v>
      </c>
      <c r="E23" s="7" t="n">
        <v>26.181321629459</v>
      </c>
      <c r="G23" s="8" t="s">
        <v>32</v>
      </c>
      <c r="H23" s="5" t="s">
        <v>37</v>
      </c>
    </row>
    <row r="24" customFormat="false" ht="17.15" hidden="false" customHeight="false" outlineLevel="0" collapsed="false">
      <c r="A24" s="0" t="s">
        <v>75</v>
      </c>
      <c r="B24" s="0" t="s">
        <v>76</v>
      </c>
      <c r="C24" s="0" t="s">
        <v>31</v>
      </c>
      <c r="E24" s="7" t="n">
        <v>27.674312771805</v>
      </c>
      <c r="G24" s="8" t="s">
        <v>32</v>
      </c>
      <c r="H24" s="5" t="s">
        <v>37</v>
      </c>
    </row>
    <row r="25" customFormat="false" ht="17.15" hidden="false" customHeight="false" outlineLevel="0" collapsed="false">
      <c r="A25" s="0" t="s">
        <v>77</v>
      </c>
      <c r="B25" s="5" t="s">
        <v>78</v>
      </c>
      <c r="C25" s="0" t="s">
        <v>31</v>
      </c>
      <c r="E25" s="7" t="n">
        <v>116.896831844029</v>
      </c>
      <c r="G25" s="8" t="s">
        <v>32</v>
      </c>
      <c r="H25" s="8" t="s">
        <v>79</v>
      </c>
      <c r="I25" s="8" t="s">
        <v>34</v>
      </c>
    </row>
    <row r="26" customFormat="false" ht="17.15" hidden="false" customHeight="false" outlineLevel="0" collapsed="false">
      <c r="A26" s="0" t="s">
        <v>80</v>
      </c>
      <c r="B26" s="5" t="s">
        <v>81</v>
      </c>
      <c r="C26" s="0" t="s">
        <v>31</v>
      </c>
      <c r="E26" s="7" t="n">
        <v>156.157050570127</v>
      </c>
      <c r="G26" s="8" t="s">
        <v>32</v>
      </c>
      <c r="H26" s="5" t="s">
        <v>37</v>
      </c>
    </row>
    <row r="27" customFormat="false" ht="17.15" hidden="false" customHeight="false" outlineLevel="0" collapsed="false">
      <c r="A27" s="0" t="s">
        <v>82</v>
      </c>
      <c r="B27" s="5" t="s">
        <v>83</v>
      </c>
      <c r="C27" s="0" t="s">
        <v>31</v>
      </c>
      <c r="E27" s="7" t="n">
        <v>192.795469377561</v>
      </c>
      <c r="G27" s="8" t="s">
        <v>32</v>
      </c>
      <c r="H27" s="5" t="s">
        <v>37</v>
      </c>
    </row>
    <row r="28" customFormat="false" ht="17.15" hidden="false" customHeight="false" outlineLevel="0" collapsed="false">
      <c r="A28" s="0" t="s">
        <v>84</v>
      </c>
      <c r="B28" s="5" t="s">
        <v>85</v>
      </c>
      <c r="C28" s="0" t="s">
        <v>31</v>
      </c>
      <c r="E28" s="7" t="n">
        <v>216.628626308958</v>
      </c>
      <c r="G28" s="8" t="s">
        <v>32</v>
      </c>
      <c r="H28" s="5" t="s">
        <v>37</v>
      </c>
    </row>
    <row r="29" customFormat="false" ht="17.15" hidden="false" customHeight="false" outlineLevel="0" collapsed="false">
      <c r="A29" s="0" t="s">
        <v>86</v>
      </c>
      <c r="B29" s="5" t="s">
        <v>87</v>
      </c>
      <c r="C29" s="0" t="s">
        <v>31</v>
      </c>
      <c r="E29" s="7" t="n">
        <v>228.903685855226</v>
      </c>
      <c r="G29" s="8" t="s">
        <v>32</v>
      </c>
      <c r="H29" s="5" t="s">
        <v>37</v>
      </c>
    </row>
    <row r="30" customFormat="false" ht="17.15" hidden="false" customHeight="false" outlineLevel="0" collapsed="false">
      <c r="A30" s="0" t="s">
        <v>88</v>
      </c>
      <c r="B30" s="5" t="s">
        <v>89</v>
      </c>
      <c r="C30" s="0" t="s">
        <v>31</v>
      </c>
      <c r="E30" s="7" t="n">
        <v>36.0323364171573</v>
      </c>
      <c r="G30" s="8" t="s">
        <v>32</v>
      </c>
      <c r="H30" s="8" t="s">
        <v>90</v>
      </c>
      <c r="I30" s="8" t="s">
        <v>34</v>
      </c>
    </row>
    <row r="31" customFormat="false" ht="17.15" hidden="false" customHeight="false" outlineLevel="0" collapsed="false">
      <c r="A31" s="0" t="s">
        <v>91</v>
      </c>
      <c r="B31" s="5" t="s">
        <v>92</v>
      </c>
      <c r="C31" s="0" t="s">
        <v>31</v>
      </c>
      <c r="E31" s="7" t="n">
        <v>50.3248433305299</v>
      </c>
      <c r="G31" s="8" t="s">
        <v>32</v>
      </c>
      <c r="H31" s="5" t="s">
        <v>37</v>
      </c>
    </row>
    <row r="32" customFormat="false" ht="17.15" hidden="false" customHeight="false" outlineLevel="0" collapsed="false">
      <c r="A32" s="0" t="s">
        <v>93</v>
      </c>
      <c r="B32" s="5" t="s">
        <v>94</v>
      </c>
      <c r="C32" s="0" t="s">
        <v>31</v>
      </c>
      <c r="E32" s="7" t="n">
        <v>60.7764307969723</v>
      </c>
      <c r="G32" s="8" t="s">
        <v>32</v>
      </c>
      <c r="H32" s="5" t="s">
        <v>37</v>
      </c>
    </row>
    <row r="33" customFormat="false" ht="17.15" hidden="false" customHeight="false" outlineLevel="0" collapsed="false">
      <c r="A33" s="0" t="s">
        <v>95</v>
      </c>
      <c r="B33" s="5" t="s">
        <v>96</v>
      </c>
      <c r="C33" s="0" t="s">
        <v>31</v>
      </c>
      <c r="E33" s="7" t="n">
        <v>60.7764307969723</v>
      </c>
      <c r="G33" s="8" t="s">
        <v>32</v>
      </c>
      <c r="H33" s="5" t="s">
        <v>37</v>
      </c>
    </row>
    <row r="34" customFormat="false" ht="17.15" hidden="false" customHeight="false" outlineLevel="0" collapsed="false">
      <c r="A34" s="0" t="s">
        <v>97</v>
      </c>
      <c r="B34" s="5" t="s">
        <v>98</v>
      </c>
      <c r="C34" s="0" t="s">
        <v>31</v>
      </c>
      <c r="E34" s="7" t="n">
        <v>57.7376092571236</v>
      </c>
      <c r="G34" s="8" t="s">
        <v>32</v>
      </c>
      <c r="H34" s="5" t="s">
        <v>37</v>
      </c>
    </row>
    <row r="35" customFormat="false" ht="17.15" hidden="false" customHeight="false" outlineLevel="0" collapsed="false">
      <c r="A35" s="0" t="s">
        <v>99</v>
      </c>
      <c r="B35" s="5" t="s">
        <v>100</v>
      </c>
      <c r="C35" s="0" t="s">
        <v>31</v>
      </c>
      <c r="E35" s="7" t="n">
        <v>29.5690092514718</v>
      </c>
      <c r="G35" s="8" t="s">
        <v>32</v>
      </c>
      <c r="H35" s="8" t="s">
        <v>101</v>
      </c>
      <c r="I35" s="8" t="s">
        <v>34</v>
      </c>
    </row>
    <row r="36" customFormat="false" ht="17.15" hidden="false" customHeight="false" outlineLevel="0" collapsed="false">
      <c r="A36" s="0" t="s">
        <v>102</v>
      </c>
      <c r="B36" s="5" t="s">
        <v>103</v>
      </c>
      <c r="C36" s="0" t="s">
        <v>31</v>
      </c>
      <c r="E36" s="7" t="n">
        <v>31.9345299915896</v>
      </c>
      <c r="G36" s="8" t="s">
        <v>32</v>
      </c>
      <c r="H36" s="5" t="s">
        <v>37</v>
      </c>
    </row>
    <row r="37" customFormat="false" ht="17.15" hidden="false" customHeight="false" outlineLevel="0" collapsed="false">
      <c r="A37" s="0" t="s">
        <v>104</v>
      </c>
      <c r="B37" s="5" t="s">
        <v>105</v>
      </c>
      <c r="C37" s="0" t="s">
        <v>31</v>
      </c>
      <c r="E37" s="7" t="n">
        <v>34.4892923909167</v>
      </c>
      <c r="G37" s="8" t="s">
        <v>32</v>
      </c>
      <c r="H37" s="5" t="s">
        <v>37</v>
      </c>
    </row>
    <row r="38" customFormat="false" ht="17.15" hidden="false" customHeight="false" outlineLevel="0" collapsed="false">
      <c r="A38" s="0" t="s">
        <v>106</v>
      </c>
      <c r="B38" s="5" t="s">
        <v>107</v>
      </c>
      <c r="C38" s="0" t="s">
        <v>31</v>
      </c>
      <c r="E38" s="7" t="n">
        <v>34.4892923909167</v>
      </c>
      <c r="G38" s="8" t="s">
        <v>32</v>
      </c>
      <c r="H38" s="5" t="s">
        <v>37</v>
      </c>
    </row>
    <row r="39" customFormat="false" ht="17.15" hidden="false" customHeight="false" outlineLevel="0" collapsed="false">
      <c r="A39" s="0" t="s">
        <v>108</v>
      </c>
      <c r="B39" s="5" t="s">
        <v>109</v>
      </c>
      <c r="C39" s="0" t="s">
        <v>31</v>
      </c>
      <c r="E39" s="7" t="n">
        <v>32.7648277713709</v>
      </c>
      <c r="G39" s="8" t="s">
        <v>32</v>
      </c>
      <c r="H39" s="5" t="s">
        <v>37</v>
      </c>
    </row>
    <row r="40" customFormat="false" ht="17.15" hidden="false" customHeight="false" outlineLevel="0" collapsed="false">
      <c r="A40" s="0" t="s">
        <v>110</v>
      </c>
      <c r="B40" s="0" t="s">
        <v>111</v>
      </c>
      <c r="C40" s="0" t="s">
        <v>31</v>
      </c>
      <c r="E40" s="7" t="n">
        <v>26.3761091658243</v>
      </c>
      <c r="G40" s="8" t="s">
        <v>32</v>
      </c>
      <c r="H40" s="8" t="s">
        <v>112</v>
      </c>
      <c r="I40" s="8" t="s">
        <v>34</v>
      </c>
    </row>
    <row r="41" customFormat="false" ht="17.15" hidden="false" customHeight="false" outlineLevel="0" collapsed="false">
      <c r="A41" s="0" t="s">
        <v>113</v>
      </c>
      <c r="B41" s="0" t="s">
        <v>114</v>
      </c>
      <c r="C41" s="0" t="s">
        <v>31</v>
      </c>
      <c r="E41" s="7" t="n">
        <v>39.3659468014757</v>
      </c>
      <c r="G41" s="8" t="s">
        <v>32</v>
      </c>
      <c r="H41" s="5" t="s">
        <v>37</v>
      </c>
    </row>
    <row r="42" customFormat="false" ht="17.15" hidden="false" customHeight="false" outlineLevel="0" collapsed="false">
      <c r="A42" s="0" t="s">
        <v>115</v>
      </c>
      <c r="B42" s="0" t="s">
        <v>116</v>
      </c>
      <c r="C42" s="0" t="s">
        <v>31</v>
      </c>
      <c r="E42" s="7" t="n">
        <v>53.2587328153375</v>
      </c>
      <c r="G42" s="8" t="s">
        <v>32</v>
      </c>
      <c r="H42" s="5" t="s">
        <v>37</v>
      </c>
    </row>
    <row r="43" customFormat="false" ht="17.15" hidden="false" customHeight="false" outlineLevel="0" collapsed="false">
      <c r="A43" s="0" t="s">
        <v>117</v>
      </c>
      <c r="B43" s="0" t="s">
        <v>118</v>
      </c>
      <c r="C43" s="0" t="s">
        <v>31</v>
      </c>
      <c r="E43" s="7" t="n">
        <v>53.2587328153375</v>
      </c>
      <c r="G43" s="8" t="s">
        <v>32</v>
      </c>
      <c r="H43" s="5" t="s">
        <v>37</v>
      </c>
    </row>
    <row r="44" customFormat="false" ht="17.15" hidden="false" customHeight="false" outlineLevel="0" collapsed="false">
      <c r="A44" s="0" t="s">
        <v>119</v>
      </c>
      <c r="B44" s="0" t="s">
        <v>120</v>
      </c>
      <c r="C44" s="0" t="s">
        <v>31</v>
      </c>
      <c r="E44" s="7" t="n">
        <v>50.5957961745707</v>
      </c>
      <c r="G44" s="8" t="s">
        <v>32</v>
      </c>
      <c r="H44" s="5" t="s">
        <v>37</v>
      </c>
    </row>
    <row r="45" customFormat="false" ht="17.15" hidden="false" customHeight="false" outlineLevel="0" collapsed="false">
      <c r="A45" s="0" t="s">
        <v>121</v>
      </c>
      <c r="B45" s="0" t="s">
        <v>122</v>
      </c>
      <c r="C45" s="0" t="s">
        <v>31</v>
      </c>
      <c r="E45" s="7" t="n">
        <v>12.1726019800256</v>
      </c>
      <c r="G45" s="8" t="s">
        <v>32</v>
      </c>
      <c r="H45" s="8" t="s">
        <v>123</v>
      </c>
      <c r="I45" s="8" t="s">
        <v>34</v>
      </c>
    </row>
    <row r="46" customFormat="false" ht="17.15" hidden="false" customHeight="false" outlineLevel="0" collapsed="false">
      <c r="A46" s="0" t="s">
        <v>124</v>
      </c>
      <c r="B46" s="0" t="s">
        <v>125</v>
      </c>
      <c r="C46" s="0" t="s">
        <v>31</v>
      </c>
      <c r="E46" s="7" t="n">
        <v>17.5039054704765</v>
      </c>
      <c r="G46" s="8" t="s">
        <v>32</v>
      </c>
      <c r="H46" s="5" t="s">
        <v>37</v>
      </c>
    </row>
    <row r="47" customFormat="false" ht="17.15" hidden="false" customHeight="false" outlineLevel="0" collapsed="false">
      <c r="A47" s="0" t="s">
        <v>126</v>
      </c>
      <c r="B47" s="0" t="s">
        <v>127</v>
      </c>
      <c r="C47" s="0" t="s">
        <v>31</v>
      </c>
      <c r="E47" s="7" t="n">
        <v>23.2480272411321</v>
      </c>
      <c r="G47" s="8" t="s">
        <v>32</v>
      </c>
      <c r="H47" s="5" t="s">
        <v>37</v>
      </c>
    </row>
    <row r="48" customFormat="false" ht="17.15" hidden="false" customHeight="false" outlineLevel="0" collapsed="false">
      <c r="A48" s="0" t="s">
        <v>128</v>
      </c>
      <c r="B48" s="0" t="s">
        <v>129</v>
      </c>
      <c r="C48" s="0" t="s">
        <v>31</v>
      </c>
      <c r="E48" s="7" t="n">
        <v>23.2480272411321</v>
      </c>
      <c r="G48" s="8" t="s">
        <v>32</v>
      </c>
      <c r="H48" s="5" t="s">
        <v>37</v>
      </c>
    </row>
    <row r="49" customFormat="false" ht="17.15" hidden="false" customHeight="false" outlineLevel="0" collapsed="false">
      <c r="A49" s="0" t="s">
        <v>130</v>
      </c>
      <c r="B49" s="0" t="s">
        <v>131</v>
      </c>
      <c r="C49" s="0" t="s">
        <v>31</v>
      </c>
      <c r="E49" s="7" t="n">
        <v>22.0856258790755</v>
      </c>
      <c r="G49" s="8" t="s">
        <v>32</v>
      </c>
      <c r="H49" s="5" t="s">
        <v>37</v>
      </c>
    </row>
    <row r="50" customFormat="false" ht="17.15" hidden="false" customHeight="false" outlineLevel="0" collapsed="false">
      <c r="A50" s="0" t="s">
        <v>132</v>
      </c>
      <c r="B50" s="5" t="s">
        <v>133</v>
      </c>
      <c r="C50" s="0" t="s">
        <v>31</v>
      </c>
      <c r="E50" s="7" t="n">
        <v>116.896831844029</v>
      </c>
      <c r="G50" s="8" t="s">
        <v>32</v>
      </c>
      <c r="H50" s="8" t="s">
        <v>134</v>
      </c>
      <c r="I50" s="8" t="s">
        <v>34</v>
      </c>
    </row>
    <row r="51" customFormat="false" ht="17.15" hidden="false" customHeight="false" outlineLevel="0" collapsed="false">
      <c r="A51" s="0" t="s">
        <v>135</v>
      </c>
      <c r="B51" s="5" t="s">
        <v>136</v>
      </c>
      <c r="C51" s="0" t="s">
        <v>31</v>
      </c>
      <c r="E51" s="7" t="n">
        <v>156.157050570127</v>
      </c>
      <c r="G51" s="8" t="s">
        <v>32</v>
      </c>
      <c r="H51" s="5" t="s">
        <v>37</v>
      </c>
    </row>
    <row r="52" customFormat="false" ht="17.15" hidden="false" customHeight="false" outlineLevel="0" collapsed="false">
      <c r="A52" s="0" t="s">
        <v>137</v>
      </c>
      <c r="B52" s="5" t="s">
        <v>138</v>
      </c>
      <c r="C52" s="0" t="s">
        <v>31</v>
      </c>
      <c r="E52" s="7" t="n">
        <v>192.795469377561</v>
      </c>
      <c r="G52" s="8" t="s">
        <v>32</v>
      </c>
      <c r="H52" s="5" t="s">
        <v>37</v>
      </c>
    </row>
    <row r="53" customFormat="false" ht="17.15" hidden="false" customHeight="false" outlineLevel="0" collapsed="false">
      <c r="A53" s="0" t="s">
        <v>139</v>
      </c>
      <c r="B53" s="5" t="s">
        <v>140</v>
      </c>
      <c r="C53" s="0" t="s">
        <v>31</v>
      </c>
      <c r="E53" s="7" t="n">
        <v>192.795469377561</v>
      </c>
      <c r="G53" s="8" t="s">
        <v>32</v>
      </c>
      <c r="H53" s="5" t="s">
        <v>37</v>
      </c>
    </row>
    <row r="54" customFormat="false" ht="17.15" hidden="false" customHeight="false" outlineLevel="0" collapsed="false">
      <c r="A54" s="0" t="s">
        <v>141</v>
      </c>
      <c r="B54" s="5" t="s">
        <v>142</v>
      </c>
      <c r="C54" s="0" t="s">
        <v>31</v>
      </c>
      <c r="E54" s="7" t="n">
        <v>183.155695908683</v>
      </c>
      <c r="G54" s="8" t="s">
        <v>32</v>
      </c>
      <c r="H54" s="5" t="s">
        <v>37</v>
      </c>
    </row>
    <row r="55" customFormat="false" ht="17.15" hidden="false" customHeight="false" outlineLevel="0" collapsed="false">
      <c r="A55" s="0" t="s">
        <v>143</v>
      </c>
      <c r="B55" s="5" t="s">
        <v>144</v>
      </c>
      <c r="C55" s="0" t="s">
        <v>31</v>
      </c>
      <c r="E55" s="7" t="n">
        <v>36.0323364171573</v>
      </c>
      <c r="G55" s="8" t="s">
        <v>32</v>
      </c>
      <c r="H55" s="8" t="s">
        <v>145</v>
      </c>
      <c r="I55" s="8" t="s">
        <v>34</v>
      </c>
    </row>
    <row r="56" customFormat="false" ht="17.15" hidden="false" customHeight="false" outlineLevel="0" collapsed="false">
      <c r="A56" s="0" t="s">
        <v>146</v>
      </c>
      <c r="B56" s="5" t="s">
        <v>147</v>
      </c>
      <c r="C56" s="0" t="s">
        <v>31</v>
      </c>
      <c r="E56" s="7" t="n">
        <v>50.3248433305299</v>
      </c>
      <c r="G56" s="8" t="s">
        <v>32</v>
      </c>
      <c r="H56" s="5" t="s">
        <v>37</v>
      </c>
    </row>
    <row r="57" customFormat="false" ht="17.15" hidden="false" customHeight="false" outlineLevel="0" collapsed="false">
      <c r="A57" s="0" t="s">
        <v>148</v>
      </c>
      <c r="B57" s="5" t="s">
        <v>149</v>
      </c>
      <c r="C57" s="0" t="s">
        <v>31</v>
      </c>
      <c r="E57" s="7" t="n">
        <v>60.7764307969723</v>
      </c>
      <c r="G57" s="8" t="s">
        <v>32</v>
      </c>
      <c r="H57" s="5" t="s">
        <v>37</v>
      </c>
    </row>
    <row r="58" customFormat="false" ht="17.15" hidden="false" customHeight="false" outlineLevel="0" collapsed="false">
      <c r="A58" s="0" t="s">
        <v>150</v>
      </c>
      <c r="B58" s="5" t="s">
        <v>151</v>
      </c>
      <c r="C58" s="0" t="s">
        <v>31</v>
      </c>
      <c r="E58" s="7" t="n">
        <v>48.6211446375778</v>
      </c>
      <c r="G58" s="8" t="s">
        <v>32</v>
      </c>
      <c r="H58" s="5" t="s">
        <v>37</v>
      </c>
    </row>
    <row r="59" customFormat="false" ht="17.15" hidden="false" customHeight="false" outlineLevel="0" collapsed="false">
      <c r="A59" s="0" t="s">
        <v>152</v>
      </c>
      <c r="B59" s="5" t="s">
        <v>153</v>
      </c>
      <c r="C59" s="0" t="s">
        <v>31</v>
      </c>
      <c r="E59" s="7" t="n">
        <v>48.6211446375778</v>
      </c>
      <c r="G59" s="8" t="s">
        <v>32</v>
      </c>
      <c r="H59" s="5" t="s">
        <v>37</v>
      </c>
    </row>
    <row r="60" customFormat="false" ht="17.15" hidden="false" customHeight="false" outlineLevel="0" collapsed="false">
      <c r="A60" s="0" t="s">
        <v>154</v>
      </c>
      <c r="B60" s="5" t="s">
        <v>155</v>
      </c>
      <c r="C60" s="0" t="s">
        <v>31</v>
      </c>
      <c r="E60" s="7" t="n">
        <v>29.5690092514718</v>
      </c>
      <c r="G60" s="8" t="s">
        <v>32</v>
      </c>
      <c r="H60" s="8" t="s">
        <v>156</v>
      </c>
      <c r="I60" s="8" t="s">
        <v>34</v>
      </c>
    </row>
    <row r="61" customFormat="false" ht="17.15" hidden="false" customHeight="false" outlineLevel="0" collapsed="false">
      <c r="A61" s="0" t="s">
        <v>157</v>
      </c>
      <c r="B61" s="5" t="s">
        <v>158</v>
      </c>
      <c r="C61" s="0" t="s">
        <v>31</v>
      </c>
      <c r="E61" s="7" t="n">
        <v>31.9345299915896</v>
      </c>
      <c r="G61" s="8" t="s">
        <v>32</v>
      </c>
      <c r="H61" s="5" t="s">
        <v>37</v>
      </c>
    </row>
    <row r="62" customFormat="false" ht="17.15" hidden="false" customHeight="false" outlineLevel="0" collapsed="false">
      <c r="A62" s="0" t="s">
        <v>159</v>
      </c>
      <c r="B62" s="5" t="s">
        <v>160</v>
      </c>
      <c r="C62" s="0" t="s">
        <v>31</v>
      </c>
      <c r="E62" s="7" t="n">
        <v>34.4892923909167</v>
      </c>
      <c r="G62" s="8" t="s">
        <v>32</v>
      </c>
      <c r="H62" s="5" t="s">
        <v>37</v>
      </c>
    </row>
    <row r="63" customFormat="false" ht="17.15" hidden="false" customHeight="false" outlineLevel="0" collapsed="false">
      <c r="A63" s="0" t="s">
        <v>161</v>
      </c>
      <c r="B63" s="5" t="s">
        <v>162</v>
      </c>
      <c r="C63" s="0" t="s">
        <v>31</v>
      </c>
      <c r="E63" s="7" t="n">
        <v>27.5914339127334</v>
      </c>
      <c r="G63" s="8" t="s">
        <v>32</v>
      </c>
      <c r="H63" s="5" t="s">
        <v>37</v>
      </c>
    </row>
    <row r="64" customFormat="false" ht="17.15" hidden="false" customHeight="false" outlineLevel="0" collapsed="false">
      <c r="A64" s="0" t="s">
        <v>163</v>
      </c>
      <c r="B64" s="5" t="s">
        <v>164</v>
      </c>
      <c r="C64" s="0" t="s">
        <v>31</v>
      </c>
      <c r="E64" s="7" t="n">
        <v>27.5914339127334</v>
      </c>
      <c r="G64" s="8" t="s">
        <v>32</v>
      </c>
      <c r="H64" s="5" t="s">
        <v>37</v>
      </c>
    </row>
    <row r="65" customFormat="false" ht="17.15" hidden="false" customHeight="false" outlineLevel="0" collapsed="false">
      <c r="A65" s="0" t="s">
        <v>165</v>
      </c>
      <c r="B65" s="0" t="s">
        <v>166</v>
      </c>
      <c r="C65" s="0" t="s">
        <v>31</v>
      </c>
      <c r="E65" s="7" t="n">
        <v>26.3761091658243</v>
      </c>
      <c r="G65" s="8" t="s">
        <v>32</v>
      </c>
      <c r="H65" s="8" t="s">
        <v>167</v>
      </c>
      <c r="I65" s="8" t="s">
        <v>34</v>
      </c>
    </row>
    <row r="66" customFormat="false" ht="17.15" hidden="false" customHeight="false" outlineLevel="0" collapsed="false">
      <c r="A66" s="0" t="s">
        <v>168</v>
      </c>
      <c r="B66" s="0" t="s">
        <v>169</v>
      </c>
      <c r="C66" s="0" t="s">
        <v>31</v>
      </c>
      <c r="E66" s="7" t="n">
        <v>39.3659468014757</v>
      </c>
      <c r="G66" s="8" t="s">
        <v>32</v>
      </c>
      <c r="H66" s="5" t="s">
        <v>37</v>
      </c>
    </row>
    <row r="67" customFormat="false" ht="17.15" hidden="false" customHeight="false" outlineLevel="0" collapsed="false">
      <c r="A67" s="0" t="s">
        <v>170</v>
      </c>
      <c r="B67" s="0" t="s">
        <v>171</v>
      </c>
      <c r="C67" s="0" t="s">
        <v>31</v>
      </c>
      <c r="E67" s="7" t="n">
        <v>53.2587328153375</v>
      </c>
      <c r="G67" s="8" t="s">
        <v>32</v>
      </c>
      <c r="H67" s="5" t="s">
        <v>37</v>
      </c>
    </row>
    <row r="68" customFormat="false" ht="17.15" hidden="false" customHeight="false" outlineLevel="0" collapsed="false">
      <c r="A68" s="0" t="s">
        <v>172</v>
      </c>
      <c r="B68" s="0" t="s">
        <v>173</v>
      </c>
      <c r="C68" s="0" t="s">
        <v>31</v>
      </c>
      <c r="E68" s="7" t="n">
        <v>42.60698625227</v>
      </c>
      <c r="G68" s="8" t="s">
        <v>32</v>
      </c>
      <c r="H68" s="5" t="s">
        <v>37</v>
      </c>
    </row>
    <row r="69" customFormat="false" ht="17.15" hidden="false" customHeight="false" outlineLevel="0" collapsed="false">
      <c r="A69" s="0" t="s">
        <v>174</v>
      </c>
      <c r="B69" s="0" t="s">
        <v>175</v>
      </c>
      <c r="C69" s="0" t="s">
        <v>31</v>
      </c>
      <c r="E69" s="7" t="n">
        <v>42.60698625227</v>
      </c>
      <c r="G69" s="8" t="s">
        <v>32</v>
      </c>
      <c r="H69" s="5" t="s">
        <v>37</v>
      </c>
    </row>
    <row r="70" customFormat="false" ht="17.15" hidden="false" customHeight="false" outlineLevel="0" collapsed="false">
      <c r="A70" s="0" t="s">
        <v>176</v>
      </c>
      <c r="B70" s="0" t="s">
        <v>177</v>
      </c>
      <c r="C70" s="0" t="s">
        <v>31</v>
      </c>
      <c r="E70" s="7" t="n">
        <v>12.1726019800256</v>
      </c>
      <c r="G70" s="8" t="s">
        <v>32</v>
      </c>
      <c r="H70" s="8" t="s">
        <v>178</v>
      </c>
      <c r="I70" s="8" t="s">
        <v>34</v>
      </c>
    </row>
    <row r="71" customFormat="false" ht="17.15" hidden="false" customHeight="false" outlineLevel="0" collapsed="false">
      <c r="A71" s="0" t="s">
        <v>179</v>
      </c>
      <c r="B71" s="0" t="s">
        <v>180</v>
      </c>
      <c r="C71" s="0" t="s">
        <v>31</v>
      </c>
      <c r="E71" s="7" t="n">
        <v>17.5039054704765</v>
      </c>
      <c r="G71" s="8" t="s">
        <v>32</v>
      </c>
      <c r="H71" s="5" t="s">
        <v>37</v>
      </c>
    </row>
    <row r="72" customFormat="false" ht="17.15" hidden="false" customHeight="false" outlineLevel="0" collapsed="false">
      <c r="A72" s="0" t="s">
        <v>181</v>
      </c>
      <c r="B72" s="0" t="s">
        <v>182</v>
      </c>
      <c r="C72" s="0" t="s">
        <v>31</v>
      </c>
      <c r="E72" s="7" t="n">
        <v>23.2480272411321</v>
      </c>
      <c r="G72" s="8" t="s">
        <v>32</v>
      </c>
      <c r="H72" s="5" t="s">
        <v>37</v>
      </c>
    </row>
    <row r="73" customFormat="false" ht="17.15" hidden="false" customHeight="false" outlineLevel="0" collapsed="false">
      <c r="A73" s="0" t="s">
        <v>183</v>
      </c>
      <c r="B73" s="0" t="s">
        <v>184</v>
      </c>
      <c r="C73" s="0" t="s">
        <v>31</v>
      </c>
      <c r="E73" s="7" t="n">
        <v>18.5984217929057</v>
      </c>
      <c r="G73" s="8" t="s">
        <v>32</v>
      </c>
      <c r="H73" s="5" t="s">
        <v>37</v>
      </c>
    </row>
    <row r="74" customFormat="false" ht="17.15" hidden="false" customHeight="false" outlineLevel="0" collapsed="false">
      <c r="A74" s="0" t="s">
        <v>185</v>
      </c>
      <c r="B74" s="0" t="s">
        <v>186</v>
      </c>
      <c r="C74" s="0" t="s">
        <v>31</v>
      </c>
      <c r="E74" s="7" t="n">
        <v>18.5984217929057</v>
      </c>
      <c r="G74" s="8" t="s">
        <v>32</v>
      </c>
      <c r="H74" s="5" t="s">
        <v>37</v>
      </c>
    </row>
    <row r="75" customFormat="false" ht="17.15" hidden="false" customHeight="false" outlineLevel="0" collapsed="false">
      <c r="A75" s="0" t="s">
        <v>187</v>
      </c>
      <c r="B75" s="5" t="s">
        <v>188</v>
      </c>
      <c r="C75" s="0" t="s">
        <v>31</v>
      </c>
      <c r="E75" s="7" t="n">
        <v>116.896831844029</v>
      </c>
      <c r="G75" s="8" t="s">
        <v>32</v>
      </c>
      <c r="H75" s="8" t="s">
        <v>189</v>
      </c>
      <c r="I75" s="8" t="s">
        <v>34</v>
      </c>
    </row>
    <row r="76" customFormat="false" ht="17.15" hidden="false" customHeight="false" outlineLevel="0" collapsed="false">
      <c r="A76" s="0" t="s">
        <v>190</v>
      </c>
      <c r="B76" s="5" t="s">
        <v>191</v>
      </c>
      <c r="C76" s="0" t="s">
        <v>31</v>
      </c>
      <c r="E76" s="7" t="n">
        <v>156.157050570127</v>
      </c>
      <c r="G76" s="8" t="s">
        <v>32</v>
      </c>
      <c r="H76" s="5" t="s">
        <v>37</v>
      </c>
    </row>
    <row r="77" customFormat="false" ht="17.15" hidden="false" customHeight="false" outlineLevel="0" collapsed="false">
      <c r="A77" s="0" t="s">
        <v>192</v>
      </c>
      <c r="B77" s="5" t="s">
        <v>193</v>
      </c>
      <c r="C77" s="0" t="s">
        <v>31</v>
      </c>
      <c r="E77" s="7" t="n">
        <v>192.795469377561</v>
      </c>
      <c r="G77" s="8" t="s">
        <v>32</v>
      </c>
      <c r="H77" s="5" t="s">
        <v>37</v>
      </c>
    </row>
    <row r="78" customFormat="false" ht="17.15" hidden="false" customHeight="false" outlineLevel="0" collapsed="false">
      <c r="A78" s="0" t="s">
        <v>194</v>
      </c>
      <c r="B78" s="5" t="s">
        <v>195</v>
      </c>
      <c r="C78" s="0" t="s">
        <v>31</v>
      </c>
      <c r="E78" s="7" t="n">
        <v>154.236375502049</v>
      </c>
      <c r="G78" s="8" t="s">
        <v>32</v>
      </c>
      <c r="H78" s="5" t="s">
        <v>37</v>
      </c>
    </row>
    <row r="79" customFormat="false" ht="17.15" hidden="false" customHeight="false" outlineLevel="0" collapsed="false">
      <c r="A79" s="0" t="s">
        <v>196</v>
      </c>
      <c r="B79" s="5" t="s">
        <v>197</v>
      </c>
      <c r="C79" s="0" t="s">
        <v>31</v>
      </c>
      <c r="E79" s="7" t="n">
        <v>154.236375502049</v>
      </c>
      <c r="G79" s="8" t="s">
        <v>32</v>
      </c>
      <c r="H79" s="5" t="s">
        <v>37</v>
      </c>
    </row>
    <row r="80" customFormat="false" ht="17.15" hidden="false" customHeight="false" outlineLevel="0" collapsed="false">
      <c r="A80" s="0" t="s">
        <v>198</v>
      </c>
      <c r="B80" s="5" t="s">
        <v>199</v>
      </c>
      <c r="C80" s="5" t="s">
        <v>200</v>
      </c>
      <c r="E80" s="7" t="n">
        <v>2029</v>
      </c>
      <c r="G80" s="8" t="s">
        <v>32</v>
      </c>
      <c r="H80" s="8" t="s">
        <v>201</v>
      </c>
      <c r="I80" s="5" t="s">
        <v>202</v>
      </c>
    </row>
    <row r="81" customFormat="false" ht="17.15" hidden="false" customHeight="false" outlineLevel="0" collapsed="false">
      <c r="A81" s="0" t="s">
        <v>203</v>
      </c>
      <c r="B81" s="5" t="s">
        <v>204</v>
      </c>
      <c r="C81" s="5" t="s">
        <v>200</v>
      </c>
      <c r="E81" s="7" t="n">
        <v>2028</v>
      </c>
      <c r="G81" s="8" t="s">
        <v>32</v>
      </c>
      <c r="H81" s="8" t="s">
        <v>205</v>
      </c>
      <c r="I81" s="5" t="s">
        <v>37</v>
      </c>
    </row>
    <row r="82" customFormat="false" ht="17.15" hidden="false" customHeight="false" outlineLevel="0" collapsed="false">
      <c r="A82" s="0" t="s">
        <v>206</v>
      </c>
      <c r="B82" s="5" t="s">
        <v>207</v>
      </c>
      <c r="C82" s="5" t="s">
        <v>200</v>
      </c>
      <c r="E82" s="7" t="n">
        <v>2027</v>
      </c>
      <c r="G82" s="8" t="s">
        <v>32</v>
      </c>
      <c r="H82" s="8" t="s">
        <v>208</v>
      </c>
      <c r="I82" s="5" t="s">
        <v>37</v>
      </c>
    </row>
    <row r="83" customFormat="false" ht="17.15" hidden="false" customHeight="false" outlineLevel="0" collapsed="false">
      <c r="A83" s="1" t="s">
        <v>209</v>
      </c>
    </row>
    <row r="84" customFormat="false" ht="17.15" hidden="false" customHeight="false" outlineLevel="0" collapsed="false">
      <c r="A84" s="0" t="s">
        <v>210</v>
      </c>
      <c r="B84" s="5" t="s">
        <v>211</v>
      </c>
      <c r="C84" s="0" t="s">
        <v>212</v>
      </c>
      <c r="D84" s="7" t="n">
        <v>0.45</v>
      </c>
      <c r="E84" s="7" t="n">
        <v>0.5</v>
      </c>
      <c r="F84" s="7" t="n">
        <v>0.55</v>
      </c>
      <c r="G84" s="8" t="s">
        <v>213</v>
      </c>
      <c r="H84" s="5" t="s">
        <v>214</v>
      </c>
      <c r="I84" s="8" t="s">
        <v>215</v>
      </c>
    </row>
    <row r="85" customFormat="false" ht="17.15" hidden="false" customHeight="false" outlineLevel="0" collapsed="false">
      <c r="A85" s="0" t="s">
        <v>216</v>
      </c>
      <c r="B85" s="5" t="s">
        <v>217</v>
      </c>
      <c r="C85" s="0" t="s">
        <v>218</v>
      </c>
      <c r="D85" s="7" t="n">
        <v>-0.02</v>
      </c>
      <c r="E85" s="7" t="n">
        <v>0</v>
      </c>
      <c r="F85" s="7" t="n">
        <v>0.02</v>
      </c>
      <c r="G85" s="8" t="s">
        <v>213</v>
      </c>
      <c r="H85" s="5" t="s">
        <v>219</v>
      </c>
      <c r="I85" s="5" t="s">
        <v>220</v>
      </c>
    </row>
    <row r="86" customFormat="false" ht="17.15" hidden="false" customHeight="false" outlineLevel="0" collapsed="false">
      <c r="A86" s="0" t="s">
        <v>221</v>
      </c>
      <c r="B86" s="5" t="s">
        <v>222</v>
      </c>
      <c r="C86" s="0" t="s">
        <v>212</v>
      </c>
      <c r="D86" s="7" t="n">
        <v>0.26</v>
      </c>
      <c r="E86" s="7" t="n">
        <v>0.34</v>
      </c>
      <c r="F86" s="7" t="n">
        <v>0.43</v>
      </c>
      <c r="G86" s="8" t="s">
        <v>223</v>
      </c>
      <c r="H86" s="8" t="s">
        <v>224</v>
      </c>
      <c r="I86" s="5" t="s">
        <v>225</v>
      </c>
    </row>
    <row r="87" customFormat="false" ht="17.15" hidden="false" customHeight="false" outlineLevel="0" collapsed="false">
      <c r="A87" s="0" t="s">
        <v>226</v>
      </c>
      <c r="B87" s="5" t="s">
        <v>227</v>
      </c>
      <c r="C87" s="0" t="s">
        <v>212</v>
      </c>
      <c r="D87" s="7" t="n">
        <v>0</v>
      </c>
      <c r="E87" s="7" t="n">
        <v>0.2</v>
      </c>
      <c r="F87" s="7" t="n">
        <v>0.4</v>
      </c>
      <c r="G87" s="8" t="s">
        <v>213</v>
      </c>
      <c r="H87" s="8" t="s">
        <v>228</v>
      </c>
      <c r="I87" s="5" t="s">
        <v>229</v>
      </c>
    </row>
    <row r="88" customFormat="false" ht="17.15" hidden="false" customHeight="false" outlineLevel="0" collapsed="false">
      <c r="A88" s="0" t="s">
        <v>230</v>
      </c>
      <c r="B88" s="0" t="s">
        <v>231</v>
      </c>
      <c r="C88" s="0" t="s">
        <v>212</v>
      </c>
      <c r="D88" s="7" t="n">
        <v>0.2</v>
      </c>
      <c r="E88" s="7" t="n">
        <v>0</v>
      </c>
      <c r="F88" s="7" t="n">
        <v>0.4</v>
      </c>
      <c r="G88" s="8" t="s">
        <v>213</v>
      </c>
      <c r="H88" s="5" t="s">
        <v>232</v>
      </c>
      <c r="I88" s="5" t="s">
        <v>233</v>
      </c>
    </row>
    <row r="89" customFormat="false" ht="17.15" hidden="false" customHeight="false" outlineLevel="0" collapsed="false">
      <c r="A89" s="0" t="s">
        <v>234</v>
      </c>
      <c r="B89" s="0" t="s">
        <v>235</v>
      </c>
      <c r="C89" s="0" t="s">
        <v>212</v>
      </c>
      <c r="D89" s="7" t="n">
        <v>-0.05</v>
      </c>
      <c r="E89" s="7" t="n">
        <v>0</v>
      </c>
      <c r="F89" s="7" t="n">
        <v>0.1</v>
      </c>
      <c r="G89" s="8" t="s">
        <v>213</v>
      </c>
      <c r="H89" s="5" t="s">
        <v>236</v>
      </c>
      <c r="I89" s="5" t="s">
        <v>237</v>
      </c>
    </row>
    <row r="90" customFormat="false" ht="17.15" hidden="false" customHeight="false" outlineLevel="0" collapsed="false">
      <c r="A90" s="1" t="s">
        <v>238</v>
      </c>
    </row>
    <row r="91" customFormat="false" ht="17.15" hidden="false" customHeight="false" outlineLevel="0" collapsed="false">
      <c r="A91" s="0" t="s">
        <v>239</v>
      </c>
      <c r="B91" s="0" t="s">
        <v>240</v>
      </c>
      <c r="C91" s="0" t="s">
        <v>212</v>
      </c>
      <c r="D91" s="7" t="n">
        <v>0.1</v>
      </c>
      <c r="E91" s="7" t="n">
        <v>0.15</v>
      </c>
      <c r="F91" s="7" t="n">
        <v>0.2</v>
      </c>
      <c r="G91" s="8" t="s">
        <v>241</v>
      </c>
      <c r="H91" s="8" t="s">
        <v>242</v>
      </c>
      <c r="I91" s="5" t="s">
        <v>243</v>
      </c>
    </row>
    <row r="92" customFormat="false" ht="17.15" hidden="false" customHeight="false" outlineLevel="0" collapsed="false">
      <c r="A92" s="0" t="s">
        <v>244</v>
      </c>
      <c r="B92" s="0" t="s">
        <v>245</v>
      </c>
      <c r="C92" s="0" t="s">
        <v>212</v>
      </c>
      <c r="D92" s="7" t="n">
        <v>0.08</v>
      </c>
      <c r="E92" s="7" t="n">
        <v>0.12</v>
      </c>
      <c r="F92" s="7" t="n">
        <v>0.16</v>
      </c>
      <c r="G92" s="8" t="s">
        <v>213</v>
      </c>
      <c r="H92" s="5" t="s">
        <v>246</v>
      </c>
      <c r="I92" s="8" t="s">
        <v>247</v>
      </c>
    </row>
    <row r="93" customFormat="false" ht="17.15" hidden="false" customHeight="false" outlineLevel="0" collapsed="false">
      <c r="A93" s="0" t="s">
        <v>248</v>
      </c>
      <c r="B93" s="0" t="s">
        <v>249</v>
      </c>
      <c r="C93" s="0" t="s">
        <v>212</v>
      </c>
      <c r="D93" s="7" t="n">
        <v>0.02</v>
      </c>
      <c r="E93" s="7" t="n">
        <v>0.06</v>
      </c>
      <c r="F93" s="7" t="n">
        <v>0.1</v>
      </c>
      <c r="G93" s="8" t="s">
        <v>213</v>
      </c>
      <c r="H93" s="5" t="s">
        <v>246</v>
      </c>
      <c r="I93" s="8" t="s">
        <v>247</v>
      </c>
    </row>
    <row r="94" customFormat="false" ht="17.15" hidden="false" customHeight="false" outlineLevel="0" collapsed="false">
      <c r="A94" s="0" t="s">
        <v>250</v>
      </c>
      <c r="B94" s="0" t="s">
        <v>251</v>
      </c>
      <c r="C94" s="0" t="s">
        <v>212</v>
      </c>
      <c r="D94" s="7" t="n">
        <v>-0.07</v>
      </c>
      <c r="E94" s="7" t="n">
        <v>-0.03</v>
      </c>
      <c r="F94" s="7" t="n">
        <v>0.01</v>
      </c>
      <c r="G94" s="8" t="s">
        <v>213</v>
      </c>
      <c r="H94" s="5" t="s">
        <v>246</v>
      </c>
      <c r="I94" s="8" t="s">
        <v>247</v>
      </c>
    </row>
    <row r="95" customFormat="false" ht="17.15" hidden="false" customHeight="false" outlineLevel="0" collapsed="false">
      <c r="A95" s="1" t="s">
        <v>252</v>
      </c>
    </row>
    <row r="96" customFormat="false" ht="17.15" hidden="false" customHeight="false" outlineLevel="0" collapsed="false">
      <c r="A96" s="0" t="s">
        <v>253</v>
      </c>
      <c r="B96" s="0" t="s">
        <v>254</v>
      </c>
      <c r="C96" s="0" t="s">
        <v>31</v>
      </c>
      <c r="E96" s="0" t="n">
        <f aca="false">2*(q1_rev+g_q2rev)</f>
        <v>33.638836</v>
      </c>
      <c r="G96" s="0" t="s">
        <v>32</v>
      </c>
      <c r="H96" s="0" t="s">
        <v>255</v>
      </c>
      <c r="I96" s="0" t="s">
        <v>247</v>
      </c>
    </row>
    <row r="97" customFormat="false" ht="17.15" hidden="false" customHeight="false" outlineLevel="0" collapsed="false">
      <c r="A97" s="0" t="s">
        <v>256</v>
      </c>
      <c r="B97" s="0" t="s">
        <v>257</v>
      </c>
      <c r="C97" s="0" t="s">
        <v>212</v>
      </c>
      <c r="E97" s="0" t="n">
        <f aca="false">(q1_gp+g_q2gm*g_q2rev)/(q1_rev+g_q2rev)</f>
        <v>0.524028417630146</v>
      </c>
      <c r="G97" s="0" t="s">
        <v>32</v>
      </c>
      <c r="H97" s="0" t="s">
        <v>255</v>
      </c>
      <c r="I97" s="0" t="s">
        <v>247</v>
      </c>
    </row>
    <row r="98" customFormat="false" ht="17.15" hidden="false" customHeight="false" outlineLevel="0" collapsed="false">
      <c r="A98" s="0" t="s">
        <v>258</v>
      </c>
      <c r="B98" s="5" t="s">
        <v>259</v>
      </c>
      <c r="C98" s="0" t="s">
        <v>260</v>
      </c>
      <c r="E98" s="0" t="n">
        <f aca="false">(gm_h1-a26_gp/a26_rev)/(LN(rev_h1)-LN(a26_rev))</f>
        <v>0.0522487258947473</v>
      </c>
      <c r="G98" s="0" t="s">
        <v>32</v>
      </c>
      <c r="H98" s="5" t="s">
        <v>261</v>
      </c>
      <c r="I98" s="5" t="s">
        <v>262</v>
      </c>
    </row>
    <row r="99" customFormat="false" ht="17.15" hidden="false" customHeight="false" outlineLevel="0" collapsed="false">
      <c r="A99" s="0" t="s">
        <v>263</v>
      </c>
      <c r="B99" s="5" t="s">
        <v>264</v>
      </c>
      <c r="C99" s="0" t="s">
        <v>212</v>
      </c>
      <c r="E99" s="0" t="n">
        <f aca="false">a26_gp/a26_rev-gm_b*LN(a26_rev)</f>
        <v>0.340338552562108</v>
      </c>
      <c r="G99" s="0" t="s">
        <v>32</v>
      </c>
      <c r="H99" s="5" t="s">
        <v>37</v>
      </c>
      <c r="I99" s="5" t="s">
        <v>265</v>
      </c>
    </row>
    <row r="100" customFormat="false" ht="17.15" hidden="false" customHeight="false" outlineLevel="0" collapsed="false">
      <c r="A100" s="0" t="s">
        <v>266</v>
      </c>
      <c r="B100" s="0" t="s">
        <v>267</v>
      </c>
      <c r="C100" s="0" t="s">
        <v>31</v>
      </c>
      <c r="E100" s="0" t="n">
        <f aca="false">2*(q1_opx+(g_q2gm-g_q2om)*g_q2rev)</f>
        <v>4.094252</v>
      </c>
      <c r="G100" s="0" t="s">
        <v>32</v>
      </c>
      <c r="H100" s="0" t="s">
        <v>255</v>
      </c>
      <c r="I100" s="0" t="s">
        <v>247</v>
      </c>
    </row>
    <row r="101" customFormat="false" ht="17.15" hidden="false" customHeight="false" outlineLevel="0" collapsed="false">
      <c r="A101" s="0" t="s">
        <v>268</v>
      </c>
      <c r="B101" s="5" t="s">
        <v>269</v>
      </c>
      <c r="C101" s="0" t="s">
        <v>212</v>
      </c>
      <c r="E101" s="0" t="n">
        <f aca="false">(opx_h1-a26_opx)/(rev_h1-a26_rev)</f>
        <v>0.0546541438107826</v>
      </c>
      <c r="G101" s="0" t="s">
        <v>32</v>
      </c>
      <c r="H101" s="5" t="s">
        <v>270</v>
      </c>
      <c r="I101" s="0" t="s">
        <v>247</v>
      </c>
    </row>
    <row r="102" customFormat="false" ht="17.15" hidden="false" customHeight="false" outlineLevel="0" collapsed="false">
      <c r="A102" s="0" t="s">
        <v>271</v>
      </c>
      <c r="B102" s="5" t="s">
        <v>272</v>
      </c>
      <c r="C102" s="0" t="s">
        <v>31</v>
      </c>
      <c r="E102" s="0" t="n">
        <f aca="false">a26_opx-opex_var*a26_rev</f>
        <v>2.25575021962867</v>
      </c>
      <c r="G102" s="0" t="s">
        <v>32</v>
      </c>
      <c r="H102" s="0" t="s">
        <v>273</v>
      </c>
      <c r="I102" s="0" t="s">
        <v>247</v>
      </c>
    </row>
    <row r="103" customFormat="false" ht="17.15" hidden="false" customHeight="false" outlineLevel="0" collapsed="false">
      <c r="A103" s="0" t="s">
        <v>274</v>
      </c>
      <c r="B103" s="5" t="s">
        <v>275</v>
      </c>
      <c r="C103" s="0" t="s">
        <v>212</v>
      </c>
      <c r="D103" s="7" t="n">
        <v>0.15</v>
      </c>
      <c r="E103" s="8" t="n">
        <f aca="false">opex_var*a26_rev/a26_opx</f>
        <v>0.360163976241566</v>
      </c>
      <c r="F103" s="7" t="n">
        <v>0.5</v>
      </c>
      <c r="G103" s="8" t="s">
        <v>32</v>
      </c>
      <c r="H103" s="5" t="s">
        <v>276</v>
      </c>
      <c r="I103" s="8" t="s">
        <v>247</v>
      </c>
    </row>
    <row r="104" customFormat="false" ht="17.15" hidden="false" customHeight="false" outlineLevel="0" collapsed="false">
      <c r="A104" s="1" t="s">
        <v>277</v>
      </c>
    </row>
    <row r="105" customFormat="false" ht="17.15" hidden="false" customHeight="false" outlineLevel="0" collapsed="false">
      <c r="A105" s="0" t="s">
        <v>278</v>
      </c>
      <c r="B105" s="5" t="s">
        <v>279</v>
      </c>
      <c r="C105" s="0" t="s">
        <v>31</v>
      </c>
      <c r="D105" s="7" t="n">
        <v>0</v>
      </c>
      <c r="E105" s="7" t="n">
        <v>0.1</v>
      </c>
      <c r="F105" s="7" t="n">
        <v>0.2</v>
      </c>
      <c r="G105" s="8" t="s">
        <v>213</v>
      </c>
      <c r="H105" s="8" t="s">
        <v>280</v>
      </c>
      <c r="I105" s="5" t="s">
        <v>281</v>
      </c>
    </row>
    <row r="106" customFormat="false" ht="17.15" hidden="false" customHeight="false" outlineLevel="0" collapsed="false">
      <c r="A106" s="0" t="s">
        <v>282</v>
      </c>
      <c r="B106" s="5" t="s">
        <v>283</v>
      </c>
      <c r="C106" s="0" t="s">
        <v>212</v>
      </c>
      <c r="D106" s="7" t="n">
        <v>0.13</v>
      </c>
      <c r="E106" s="7" t="n">
        <v>0.165</v>
      </c>
      <c r="F106" s="7" t="n">
        <v>0.19</v>
      </c>
      <c r="G106" s="8" t="s">
        <v>241</v>
      </c>
      <c r="H106" s="8" t="s">
        <v>284</v>
      </c>
      <c r="I106" s="8" t="s">
        <v>285</v>
      </c>
    </row>
    <row r="107" customFormat="false" ht="17.15" hidden="false" customHeight="false" outlineLevel="0" collapsed="false">
      <c r="A107" s="0" t="s">
        <v>286</v>
      </c>
      <c r="B107" s="0" t="s">
        <v>287</v>
      </c>
      <c r="C107" s="5" t="s">
        <v>288</v>
      </c>
      <c r="E107" s="7" t="n">
        <v>1.253</v>
      </c>
      <c r="G107" s="8" t="s">
        <v>241</v>
      </c>
      <c r="H107" s="5" t="s">
        <v>289</v>
      </c>
      <c r="I107" s="8" t="s">
        <v>290</v>
      </c>
    </row>
    <row r="108" customFormat="false" ht="17.15" hidden="false" customHeight="false" outlineLevel="0" collapsed="false">
      <c r="A108" s="0" t="s">
        <v>291</v>
      </c>
      <c r="B108" s="0" t="s">
        <v>292</v>
      </c>
      <c r="C108" s="0" t="s">
        <v>218</v>
      </c>
      <c r="D108" s="7" t="n">
        <v>0</v>
      </c>
      <c r="E108" s="7" t="n">
        <v>0.015</v>
      </c>
      <c r="F108" s="7" t="n">
        <v>0.03</v>
      </c>
      <c r="G108" s="8" t="s">
        <v>213</v>
      </c>
      <c r="H108" s="8" t="s">
        <v>293</v>
      </c>
      <c r="I108" s="5" t="s">
        <v>294</v>
      </c>
    </row>
    <row r="109" customFormat="false" ht="17.15" hidden="false" customHeight="false" outlineLevel="0" collapsed="false">
      <c r="A109" s="1" t="s">
        <v>295</v>
      </c>
    </row>
    <row r="110" customFormat="false" ht="17.15" hidden="false" customHeight="false" outlineLevel="0" collapsed="false">
      <c r="A110" s="0" t="s">
        <v>296</v>
      </c>
      <c r="B110" s="5" t="s">
        <v>297</v>
      </c>
      <c r="C110" s="0" t="s">
        <v>31</v>
      </c>
      <c r="D110" s="7" t="n">
        <v>8.2</v>
      </c>
      <c r="E110" s="7" t="n">
        <v>8.6</v>
      </c>
      <c r="F110" s="7" t="n">
        <v>9</v>
      </c>
      <c r="G110" s="8" t="s">
        <v>241</v>
      </c>
      <c r="H110" s="8" t="s">
        <v>298</v>
      </c>
      <c r="I110" s="8" t="s">
        <v>299</v>
      </c>
    </row>
    <row r="111" customFormat="false" ht="17.15" hidden="false" customHeight="false" outlineLevel="0" collapsed="false">
      <c r="A111" s="0" t="s">
        <v>300</v>
      </c>
      <c r="B111" s="5" t="s">
        <v>301</v>
      </c>
      <c r="C111" s="0" t="s">
        <v>212</v>
      </c>
      <c r="D111" s="7" t="n">
        <v>0.515</v>
      </c>
      <c r="E111" s="7" t="n">
        <v>0.525</v>
      </c>
      <c r="F111" s="7" t="n">
        <v>0.535</v>
      </c>
      <c r="G111" s="8" t="s">
        <v>241</v>
      </c>
      <c r="H111" s="5" t="s">
        <v>302</v>
      </c>
      <c r="I111" s="5" t="s">
        <v>37</v>
      </c>
    </row>
    <row r="112" customFormat="false" ht="17.15" hidden="false" customHeight="false" outlineLevel="0" collapsed="false">
      <c r="A112" s="0" t="s">
        <v>303</v>
      </c>
      <c r="B112" s="5" t="s">
        <v>304</v>
      </c>
      <c r="C112" s="0" t="s">
        <v>212</v>
      </c>
      <c r="D112" s="7" t="n">
        <v>0.395</v>
      </c>
      <c r="E112" s="7" t="n">
        <v>0.405</v>
      </c>
      <c r="F112" s="7" t="n">
        <v>0.415</v>
      </c>
      <c r="G112" s="8" t="s">
        <v>241</v>
      </c>
      <c r="H112" s="5" t="s">
        <v>305</v>
      </c>
      <c r="I112" s="5" t="s">
        <v>37</v>
      </c>
    </row>
    <row r="113" customFormat="false" ht="17.15" hidden="false" customHeight="false" outlineLevel="0" collapsed="false">
      <c r="A113" s="0" t="s">
        <v>306</v>
      </c>
      <c r="B113" s="5" t="s">
        <v>307</v>
      </c>
      <c r="C113" s="0" t="s">
        <v>308</v>
      </c>
      <c r="D113" s="7" t="n">
        <v>2.18</v>
      </c>
      <c r="E113" s="7" t="n">
        <v>2.33</v>
      </c>
      <c r="F113" s="7" t="n">
        <v>2.48</v>
      </c>
      <c r="G113" s="8" t="s">
        <v>241</v>
      </c>
      <c r="H113" s="5" t="s">
        <v>309</v>
      </c>
      <c r="I113" s="5" t="s">
        <v>37</v>
      </c>
    </row>
    <row r="114" customFormat="false" ht="17.15" hidden="false" customHeight="false" outlineLevel="0" collapsed="false">
      <c r="A114" s="0" t="s">
        <v>310</v>
      </c>
      <c r="B114" s="5" t="s">
        <v>311</v>
      </c>
      <c r="C114" s="0" t="s">
        <v>31</v>
      </c>
      <c r="E114" s="7" t="n">
        <v>155</v>
      </c>
      <c r="G114" s="8" t="s">
        <v>241</v>
      </c>
      <c r="H114" s="8" t="s">
        <v>312</v>
      </c>
      <c r="I114" s="8" t="s">
        <v>313</v>
      </c>
    </row>
    <row r="115" customFormat="false" ht="17.15" hidden="false" customHeight="false" outlineLevel="0" collapsed="false">
      <c r="A115" s="0" t="s">
        <v>314</v>
      </c>
      <c r="B115" s="5" t="s">
        <v>315</v>
      </c>
      <c r="C115" s="0" t="s">
        <v>31</v>
      </c>
      <c r="E115" s="7" t="n">
        <v>110</v>
      </c>
      <c r="G115" s="8" t="s">
        <v>241</v>
      </c>
      <c r="H115" s="8" t="s">
        <v>316</v>
      </c>
      <c r="I115" s="5" t="s">
        <v>317</v>
      </c>
    </row>
    <row r="116" customFormat="false" ht="17.15" hidden="false" customHeight="false" outlineLevel="0" collapsed="false">
      <c r="A116" s="0" t="s">
        <v>318</v>
      </c>
      <c r="B116" s="5" t="s">
        <v>319</v>
      </c>
      <c r="C116" s="0" t="s">
        <v>31</v>
      </c>
      <c r="E116" s="7" t="n">
        <v>200</v>
      </c>
      <c r="G116" s="8" t="s">
        <v>241</v>
      </c>
      <c r="H116" s="8" t="s">
        <v>320</v>
      </c>
      <c r="I116" s="8" t="s">
        <v>321</v>
      </c>
    </row>
    <row r="117" customFormat="false" ht="17.15" hidden="false" customHeight="false" outlineLevel="0" collapsed="false">
      <c r="A117" s="0" t="s">
        <v>322</v>
      </c>
      <c r="B117" s="5" t="s">
        <v>323</v>
      </c>
      <c r="C117" s="0" t="s">
        <v>212</v>
      </c>
      <c r="E117" s="7" t="n">
        <v>0.4</v>
      </c>
      <c r="G117" s="8" t="s">
        <v>241</v>
      </c>
      <c r="H117" s="8" t="s">
        <v>324</v>
      </c>
      <c r="I117" s="5" t="s">
        <v>325</v>
      </c>
    </row>
    <row r="118" customFormat="false" ht="17.15" hidden="false" customHeight="false" outlineLevel="0" collapsed="false">
      <c r="A118" s="0" t="s">
        <v>326</v>
      </c>
      <c r="B118" s="5" t="s">
        <v>327</v>
      </c>
      <c r="C118" s="0" t="s">
        <v>212</v>
      </c>
      <c r="E118" s="7" t="n">
        <v>0.3</v>
      </c>
      <c r="G118" s="8" t="s">
        <v>241</v>
      </c>
      <c r="H118" s="8" t="s">
        <v>328</v>
      </c>
      <c r="I118" s="5" t="s">
        <v>325</v>
      </c>
    </row>
    <row r="119" customFormat="false" ht="17.15" hidden="false" customHeight="false" outlineLevel="0" collapsed="false">
      <c r="A119" s="0" t="s">
        <v>329</v>
      </c>
      <c r="B119" s="5" t="s">
        <v>330</v>
      </c>
      <c r="C119" s="0" t="s">
        <v>308</v>
      </c>
      <c r="E119" s="7" t="n">
        <v>9.63</v>
      </c>
      <c r="G119" s="8" t="s">
        <v>241</v>
      </c>
      <c r="H119" s="8" t="s">
        <v>331</v>
      </c>
      <c r="I119" s="8" t="s">
        <v>332</v>
      </c>
    </row>
    <row r="120" customFormat="false" ht="17.15" hidden="false" customHeight="false" outlineLevel="0" collapsed="false">
      <c r="A120" s="0" t="s">
        <v>333</v>
      </c>
      <c r="B120" s="5" t="s">
        <v>334</v>
      </c>
      <c r="C120" s="0" t="s">
        <v>308</v>
      </c>
      <c r="E120" s="7" t="n">
        <v>9.48</v>
      </c>
      <c r="G120" s="8" t="s">
        <v>241</v>
      </c>
      <c r="H120" s="8" t="s">
        <v>335</v>
      </c>
      <c r="I120" s="8" t="s">
        <v>247</v>
      </c>
    </row>
    <row r="121" customFormat="false" ht="17.15" hidden="false" customHeight="false" outlineLevel="0" collapsed="false">
      <c r="A121" s="0" t="s">
        <v>336</v>
      </c>
      <c r="B121" s="5" t="s">
        <v>337</v>
      </c>
      <c r="C121" s="0" t="s">
        <v>31</v>
      </c>
      <c r="E121" s="7" t="n">
        <v>35.39</v>
      </c>
      <c r="G121" s="8" t="s">
        <v>241</v>
      </c>
      <c r="H121" s="8" t="s">
        <v>338</v>
      </c>
      <c r="I121" s="8" t="s">
        <v>339</v>
      </c>
    </row>
    <row r="122" customFormat="false" ht="17.15" hidden="false" customHeight="false" outlineLevel="0" collapsed="false">
      <c r="A122" s="0" t="s">
        <v>340</v>
      </c>
      <c r="B122" s="5" t="s">
        <v>341</v>
      </c>
      <c r="C122" s="0" t="s">
        <v>308</v>
      </c>
      <c r="E122" s="7" t="n">
        <v>12.15</v>
      </c>
      <c r="G122" s="8" t="s">
        <v>241</v>
      </c>
      <c r="H122" s="8" t="s">
        <v>342</v>
      </c>
      <c r="I122" s="5" t="s">
        <v>343</v>
      </c>
    </row>
    <row r="123" customFormat="false" ht="17.15" hidden="false" customHeight="false" outlineLevel="0" collapsed="false">
      <c r="A123" s="0" t="s">
        <v>344</v>
      </c>
      <c r="B123" s="5" t="s">
        <v>345</v>
      </c>
      <c r="C123" s="0" t="s">
        <v>31</v>
      </c>
      <c r="E123" s="7" t="n">
        <v>42.68</v>
      </c>
      <c r="G123" s="8" t="s">
        <v>241</v>
      </c>
      <c r="H123" s="8" t="s">
        <v>338</v>
      </c>
      <c r="I123" s="5" t="s">
        <v>317</v>
      </c>
    </row>
    <row r="124" customFormat="false" ht="17.15" hidden="false" customHeight="false" outlineLevel="0" collapsed="false">
      <c r="A124" s="0" t="s">
        <v>346</v>
      </c>
      <c r="B124" s="5" t="s">
        <v>347</v>
      </c>
      <c r="C124" s="0" t="s">
        <v>308</v>
      </c>
      <c r="E124" s="7" t="n">
        <v>230.1</v>
      </c>
      <c r="G124" s="8" t="s">
        <v>241</v>
      </c>
      <c r="H124" s="8" t="s">
        <v>348</v>
      </c>
      <c r="I124" s="8" t="s">
        <v>349</v>
      </c>
    </row>
    <row r="125" customFormat="false" ht="17.15" hidden="false" customHeight="false" outlineLevel="0" collapsed="false">
      <c r="A125" s="0" t="s">
        <v>350</v>
      </c>
      <c r="B125" s="5" t="s">
        <v>351</v>
      </c>
      <c r="C125" s="0" t="s">
        <v>352</v>
      </c>
      <c r="E125" s="7" t="n">
        <v>22.39</v>
      </c>
      <c r="G125" s="8" t="s">
        <v>241</v>
      </c>
      <c r="H125" s="8" t="s">
        <v>353</v>
      </c>
      <c r="I125" s="5" t="s">
        <v>354</v>
      </c>
    </row>
    <row r="126" customFormat="false" ht="17.15" hidden="false" customHeight="false" outlineLevel="0" collapsed="false">
      <c r="A126" s="0" t="s">
        <v>355</v>
      </c>
      <c r="B126" s="5" t="s">
        <v>356</v>
      </c>
      <c r="C126" s="0" t="s">
        <v>212</v>
      </c>
      <c r="E126" s="7" t="n">
        <v>0.3</v>
      </c>
      <c r="G126" s="8" t="s">
        <v>213</v>
      </c>
      <c r="H126" s="8" t="s">
        <v>357</v>
      </c>
      <c r="I126" s="5" t="s">
        <v>358</v>
      </c>
    </row>
    <row r="127" customFormat="false" ht="17.15" hidden="false" customHeight="false" outlineLevel="0" collapsed="false">
      <c r="A127" s="0" t="s">
        <v>359</v>
      </c>
      <c r="B127" s="5" t="s">
        <v>360</v>
      </c>
      <c r="C127" s="0" t="s">
        <v>212</v>
      </c>
      <c r="E127" s="7" t="n">
        <v>0.5</v>
      </c>
      <c r="G127" s="8" t="s">
        <v>213</v>
      </c>
      <c r="H127" s="8" t="s">
        <v>357</v>
      </c>
      <c r="I127" s="5" t="s">
        <v>358</v>
      </c>
    </row>
    <row r="128" customFormat="false" ht="17.15" hidden="false" customHeight="false" outlineLevel="0" collapsed="false">
      <c r="A128" s="0" t="s">
        <v>361</v>
      </c>
      <c r="B128" s="5" t="s">
        <v>362</v>
      </c>
      <c r="C128" s="0" t="s">
        <v>212</v>
      </c>
      <c r="E128" s="7" t="n">
        <v>0.2</v>
      </c>
      <c r="G128" s="8" t="s">
        <v>213</v>
      </c>
      <c r="H128" s="8" t="s">
        <v>357</v>
      </c>
      <c r="I128" s="5" t="s">
        <v>358</v>
      </c>
    </row>
    <row r="130" customFormat="false" ht="17.15" hidden="false" customHeight="false" outlineLevel="0" collapsed="false">
      <c r="A130" s="1" t="s">
        <v>363</v>
      </c>
    </row>
    <row r="131" customFormat="false" ht="17.15" hidden="false" customHeight="false" outlineLevel="0" collapsed="false">
      <c r="A131" s="0" t="s">
        <v>364</v>
      </c>
      <c r="B131" s="5" t="s">
        <v>365</v>
      </c>
      <c r="C131" s="0" t="s">
        <v>212</v>
      </c>
      <c r="E131" s="9" t="n">
        <v>0.1</v>
      </c>
      <c r="G131" s="8" t="s">
        <v>213</v>
      </c>
      <c r="H131" s="8" t="s">
        <v>366</v>
      </c>
      <c r="I131" s="8" t="s">
        <v>247</v>
      </c>
    </row>
    <row r="132" customFormat="false" ht="17.15" hidden="false" customHeight="false" outlineLevel="0" collapsed="false">
      <c r="A132" s="0" t="s">
        <v>367</v>
      </c>
      <c r="B132" s="5" t="s">
        <v>368</v>
      </c>
      <c r="C132" s="0" t="s">
        <v>212</v>
      </c>
      <c r="E132" s="9" t="n">
        <v>0.04</v>
      </c>
      <c r="G132" s="8" t="s">
        <v>213</v>
      </c>
      <c r="H132" s="8" t="s">
        <v>369</v>
      </c>
      <c r="I132" s="5" t="s">
        <v>370</v>
      </c>
    </row>
    <row r="133" customFormat="false" ht="17.15" hidden="false" customHeight="false" outlineLevel="0" collapsed="false">
      <c r="A133" s="0" t="s">
        <v>371</v>
      </c>
      <c r="B133" s="0" t="s">
        <v>372</v>
      </c>
      <c r="C133" s="0" t="s">
        <v>212</v>
      </c>
      <c r="E133" s="10" t="n">
        <f aca="false">AVERAGE(0.4571,0.5824,0.6507)</f>
        <v>0.5634</v>
      </c>
      <c r="G133" s="8" t="s">
        <v>32</v>
      </c>
      <c r="H133" s="8" t="s">
        <v>373</v>
      </c>
      <c r="I133" s="5" t="s">
        <v>374</v>
      </c>
    </row>
    <row r="134" customFormat="false" ht="17.15" hidden="false" customHeight="false" outlineLevel="0" collapsed="false">
      <c r="A134" s="0" t="s">
        <v>375</v>
      </c>
      <c r="B134" s="5" t="s">
        <v>376</v>
      </c>
      <c r="C134" s="0" t="s">
        <v>212</v>
      </c>
      <c r="E134" s="11" t="n">
        <v>0.5</v>
      </c>
      <c r="G134" s="8" t="s">
        <v>213</v>
      </c>
      <c r="H134" s="8" t="s">
        <v>377</v>
      </c>
      <c r="I134" s="8" t="s">
        <v>247</v>
      </c>
    </row>
    <row r="135" customFormat="false" ht="17.15" hidden="false" customHeight="false" outlineLevel="0" collapsed="false">
      <c r="A135" s="0" t="s">
        <v>378</v>
      </c>
      <c r="B135" s="5" t="s">
        <v>379</v>
      </c>
      <c r="C135" s="0" t="s">
        <v>212</v>
      </c>
      <c r="E135" s="10" t="n">
        <f aca="false">AVERAGE(0.91405/5.89,1.7/8.01,2.38/11.08,2.19/9.65,2.25/10.04,3.91/14.63,4.61/17.23,4.51/17.43,3.83/14.91,5.36/18.44)</f>
        <v>0.237438145765175</v>
      </c>
      <c r="G135" s="8" t="s">
        <v>32</v>
      </c>
      <c r="H135" s="8" t="s">
        <v>380</v>
      </c>
      <c r="I135" s="5" t="s">
        <v>381</v>
      </c>
    </row>
    <row r="136" customFormat="false" ht="17.15" hidden="false" customHeight="false" outlineLevel="0" collapsed="false">
      <c r="A136" s="0" t="s">
        <v>382</v>
      </c>
      <c r="B136" s="5" t="s">
        <v>383</v>
      </c>
      <c r="C136" s="0" t="s">
        <v>308</v>
      </c>
      <c r="E136" s="12" t="n">
        <v>364.03</v>
      </c>
      <c r="G136" s="8" t="s">
        <v>241</v>
      </c>
      <c r="H136" s="8" t="s">
        <v>384</v>
      </c>
      <c r="I136" s="5" t="s">
        <v>317</v>
      </c>
    </row>
    <row r="137" customFormat="false" ht="17.15" hidden="false" customHeight="false" outlineLevel="0" collapsed="false">
      <c r="A137" s="0" t="s">
        <v>385</v>
      </c>
      <c r="B137" s="5" t="s">
        <v>386</v>
      </c>
      <c r="C137" s="0" t="s">
        <v>308</v>
      </c>
      <c r="E137" s="13" t="n">
        <f aca="false">cons_eps28</f>
        <v>12.15</v>
      </c>
      <c r="G137" s="8" t="s">
        <v>241</v>
      </c>
      <c r="H137" s="5" t="s">
        <v>387</v>
      </c>
      <c r="I137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9" min="2" style="0" width="14"/>
    <col collapsed="false" customWidth="true" hidden="false" outlineLevel="0" max="10" min="10" style="0" width="18"/>
    <col collapsed="false" customWidth="true" hidden="false" outlineLevel="0" max="12" min="11" style="0" width="80"/>
  </cols>
  <sheetData>
    <row r="1" customFormat="false" ht="17.15" hidden="false" customHeight="false" outlineLevel="0" collapsed="false">
      <c r="A1" s="0" t="s">
        <v>388</v>
      </c>
    </row>
    <row r="2" customFormat="false" ht="17.15" hidden="false" customHeight="false" outlineLevel="0" collapsed="false">
      <c r="A2" s="0" t="s">
        <v>389</v>
      </c>
    </row>
    <row r="3" customFormat="false" ht="17.15" hidden="false" customHeight="false" outlineLevel="0" collapsed="false">
      <c r="A3" s="6" t="s">
        <v>20</v>
      </c>
      <c r="B3" s="14" t="s">
        <v>390</v>
      </c>
      <c r="C3" s="14" t="s">
        <v>391</v>
      </c>
      <c r="D3" s="14" t="s">
        <v>392</v>
      </c>
      <c r="E3" s="14" t="s">
        <v>393</v>
      </c>
      <c r="F3" s="14" t="s">
        <v>394</v>
      </c>
      <c r="G3" s="14" t="s">
        <v>395</v>
      </c>
      <c r="H3" s="14" t="s">
        <v>396</v>
      </c>
      <c r="I3" s="14" t="s">
        <v>397</v>
      </c>
      <c r="J3" s="6" t="s">
        <v>25</v>
      </c>
      <c r="K3" s="6" t="s">
        <v>398</v>
      </c>
      <c r="L3" s="6" t="s">
        <v>27</v>
      </c>
    </row>
    <row r="4" customFormat="false" ht="17.15" hidden="false" customHeight="false" outlineLevel="0" collapsed="false">
      <c r="A4" s="5" t="s">
        <v>399</v>
      </c>
      <c r="B4" s="15" t="n">
        <v>11.49128</v>
      </c>
      <c r="C4" s="15" t="n">
        <v>3.547565</v>
      </c>
      <c r="D4" s="15" t="n">
        <v>3.357493</v>
      </c>
      <c r="E4" s="15" t="n">
        <v>3.730582</v>
      </c>
      <c r="F4" s="15" t="n">
        <v>4.249848</v>
      </c>
      <c r="G4" s="15" t="n">
        <v>5.732907</v>
      </c>
      <c r="H4" s="16" t="n">
        <f aca="false">H6-H5</f>
        <v>6.113489</v>
      </c>
      <c r="I4" s="15" t="n">
        <v>14.885488</v>
      </c>
      <c r="J4" s="8" t="s">
        <v>223</v>
      </c>
      <c r="K4" s="5" t="s">
        <v>400</v>
      </c>
      <c r="L4" s="8" t="s">
        <v>401</v>
      </c>
    </row>
    <row r="5" customFormat="false" ht="17.15" hidden="false" customHeight="false" outlineLevel="0" collapsed="false">
      <c r="A5" s="5" t="s">
        <v>402</v>
      </c>
      <c r="B5" s="15" t="n">
        <v>6.944311</v>
      </c>
      <c r="C5" s="15" t="n">
        <v>1.776608</v>
      </c>
      <c r="D5" s="15" t="n">
        <v>1.987298</v>
      </c>
      <c r="E5" s="15" t="n">
        <v>2.110906</v>
      </c>
      <c r="F5" s="15" t="n">
        <v>2.47239</v>
      </c>
      <c r="G5" s="15" t="n">
        <v>2.486511</v>
      </c>
      <c r="H5" s="16" t="n">
        <f aca="false">G5*(1+csq2_g)</f>
        <v>2.486511</v>
      </c>
      <c r="I5" s="15" t="n">
        <v>8.347202</v>
      </c>
      <c r="J5" s="8" t="s">
        <v>223</v>
      </c>
      <c r="K5" s="5" t="s">
        <v>403</v>
      </c>
      <c r="L5" s="8" t="s">
        <v>404</v>
      </c>
    </row>
    <row r="6" customFormat="false" ht="17.15" hidden="false" customHeight="false" outlineLevel="0" collapsed="false">
      <c r="A6" s="5" t="s">
        <v>405</v>
      </c>
      <c r="B6" s="15" t="n">
        <v>18.435591</v>
      </c>
      <c r="C6" s="15" t="n">
        <v>5.324173</v>
      </c>
      <c r="D6" s="15" t="n">
        <v>5.344791</v>
      </c>
      <c r="E6" s="15" t="n">
        <v>5.841488</v>
      </c>
      <c r="F6" s="15" t="n">
        <v>6.722238</v>
      </c>
      <c r="G6" s="15" t="n">
        <v>8.219418</v>
      </c>
      <c r="H6" s="16" t="n">
        <f aca="false">g_q2rev</f>
        <v>8.6</v>
      </c>
      <c r="I6" s="15" t="n">
        <v>23.23269</v>
      </c>
      <c r="J6" s="8" t="s">
        <v>223</v>
      </c>
      <c r="K6" s="5" t="s">
        <v>406</v>
      </c>
      <c r="L6" s="8" t="s">
        <v>407</v>
      </c>
    </row>
    <row r="7" customFormat="false" ht="17.15" hidden="false" customHeight="false" outlineLevel="0" collapsed="false">
      <c r="A7" s="5" t="s">
        <v>408</v>
      </c>
      <c r="B7" s="17" t="n">
        <f aca="false">B4+B5-B6</f>
        <v>0</v>
      </c>
      <c r="C7" s="17" t="n">
        <f aca="false">C4+C5-C6</f>
        <v>0</v>
      </c>
      <c r="D7" s="17" t="n">
        <f aca="false">D4+D5-D6</f>
        <v>0</v>
      </c>
      <c r="E7" s="17" t="n">
        <f aca="false">E4+E5-E6</f>
        <v>0</v>
      </c>
      <c r="F7" s="17" t="n">
        <f aca="false">F4+F5-F6</f>
        <v>0</v>
      </c>
      <c r="G7" s="17" t="n">
        <f aca="false">G4+G5-G6</f>
        <v>0</v>
      </c>
      <c r="H7" s="17" t="n">
        <f aca="false">H4+H5-H6</f>
        <v>0</v>
      </c>
      <c r="I7" s="17" t="n">
        <f aca="false">I4+I5-I6</f>
        <v>0</v>
      </c>
      <c r="J7" s="8" t="s">
        <v>247</v>
      </c>
      <c r="K7" s="8" t="s">
        <v>247</v>
      </c>
      <c r="L7" s="8" t="s">
        <v>247</v>
      </c>
    </row>
    <row r="8" customFormat="false" ht="17.15" hidden="false" customHeight="false" outlineLevel="0" collapsed="false">
      <c r="A8" s="5" t="s">
        <v>409</v>
      </c>
      <c r="B8" s="15" t="n">
        <v>8.979059</v>
      </c>
      <c r="C8" s="15" t="n">
        <v>2.684879</v>
      </c>
      <c r="D8" s="15" t="n">
        <v>2.651162</v>
      </c>
      <c r="E8" s="15" t="n">
        <v>2.910527</v>
      </c>
      <c r="F8" s="15" t="n">
        <v>3.47874</v>
      </c>
      <c r="G8" s="15" t="n">
        <v>4.298853</v>
      </c>
      <c r="H8" s="16" t="n">
        <f aca="false">H6*g_q2gm</f>
        <v>4.515</v>
      </c>
      <c r="I8" s="15" t="n">
        <v>11.725308</v>
      </c>
      <c r="J8" s="8" t="s">
        <v>223</v>
      </c>
      <c r="K8" s="5" t="s">
        <v>406</v>
      </c>
      <c r="L8" s="8" t="s">
        <v>410</v>
      </c>
    </row>
    <row r="9" customFormat="false" ht="17.15" hidden="false" customHeight="false" outlineLevel="0" collapsed="false">
      <c r="A9" s="5" t="s">
        <v>411</v>
      </c>
      <c r="B9" s="10" t="n">
        <f aca="false">B8/B6</f>
        <v>0.487050238855917</v>
      </c>
      <c r="C9" s="10" t="n">
        <f aca="false">C8/C6</f>
        <v>0.504280946543247</v>
      </c>
      <c r="D9" s="10" t="n">
        <f aca="false">D8/D6</f>
        <v>0.49602725345107</v>
      </c>
      <c r="E9" s="10" t="n">
        <f aca="false">E8/E6</f>
        <v>0.498250959344605</v>
      </c>
      <c r="F9" s="10" t="n">
        <f aca="false">F8/F6</f>
        <v>0.517497297774938</v>
      </c>
      <c r="G9" s="10" t="n">
        <f aca="false">G8/G6</f>
        <v>0.523011848284149</v>
      </c>
      <c r="H9" s="10" t="n">
        <f aca="false">H8/H6</f>
        <v>0.525</v>
      </c>
      <c r="I9" s="10" t="n">
        <f aca="false">I8/I6</f>
        <v>0.504690072479769</v>
      </c>
      <c r="J9" s="8" t="s">
        <v>32</v>
      </c>
      <c r="K9" s="8" t="s">
        <v>247</v>
      </c>
      <c r="L9" s="5" t="s">
        <v>412</v>
      </c>
    </row>
    <row r="10" customFormat="false" ht="17.15" hidden="false" customHeight="false" outlineLevel="0" collapsed="false">
      <c r="A10" s="5" t="s">
        <v>413</v>
      </c>
      <c r="B10" s="15" t="n">
        <v>2.096387</v>
      </c>
      <c r="C10" s="15" t="n">
        <v>0.576446</v>
      </c>
      <c r="D10" s="15" t="n">
        <v>0.573305</v>
      </c>
      <c r="E10" s="15" t="n">
        <v>0.5832</v>
      </c>
      <c r="F10" s="15" t="n">
        <v>0.642922</v>
      </c>
      <c r="G10" s="15" t="n">
        <v>0.666398</v>
      </c>
      <c r="I10" s="15" t="n">
        <v>2.375873</v>
      </c>
      <c r="J10" s="8" t="s">
        <v>223</v>
      </c>
      <c r="K10" s="5" t="s">
        <v>406</v>
      </c>
      <c r="L10" s="8" t="s">
        <v>410</v>
      </c>
    </row>
    <row r="11" customFormat="false" ht="17.15" hidden="false" customHeight="false" outlineLevel="0" collapsed="false">
      <c r="A11" s="5" t="s">
        <v>414</v>
      </c>
      <c r="B11" s="15" t="n">
        <v>0.981704</v>
      </c>
      <c r="C11" s="15" t="n">
        <v>0.279345</v>
      </c>
      <c r="D11" s="15" t="n">
        <v>0.267654</v>
      </c>
      <c r="E11" s="15" t="n">
        <v>0.280311</v>
      </c>
      <c r="F11" s="15" t="n">
        <v>0.32233</v>
      </c>
      <c r="G11" s="15" t="n">
        <v>0.348728</v>
      </c>
      <c r="I11" s="15" t="n">
        <v>1.14964</v>
      </c>
      <c r="J11" s="8" t="s">
        <v>223</v>
      </c>
      <c r="K11" s="5" t="s">
        <v>406</v>
      </c>
      <c r="L11" s="8" t="s">
        <v>410</v>
      </c>
    </row>
    <row r="12" customFormat="false" ht="17.15" hidden="false" customHeight="false" outlineLevel="0" collapsed="false">
      <c r="A12" s="5" t="s">
        <v>415</v>
      </c>
      <c r="B12" s="16" t="n">
        <f aca="false">B10+B11</f>
        <v>3.078091</v>
      </c>
      <c r="C12" s="16" t="n">
        <f aca="false">C10+C11</f>
        <v>0.855791</v>
      </c>
      <c r="D12" s="16" t="n">
        <f aca="false">D10+D11</f>
        <v>0.840959</v>
      </c>
      <c r="E12" s="16" t="n">
        <f aca="false">E10+E11</f>
        <v>0.863511</v>
      </c>
      <c r="F12" s="16" t="n">
        <f aca="false">F10+F11</f>
        <v>0.965252</v>
      </c>
      <c r="G12" s="16" t="n">
        <f aca="false">G10+G11</f>
        <v>1.015126</v>
      </c>
      <c r="H12" s="16" t="n">
        <f aca="false">H8-H13</f>
        <v>1.032</v>
      </c>
      <c r="I12" s="16" t="n">
        <f aca="false">I10+I11</f>
        <v>3.525513</v>
      </c>
      <c r="J12" s="8" t="s">
        <v>32</v>
      </c>
      <c r="K12" s="8" t="s">
        <v>247</v>
      </c>
      <c r="L12" s="8" t="s">
        <v>416</v>
      </c>
    </row>
    <row r="13" customFormat="false" ht="17.15" hidden="false" customHeight="false" outlineLevel="0" collapsed="false">
      <c r="A13" s="5" t="s">
        <v>417</v>
      </c>
      <c r="B13" s="15" t="n">
        <v>5.900968</v>
      </c>
      <c r="C13" s="15" t="n">
        <v>1.829088</v>
      </c>
      <c r="D13" s="15" t="n">
        <v>1.810203</v>
      </c>
      <c r="E13" s="15" t="n">
        <v>2.047016</v>
      </c>
      <c r="F13" s="15" t="n">
        <v>2.513488</v>
      </c>
      <c r="G13" s="15" t="n">
        <v>3.283727</v>
      </c>
      <c r="H13" s="16" t="n">
        <f aca="false">H6*g_q2om</f>
        <v>3.483</v>
      </c>
      <c r="I13" s="15" t="n">
        <v>8.199795</v>
      </c>
      <c r="J13" s="8" t="s">
        <v>223</v>
      </c>
      <c r="K13" s="5" t="s">
        <v>406</v>
      </c>
      <c r="L13" s="8" t="s">
        <v>410</v>
      </c>
    </row>
    <row r="14" customFormat="false" ht="17.15" hidden="false" customHeight="false" outlineLevel="0" collapsed="false">
      <c r="A14" s="5" t="s">
        <v>418</v>
      </c>
      <c r="B14" s="10" t="n">
        <f aca="false">B13/B6</f>
        <v>0.320085643036884</v>
      </c>
      <c r="C14" s="10" t="n">
        <f aca="false">C13/C6</f>
        <v>0.343544058391792</v>
      </c>
      <c r="D14" s="10" t="n">
        <f aca="false">D13/D6</f>
        <v>0.338685460292086</v>
      </c>
      <c r="E14" s="10" t="n">
        <f aca="false">E13/E6</f>
        <v>0.350427151438127</v>
      </c>
      <c r="F14" s="10" t="n">
        <f aca="false">F13/F6</f>
        <v>0.373906428186565</v>
      </c>
      <c r="G14" s="10" t="n">
        <f aca="false">G13/G6</f>
        <v>0.399508456681483</v>
      </c>
      <c r="H14" s="10" t="n">
        <f aca="false">H13/H6</f>
        <v>0.405</v>
      </c>
      <c r="I14" s="10" t="n">
        <f aca="false">I13/I6</f>
        <v>0.35294212594409</v>
      </c>
      <c r="J14" s="8" t="s">
        <v>32</v>
      </c>
      <c r="K14" s="8" t="s">
        <v>247</v>
      </c>
      <c r="L14" s="5" t="s">
        <v>419</v>
      </c>
    </row>
    <row r="15" customFormat="false" ht="17.15" hidden="false" customHeight="false" outlineLevel="0" collapsed="false">
      <c r="A15" s="5" t="s">
        <v>420</v>
      </c>
      <c r="B15" s="15" t="n">
        <v>0.057161</v>
      </c>
      <c r="C15" s="15" t="n">
        <v>0.030074</v>
      </c>
      <c r="D15" s="15" t="n">
        <v>0.02641</v>
      </c>
      <c r="E15" s="15" t="n">
        <v>-0.03546</v>
      </c>
      <c r="F15" s="15" t="n">
        <v>0.041654</v>
      </c>
      <c r="G15" s="15" t="n">
        <v>0.028493</v>
      </c>
      <c r="I15" s="15" t="n">
        <v>0.062678</v>
      </c>
      <c r="J15" s="8" t="s">
        <v>223</v>
      </c>
      <c r="K15" s="5" t="s">
        <v>406</v>
      </c>
      <c r="L15" s="8" t="s">
        <v>410</v>
      </c>
    </row>
    <row r="16" customFormat="false" ht="17.15" hidden="false" customHeight="false" outlineLevel="0" collapsed="false">
      <c r="A16" s="5" t="s">
        <v>421</v>
      </c>
      <c r="B16" s="15" t="n">
        <v>0.599912</v>
      </c>
      <c r="C16" s="15" t="n">
        <v>0.290502</v>
      </c>
      <c r="D16" s="15" t="n">
        <v>0.242619</v>
      </c>
      <c r="E16" s="15" t="n">
        <v>0.186096</v>
      </c>
      <c r="F16" s="15" t="n">
        <v>0.27786</v>
      </c>
      <c r="G16" s="15" t="n">
        <v>0.559082</v>
      </c>
      <c r="I16" s="15" t="n">
        <v>0.997077</v>
      </c>
      <c r="J16" s="8" t="s">
        <v>223</v>
      </c>
      <c r="K16" s="5" t="s">
        <v>406</v>
      </c>
      <c r="L16" s="8" t="s">
        <v>410</v>
      </c>
    </row>
    <row r="17" customFormat="false" ht="17.15" hidden="false" customHeight="false" outlineLevel="0" collapsed="false">
      <c r="A17" s="5" t="s">
        <v>422</v>
      </c>
      <c r="B17" s="15" t="n">
        <v>5.358217</v>
      </c>
      <c r="C17" s="15" t="n">
        <v>1.56866</v>
      </c>
      <c r="D17" s="15" t="n">
        <v>1.593994</v>
      </c>
      <c r="E17" s="15" t="n">
        <v>1.82546</v>
      </c>
      <c r="F17" s="15" t="n">
        <v>2.277282</v>
      </c>
      <c r="G17" s="15" t="n">
        <v>2.753138</v>
      </c>
      <c r="H17" s="16" t="n">
        <f aca="false">H18*H19</f>
        <v>2.91949</v>
      </c>
      <c r="I17" s="15" t="n">
        <v>7.265396</v>
      </c>
      <c r="J17" s="8" t="s">
        <v>223</v>
      </c>
      <c r="K17" s="5" t="s">
        <v>406</v>
      </c>
      <c r="L17" s="8" t="s">
        <v>423</v>
      </c>
    </row>
    <row r="18" customFormat="false" ht="17.15" hidden="false" customHeight="false" outlineLevel="0" collapsed="false">
      <c r="A18" s="0" t="s">
        <v>424</v>
      </c>
      <c r="B18" s="12" t="n">
        <v>4.15</v>
      </c>
      <c r="C18" s="12" t="n">
        <v>1.24</v>
      </c>
      <c r="D18" s="12" t="n">
        <v>1.26</v>
      </c>
      <c r="E18" s="12" t="n">
        <v>1.45</v>
      </c>
      <c r="F18" s="12" t="n">
        <v>1.81</v>
      </c>
      <c r="G18" s="12" t="n">
        <v>2.19</v>
      </c>
      <c r="H18" s="13" t="n">
        <f aca="false">g_q2eps</f>
        <v>2.33</v>
      </c>
      <c r="I18" s="12" t="n">
        <v>5.76</v>
      </c>
      <c r="J18" s="8" t="s">
        <v>223</v>
      </c>
      <c r="K18" s="5" t="s">
        <v>406</v>
      </c>
      <c r="L18" s="8" t="s">
        <v>425</v>
      </c>
    </row>
    <row r="19" customFormat="false" ht="17.15" hidden="false" customHeight="false" outlineLevel="0" collapsed="false">
      <c r="A19" s="5" t="s">
        <v>426</v>
      </c>
      <c r="B19" s="18" t="n">
        <v>1.290142</v>
      </c>
      <c r="C19" s="18" t="n">
        <v>1.269313</v>
      </c>
      <c r="D19" s="18" t="n">
        <v>1.261739</v>
      </c>
      <c r="E19" s="18" t="n">
        <v>1.257325</v>
      </c>
      <c r="F19" s="18" t="n">
        <v>1.256032</v>
      </c>
      <c r="G19" s="18" t="n">
        <v>1.255768</v>
      </c>
      <c r="H19" s="19" t="n">
        <f aca="false">sh_27</f>
        <v>1.253</v>
      </c>
      <c r="I19" s="18" t="n">
        <v>1.261102</v>
      </c>
      <c r="J19" s="8" t="s">
        <v>223</v>
      </c>
      <c r="K19" s="5" t="s">
        <v>406</v>
      </c>
      <c r="L19" s="8" t="s">
        <v>410</v>
      </c>
    </row>
    <row r="20" customFormat="false" ht="17.15" hidden="false" customHeight="false" outlineLevel="0" collapsed="false">
      <c r="A20" s="0" t="s">
        <v>427</v>
      </c>
      <c r="B20" s="12" t="n">
        <v>4.17</v>
      </c>
      <c r="C20" s="12" t="n">
        <v>1.24</v>
      </c>
      <c r="D20" s="12" t="n">
        <v>1.27</v>
      </c>
      <c r="E20" s="12" t="n">
        <v>1.46</v>
      </c>
      <c r="F20" s="12" t="n">
        <v>1.82</v>
      </c>
      <c r="G20" s="12" t="n">
        <v>2.2</v>
      </c>
      <c r="I20" s="12" t="n">
        <v>5.79</v>
      </c>
      <c r="J20" s="8" t="s">
        <v>223</v>
      </c>
      <c r="K20" s="5" t="s">
        <v>406</v>
      </c>
      <c r="L20" s="8" t="s">
        <v>410</v>
      </c>
    </row>
    <row r="21" customFormat="false" ht="17.15" hidden="false" customHeight="false" outlineLevel="0" collapsed="false">
      <c r="A21" s="5" t="s">
        <v>428</v>
      </c>
      <c r="B21" s="17" t="n">
        <f aca="false">SUM(C4:F4)-I4</f>
        <v>0</v>
      </c>
      <c r="C21" s="17" t="n">
        <f aca="false">SUM(C5:F5)-I5</f>
        <v>0</v>
      </c>
      <c r="D21" s="17" t="n">
        <f aca="false">SUM(C6:F6)-I6</f>
        <v>0</v>
      </c>
      <c r="E21" s="17" t="n">
        <f aca="false">SUM(C8:F8)-I8</f>
        <v>0</v>
      </c>
      <c r="F21" s="17" t="n">
        <f aca="false">SUM(C13:F13)-I13</f>
        <v>0</v>
      </c>
      <c r="G21" s="17" t="n">
        <f aca="false">SUM(C17:F17)-I17</f>
        <v>0</v>
      </c>
      <c r="J21" s="8" t="s">
        <v>247</v>
      </c>
      <c r="K21" s="8" t="s">
        <v>247</v>
      </c>
      <c r="L21" s="8" t="s">
        <v>247</v>
      </c>
    </row>
    <row r="23" customFormat="false" ht="15" hidden="false" customHeight="false" outlineLevel="0" collapsed="false">
      <c r="A23" s="3" t="s">
        <v>429</v>
      </c>
    </row>
    <row r="24" customFormat="false" ht="17.15" hidden="false" customHeight="false" outlineLevel="0" collapsed="false">
      <c r="A24" s="5" t="s">
        <v>430</v>
      </c>
      <c r="B24" s="20" t="n">
        <v>0.34</v>
      </c>
      <c r="C24" s="20" t="n">
        <v>0.43</v>
      </c>
      <c r="D24" s="20" t="n">
        <v>0.35</v>
      </c>
      <c r="E24" s="20" t="n">
        <v>0.34</v>
      </c>
      <c r="F24" s="20" t="n">
        <v>0.26</v>
      </c>
      <c r="G24" s="20" t="n">
        <v>0.35</v>
      </c>
      <c r="I24" s="20" t="n">
        <v>0.34</v>
      </c>
      <c r="J24" s="8" t="s">
        <v>223</v>
      </c>
      <c r="K24" s="5" t="s">
        <v>431</v>
      </c>
      <c r="L24" s="8" t="s">
        <v>432</v>
      </c>
    </row>
    <row r="25" customFormat="false" ht="17.15" hidden="false" customHeight="false" outlineLevel="0" collapsed="false">
      <c r="A25" s="5" t="s">
        <v>433</v>
      </c>
      <c r="B25" s="20" t="n">
        <v>0.45</v>
      </c>
      <c r="C25" s="20" t="n">
        <v>0.6</v>
      </c>
      <c r="D25" s="20" t="n">
        <v>0.59</v>
      </c>
      <c r="E25" s="20" t="n">
        <v>0.54</v>
      </c>
      <c r="F25" s="20" t="n">
        <v>0.44</v>
      </c>
      <c r="G25" s="20" t="n">
        <v>0.46</v>
      </c>
      <c r="H25" s="21" t="n">
        <f aca="false">G25</f>
        <v>0.46</v>
      </c>
      <c r="I25" s="20" t="n">
        <v>0.54</v>
      </c>
      <c r="J25" s="8" t="s">
        <v>223</v>
      </c>
      <c r="K25" s="5" t="s">
        <v>434</v>
      </c>
      <c r="L25" s="5" t="s">
        <v>435</v>
      </c>
    </row>
    <row r="26" customFormat="false" ht="17.15" hidden="false" customHeight="false" outlineLevel="0" collapsed="false">
      <c r="A26" s="5" t="s">
        <v>436</v>
      </c>
      <c r="B26" s="20" t="n">
        <v>0.13</v>
      </c>
      <c r="C26" s="20" t="n">
        <v>0.06</v>
      </c>
      <c r="D26" s="20" t="n">
        <v>0.07</v>
      </c>
      <c r="E26" s="20" t="n">
        <v>0.07</v>
      </c>
      <c r="F26" s="20" t="n">
        <v>0.1</v>
      </c>
      <c r="G26" s="20" t="n">
        <v>0.08</v>
      </c>
      <c r="H26" s="21" t="n">
        <f aca="false">G26</f>
        <v>0.08</v>
      </c>
      <c r="I26" s="20" t="n">
        <v>0.07</v>
      </c>
      <c r="J26" s="8" t="s">
        <v>223</v>
      </c>
      <c r="K26" s="5" t="s">
        <v>37</v>
      </c>
      <c r="L26" s="5" t="s">
        <v>37</v>
      </c>
    </row>
    <row r="27" customFormat="false" ht="17.15" hidden="false" customHeight="false" outlineLevel="0" collapsed="false">
      <c r="A27" s="0" t="s">
        <v>437</v>
      </c>
      <c r="C27" s="20" t="n">
        <v>0.16</v>
      </c>
      <c r="D27" s="20" t="n">
        <v>0.23</v>
      </c>
      <c r="E27" s="20" t="n">
        <v>0.27</v>
      </c>
      <c r="F27" s="20" t="n">
        <v>0.23</v>
      </c>
      <c r="G27" s="20" t="n">
        <v>0.2</v>
      </c>
      <c r="H27" s="21" t="n">
        <f aca="false">G27</f>
        <v>0.2</v>
      </c>
      <c r="J27" s="8" t="s">
        <v>241</v>
      </c>
      <c r="K27" s="5" t="s">
        <v>438</v>
      </c>
      <c r="L27" s="8" t="s">
        <v>439</v>
      </c>
    </row>
    <row r="28" customFormat="false" ht="17.15" hidden="false" customHeight="false" outlineLevel="0" collapsed="false">
      <c r="A28" s="0" t="s">
        <v>440</v>
      </c>
      <c r="C28" s="20" t="n">
        <v>0.18</v>
      </c>
      <c r="D28" s="20" t="n">
        <v>0.11</v>
      </c>
      <c r="E28" s="20" t="n">
        <v>0.12</v>
      </c>
      <c r="F28" s="20" t="n">
        <v>0.23</v>
      </c>
      <c r="G28" s="20" t="n">
        <v>0.26</v>
      </c>
      <c r="H28" s="21" t="n">
        <f aca="false">G28</f>
        <v>0.26</v>
      </c>
      <c r="J28" s="8" t="s">
        <v>241</v>
      </c>
      <c r="K28" s="5" t="s">
        <v>441</v>
      </c>
      <c r="L28" s="5" t="s">
        <v>37</v>
      </c>
    </row>
    <row r="29" customFormat="false" ht="17.15" hidden="false" customHeight="false" outlineLevel="0" collapsed="false">
      <c r="A29" s="5" t="s">
        <v>442</v>
      </c>
      <c r="B29" s="20" t="n">
        <v>0.42</v>
      </c>
      <c r="C29" s="20" t="n">
        <v>0.34</v>
      </c>
      <c r="D29" s="20" t="n">
        <v>0.34</v>
      </c>
      <c r="E29" s="20" t="n">
        <v>0.39</v>
      </c>
      <c r="F29" s="20" t="n">
        <v>0.46</v>
      </c>
      <c r="G29" s="20" t="n">
        <v>0.46</v>
      </c>
      <c r="H29" s="21" t="n">
        <f aca="false">G29</f>
        <v>0.46</v>
      </c>
      <c r="I29" s="20" t="n">
        <v>0.39</v>
      </c>
      <c r="J29" s="8" t="s">
        <v>223</v>
      </c>
      <c r="K29" s="8" t="s">
        <v>443</v>
      </c>
      <c r="L29" s="8" t="s">
        <v>247</v>
      </c>
    </row>
    <row r="30" customFormat="false" ht="17.15" hidden="false" customHeight="false" outlineLevel="0" collapsed="false">
      <c r="A30" s="5" t="s">
        <v>444</v>
      </c>
      <c r="B30" s="13" t="n">
        <f aca="false">B25+B26+B29-1</f>
        <v>0</v>
      </c>
      <c r="C30" s="13" t="n">
        <f aca="false">C27+C28-C29</f>
        <v>0</v>
      </c>
      <c r="D30" s="13" t="n">
        <f aca="false">D27+D28-D29</f>
        <v>0</v>
      </c>
      <c r="E30" s="13" t="n">
        <f aca="false">E27+E28-E29</f>
        <v>0</v>
      </c>
      <c r="F30" s="13" t="n">
        <f aca="false">F27+F28-F29</f>
        <v>0</v>
      </c>
      <c r="G30" s="13" t="n">
        <f aca="false">G27+G28-G29</f>
        <v>0</v>
      </c>
      <c r="H30" s="13" t="n">
        <f aca="false">H27+H28-H29</f>
        <v>0</v>
      </c>
      <c r="I30" s="13" t="n">
        <f aca="false">I25+I26+I29-1</f>
        <v>0</v>
      </c>
      <c r="J30" s="8" t="s">
        <v>247</v>
      </c>
      <c r="K30" s="8" t="s">
        <v>247</v>
      </c>
      <c r="L30" s="8" t="s">
        <v>445</v>
      </c>
    </row>
    <row r="32" customFormat="false" ht="17.15" hidden="false" customHeight="false" outlineLevel="0" collapsed="false">
      <c r="A32" s="1" t="s">
        <v>446</v>
      </c>
    </row>
    <row r="33" customFormat="false" ht="17.15" hidden="false" customHeight="false" outlineLevel="0" collapsed="false">
      <c r="A33" s="6" t="s">
        <v>20</v>
      </c>
      <c r="B33" s="14" t="s">
        <v>447</v>
      </c>
      <c r="C33" s="14" t="s">
        <v>448</v>
      </c>
      <c r="D33" s="14"/>
      <c r="E33" s="14"/>
      <c r="F33" s="14"/>
      <c r="G33" s="14"/>
      <c r="H33" s="14"/>
      <c r="I33" s="14"/>
      <c r="J33" s="6" t="s">
        <v>25</v>
      </c>
      <c r="K33" s="6" t="s">
        <v>398</v>
      </c>
      <c r="L33" s="6" t="s">
        <v>27</v>
      </c>
    </row>
    <row r="34" customFormat="false" ht="17.15" hidden="false" customHeight="false" outlineLevel="0" collapsed="false">
      <c r="A34" s="5" t="s">
        <v>449</v>
      </c>
      <c r="B34" s="15" t="n">
        <v>3.035276</v>
      </c>
      <c r="C34" s="15" t="n">
        <v>3.437625</v>
      </c>
      <c r="J34" s="8" t="s">
        <v>223</v>
      </c>
      <c r="K34" s="8" t="s">
        <v>450</v>
      </c>
      <c r="L34" s="8" t="s">
        <v>247</v>
      </c>
    </row>
    <row r="35" customFormat="false" ht="17.15" hidden="false" customHeight="false" outlineLevel="0" collapsed="false">
      <c r="A35" s="0" t="s">
        <v>451</v>
      </c>
      <c r="B35" s="15" t="n">
        <v>1.684899</v>
      </c>
      <c r="C35" s="15" t="n">
        <v>1.733768</v>
      </c>
      <c r="J35" s="8" t="s">
        <v>223</v>
      </c>
      <c r="K35" s="8" t="s">
        <v>450</v>
      </c>
      <c r="L35" s="8" t="s">
        <v>247</v>
      </c>
    </row>
    <row r="36" customFormat="false" ht="17.15" hidden="false" customHeight="false" outlineLevel="0" collapsed="false">
      <c r="A36" s="5" t="s">
        <v>405</v>
      </c>
      <c r="B36" s="15" t="n">
        <v>4.720175</v>
      </c>
      <c r="C36" s="15" t="n">
        <v>5.171393</v>
      </c>
      <c r="J36" s="8" t="s">
        <v>223</v>
      </c>
      <c r="K36" s="8" t="s">
        <v>450</v>
      </c>
      <c r="L36" s="8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3" style="0" width="13"/>
    <col collapsed="false" customWidth="true" hidden="false" outlineLevel="0" max="8" min="8" style="0" width="90"/>
  </cols>
  <sheetData>
    <row r="1" customFormat="false" ht="17.15" hidden="false" customHeight="false" outlineLevel="0" collapsed="false">
      <c r="A1" s="0" t="s">
        <v>452</v>
      </c>
    </row>
    <row r="3" customFormat="false" ht="17.15" hidden="false" customHeight="false" outlineLevel="0" collapsed="false">
      <c r="A3" s="6" t="s">
        <v>20</v>
      </c>
      <c r="B3" s="6" t="s">
        <v>21</v>
      </c>
      <c r="C3" s="14" t="s">
        <v>453</v>
      </c>
      <c r="D3" s="14" t="s">
        <v>454</v>
      </c>
      <c r="E3" s="14" t="s">
        <v>455</v>
      </c>
      <c r="F3" s="14" t="s">
        <v>396</v>
      </c>
      <c r="G3" s="14" t="s">
        <v>456</v>
      </c>
      <c r="H3" s="6" t="s">
        <v>457</v>
      </c>
    </row>
    <row r="4" customFormat="false" ht="17.15" hidden="false" customHeight="false" outlineLevel="0" collapsed="false">
      <c r="A4" s="5" t="s">
        <v>449</v>
      </c>
      <c r="B4" s="0" t="s">
        <v>31</v>
      </c>
      <c r="C4" s="17" t="n">
        <f aca="false">Q!E4</f>
        <v>3.730582</v>
      </c>
      <c r="D4" s="17" t="n">
        <f aca="false">Q!F4</f>
        <v>4.249848</v>
      </c>
      <c r="E4" s="17" t="n">
        <f aca="false">Q!G4</f>
        <v>5.732907</v>
      </c>
      <c r="F4" s="17" t="n">
        <f aca="false">Q!H4</f>
        <v>6.113489</v>
      </c>
      <c r="G4" s="17" t="n">
        <f aca="false">SUM(C4:F4)</f>
        <v>19.826826</v>
      </c>
      <c r="H4" s="8" t="s">
        <v>458</v>
      </c>
    </row>
    <row r="5" customFormat="false" ht="15" hidden="false" customHeight="false" outlineLevel="0" collapsed="false">
      <c r="A5" s="5" t="s">
        <v>459</v>
      </c>
      <c r="B5" s="0" t="s">
        <v>31</v>
      </c>
      <c r="C5" s="17" t="n">
        <f aca="false">Q!E4*(Q!E25+Q!E26)</f>
        <v>2.27565502</v>
      </c>
      <c r="D5" s="17" t="n">
        <f aca="false">Q!F4*(Q!F25+Q!F26)</f>
        <v>2.29491792</v>
      </c>
      <c r="E5" s="17" t="n">
        <f aca="false">Q!G4*(Q!G25+Q!G26)</f>
        <v>3.09576978</v>
      </c>
      <c r="F5" s="17" t="n">
        <f aca="false">Q!H4*(Q!H25+Q!H26)</f>
        <v>3.30128406</v>
      </c>
      <c r="G5" s="17" t="n">
        <f aca="false">SUM(C5:F5)</f>
        <v>10.96762678</v>
      </c>
    </row>
    <row r="6" customFormat="false" ht="15" hidden="false" customHeight="false" outlineLevel="0" collapsed="false">
      <c r="A6" s="0" t="s">
        <v>460</v>
      </c>
      <c r="B6" s="0" t="s">
        <v>31</v>
      </c>
      <c r="C6" s="17" t="n">
        <f aca="false">Q!E4*Q!E27</f>
        <v>1.00725714</v>
      </c>
      <c r="D6" s="17" t="n">
        <f aca="false">Q!F4*Q!F27</f>
        <v>0.97746504</v>
      </c>
      <c r="E6" s="17" t="n">
        <f aca="false">Q!G4*Q!G27</f>
        <v>1.1465814</v>
      </c>
      <c r="F6" s="17" t="n">
        <f aca="false">Q!H4*Q!H27</f>
        <v>1.2226978</v>
      </c>
      <c r="G6" s="17" t="n">
        <f aca="false">SUM(C6:F6)</f>
        <v>4.35400138</v>
      </c>
    </row>
    <row r="7" customFormat="false" ht="15" hidden="false" customHeight="false" outlineLevel="0" collapsed="false">
      <c r="A7" s="0" t="s">
        <v>461</v>
      </c>
      <c r="B7" s="0" t="s">
        <v>31</v>
      </c>
      <c r="C7" s="17" t="n">
        <f aca="false">Q!E4*Q!E28</f>
        <v>0.44766984</v>
      </c>
      <c r="D7" s="17" t="n">
        <f aca="false">Q!F4*Q!F28</f>
        <v>0.97746504</v>
      </c>
      <c r="E7" s="17" t="n">
        <f aca="false">Q!G4*Q!G28</f>
        <v>1.49055582</v>
      </c>
      <c r="F7" s="17" t="n">
        <f aca="false">Q!H4*Q!H28</f>
        <v>1.58950714</v>
      </c>
      <c r="G7" s="17" t="n">
        <f aca="false">SUM(C7:F7)</f>
        <v>4.50519784</v>
      </c>
    </row>
    <row r="8" customFormat="false" ht="17.15" hidden="false" customHeight="false" outlineLevel="0" collapsed="false">
      <c r="A8" s="5" t="s">
        <v>462</v>
      </c>
      <c r="B8" s="0" t="s">
        <v>31</v>
      </c>
      <c r="C8" s="17" t="n">
        <f aca="false">C5+C6+C7-C4</f>
        <v>0</v>
      </c>
      <c r="D8" s="17" t="n">
        <f aca="false">D5+D6+D7-D4</f>
        <v>0</v>
      </c>
      <c r="E8" s="17" t="n">
        <f aca="false">E5+E6+E7-E4</f>
        <v>0</v>
      </c>
      <c r="F8" s="17" t="n">
        <f aca="false">F5+F6+F7-F4</f>
        <v>0</v>
      </c>
      <c r="G8" s="17" t="n">
        <f aca="false">G5+G6+G7-G4</f>
        <v>0</v>
      </c>
    </row>
    <row r="9" customFormat="false" ht="15" hidden="false" customHeight="false" outlineLevel="0" collapsed="false">
      <c r="A9" s="0" t="s">
        <v>451</v>
      </c>
      <c r="B9" s="0" t="s">
        <v>31</v>
      </c>
      <c r="C9" s="17" t="n">
        <f aca="false">Q!E5</f>
        <v>2.110906</v>
      </c>
      <c r="D9" s="17" t="n">
        <f aca="false">Q!F5</f>
        <v>2.47239</v>
      </c>
      <c r="E9" s="17" t="n">
        <f aca="false">Q!G5</f>
        <v>2.486511</v>
      </c>
      <c r="F9" s="17" t="n">
        <f aca="false">Q!H5</f>
        <v>2.486511</v>
      </c>
      <c r="G9" s="17" t="n">
        <f aca="false">SUM(C9:F9)</f>
        <v>9.556318</v>
      </c>
    </row>
    <row r="11" customFormat="false" ht="17.15" hidden="false" customHeight="false" outlineLevel="0" collapsed="false">
      <c r="A11" s="1" t="s">
        <v>463</v>
      </c>
    </row>
    <row r="12" customFormat="false" ht="17.15" hidden="false" customHeight="false" outlineLevel="0" collapsed="false">
      <c r="A12" s="0" t="s">
        <v>464</v>
      </c>
      <c r="B12" s="0" t="s">
        <v>31</v>
      </c>
      <c r="G12" s="17" t="n">
        <f aca="false">Q!B34+Q!C34+Q!C4+Q!D4</f>
        <v>13.377959</v>
      </c>
    </row>
    <row r="13" customFormat="false" ht="15" hidden="false" customHeight="false" outlineLevel="0" collapsed="false">
      <c r="A13" s="0" t="s">
        <v>465</v>
      </c>
      <c r="B13" s="0" t="s">
        <v>31</v>
      </c>
      <c r="G13" s="17" t="n">
        <f aca="false">Q!B35+Q!C35+Q!C5+Q!D5</f>
        <v>7.182573</v>
      </c>
    </row>
    <row r="14" customFormat="false" ht="17.15" hidden="false" customHeight="false" outlineLevel="0" collapsed="false">
      <c r="A14" s="0" t="s">
        <v>466</v>
      </c>
      <c r="B14" s="0" t="s">
        <v>212</v>
      </c>
      <c r="G14" s="10" t="n">
        <f aca="false">G4/G12-1</f>
        <v>0.482051634333757</v>
      </c>
      <c r="H14" s="5" t="s">
        <v>467</v>
      </c>
    </row>
    <row r="15" customFormat="false" ht="17.15" hidden="false" customHeight="false" outlineLevel="0" collapsed="false">
      <c r="A15" s="0" t="s">
        <v>468</v>
      </c>
      <c r="B15" s="0" t="s">
        <v>212</v>
      </c>
      <c r="G15" s="10" t="n">
        <f aca="false">G9/G13-1</f>
        <v>0.330486721123475</v>
      </c>
      <c r="H15" s="5" t="s">
        <v>469</v>
      </c>
    </row>
    <row r="16" customFormat="false" ht="17.15" hidden="false" customHeight="false" outlineLevel="0" collapsed="false">
      <c r="A16" s="0" t="s">
        <v>470</v>
      </c>
      <c r="B16" s="0" t="s">
        <v>31</v>
      </c>
      <c r="G16" s="17" t="n">
        <f aca="false">E4+F4</f>
        <v>11.846396</v>
      </c>
    </row>
    <row r="17" customFormat="false" ht="17.15" hidden="false" customHeight="false" outlineLevel="0" collapsed="false">
      <c r="A17" s="0" t="s">
        <v>471</v>
      </c>
      <c r="B17" s="0" t="s">
        <v>31</v>
      </c>
      <c r="G17" s="17" t="n">
        <f aca="false">E9+F9</f>
        <v>4.973022</v>
      </c>
    </row>
    <row r="19" customFormat="false" ht="17.15" hidden="false" customHeight="false" outlineLevel="0" collapsed="false">
      <c r="A19" s="3" t="s">
        <v>472</v>
      </c>
    </row>
    <row r="20" customFormat="false" ht="17.15" hidden="false" customHeight="false" outlineLevel="0" collapsed="false">
      <c r="A20" s="6" t="s">
        <v>473</v>
      </c>
      <c r="B20" s="6" t="s">
        <v>21</v>
      </c>
      <c r="C20" s="14" t="s">
        <v>474</v>
      </c>
      <c r="D20" s="14" t="s">
        <v>475</v>
      </c>
      <c r="E20" s="14" t="s">
        <v>476</v>
      </c>
      <c r="F20" s="14"/>
      <c r="G20" s="14"/>
      <c r="H20" s="6" t="s">
        <v>457</v>
      </c>
    </row>
    <row r="21" customFormat="false" ht="17.15" hidden="false" customHeight="false" outlineLevel="0" collapsed="false">
      <c r="A21" s="5" t="s">
        <v>477</v>
      </c>
      <c r="B21" s="0" t="s">
        <v>31</v>
      </c>
      <c r="C21" s="13" t="n">
        <f aca="false">cy26_fl</f>
        <v>10.96762678</v>
      </c>
      <c r="D21" s="13" t="n">
        <f aca="false">advA_26+oflA_26</f>
        <v>82.2593733221195</v>
      </c>
      <c r="E21" s="10" t="n">
        <f aca="false">C21/D21</f>
        <v>0.133329811996645</v>
      </c>
      <c r="H21" s="8" t="s">
        <v>478</v>
      </c>
    </row>
    <row r="22" customFormat="false" ht="17.15" hidden="false" customHeight="false" outlineLevel="0" collapsed="false">
      <c r="A22" s="0" t="s">
        <v>479</v>
      </c>
      <c r="B22" s="0" t="s">
        <v>31</v>
      </c>
      <c r="C22" s="13" t="n">
        <f aca="false">cy26_dram</f>
        <v>4.35400138</v>
      </c>
      <c r="D22" s="13" t="n">
        <f aca="false">dramA_26</f>
        <v>39.3659468014757</v>
      </c>
      <c r="E22" s="10" t="n">
        <f aca="false">C22/D22</f>
        <v>0.110603242999779</v>
      </c>
      <c r="H22" s="8" t="s">
        <v>478</v>
      </c>
    </row>
    <row r="23" customFormat="false" ht="17.15" hidden="false" customHeight="false" outlineLevel="0" collapsed="false">
      <c r="A23" s="0" t="s">
        <v>480</v>
      </c>
      <c r="B23" s="0" t="s">
        <v>31</v>
      </c>
      <c r="C23" s="13" t="n">
        <f aca="false">cy26_nand</f>
        <v>4.50519784</v>
      </c>
      <c r="D23" s="13" t="n">
        <f aca="false">nandA_26</f>
        <v>17.5039054704765</v>
      </c>
      <c r="E23" s="10" t="n">
        <f aca="false">C23/D23</f>
        <v>0.257382436599582</v>
      </c>
      <c r="H23" s="8" t="s">
        <v>478</v>
      </c>
    </row>
    <row r="24" customFormat="false" ht="17.15" hidden="false" customHeight="false" outlineLevel="0" collapsed="false">
      <c r="A24" s="5" t="s">
        <v>481</v>
      </c>
      <c r="C24" s="17" t="n">
        <f aca="false">cy26_sys</f>
        <v>19.826826</v>
      </c>
      <c r="D24" s="8" t="n">
        <f aca="false">wfeA_26</f>
        <v>156.157050570127</v>
      </c>
      <c r="E24" s="10" t="n">
        <f aca="false">C24/D24</f>
        <v>0.12696721619429</v>
      </c>
    </row>
    <row r="25" customFormat="false" ht="17.15" hidden="false" customHeight="false" outlineLevel="0" collapsed="false">
      <c r="A25" s="5" t="s">
        <v>482</v>
      </c>
      <c r="C25" s="0" t="n">
        <f aca="false">cy26_sys+cy26_cs</f>
        <v>29.383144</v>
      </c>
      <c r="D25" s="0" t="n">
        <f aca="false">co_wfe26</f>
        <v>155</v>
      </c>
      <c r="E25" s="10" t="n">
        <f aca="false">C25/D25</f>
        <v>0.189568670967742</v>
      </c>
      <c r="H25" s="8" t="s">
        <v>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484</v>
      </c>
    </row>
    <row r="3" customFormat="false" ht="15" hidden="false" customHeight="false" outlineLevel="0" collapsed="false">
      <c r="A3" s="6" t="s">
        <v>485</v>
      </c>
      <c r="B3" s="6" t="s">
        <v>21</v>
      </c>
      <c r="C3" s="14" t="s">
        <v>486</v>
      </c>
      <c r="D3" s="14" t="s">
        <v>487</v>
      </c>
      <c r="E3" s="14" t="s">
        <v>488</v>
      </c>
      <c r="F3" s="14" t="s">
        <v>489</v>
      </c>
      <c r="G3" s="14" t="s">
        <v>490</v>
      </c>
      <c r="H3" s="6" t="s">
        <v>457</v>
      </c>
    </row>
    <row r="4" customFormat="false" ht="17.15" hidden="false" customHeight="false" outlineLevel="0" collapsed="false">
      <c r="A4" s="3" t="s">
        <v>491</v>
      </c>
    </row>
    <row r="5" customFormat="false" ht="15" hidden="false" customHeight="false" outlineLevel="0" collapsed="false">
      <c r="A5" s="5" t="s">
        <v>405</v>
      </c>
      <c r="B5" s="0" t="s">
        <v>31</v>
      </c>
      <c r="C5" s="22" t="n">
        <f aca="false">C52</f>
        <v>18.435591</v>
      </c>
      <c r="D5" s="22" t="n">
        <f aca="false">D52</f>
        <v>23.23269</v>
      </c>
      <c r="E5" s="22" t="n">
        <f aca="false">E52</f>
        <v>34.6022925636284</v>
      </c>
      <c r="F5" s="22" t="n">
        <f aca="false">F52</f>
        <v>37.7510470839896</v>
      </c>
      <c r="G5" s="22" t="n">
        <f aca="false">G52</f>
        <v>41.4707470424977</v>
      </c>
    </row>
    <row r="6" customFormat="false" ht="15" hidden="false" customHeight="false" outlineLevel="0" collapsed="false">
      <c r="A6" s="5" t="s">
        <v>492</v>
      </c>
      <c r="B6" s="0" t="s">
        <v>31</v>
      </c>
      <c r="C6" s="22" t="n">
        <f aca="false">C50</f>
        <v>11.49128</v>
      </c>
      <c r="D6" s="22" t="n">
        <f aca="false">D50</f>
        <v>14.885488</v>
      </c>
      <c r="E6" s="22" t="n">
        <f aca="false">E50</f>
        <v>24.1343877136284</v>
      </c>
      <c r="F6" s="22" t="n">
        <f aca="false">F50</f>
        <v>26.1018954419896</v>
      </c>
      <c r="G6" s="22" t="n">
        <f aca="false">G50</f>
        <v>28.4236972034577</v>
      </c>
    </row>
    <row r="7" customFormat="false" ht="15" hidden="false" customHeight="false" outlineLevel="0" collapsed="false">
      <c r="A7" s="0" t="s">
        <v>493</v>
      </c>
      <c r="B7" s="0" t="s">
        <v>31</v>
      </c>
      <c r="C7" s="22" t="n">
        <f aca="false">C51</f>
        <v>6.944311</v>
      </c>
      <c r="D7" s="22" t="n">
        <f aca="false">D51</f>
        <v>8.347202</v>
      </c>
      <c r="E7" s="22" t="n">
        <f aca="false">E51</f>
        <v>10.46790485</v>
      </c>
      <c r="F7" s="22" t="n">
        <f aca="false">F51</f>
        <v>11.649151642</v>
      </c>
      <c r="G7" s="22" t="n">
        <f aca="false">G51</f>
        <v>13.04704983904</v>
      </c>
    </row>
    <row r="8" customFormat="false" ht="15" hidden="false" customHeight="false" outlineLevel="0" collapsed="false">
      <c r="A8" s="5" t="s">
        <v>411</v>
      </c>
      <c r="B8" s="0" t="s">
        <v>212</v>
      </c>
      <c r="C8" s="10" t="n">
        <f aca="false">C53</f>
        <v>0.487050238855917</v>
      </c>
      <c r="D8" s="10" t="n">
        <f aca="false">D53</f>
        <v>0.504690072479769</v>
      </c>
      <c r="E8" s="10" t="n">
        <f aca="false">E53</f>
        <v>0.525503854044351</v>
      </c>
      <c r="F8" s="10" t="n">
        <f aca="false">F53</f>
        <v>0.530054366629259</v>
      </c>
      <c r="G8" s="10" t="n">
        <f aca="false">G53</f>
        <v>0.534964444590398</v>
      </c>
    </row>
    <row r="9" customFormat="false" ht="15" hidden="false" customHeight="false" outlineLevel="0" collapsed="false">
      <c r="A9" s="5" t="s">
        <v>417</v>
      </c>
      <c r="B9" s="0" t="s">
        <v>31</v>
      </c>
      <c r="C9" s="22" t="n">
        <f aca="false">C56</f>
        <v>5.900968</v>
      </c>
      <c r="D9" s="22" t="n">
        <f aca="false">D56</f>
        <v>8.199795</v>
      </c>
      <c r="E9" s="22" t="n">
        <f aca="false">E56</f>
        <v>14.0367292073729</v>
      </c>
      <c r="F9" s="22" t="n">
        <f aca="false">F56</f>
        <v>15.6911059757308</v>
      </c>
      <c r="G9" s="22" t="n">
        <f aca="false">G56</f>
        <v>17.6630767659088</v>
      </c>
    </row>
    <row r="10" customFormat="false" ht="15" hidden="false" customHeight="false" outlineLevel="0" collapsed="false">
      <c r="A10" s="5" t="s">
        <v>418</v>
      </c>
      <c r="B10" s="0" t="s">
        <v>212</v>
      </c>
      <c r="C10" s="10" t="n">
        <f aca="false">C57</f>
        <v>0.320085643036884</v>
      </c>
      <c r="D10" s="10" t="n">
        <f aca="false">D57</f>
        <v>0.35294212594409</v>
      </c>
      <c r="E10" s="10" t="n">
        <f aca="false">E57</f>
        <v>0.405658936660381</v>
      </c>
      <c r="F10" s="10" t="n">
        <f aca="false">F57</f>
        <v>0.415646907510161</v>
      </c>
      <c r="G10" s="10" t="n">
        <f aca="false">G57</f>
        <v>0.425916532147547</v>
      </c>
    </row>
    <row r="11" customFormat="false" ht="15" hidden="false" customHeight="false" outlineLevel="0" collapsed="false">
      <c r="A11" s="5" t="s">
        <v>422</v>
      </c>
      <c r="B11" s="0" t="s">
        <v>31</v>
      </c>
      <c r="C11" s="22" t="n">
        <f aca="false">C58</f>
        <v>5.358217</v>
      </c>
      <c r="D11" s="22" t="n">
        <f aca="false">D58</f>
        <v>7.265396</v>
      </c>
      <c r="E11" s="22" t="n">
        <f aca="false">E58</f>
        <v>11.8041688881564</v>
      </c>
      <c r="F11" s="22" t="n">
        <f aca="false">F58</f>
        <v>13.1855734897352</v>
      </c>
      <c r="G11" s="22" t="n">
        <f aca="false">G58</f>
        <v>14.8321690995338</v>
      </c>
    </row>
    <row r="12" customFormat="false" ht="17.15" hidden="false" customHeight="false" outlineLevel="0" collapsed="false">
      <c r="A12" s="0" t="s">
        <v>494</v>
      </c>
      <c r="B12" s="0" t="s">
        <v>308</v>
      </c>
      <c r="C12" s="13" t="n">
        <f aca="false">C60</f>
        <v>4.15</v>
      </c>
      <c r="D12" s="13" t="n">
        <f aca="false">D60</f>
        <v>5.76</v>
      </c>
      <c r="E12" s="13" t="n">
        <f aca="false">E60</f>
        <v>9.42072536963797</v>
      </c>
      <c r="F12" s="13" t="n">
        <f aca="false">F60</f>
        <v>10.6834549282617</v>
      </c>
      <c r="G12" s="13" t="n">
        <f aca="false">G60</f>
        <v>12.2005985188508</v>
      </c>
    </row>
    <row r="14" customFormat="false" ht="17.15" hidden="false" customHeight="false" outlineLevel="0" collapsed="false">
      <c r="A14" s="3" t="s">
        <v>495</v>
      </c>
    </row>
    <row r="15" customFormat="false" ht="15" hidden="false" customHeight="false" outlineLevel="0" collapsed="false">
      <c r="A15" s="5" t="s">
        <v>405</v>
      </c>
      <c r="B15" s="0" t="s">
        <v>31</v>
      </c>
      <c r="C15" s="22" t="n">
        <f aca="false">C76</f>
        <v>18.435591</v>
      </c>
      <c r="D15" s="22" t="n">
        <f aca="false">D76</f>
        <v>23.23269</v>
      </c>
      <c r="E15" s="22" t="n">
        <f aca="false">E76</f>
        <v>34.6022925636284</v>
      </c>
      <c r="F15" s="22" t="n">
        <f aca="false">F76</f>
        <v>35.8954420982568</v>
      </c>
      <c r="G15" s="22" t="n">
        <f aca="false">G76</f>
        <v>35.9602100328354</v>
      </c>
    </row>
    <row r="16" customFormat="false" ht="15" hidden="false" customHeight="false" outlineLevel="0" collapsed="false">
      <c r="A16" s="5" t="s">
        <v>492</v>
      </c>
      <c r="B16" s="0" t="s">
        <v>31</v>
      </c>
      <c r="C16" s="22" t="n">
        <f aca="false">C74</f>
        <v>11.49128</v>
      </c>
      <c r="D16" s="22" t="n">
        <f aca="false">D74</f>
        <v>14.885488</v>
      </c>
      <c r="E16" s="22" t="n">
        <f aca="false">E74</f>
        <v>24.1343877136284</v>
      </c>
      <c r="F16" s="22" t="n">
        <f aca="false">F74</f>
        <v>24.5759834272568</v>
      </c>
      <c r="G16" s="22" t="n">
        <f aca="false">G74</f>
        <v>23.9615838415754</v>
      </c>
    </row>
    <row r="17" customFormat="false" ht="15" hidden="false" customHeight="false" outlineLevel="0" collapsed="false">
      <c r="A17" s="0" t="s">
        <v>493</v>
      </c>
      <c r="B17" s="0" t="s">
        <v>31</v>
      </c>
      <c r="C17" s="22" t="n">
        <f aca="false">C75</f>
        <v>6.944311</v>
      </c>
      <c r="D17" s="22" t="n">
        <f aca="false">D75</f>
        <v>8.347202</v>
      </c>
      <c r="E17" s="22" t="n">
        <f aca="false">E75</f>
        <v>10.46790485</v>
      </c>
      <c r="F17" s="22" t="n">
        <f aca="false">F75</f>
        <v>11.319458671</v>
      </c>
      <c r="G17" s="22" t="n">
        <f aca="false">G75</f>
        <v>11.99862619126</v>
      </c>
    </row>
    <row r="18" customFormat="false" ht="15" hidden="false" customHeight="false" outlineLevel="0" collapsed="false">
      <c r="A18" s="5" t="s">
        <v>411</v>
      </c>
      <c r="B18" s="0" t="s">
        <v>212</v>
      </c>
      <c r="C18" s="10" t="n">
        <f aca="false">C77</f>
        <v>0.487050238855917</v>
      </c>
      <c r="D18" s="10" t="n">
        <f aca="false">D77</f>
        <v>0.504690072479769</v>
      </c>
      <c r="E18" s="10" t="n">
        <f aca="false">E77</f>
        <v>0.525503854044351</v>
      </c>
      <c r="F18" s="10" t="n">
        <f aca="false">F77</f>
        <v>0.527420880041177</v>
      </c>
      <c r="G18" s="10" t="n">
        <f aca="false">G77</f>
        <v>0.527515070070121</v>
      </c>
    </row>
    <row r="19" customFormat="false" ht="15" hidden="false" customHeight="false" outlineLevel="0" collapsed="false">
      <c r="A19" s="5" t="s">
        <v>417</v>
      </c>
      <c r="B19" s="0" t="s">
        <v>31</v>
      </c>
      <c r="C19" s="22" t="n">
        <f aca="false">C80</f>
        <v>5.900968</v>
      </c>
      <c r="D19" s="22" t="n">
        <f aca="false">D80</f>
        <v>8.199795</v>
      </c>
      <c r="E19" s="22" t="n">
        <f aca="false">E80</f>
        <v>14.0367292073729</v>
      </c>
      <c r="F19" s="22" t="n">
        <f aca="false">F80</f>
        <v>14.7144207867113</v>
      </c>
      <c r="G19" s="22" t="n">
        <f aca="false">G80</f>
        <v>14.7484280049782</v>
      </c>
    </row>
    <row r="20" customFormat="false" ht="15" hidden="false" customHeight="false" outlineLevel="0" collapsed="false">
      <c r="A20" s="5" t="s">
        <v>418</v>
      </c>
      <c r="B20" s="0" t="s">
        <v>212</v>
      </c>
      <c r="C20" s="10" t="n">
        <f aca="false">C81</f>
        <v>0.320085643036884</v>
      </c>
      <c r="D20" s="10" t="n">
        <f aca="false">D81</f>
        <v>0.35294212594409</v>
      </c>
      <c r="E20" s="10" t="n">
        <f aca="false">E81</f>
        <v>0.405658936660381</v>
      </c>
      <c r="F20" s="10" t="n">
        <f aca="false">F81</f>
        <v>0.409924489756483</v>
      </c>
      <c r="G20" s="10" t="n">
        <f aca="false">G81</f>
        <v>0.410131864956056</v>
      </c>
    </row>
    <row r="21" customFormat="false" ht="15" hidden="false" customHeight="false" outlineLevel="0" collapsed="false">
      <c r="A21" s="5" t="s">
        <v>422</v>
      </c>
      <c r="B21" s="0" t="s">
        <v>31</v>
      </c>
      <c r="C21" s="22" t="n">
        <f aca="false">C82</f>
        <v>5.358217</v>
      </c>
      <c r="D21" s="22" t="n">
        <f aca="false">D82</f>
        <v>7.265396</v>
      </c>
      <c r="E21" s="22" t="n">
        <f aca="false">E82</f>
        <v>11.8041688881564</v>
      </c>
      <c r="F21" s="22" t="n">
        <f aca="false">F82</f>
        <v>12.3700413569039</v>
      </c>
      <c r="G21" s="22" t="n">
        <f aca="false">G82</f>
        <v>12.3984373841568</v>
      </c>
    </row>
    <row r="22" customFormat="false" ht="17.15" hidden="false" customHeight="false" outlineLevel="0" collapsed="false">
      <c r="A22" s="0" t="s">
        <v>494</v>
      </c>
      <c r="B22" s="0" t="s">
        <v>308</v>
      </c>
      <c r="C22" s="13" t="n">
        <f aca="false">C84</f>
        <v>4.15</v>
      </c>
      <c r="D22" s="13" t="n">
        <f aca="false">D84</f>
        <v>5.76</v>
      </c>
      <c r="E22" s="13" t="n">
        <f aca="false">E84</f>
        <v>9.42072536963797</v>
      </c>
      <c r="F22" s="13" t="n">
        <f aca="false">F84</f>
        <v>10.0226796657799</v>
      </c>
      <c r="G22" s="13" t="n">
        <f aca="false">G84</f>
        <v>10.1986672192108</v>
      </c>
    </row>
    <row r="24" customFormat="false" ht="17.15" hidden="false" customHeight="false" outlineLevel="0" collapsed="false">
      <c r="A24" s="3" t="s">
        <v>496</v>
      </c>
    </row>
    <row r="25" customFormat="false" ht="15" hidden="false" customHeight="false" outlineLevel="0" collapsed="false">
      <c r="A25" s="5" t="s">
        <v>405</v>
      </c>
      <c r="B25" s="0" t="s">
        <v>31</v>
      </c>
      <c r="C25" s="22" t="n">
        <f aca="false">C100</f>
        <v>18.435591</v>
      </c>
      <c r="D25" s="22" t="n">
        <f aca="false">D100</f>
        <v>23.23269</v>
      </c>
      <c r="E25" s="22" t="n">
        <f aca="false">E100</f>
        <v>34.6022925636284</v>
      </c>
      <c r="F25" s="22" t="n">
        <f aca="false">F100</f>
        <v>32.2748375498097</v>
      </c>
      <c r="G25" s="22" t="n">
        <f aca="false">G100</f>
        <v>28.8240248814277</v>
      </c>
    </row>
    <row r="26" customFormat="false" ht="15" hidden="false" customHeight="false" outlineLevel="0" collapsed="false">
      <c r="A26" s="5" t="s">
        <v>492</v>
      </c>
      <c r="B26" s="0" t="s">
        <v>31</v>
      </c>
      <c r="C26" s="22" t="n">
        <f aca="false">C98</f>
        <v>11.49128</v>
      </c>
      <c r="D26" s="22" t="n">
        <f aca="false">D98</f>
        <v>14.885488</v>
      </c>
      <c r="E26" s="22" t="n">
        <f aca="false">E98</f>
        <v>24.1343877136284</v>
      </c>
      <c r="F26" s="22" t="n">
        <f aca="false">F98</f>
        <v>21.4499183353097</v>
      </c>
      <c r="G26" s="22" t="n">
        <f aca="false">G98</f>
        <v>18.3238532433627</v>
      </c>
    </row>
    <row r="27" customFormat="false" ht="15" hidden="false" customHeight="false" outlineLevel="0" collapsed="false">
      <c r="A27" s="0" t="s">
        <v>493</v>
      </c>
      <c r="B27" s="0" t="s">
        <v>31</v>
      </c>
      <c r="C27" s="22" t="n">
        <f aca="false">C99</f>
        <v>6.944311</v>
      </c>
      <c r="D27" s="22" t="n">
        <f aca="false">D99</f>
        <v>8.347202</v>
      </c>
      <c r="E27" s="22" t="n">
        <f aca="false">E99</f>
        <v>10.46790485</v>
      </c>
      <c r="F27" s="22" t="n">
        <f aca="false">F99</f>
        <v>10.8249192145</v>
      </c>
      <c r="G27" s="22" t="n">
        <f aca="false">G99</f>
        <v>10.500171638065</v>
      </c>
    </row>
    <row r="28" customFormat="false" ht="15" hidden="false" customHeight="false" outlineLevel="0" collapsed="false">
      <c r="A28" s="5" t="s">
        <v>411</v>
      </c>
      <c r="B28" s="0" t="s">
        <v>212</v>
      </c>
      <c r="C28" s="10" t="n">
        <f aca="false">C101</f>
        <v>0.487050238855917</v>
      </c>
      <c r="D28" s="10" t="n">
        <f aca="false">D101</f>
        <v>0.504690072479769</v>
      </c>
      <c r="E28" s="10" t="n">
        <f aca="false">E101</f>
        <v>0.525503854044351</v>
      </c>
      <c r="F28" s="10" t="n">
        <f aca="false">F101</f>
        <v>0.521865668906637</v>
      </c>
      <c r="G28" s="10" t="n">
        <f aca="false">G101</f>
        <v>0.515957452643486</v>
      </c>
    </row>
    <row r="29" customFormat="false" ht="15" hidden="false" customHeight="false" outlineLevel="0" collapsed="false">
      <c r="A29" s="5" t="s">
        <v>417</v>
      </c>
      <c r="B29" s="0" t="s">
        <v>31</v>
      </c>
      <c r="C29" s="22" t="n">
        <f aca="false">C104</f>
        <v>5.900968</v>
      </c>
      <c r="D29" s="22" t="n">
        <f aca="false">D104</f>
        <v>8.199795</v>
      </c>
      <c r="E29" s="22" t="n">
        <f aca="false">E104</f>
        <v>14.0367292073729</v>
      </c>
      <c r="F29" s="22" t="n">
        <f aca="false">F104</f>
        <v>12.8234258542389</v>
      </c>
      <c r="G29" s="22" t="n">
        <f aca="false">G104</f>
        <v>11.0408678320501</v>
      </c>
    </row>
    <row r="30" customFormat="false" ht="15" hidden="false" customHeight="false" outlineLevel="0" collapsed="false">
      <c r="A30" s="5" t="s">
        <v>418</v>
      </c>
      <c r="B30" s="0" t="s">
        <v>212</v>
      </c>
      <c r="C30" s="10" t="n">
        <f aca="false">C105</f>
        <v>0.320085643036884</v>
      </c>
      <c r="D30" s="10" t="n">
        <f aca="false">D105</f>
        <v>0.35294212594409</v>
      </c>
      <c r="E30" s="10" t="n">
        <f aca="false">E105</f>
        <v>0.405658936660381</v>
      </c>
      <c r="F30" s="10" t="n">
        <f aca="false">F105</f>
        <v>0.397319609570413</v>
      </c>
      <c r="G30" s="10" t="n">
        <f aca="false">G105</f>
        <v>0.38304393218742</v>
      </c>
    </row>
    <row r="31" customFormat="false" ht="15" hidden="false" customHeight="false" outlineLevel="0" collapsed="false">
      <c r="A31" s="5" t="s">
        <v>422</v>
      </c>
      <c r="B31" s="0" t="s">
        <v>31</v>
      </c>
      <c r="C31" s="22" t="n">
        <f aca="false">C106</f>
        <v>5.358217</v>
      </c>
      <c r="D31" s="22" t="n">
        <f aca="false">D106</f>
        <v>7.265396</v>
      </c>
      <c r="E31" s="22" t="n">
        <f aca="false">E106</f>
        <v>11.8041688881564</v>
      </c>
      <c r="F31" s="22" t="n">
        <f aca="false">F106</f>
        <v>10.7910605882895</v>
      </c>
      <c r="G31" s="22" t="n">
        <f aca="false">G106</f>
        <v>9.30262463976181</v>
      </c>
    </row>
    <row r="32" customFormat="false" ht="17.15" hidden="false" customHeight="false" outlineLevel="0" collapsed="false">
      <c r="A32" s="0" t="s">
        <v>494</v>
      </c>
      <c r="B32" s="0" t="s">
        <v>308</v>
      </c>
      <c r="C32" s="13" t="n">
        <f aca="false">C108</f>
        <v>4.15</v>
      </c>
      <c r="D32" s="13" t="n">
        <f aca="false">D108</f>
        <v>5.76</v>
      </c>
      <c r="E32" s="13" t="n">
        <f aca="false">E108</f>
        <v>9.42072536963797</v>
      </c>
      <c r="F32" s="13" t="n">
        <f aca="false">F108</f>
        <v>8.74332917812638</v>
      </c>
      <c r="G32" s="13" t="n">
        <f aca="false">G108</f>
        <v>7.6521234109224</v>
      </c>
    </row>
    <row r="34" customFormat="false" ht="17.15" hidden="false" customHeight="false" outlineLevel="0" collapsed="false">
      <c r="A34" s="3" t="s">
        <v>497</v>
      </c>
    </row>
    <row r="35" customFormat="false" ht="15" hidden="false" customHeight="false" outlineLevel="0" collapsed="false">
      <c r="C35" s="19" t="n">
        <f aca="false">ABS(C5-a25_rev)+ABS(C12-a25_eps)+ABS(D5-a26_rev)+ABS(D12-a26_eps)+ABS(C15-a25_rev)+ABS(C22-a25_eps)+ABS(D15-a26_rev)+ABS(D22-a26_eps)+ABS(C25-a25_rev)+ABS(C32-a25_eps)+ABS(D25-a26_rev)+ABS(D32-a26_eps)</f>
        <v>0</v>
      </c>
    </row>
    <row r="40" customFormat="false" ht="17.15" hidden="false" customHeight="false" outlineLevel="0" collapsed="false">
      <c r="A40" s="3" t="s">
        <v>498</v>
      </c>
    </row>
    <row r="41" customFormat="false" ht="17.15" hidden="false" customHeight="false" outlineLevel="0" collapsed="false">
      <c r="A41" s="6" t="s">
        <v>20</v>
      </c>
      <c r="B41" s="6" t="s">
        <v>21</v>
      </c>
      <c r="C41" s="14" t="s">
        <v>499</v>
      </c>
      <c r="D41" s="14" t="s">
        <v>500</v>
      </c>
      <c r="E41" s="14" t="s">
        <v>501</v>
      </c>
      <c r="F41" s="14" t="s">
        <v>502</v>
      </c>
      <c r="G41" s="14" t="s">
        <v>503</v>
      </c>
      <c r="H41" s="6" t="s">
        <v>457</v>
      </c>
    </row>
    <row r="42" customFormat="false" ht="17.15" hidden="false" customHeight="false" outlineLevel="0" collapsed="false">
      <c r="A42" s="1" t="s">
        <v>504</v>
      </c>
    </row>
    <row r="43" customFormat="false" ht="17.15" hidden="false" customHeight="false" outlineLevel="0" collapsed="false">
      <c r="A43" s="5" t="s">
        <v>505</v>
      </c>
      <c r="B43" s="0" t="s">
        <v>31</v>
      </c>
      <c r="D43" s="17" t="n">
        <f aca="false">cy26_fl</f>
        <v>10.96762678</v>
      </c>
      <c r="E43" s="17" t="n">
        <f aca="false">k_fl*(advA_27+oflA_27)*(1+drift)^1</f>
        <v>12.7017609623656</v>
      </c>
      <c r="F43" s="17" t="n">
        <f aca="false">k_fl*(advA_28+oflA_28)*(1+drift)^2</f>
        <v>14.3015664243514</v>
      </c>
      <c r="G43" s="17" t="n">
        <f aca="false">k_fl*(advA_29+oflA_29)*(1+drift)^3</f>
        <v>15.2579633630082</v>
      </c>
      <c r="H43" s="8" t="s">
        <v>506</v>
      </c>
    </row>
    <row r="44" customFormat="false" ht="17.15" hidden="false" customHeight="false" outlineLevel="0" collapsed="false">
      <c r="A44" s="5" t="s">
        <v>507</v>
      </c>
      <c r="B44" s="0" t="s">
        <v>31</v>
      </c>
      <c r="D44" s="17" t="n">
        <f aca="false">cy26_dram</f>
        <v>4.35400138</v>
      </c>
      <c r="E44" s="17" t="n">
        <f aca="false">k_dram*dramA_27*(1+drift)^1</f>
        <v>5.89058856743509</v>
      </c>
      <c r="F44" s="17" t="n">
        <f aca="false">k_dram*dramA_28*(1+drift)^2</f>
        <v>6.58762867798361</v>
      </c>
      <c r="G44" s="17" t="n">
        <f aca="false">k_dram*dramA_29*(1+drift)^3</f>
        <v>6.83874153475859</v>
      </c>
      <c r="H44" s="8" t="s">
        <v>506</v>
      </c>
    </row>
    <row r="45" customFormat="false" ht="17.15" hidden="false" customHeight="false" outlineLevel="0" collapsed="false">
      <c r="A45" s="5" t="s">
        <v>508</v>
      </c>
      <c r="B45" s="0" t="s">
        <v>31</v>
      </c>
      <c r="D45" s="17" t="n">
        <f aca="false">cy26_nand</f>
        <v>4.50519784</v>
      </c>
      <c r="E45" s="17" t="n">
        <f aca="false">k_nand*nandA_27*(1+drift)^1</f>
        <v>5.98363389745604</v>
      </c>
      <c r="F45" s="17" t="n">
        <f aca="false">k_nand*nandA_28*(1+drift)^2</f>
        <v>6.7386123543875</v>
      </c>
      <c r="G45" s="17" t="n">
        <f aca="false">k_nand*nandA_29*(1+drift)^3</f>
        <v>7.12288205242611</v>
      </c>
      <c r="H45" s="8" t="s">
        <v>506</v>
      </c>
    </row>
    <row r="46" customFormat="false" ht="17.15" hidden="false" customHeight="false" outlineLevel="0" collapsed="false">
      <c r="A46" s="5" t="s">
        <v>509</v>
      </c>
      <c r="B46" s="0" t="s">
        <v>31</v>
      </c>
      <c r="E46" s="17" t="n">
        <f aca="false">-cn_sh*0*(E43+E44+E45)</f>
        <v>-0</v>
      </c>
      <c r="F46" s="17" t="n">
        <f aca="false">-cn_sh*0*(F43+F44+F45)</f>
        <v>-0</v>
      </c>
      <c r="G46" s="17" t="n">
        <f aca="false">-cn_sh*0*(G43+G44+G45)</f>
        <v>-0</v>
      </c>
      <c r="H46" s="5" t="s">
        <v>510</v>
      </c>
    </row>
    <row r="47" customFormat="false" ht="17.15" hidden="false" customHeight="false" outlineLevel="0" collapsed="false">
      <c r="A47" s="5" t="s">
        <v>511</v>
      </c>
      <c r="B47" s="0" t="s">
        <v>31</v>
      </c>
      <c r="D47" s="17" t="n">
        <f aca="false">SUM(D43:D46)</f>
        <v>19.826826</v>
      </c>
      <c r="E47" s="17" t="n">
        <f aca="false">SUM(E43:E46)</f>
        <v>24.5759834272568</v>
      </c>
      <c r="F47" s="17" t="n">
        <f aca="false">SUM(F43:F46)</f>
        <v>27.6278074567225</v>
      </c>
      <c r="G47" s="17" t="n">
        <f aca="false">SUM(G43:G46)</f>
        <v>29.2195869501929</v>
      </c>
    </row>
    <row r="48" customFormat="false" ht="17.15" hidden="false" customHeight="false" outlineLevel="0" collapsed="false">
      <c r="A48" s="0" t="s">
        <v>512</v>
      </c>
      <c r="B48" s="0" t="s">
        <v>31</v>
      </c>
      <c r="D48" s="17" t="n">
        <f aca="false">cy26_cs</f>
        <v>9.556318</v>
      </c>
      <c r="E48" s="17" t="n">
        <f aca="false">D48*(1+g_cs27)</f>
        <v>10.9897657</v>
      </c>
      <c r="F48" s="17" t="n">
        <f aca="false">E48*(1+g_cs_A)</f>
        <v>12.308537584</v>
      </c>
      <c r="G48" s="17" t="n">
        <f aca="false">F48*(1+g_cs_A)</f>
        <v>13.78556209408</v>
      </c>
      <c r="H48" s="8" t="s">
        <v>513</v>
      </c>
    </row>
    <row r="49" customFormat="false" ht="17.15" hidden="false" customHeight="false" outlineLevel="0" collapsed="false">
      <c r="A49" s="1" t="s">
        <v>514</v>
      </c>
    </row>
    <row r="50" customFormat="false" ht="17.15" hidden="false" customHeight="false" outlineLevel="0" collapsed="false">
      <c r="A50" s="5" t="s">
        <v>449</v>
      </c>
      <c r="B50" s="0" t="s">
        <v>31</v>
      </c>
      <c r="C50" s="17" t="n">
        <f aca="false">a25_sys</f>
        <v>11.49128</v>
      </c>
      <c r="D50" s="17" t="n">
        <f aca="false">a26_sys</f>
        <v>14.885488</v>
      </c>
      <c r="E50" s="17" t="n">
        <f aca="false">h2s26+h1s*E47</f>
        <v>24.1343877136284</v>
      </c>
      <c r="F50" s="17" t="n">
        <f aca="false">(1-h1s)*E47+h1s*F47</f>
        <v>26.1018954419896</v>
      </c>
      <c r="G50" s="17" t="n">
        <f aca="false">(1-h1s)*F47+h1s*G47</f>
        <v>28.4236972034577</v>
      </c>
      <c r="H50" s="8" t="s">
        <v>515</v>
      </c>
    </row>
    <row r="51" customFormat="false" ht="15" hidden="false" customHeight="false" outlineLevel="0" collapsed="false">
      <c r="A51" s="0" t="s">
        <v>451</v>
      </c>
      <c r="B51" s="0" t="s">
        <v>31</v>
      </c>
      <c r="C51" s="17" t="n">
        <f aca="false">a25_cs</f>
        <v>6.944311</v>
      </c>
      <c r="D51" s="17" t="n">
        <f aca="false">a26_cs</f>
        <v>8.347202</v>
      </c>
      <c r="E51" s="17" t="n">
        <f aca="false">h2c26+h1s*E48</f>
        <v>10.46790485</v>
      </c>
      <c r="F51" s="17" t="n">
        <f aca="false">(1-h1s)*E48+h1s*F48</f>
        <v>11.649151642</v>
      </c>
      <c r="G51" s="17" t="n">
        <f aca="false">(1-h1s)*F48+h1s*G48</f>
        <v>13.04704983904</v>
      </c>
    </row>
    <row r="52" customFormat="false" ht="15" hidden="false" customHeight="false" outlineLevel="0" collapsed="false">
      <c r="A52" s="5" t="s">
        <v>405</v>
      </c>
      <c r="B52" s="0" t="s">
        <v>31</v>
      </c>
      <c r="C52" s="17" t="n">
        <f aca="false">C50+C51</f>
        <v>18.435591</v>
      </c>
      <c r="D52" s="17" t="n">
        <f aca="false">D50+D51</f>
        <v>23.23269</v>
      </c>
      <c r="E52" s="17" t="n">
        <f aca="false">E50+E51</f>
        <v>34.6022925636284</v>
      </c>
      <c r="F52" s="17" t="n">
        <f aca="false">F50+F51</f>
        <v>37.7510470839896</v>
      </c>
      <c r="G52" s="17" t="n">
        <f aca="false">G50+G51</f>
        <v>41.4707470424977</v>
      </c>
    </row>
    <row r="53" customFormat="false" ht="17.15" hidden="false" customHeight="false" outlineLevel="0" collapsed="false">
      <c r="A53" s="5" t="s">
        <v>411</v>
      </c>
      <c r="B53" s="0" t="s">
        <v>212</v>
      </c>
      <c r="C53" s="10" t="n">
        <f aca="false">a25_gp/a25_rev</f>
        <v>0.487050238855917</v>
      </c>
      <c r="D53" s="10" t="n">
        <f aca="false">a26_gp/a26_rev</f>
        <v>0.504690072479769</v>
      </c>
      <c r="E53" s="10" t="n">
        <f aca="false">gm_a+gm_b*LN(E52)</f>
        <v>0.525503854044351</v>
      </c>
      <c r="F53" s="10" t="n">
        <f aca="false">gm_a+gm_b*LN(F52)</f>
        <v>0.530054366629259</v>
      </c>
      <c r="G53" s="10" t="n">
        <f aca="false">gm_a+gm_b*LN(G52)</f>
        <v>0.534964444590398</v>
      </c>
      <c r="H53" s="5" t="s">
        <v>516</v>
      </c>
    </row>
    <row r="54" customFormat="false" ht="15" hidden="false" customHeight="false" outlineLevel="0" collapsed="false">
      <c r="A54" s="5" t="s">
        <v>409</v>
      </c>
      <c r="B54" s="0" t="s">
        <v>31</v>
      </c>
      <c r="C54" s="17" t="n">
        <f aca="false">C52*C53</f>
        <v>8.979059</v>
      </c>
      <c r="D54" s="17" t="n">
        <f aca="false">D52*D53</f>
        <v>11.725308</v>
      </c>
      <c r="E54" s="17" t="n">
        <f aca="false">E52*E53</f>
        <v>18.1836381009569</v>
      </c>
      <c r="F54" s="17" t="n">
        <f aca="false">F52*F53</f>
        <v>20.0101073516955</v>
      </c>
      <c r="G54" s="17" t="n">
        <f aca="false">G52*G53</f>
        <v>22.1853751583387</v>
      </c>
    </row>
    <row r="55" customFormat="false" ht="17.15" hidden="false" customHeight="false" outlineLevel="0" collapsed="false">
      <c r="A55" s="5" t="s">
        <v>415</v>
      </c>
      <c r="B55" s="0" t="s">
        <v>31</v>
      </c>
      <c r="C55" s="17" t="n">
        <f aca="false">a25_opx</f>
        <v>3.078091</v>
      </c>
      <c r="D55" s="17" t="n">
        <f aca="false">a26_opx</f>
        <v>3.525513</v>
      </c>
      <c r="E55" s="17" t="n">
        <f aca="false">opex_fix+opex_var*E52</f>
        <v>4.14690889358399</v>
      </c>
      <c r="F55" s="17" t="n">
        <f aca="false">opex_fix+opex_var*F52</f>
        <v>4.31900137596466</v>
      </c>
      <c r="G55" s="17" t="n">
        <f aca="false">opex_fix+opex_var*G52</f>
        <v>4.52229839242993</v>
      </c>
      <c r="H55" s="5" t="s">
        <v>517</v>
      </c>
    </row>
    <row r="56" customFormat="false" ht="15" hidden="false" customHeight="false" outlineLevel="0" collapsed="false">
      <c r="A56" s="5" t="s">
        <v>417</v>
      </c>
      <c r="B56" s="0" t="s">
        <v>31</v>
      </c>
      <c r="C56" s="17" t="n">
        <f aca="false">C54-C55</f>
        <v>5.900968</v>
      </c>
      <c r="D56" s="17" t="n">
        <f aca="false">D54-D55</f>
        <v>8.199795</v>
      </c>
      <c r="E56" s="17" t="n">
        <f aca="false">E54-E55</f>
        <v>14.0367292073729</v>
      </c>
      <c r="F56" s="17" t="n">
        <f aca="false">F54-F55</f>
        <v>15.6911059757308</v>
      </c>
      <c r="G56" s="17" t="n">
        <f aca="false">G54-G55</f>
        <v>17.6630767659088</v>
      </c>
    </row>
    <row r="57" customFormat="false" ht="15" hidden="false" customHeight="false" outlineLevel="0" collapsed="false">
      <c r="A57" s="5" t="s">
        <v>418</v>
      </c>
      <c r="B57" s="0" t="s">
        <v>212</v>
      </c>
      <c r="C57" s="10" t="n">
        <f aca="false">C56/C52</f>
        <v>0.320085643036884</v>
      </c>
      <c r="D57" s="10" t="n">
        <f aca="false">D56/D52</f>
        <v>0.35294212594409</v>
      </c>
      <c r="E57" s="10" t="n">
        <f aca="false">E56/E52</f>
        <v>0.405658936660381</v>
      </c>
      <c r="F57" s="10" t="n">
        <f aca="false">F56/F52</f>
        <v>0.415646907510161</v>
      </c>
      <c r="G57" s="10" t="n">
        <f aca="false">G56/G52</f>
        <v>0.425916532147547</v>
      </c>
    </row>
    <row r="58" customFormat="false" ht="15" hidden="false" customHeight="false" outlineLevel="0" collapsed="false">
      <c r="A58" s="5" t="s">
        <v>422</v>
      </c>
      <c r="B58" s="0" t="s">
        <v>31</v>
      </c>
      <c r="C58" s="17" t="n">
        <f aca="false">a25_ni</f>
        <v>5.358217</v>
      </c>
      <c r="D58" s="17" t="n">
        <f aca="false">a26_ni</f>
        <v>7.265396</v>
      </c>
      <c r="E58" s="17" t="n">
        <f aca="false">(E56+oth_inc)*(1-tax)</f>
        <v>11.8041688881564</v>
      </c>
      <c r="F58" s="17" t="n">
        <f aca="false">(F56+oth_inc)*(1-tax)</f>
        <v>13.1855734897352</v>
      </c>
      <c r="G58" s="17" t="n">
        <f aca="false">(G56+oth_inc)*(1-tax)</f>
        <v>14.8321690995338</v>
      </c>
    </row>
    <row r="59" customFormat="false" ht="15" hidden="false" customHeight="false" outlineLevel="0" collapsed="false">
      <c r="A59" s="5" t="s">
        <v>518</v>
      </c>
      <c r="B59" s="5" t="s">
        <v>288</v>
      </c>
      <c r="C59" s="19" t="n">
        <f aca="false">a25_dsh</f>
        <v>1.290142</v>
      </c>
      <c r="D59" s="19" t="n">
        <f aca="false">a26_dsh</f>
        <v>1.261102</v>
      </c>
      <c r="E59" s="19" t="n">
        <f aca="false">sh_27</f>
        <v>1.253</v>
      </c>
      <c r="F59" s="19" t="n">
        <f aca="false">E59*(1-bb)</f>
        <v>1.234205</v>
      </c>
      <c r="G59" s="19" t="n">
        <f aca="false">F59*(1-bb)</f>
        <v>1.215691925</v>
      </c>
    </row>
    <row r="60" customFormat="false" ht="17.15" hidden="false" customHeight="false" outlineLevel="0" collapsed="false">
      <c r="A60" s="0" t="s">
        <v>494</v>
      </c>
      <c r="B60" s="0" t="s">
        <v>308</v>
      </c>
      <c r="C60" s="13" t="n">
        <f aca="false">a25_eps</f>
        <v>4.15</v>
      </c>
      <c r="D60" s="13" t="n">
        <f aca="false">a26_eps</f>
        <v>5.76</v>
      </c>
      <c r="E60" s="13" t="n">
        <f aca="false">E58/E59</f>
        <v>9.42072536963797</v>
      </c>
      <c r="F60" s="13" t="n">
        <f aca="false">F58/F59</f>
        <v>10.6834549282617</v>
      </c>
      <c r="G60" s="13" t="n">
        <f aca="false">G58/G59</f>
        <v>12.2005985188508</v>
      </c>
    </row>
    <row r="61" customFormat="false" ht="15" hidden="false" customHeight="false" outlineLevel="0" collapsed="false">
      <c r="A61" s="5" t="s">
        <v>519</v>
      </c>
      <c r="B61" s="0" t="s">
        <v>212</v>
      </c>
      <c r="C61" s="10" t="n">
        <f aca="false">C50/C52</f>
        <v>0.623320402367356</v>
      </c>
      <c r="D61" s="10" t="n">
        <f aca="false">D50/D52</f>
        <v>0.640713064221147</v>
      </c>
      <c r="E61" s="10" t="n">
        <f aca="false">E50/E52</f>
        <v>0.697479442127972</v>
      </c>
      <c r="F61" s="10" t="n">
        <f aca="false">F50/F52</f>
        <v>0.691421760671098</v>
      </c>
      <c r="G61" s="10" t="n">
        <f aca="false">G50/G52</f>
        <v>0.685391492329042</v>
      </c>
    </row>
    <row r="64" customFormat="false" ht="17.15" hidden="false" customHeight="false" outlineLevel="0" collapsed="false">
      <c r="A64" s="3" t="s">
        <v>520</v>
      </c>
    </row>
    <row r="65" customFormat="false" ht="17.15" hidden="false" customHeight="false" outlineLevel="0" collapsed="false">
      <c r="A65" s="6" t="s">
        <v>20</v>
      </c>
      <c r="B65" s="6" t="s">
        <v>21</v>
      </c>
      <c r="C65" s="14" t="s">
        <v>499</v>
      </c>
      <c r="D65" s="14" t="s">
        <v>500</v>
      </c>
      <c r="E65" s="14" t="s">
        <v>501</v>
      </c>
      <c r="F65" s="14" t="s">
        <v>502</v>
      </c>
      <c r="G65" s="14" t="s">
        <v>503</v>
      </c>
      <c r="H65" s="6" t="s">
        <v>457</v>
      </c>
    </row>
    <row r="66" customFormat="false" ht="17.15" hidden="false" customHeight="false" outlineLevel="0" collapsed="false">
      <c r="A66" s="1" t="s">
        <v>504</v>
      </c>
    </row>
    <row r="67" customFormat="false" ht="17.15" hidden="false" customHeight="false" outlineLevel="0" collapsed="false">
      <c r="A67" s="5" t="s">
        <v>505</v>
      </c>
      <c r="B67" s="0" t="s">
        <v>31</v>
      </c>
      <c r="D67" s="17" t="n">
        <f aca="false">cy26_fl</f>
        <v>10.96762678</v>
      </c>
      <c r="E67" s="17" t="n">
        <f aca="false">k_fl*(advB_27+oflB_27)*(1+drift)^1</f>
        <v>12.7017609623656</v>
      </c>
      <c r="F67" s="17" t="n">
        <f aca="false">k_fl*(advB_28+oflB_28)*(1+drift)^2</f>
        <v>12.7017609623656</v>
      </c>
      <c r="G67" s="17" t="n">
        <f aca="false">k_fl*(advB_29+oflB_29)*(1+drift)^3</f>
        <v>12.0666729142473</v>
      </c>
      <c r="H67" s="8" t="s">
        <v>506</v>
      </c>
    </row>
    <row r="68" customFormat="false" ht="17.15" hidden="false" customHeight="false" outlineLevel="0" collapsed="false">
      <c r="A68" s="5" t="s">
        <v>507</v>
      </c>
      <c r="B68" s="0" t="s">
        <v>31</v>
      </c>
      <c r="D68" s="17" t="n">
        <f aca="false">cy26_dram</f>
        <v>4.35400138</v>
      </c>
      <c r="E68" s="17" t="n">
        <f aca="false">k_dram*dramB_27*(1+drift)^1</f>
        <v>5.89058856743509</v>
      </c>
      <c r="F68" s="17" t="n">
        <f aca="false">k_dram*dramB_28*(1+drift)^2</f>
        <v>5.89058856743509</v>
      </c>
      <c r="G68" s="17" t="n">
        <f aca="false">k_dram*dramB_29*(1+drift)^3</f>
        <v>5.59605913906334</v>
      </c>
      <c r="H68" s="8" t="s">
        <v>506</v>
      </c>
    </row>
    <row r="69" customFormat="false" ht="17.15" hidden="false" customHeight="false" outlineLevel="0" collapsed="false">
      <c r="A69" s="5" t="s">
        <v>508</v>
      </c>
      <c r="B69" s="0" t="s">
        <v>31</v>
      </c>
      <c r="D69" s="17" t="n">
        <f aca="false">cy26_nand</f>
        <v>4.50519784</v>
      </c>
      <c r="E69" s="17" t="n">
        <f aca="false">k_nand*nandB_27*(1+drift)^1</f>
        <v>5.98363389745604</v>
      </c>
      <c r="F69" s="17" t="n">
        <f aca="false">k_nand*nandB_28*(1+drift)^2</f>
        <v>5.98363389745604</v>
      </c>
      <c r="G69" s="17" t="n">
        <f aca="false">k_nand*nandB_29*(1+drift)^3</f>
        <v>5.68445220258324</v>
      </c>
      <c r="H69" s="8" t="s">
        <v>506</v>
      </c>
    </row>
    <row r="70" customFormat="false" ht="17.15" hidden="false" customHeight="false" outlineLevel="0" collapsed="false">
      <c r="A70" s="5" t="s">
        <v>509</v>
      </c>
      <c r="B70" s="0" t="s">
        <v>31</v>
      </c>
      <c r="E70" s="17" t="n">
        <f aca="false">-cn_sh*0*(E67+E68+E69)</f>
        <v>-0</v>
      </c>
      <c r="F70" s="17" t="n">
        <f aca="false">-cn_sh*0*(F67+F68+F69)</f>
        <v>-0</v>
      </c>
      <c r="G70" s="17" t="n">
        <f aca="false">-cn_sh*0*(G67+G68+G69)</f>
        <v>-0</v>
      </c>
      <c r="H70" s="5" t="s">
        <v>510</v>
      </c>
    </row>
    <row r="71" customFormat="false" ht="17.15" hidden="false" customHeight="false" outlineLevel="0" collapsed="false">
      <c r="A71" s="5" t="s">
        <v>511</v>
      </c>
      <c r="B71" s="0" t="s">
        <v>31</v>
      </c>
      <c r="D71" s="17" t="n">
        <f aca="false">SUM(D67:D70)</f>
        <v>19.826826</v>
      </c>
      <c r="E71" s="17" t="n">
        <f aca="false">SUM(E67:E70)</f>
        <v>24.5759834272568</v>
      </c>
      <c r="F71" s="17" t="n">
        <f aca="false">SUM(F67:F70)</f>
        <v>24.5759834272568</v>
      </c>
      <c r="G71" s="17" t="n">
        <f aca="false">SUM(G67:G70)</f>
        <v>23.3471842558939</v>
      </c>
    </row>
    <row r="72" customFormat="false" ht="17.15" hidden="false" customHeight="false" outlineLevel="0" collapsed="false">
      <c r="A72" s="0" t="s">
        <v>512</v>
      </c>
      <c r="B72" s="0" t="s">
        <v>31</v>
      </c>
      <c r="D72" s="17" t="n">
        <f aca="false">cy26_cs</f>
        <v>9.556318</v>
      </c>
      <c r="E72" s="17" t="n">
        <f aca="false">D72*(1+g_cs27)</f>
        <v>10.9897657</v>
      </c>
      <c r="F72" s="17" t="n">
        <f aca="false">E72*(1+g_cs_B)</f>
        <v>11.649151642</v>
      </c>
      <c r="G72" s="17" t="n">
        <f aca="false">F72*(1+g_cs_B)</f>
        <v>12.34810074052</v>
      </c>
      <c r="H72" s="8" t="s">
        <v>513</v>
      </c>
    </row>
    <row r="73" customFormat="false" ht="17.15" hidden="false" customHeight="false" outlineLevel="0" collapsed="false">
      <c r="A73" s="1" t="s">
        <v>514</v>
      </c>
    </row>
    <row r="74" customFormat="false" ht="17.15" hidden="false" customHeight="false" outlineLevel="0" collapsed="false">
      <c r="A74" s="5" t="s">
        <v>449</v>
      </c>
      <c r="B74" s="0" t="s">
        <v>31</v>
      </c>
      <c r="C74" s="17" t="n">
        <f aca="false">a25_sys</f>
        <v>11.49128</v>
      </c>
      <c r="D74" s="17" t="n">
        <f aca="false">a26_sys</f>
        <v>14.885488</v>
      </c>
      <c r="E74" s="17" t="n">
        <f aca="false">h2s26+h1s*E71</f>
        <v>24.1343877136284</v>
      </c>
      <c r="F74" s="17" t="n">
        <f aca="false">(1-h1s)*E71+h1s*F71</f>
        <v>24.5759834272568</v>
      </c>
      <c r="G74" s="17" t="n">
        <f aca="false">(1-h1s)*F71+h1s*G71</f>
        <v>23.9615838415754</v>
      </c>
      <c r="H74" s="8" t="s">
        <v>515</v>
      </c>
    </row>
    <row r="75" customFormat="false" ht="15" hidden="false" customHeight="false" outlineLevel="0" collapsed="false">
      <c r="A75" s="0" t="s">
        <v>451</v>
      </c>
      <c r="B75" s="0" t="s">
        <v>31</v>
      </c>
      <c r="C75" s="17" t="n">
        <f aca="false">a25_cs</f>
        <v>6.944311</v>
      </c>
      <c r="D75" s="17" t="n">
        <f aca="false">a26_cs</f>
        <v>8.347202</v>
      </c>
      <c r="E75" s="17" t="n">
        <f aca="false">h2c26+h1s*E72</f>
        <v>10.46790485</v>
      </c>
      <c r="F75" s="17" t="n">
        <f aca="false">(1-h1s)*E72+h1s*F72</f>
        <v>11.319458671</v>
      </c>
      <c r="G75" s="17" t="n">
        <f aca="false">(1-h1s)*F72+h1s*G72</f>
        <v>11.99862619126</v>
      </c>
    </row>
    <row r="76" customFormat="false" ht="15" hidden="false" customHeight="false" outlineLevel="0" collapsed="false">
      <c r="A76" s="5" t="s">
        <v>405</v>
      </c>
      <c r="B76" s="0" t="s">
        <v>31</v>
      </c>
      <c r="C76" s="17" t="n">
        <f aca="false">C74+C75</f>
        <v>18.435591</v>
      </c>
      <c r="D76" s="17" t="n">
        <f aca="false">D74+D75</f>
        <v>23.23269</v>
      </c>
      <c r="E76" s="17" t="n">
        <f aca="false">E74+E75</f>
        <v>34.6022925636284</v>
      </c>
      <c r="F76" s="17" t="n">
        <f aca="false">F74+F75</f>
        <v>35.8954420982568</v>
      </c>
      <c r="G76" s="17" t="n">
        <f aca="false">G74+G75</f>
        <v>35.9602100328354</v>
      </c>
    </row>
    <row r="77" customFormat="false" ht="17.15" hidden="false" customHeight="false" outlineLevel="0" collapsed="false">
      <c r="A77" s="5" t="s">
        <v>411</v>
      </c>
      <c r="B77" s="0" t="s">
        <v>212</v>
      </c>
      <c r="C77" s="10" t="n">
        <f aca="false">a25_gp/a25_rev</f>
        <v>0.487050238855917</v>
      </c>
      <c r="D77" s="10" t="n">
        <f aca="false">a26_gp/a26_rev</f>
        <v>0.504690072479769</v>
      </c>
      <c r="E77" s="10" t="n">
        <f aca="false">gm_a+gm_b*LN(E76)</f>
        <v>0.525503854044351</v>
      </c>
      <c r="F77" s="10" t="n">
        <f aca="false">gm_a+gm_b*LN(F76)</f>
        <v>0.527420880041177</v>
      </c>
      <c r="G77" s="10" t="n">
        <f aca="false">gm_a+gm_b*LN(G76)</f>
        <v>0.527515070070121</v>
      </c>
      <c r="H77" s="5" t="s">
        <v>516</v>
      </c>
    </row>
    <row r="78" customFormat="false" ht="15" hidden="false" customHeight="false" outlineLevel="0" collapsed="false">
      <c r="A78" s="5" t="s">
        <v>409</v>
      </c>
      <c r="B78" s="0" t="s">
        <v>31</v>
      </c>
      <c r="C78" s="17" t="n">
        <f aca="false">C76*C77</f>
        <v>8.979059</v>
      </c>
      <c r="D78" s="17" t="n">
        <f aca="false">D76*D77</f>
        <v>11.725308</v>
      </c>
      <c r="E78" s="17" t="n">
        <f aca="false">E76*E77</f>
        <v>18.1836381009569</v>
      </c>
      <c r="F78" s="17" t="n">
        <f aca="false">F76*F77</f>
        <v>18.9320056609297</v>
      </c>
      <c r="G78" s="17" t="n">
        <f aca="false">G76*G77</f>
        <v>18.9695527152074</v>
      </c>
    </row>
    <row r="79" customFormat="false" ht="17.15" hidden="false" customHeight="false" outlineLevel="0" collapsed="false">
      <c r="A79" s="5" t="s">
        <v>415</v>
      </c>
      <c r="B79" s="0" t="s">
        <v>31</v>
      </c>
      <c r="C79" s="17" t="n">
        <f aca="false">a25_opx</f>
        <v>3.078091</v>
      </c>
      <c r="D79" s="17" t="n">
        <f aca="false">a26_opx</f>
        <v>3.525513</v>
      </c>
      <c r="E79" s="17" t="n">
        <f aca="false">opex_fix+opex_var*E76</f>
        <v>4.14690889358399</v>
      </c>
      <c r="F79" s="17" t="n">
        <f aca="false">opex_fix+opex_var*F76</f>
        <v>4.21758487421841</v>
      </c>
      <c r="G79" s="17" t="n">
        <f aca="false">opex_fix+opex_var*G76</f>
        <v>4.2211247102292</v>
      </c>
      <c r="H79" s="5" t="s">
        <v>517</v>
      </c>
    </row>
    <row r="80" customFormat="false" ht="15" hidden="false" customHeight="false" outlineLevel="0" collapsed="false">
      <c r="A80" s="5" t="s">
        <v>417</v>
      </c>
      <c r="B80" s="0" t="s">
        <v>31</v>
      </c>
      <c r="C80" s="17" t="n">
        <f aca="false">C78-C79</f>
        <v>5.900968</v>
      </c>
      <c r="D80" s="17" t="n">
        <f aca="false">D78-D79</f>
        <v>8.199795</v>
      </c>
      <c r="E80" s="17" t="n">
        <f aca="false">E78-E79</f>
        <v>14.0367292073729</v>
      </c>
      <c r="F80" s="17" t="n">
        <f aca="false">F78-F79</f>
        <v>14.7144207867113</v>
      </c>
      <c r="G80" s="17" t="n">
        <f aca="false">G78-G79</f>
        <v>14.7484280049782</v>
      </c>
    </row>
    <row r="81" customFormat="false" ht="15" hidden="false" customHeight="false" outlineLevel="0" collapsed="false">
      <c r="A81" s="5" t="s">
        <v>418</v>
      </c>
      <c r="B81" s="0" t="s">
        <v>212</v>
      </c>
      <c r="C81" s="10" t="n">
        <f aca="false">C80/C76</f>
        <v>0.320085643036884</v>
      </c>
      <c r="D81" s="10" t="n">
        <f aca="false">D80/D76</f>
        <v>0.35294212594409</v>
      </c>
      <c r="E81" s="10" t="n">
        <f aca="false">E80/E76</f>
        <v>0.405658936660381</v>
      </c>
      <c r="F81" s="10" t="n">
        <f aca="false">F80/F76</f>
        <v>0.409924489756483</v>
      </c>
      <c r="G81" s="10" t="n">
        <f aca="false">G80/G76</f>
        <v>0.410131864956056</v>
      </c>
    </row>
    <row r="82" customFormat="false" ht="15" hidden="false" customHeight="false" outlineLevel="0" collapsed="false">
      <c r="A82" s="5" t="s">
        <v>422</v>
      </c>
      <c r="B82" s="0" t="s">
        <v>31</v>
      </c>
      <c r="C82" s="17" t="n">
        <f aca="false">a25_ni</f>
        <v>5.358217</v>
      </c>
      <c r="D82" s="17" t="n">
        <f aca="false">a26_ni</f>
        <v>7.265396</v>
      </c>
      <c r="E82" s="17" t="n">
        <f aca="false">(E80+oth_inc)*(1-tax)</f>
        <v>11.8041688881564</v>
      </c>
      <c r="F82" s="17" t="n">
        <f aca="false">(F80+oth_inc)*(1-tax)</f>
        <v>12.3700413569039</v>
      </c>
      <c r="G82" s="17" t="n">
        <f aca="false">(G80+oth_inc)*(1-tax)</f>
        <v>12.3984373841568</v>
      </c>
    </row>
    <row r="83" customFormat="false" ht="15" hidden="false" customHeight="false" outlineLevel="0" collapsed="false">
      <c r="A83" s="5" t="s">
        <v>518</v>
      </c>
      <c r="B83" s="5" t="s">
        <v>288</v>
      </c>
      <c r="C83" s="19" t="n">
        <f aca="false">a25_dsh</f>
        <v>1.290142</v>
      </c>
      <c r="D83" s="19" t="n">
        <f aca="false">a26_dsh</f>
        <v>1.261102</v>
      </c>
      <c r="E83" s="19" t="n">
        <f aca="false">sh_27</f>
        <v>1.253</v>
      </c>
      <c r="F83" s="19" t="n">
        <f aca="false">E83*(1-bb)</f>
        <v>1.234205</v>
      </c>
      <c r="G83" s="19" t="n">
        <f aca="false">F83*(1-bb)</f>
        <v>1.215691925</v>
      </c>
    </row>
    <row r="84" customFormat="false" ht="17.15" hidden="false" customHeight="false" outlineLevel="0" collapsed="false">
      <c r="A84" s="0" t="s">
        <v>494</v>
      </c>
      <c r="B84" s="0" t="s">
        <v>308</v>
      </c>
      <c r="C84" s="13" t="n">
        <f aca="false">a25_eps</f>
        <v>4.15</v>
      </c>
      <c r="D84" s="13" t="n">
        <f aca="false">a26_eps</f>
        <v>5.76</v>
      </c>
      <c r="E84" s="13" t="n">
        <f aca="false">E82/E83</f>
        <v>9.42072536963797</v>
      </c>
      <c r="F84" s="13" t="n">
        <f aca="false">F82/F83</f>
        <v>10.0226796657799</v>
      </c>
      <c r="G84" s="13" t="n">
        <f aca="false">G82/G83</f>
        <v>10.1986672192108</v>
      </c>
    </row>
    <row r="85" customFormat="false" ht="15" hidden="false" customHeight="false" outlineLevel="0" collapsed="false">
      <c r="A85" s="5" t="s">
        <v>519</v>
      </c>
      <c r="B85" s="0" t="s">
        <v>212</v>
      </c>
      <c r="C85" s="10" t="n">
        <f aca="false">C74/C76</f>
        <v>0.623320402367356</v>
      </c>
      <c r="D85" s="10" t="n">
        <f aca="false">D74/D76</f>
        <v>0.640713064221147</v>
      </c>
      <c r="E85" s="10" t="n">
        <f aca="false">E74/E76</f>
        <v>0.697479442127972</v>
      </c>
      <c r="F85" s="10" t="n">
        <f aca="false">F74/F76</f>
        <v>0.684654707970578</v>
      </c>
      <c r="G85" s="10" t="n">
        <f aca="false">G74/G76</f>
        <v>0.666336036961296</v>
      </c>
    </row>
    <row r="88" customFormat="false" ht="17.15" hidden="false" customHeight="false" outlineLevel="0" collapsed="false">
      <c r="A88" s="3" t="s">
        <v>521</v>
      </c>
    </row>
    <row r="89" customFormat="false" ht="17.15" hidden="false" customHeight="false" outlineLevel="0" collapsed="false">
      <c r="A89" s="6" t="s">
        <v>20</v>
      </c>
      <c r="B89" s="6" t="s">
        <v>21</v>
      </c>
      <c r="C89" s="14" t="s">
        <v>499</v>
      </c>
      <c r="D89" s="14" t="s">
        <v>500</v>
      </c>
      <c r="E89" s="14" t="s">
        <v>501</v>
      </c>
      <c r="F89" s="14" t="s">
        <v>502</v>
      </c>
      <c r="G89" s="14" t="s">
        <v>503</v>
      </c>
      <c r="H89" s="6" t="s">
        <v>457</v>
      </c>
    </row>
    <row r="90" customFormat="false" ht="17.15" hidden="false" customHeight="false" outlineLevel="0" collapsed="false">
      <c r="A90" s="1" t="s">
        <v>504</v>
      </c>
    </row>
    <row r="91" customFormat="false" ht="17.15" hidden="false" customHeight="false" outlineLevel="0" collapsed="false">
      <c r="A91" s="5" t="s">
        <v>505</v>
      </c>
      <c r="B91" s="0" t="s">
        <v>31</v>
      </c>
      <c r="D91" s="17" t="n">
        <f aca="false">cy26_fl</f>
        <v>10.96762678</v>
      </c>
      <c r="E91" s="17" t="n">
        <f aca="false">k_fl*(advC_27+oflC_27)*(1+drift)^1</f>
        <v>12.7017609623656</v>
      </c>
      <c r="F91" s="17" t="n">
        <f aca="false">k_fl*(advC_28+oflC_28)*(1+drift)^2</f>
        <v>10.1614087698925</v>
      </c>
      <c r="G91" s="17" t="n">
        <f aca="false">k_fl*(advC_29+oflC_29)*(1+drift)^3</f>
        <v>10.1614087698925</v>
      </c>
      <c r="H91" s="8" t="s">
        <v>506</v>
      </c>
    </row>
    <row r="92" customFormat="false" ht="17.15" hidden="false" customHeight="false" outlineLevel="0" collapsed="false">
      <c r="A92" s="5" t="s">
        <v>507</v>
      </c>
      <c r="B92" s="0" t="s">
        <v>31</v>
      </c>
      <c r="D92" s="17" t="n">
        <f aca="false">cy26_dram</f>
        <v>4.35400138</v>
      </c>
      <c r="E92" s="17" t="n">
        <f aca="false">k_dram*dramC_27*(1+drift)^1</f>
        <v>5.89058856743509</v>
      </c>
      <c r="F92" s="17" t="n">
        <f aca="false">k_dram*dramC_28*(1+drift)^2</f>
        <v>4.71247085394807</v>
      </c>
      <c r="G92" s="17" t="n">
        <f aca="false">k_dram*dramC_29*(1+drift)^3</f>
        <v>4.71247085394807</v>
      </c>
      <c r="H92" s="8" t="s">
        <v>506</v>
      </c>
    </row>
    <row r="93" customFormat="false" ht="17.15" hidden="false" customHeight="false" outlineLevel="0" collapsed="false">
      <c r="A93" s="5" t="s">
        <v>508</v>
      </c>
      <c r="B93" s="0" t="s">
        <v>31</v>
      </c>
      <c r="D93" s="17" t="n">
        <f aca="false">cy26_nand</f>
        <v>4.50519784</v>
      </c>
      <c r="E93" s="17" t="n">
        <f aca="false">k_nand*nandC_27*(1+drift)^1</f>
        <v>5.98363389745604</v>
      </c>
      <c r="F93" s="17" t="n">
        <f aca="false">k_nand*nandC_28*(1+drift)^2</f>
        <v>4.78690711796484</v>
      </c>
      <c r="G93" s="17" t="n">
        <f aca="false">k_nand*nandC_29*(1+drift)^3</f>
        <v>4.78690711796484</v>
      </c>
      <c r="H93" s="8" t="s">
        <v>506</v>
      </c>
    </row>
    <row r="94" customFormat="false" ht="17.15" hidden="false" customHeight="false" outlineLevel="0" collapsed="false">
      <c r="A94" s="5" t="s">
        <v>509</v>
      </c>
      <c r="B94" s="0" t="s">
        <v>31</v>
      </c>
      <c r="E94" s="17" t="n">
        <f aca="false">-cn_sh*0*(E91+E92+E93)</f>
        <v>-0</v>
      </c>
      <c r="F94" s="17" t="n">
        <f aca="false">-cn_sh*cutC*(F91+F92+F93)</f>
        <v>-1.33693349844277</v>
      </c>
      <c r="G94" s="17" t="n">
        <f aca="false">-cn_sh*cutC*(G91+G92+G93)</f>
        <v>-1.33693349844277</v>
      </c>
      <c r="H94" s="5" t="s">
        <v>510</v>
      </c>
    </row>
    <row r="95" customFormat="false" ht="17.15" hidden="false" customHeight="false" outlineLevel="0" collapsed="false">
      <c r="A95" s="5" t="s">
        <v>511</v>
      </c>
      <c r="B95" s="0" t="s">
        <v>31</v>
      </c>
      <c r="D95" s="17" t="n">
        <f aca="false">SUM(D91:D94)</f>
        <v>19.826826</v>
      </c>
      <c r="E95" s="17" t="n">
        <f aca="false">SUM(E91:E94)</f>
        <v>24.5759834272568</v>
      </c>
      <c r="F95" s="17" t="n">
        <f aca="false">SUM(F91:F94)</f>
        <v>18.3238532433627</v>
      </c>
      <c r="G95" s="17" t="n">
        <f aca="false">SUM(G91:G94)</f>
        <v>18.3238532433627</v>
      </c>
    </row>
    <row r="96" customFormat="false" ht="17.15" hidden="false" customHeight="false" outlineLevel="0" collapsed="false">
      <c r="A96" s="0" t="s">
        <v>512</v>
      </c>
      <c r="B96" s="0" t="s">
        <v>31</v>
      </c>
      <c r="D96" s="17" t="n">
        <f aca="false">cy26_cs</f>
        <v>9.556318</v>
      </c>
      <c r="E96" s="17" t="n">
        <f aca="false">D96*(1+g_cs27)</f>
        <v>10.9897657</v>
      </c>
      <c r="F96" s="17" t="n">
        <f aca="false">E96*(1+g_cs_C)</f>
        <v>10.660072729</v>
      </c>
      <c r="G96" s="17" t="n">
        <f aca="false">F96*(1+g_cs_C)</f>
        <v>10.34027054713</v>
      </c>
      <c r="H96" s="8" t="s">
        <v>513</v>
      </c>
    </row>
    <row r="97" customFormat="false" ht="17.15" hidden="false" customHeight="false" outlineLevel="0" collapsed="false">
      <c r="A97" s="1" t="s">
        <v>514</v>
      </c>
    </row>
    <row r="98" customFormat="false" ht="17.15" hidden="false" customHeight="false" outlineLevel="0" collapsed="false">
      <c r="A98" s="5" t="s">
        <v>449</v>
      </c>
      <c r="B98" s="0" t="s">
        <v>31</v>
      </c>
      <c r="C98" s="17" t="n">
        <f aca="false">a25_sys</f>
        <v>11.49128</v>
      </c>
      <c r="D98" s="17" t="n">
        <f aca="false">a26_sys</f>
        <v>14.885488</v>
      </c>
      <c r="E98" s="17" t="n">
        <f aca="false">h2s26+h1s*E95</f>
        <v>24.1343877136284</v>
      </c>
      <c r="F98" s="17" t="n">
        <f aca="false">(1-h1s)*E95+h1s*F95</f>
        <v>21.4499183353097</v>
      </c>
      <c r="G98" s="17" t="n">
        <f aca="false">(1-h1s)*F95+h1s*G95</f>
        <v>18.3238532433627</v>
      </c>
      <c r="H98" s="8" t="s">
        <v>515</v>
      </c>
    </row>
    <row r="99" customFormat="false" ht="15" hidden="false" customHeight="false" outlineLevel="0" collapsed="false">
      <c r="A99" s="0" t="s">
        <v>451</v>
      </c>
      <c r="B99" s="0" t="s">
        <v>31</v>
      </c>
      <c r="C99" s="17" t="n">
        <f aca="false">a25_cs</f>
        <v>6.944311</v>
      </c>
      <c r="D99" s="17" t="n">
        <f aca="false">a26_cs</f>
        <v>8.347202</v>
      </c>
      <c r="E99" s="17" t="n">
        <f aca="false">h2c26+h1s*E96</f>
        <v>10.46790485</v>
      </c>
      <c r="F99" s="17" t="n">
        <f aca="false">(1-h1s)*E96+h1s*F96</f>
        <v>10.8249192145</v>
      </c>
      <c r="G99" s="17" t="n">
        <f aca="false">(1-h1s)*F96+h1s*G96</f>
        <v>10.500171638065</v>
      </c>
    </row>
    <row r="100" customFormat="false" ht="15" hidden="false" customHeight="false" outlineLevel="0" collapsed="false">
      <c r="A100" s="5" t="s">
        <v>405</v>
      </c>
      <c r="B100" s="0" t="s">
        <v>31</v>
      </c>
      <c r="C100" s="17" t="n">
        <f aca="false">C98+C99</f>
        <v>18.435591</v>
      </c>
      <c r="D100" s="17" t="n">
        <f aca="false">D98+D99</f>
        <v>23.23269</v>
      </c>
      <c r="E100" s="17" t="n">
        <f aca="false">E98+E99</f>
        <v>34.6022925636284</v>
      </c>
      <c r="F100" s="17" t="n">
        <f aca="false">F98+F99</f>
        <v>32.2748375498097</v>
      </c>
      <c r="G100" s="17" t="n">
        <f aca="false">G98+G99</f>
        <v>28.8240248814277</v>
      </c>
    </row>
    <row r="101" customFormat="false" ht="17.15" hidden="false" customHeight="false" outlineLevel="0" collapsed="false">
      <c r="A101" s="5" t="s">
        <v>411</v>
      </c>
      <c r="B101" s="0" t="s">
        <v>212</v>
      </c>
      <c r="C101" s="10" t="n">
        <f aca="false">a25_gp/a25_rev</f>
        <v>0.487050238855917</v>
      </c>
      <c r="D101" s="10" t="n">
        <f aca="false">a26_gp/a26_rev</f>
        <v>0.504690072479769</v>
      </c>
      <c r="E101" s="10" t="n">
        <f aca="false">gm_a+gm_b*LN(E100)</f>
        <v>0.525503854044351</v>
      </c>
      <c r="F101" s="10" t="n">
        <f aca="false">gm_a+gm_b*LN(F100)</f>
        <v>0.521865668906637</v>
      </c>
      <c r="G101" s="10" t="n">
        <f aca="false">gm_a+gm_b*LN(G100)</f>
        <v>0.515957452643486</v>
      </c>
      <c r="H101" s="5" t="s">
        <v>516</v>
      </c>
    </row>
    <row r="102" customFormat="false" ht="15" hidden="false" customHeight="false" outlineLevel="0" collapsed="false">
      <c r="A102" s="5" t="s">
        <v>409</v>
      </c>
      <c r="B102" s="0" t="s">
        <v>31</v>
      </c>
      <c r="C102" s="17" t="n">
        <f aca="false">C100*C101</f>
        <v>8.979059</v>
      </c>
      <c r="D102" s="17" t="n">
        <f aca="false">D100*D101</f>
        <v>11.725308</v>
      </c>
      <c r="E102" s="17" t="n">
        <f aca="false">E100*E101</f>
        <v>18.1836381009569</v>
      </c>
      <c r="F102" s="17" t="n">
        <f aca="false">F100*F101</f>
        <v>16.8431296867845</v>
      </c>
      <c r="G102" s="17" t="n">
        <f aca="false">G100*G101</f>
        <v>14.8719704527539</v>
      </c>
    </row>
    <row r="103" customFormat="false" ht="17.15" hidden="false" customHeight="false" outlineLevel="0" collapsed="false">
      <c r="A103" s="5" t="s">
        <v>415</v>
      </c>
      <c r="B103" s="0" t="s">
        <v>31</v>
      </c>
      <c r="C103" s="17" t="n">
        <f aca="false">a25_opx</f>
        <v>3.078091</v>
      </c>
      <c r="D103" s="17" t="n">
        <f aca="false">a26_opx</f>
        <v>3.525513</v>
      </c>
      <c r="E103" s="17" t="n">
        <f aca="false">opex_fix+opex_var*E100</f>
        <v>4.14690889358399</v>
      </c>
      <c r="F103" s="17" t="n">
        <f aca="false">opex_fix+opex_var*F100</f>
        <v>4.01970383254562</v>
      </c>
      <c r="G103" s="17" t="n">
        <f aca="false">opex_fix+opex_var*G100</f>
        <v>3.83110262070379</v>
      </c>
      <c r="H103" s="5" t="s">
        <v>517</v>
      </c>
    </row>
    <row r="104" customFormat="false" ht="15" hidden="false" customHeight="false" outlineLevel="0" collapsed="false">
      <c r="A104" s="5" t="s">
        <v>417</v>
      </c>
      <c r="B104" s="0" t="s">
        <v>31</v>
      </c>
      <c r="C104" s="17" t="n">
        <f aca="false">C102-C103</f>
        <v>5.900968</v>
      </c>
      <c r="D104" s="17" t="n">
        <f aca="false">D102-D103</f>
        <v>8.199795</v>
      </c>
      <c r="E104" s="17" t="n">
        <f aca="false">E102-E103</f>
        <v>14.0367292073729</v>
      </c>
      <c r="F104" s="17" t="n">
        <f aca="false">F102-F103</f>
        <v>12.8234258542389</v>
      </c>
      <c r="G104" s="17" t="n">
        <f aca="false">G102-G103</f>
        <v>11.0408678320501</v>
      </c>
    </row>
    <row r="105" customFormat="false" ht="15" hidden="false" customHeight="false" outlineLevel="0" collapsed="false">
      <c r="A105" s="5" t="s">
        <v>418</v>
      </c>
      <c r="B105" s="0" t="s">
        <v>212</v>
      </c>
      <c r="C105" s="10" t="n">
        <f aca="false">C104/C100</f>
        <v>0.320085643036884</v>
      </c>
      <c r="D105" s="10" t="n">
        <f aca="false">D104/D100</f>
        <v>0.35294212594409</v>
      </c>
      <c r="E105" s="10" t="n">
        <f aca="false">E104/E100</f>
        <v>0.405658936660381</v>
      </c>
      <c r="F105" s="10" t="n">
        <f aca="false">F104/F100</f>
        <v>0.397319609570413</v>
      </c>
      <c r="G105" s="10" t="n">
        <f aca="false">G104/G100</f>
        <v>0.38304393218742</v>
      </c>
    </row>
    <row r="106" customFormat="false" ht="15" hidden="false" customHeight="false" outlineLevel="0" collapsed="false">
      <c r="A106" s="5" t="s">
        <v>422</v>
      </c>
      <c r="B106" s="0" t="s">
        <v>31</v>
      </c>
      <c r="C106" s="17" t="n">
        <f aca="false">a25_ni</f>
        <v>5.358217</v>
      </c>
      <c r="D106" s="17" t="n">
        <f aca="false">a26_ni</f>
        <v>7.265396</v>
      </c>
      <c r="E106" s="17" t="n">
        <f aca="false">(E104+oth_inc)*(1-tax)</f>
        <v>11.8041688881564</v>
      </c>
      <c r="F106" s="17" t="n">
        <f aca="false">(F104+oth_inc)*(1-tax)</f>
        <v>10.7910605882895</v>
      </c>
      <c r="G106" s="17" t="n">
        <f aca="false">(G104+oth_inc)*(1-tax)</f>
        <v>9.30262463976181</v>
      </c>
    </row>
    <row r="107" customFormat="false" ht="15" hidden="false" customHeight="false" outlineLevel="0" collapsed="false">
      <c r="A107" s="5" t="s">
        <v>518</v>
      </c>
      <c r="B107" s="5" t="s">
        <v>288</v>
      </c>
      <c r="C107" s="19" t="n">
        <f aca="false">a25_dsh</f>
        <v>1.290142</v>
      </c>
      <c r="D107" s="19" t="n">
        <f aca="false">a26_dsh</f>
        <v>1.261102</v>
      </c>
      <c r="E107" s="19" t="n">
        <f aca="false">sh_27</f>
        <v>1.253</v>
      </c>
      <c r="F107" s="19" t="n">
        <f aca="false">E107*(1-bb)</f>
        <v>1.234205</v>
      </c>
      <c r="G107" s="19" t="n">
        <f aca="false">F107*(1-bb)</f>
        <v>1.215691925</v>
      </c>
    </row>
    <row r="108" customFormat="false" ht="17.15" hidden="false" customHeight="false" outlineLevel="0" collapsed="false">
      <c r="A108" s="0" t="s">
        <v>494</v>
      </c>
      <c r="B108" s="0" t="s">
        <v>308</v>
      </c>
      <c r="C108" s="13" t="n">
        <f aca="false">a25_eps</f>
        <v>4.15</v>
      </c>
      <c r="D108" s="13" t="n">
        <f aca="false">a26_eps</f>
        <v>5.76</v>
      </c>
      <c r="E108" s="13" t="n">
        <f aca="false">E106/E107</f>
        <v>9.42072536963797</v>
      </c>
      <c r="F108" s="13" t="n">
        <f aca="false">F106/F107</f>
        <v>8.74332917812638</v>
      </c>
      <c r="G108" s="13" t="n">
        <f aca="false">G106/G107</f>
        <v>7.6521234109224</v>
      </c>
    </row>
    <row r="109" customFormat="false" ht="15" hidden="false" customHeight="false" outlineLevel="0" collapsed="false">
      <c r="A109" s="5" t="s">
        <v>519</v>
      </c>
      <c r="B109" s="0" t="s">
        <v>212</v>
      </c>
      <c r="C109" s="10" t="n">
        <f aca="false">C98/C100</f>
        <v>0.623320402367356</v>
      </c>
      <c r="D109" s="10" t="n">
        <f aca="false">D98/D100</f>
        <v>0.640713064221147</v>
      </c>
      <c r="E109" s="10" t="n">
        <f aca="false">E98/E100</f>
        <v>0.697479442127972</v>
      </c>
      <c r="F109" s="10" t="n">
        <f aca="false">F98/F100</f>
        <v>0.664601899303322</v>
      </c>
      <c r="G109" s="10" t="n">
        <f aca="false">G98/G100</f>
        <v>0.635714592904385</v>
      </c>
    </row>
    <row r="112" customFormat="false" ht="17.15" hidden="false" customHeight="false" outlineLevel="0" collapsed="false">
      <c r="A112" s="3" t="s">
        <v>522</v>
      </c>
    </row>
    <row r="113" customFormat="false" ht="17.15" hidden="false" customHeight="false" outlineLevel="0" collapsed="false">
      <c r="A113" s="5" t="s">
        <v>523</v>
      </c>
    </row>
    <row r="114" customFormat="false" ht="17.15" hidden="false" customHeight="false" outlineLevel="0" collapsed="false">
      <c r="A114" s="6" t="s">
        <v>524</v>
      </c>
      <c r="B114" s="6" t="s">
        <v>21</v>
      </c>
      <c r="C114" s="14" t="s">
        <v>486</v>
      </c>
      <c r="D114" s="14" t="s">
        <v>487</v>
      </c>
      <c r="E114" s="14" t="s">
        <v>488</v>
      </c>
      <c r="F114" s="14" t="s">
        <v>489</v>
      </c>
      <c r="G114" s="14" t="s">
        <v>490</v>
      </c>
      <c r="H114" s="14" t="s">
        <v>525</v>
      </c>
      <c r="I114" s="14" t="s">
        <v>526</v>
      </c>
      <c r="J114" s="14" t="s">
        <v>527</v>
      </c>
      <c r="K114" s="6" t="s">
        <v>457</v>
      </c>
    </row>
    <row r="115" customFormat="false" ht="17.15" hidden="false" customHeight="false" outlineLevel="0" collapsed="false">
      <c r="A115" s="3" t="s">
        <v>528</v>
      </c>
    </row>
    <row r="116" customFormat="false" ht="17.15" hidden="false" customHeight="false" outlineLevel="0" collapsed="false">
      <c r="A116" s="5" t="s">
        <v>405</v>
      </c>
      <c r="B116" s="0" t="s">
        <v>31</v>
      </c>
      <c r="C116" s="22" t="n">
        <f aca="false">C5</f>
        <v>18.435591</v>
      </c>
      <c r="D116" s="22" t="n">
        <f aca="false">D5</f>
        <v>23.23269</v>
      </c>
      <c r="E116" s="22" t="n">
        <f aca="false">E5</f>
        <v>34.6022925636284</v>
      </c>
      <c r="F116" s="22" t="n">
        <f aca="false">F5</f>
        <v>37.7510470839896</v>
      </c>
      <c r="G116" s="22" t="n">
        <f aca="false">G5</f>
        <v>41.4707470424977</v>
      </c>
      <c r="H116" s="23" t="n">
        <f aca="false">G116*(1+H117)</f>
        <v>45.0243025122197</v>
      </c>
      <c r="I116" s="23" t="n">
        <f aca="false">H116*(1+I117)</f>
        <v>48.3040582855953</v>
      </c>
      <c r="J116" s="23" t="n">
        <f aca="false">I116*(1+J117)</f>
        <v>51.2023017827311</v>
      </c>
      <c r="K116" s="8" t="s">
        <v>529</v>
      </c>
    </row>
    <row r="117" customFormat="false" ht="15" hidden="false" customHeight="false" outlineLevel="0" collapsed="false">
      <c r="A117" s="5" t="s">
        <v>530</v>
      </c>
      <c r="B117" s="0" t="s">
        <v>212</v>
      </c>
      <c r="D117" s="10" t="n">
        <f aca="false">D116/C116-1</f>
        <v>0.26020858240997</v>
      </c>
      <c r="E117" s="10" t="n">
        <f aca="false">E116/D116-1</f>
        <v>0.48937951496914</v>
      </c>
      <c r="F117" s="10" t="n">
        <f aca="false">F116/E116-1</f>
        <v>0.0909984364351344</v>
      </c>
      <c r="G117" s="10" t="n">
        <f aca="false">G116/F116-1</f>
        <v>0.0985323652144636</v>
      </c>
      <c r="H117" s="24" t="n">
        <f aca="false">$G117+((tp_g+0.02)-$G117)*1/3</f>
        <v>0.0856882434763091</v>
      </c>
      <c r="I117" s="24" t="n">
        <f aca="false">$G117+((tp_g+0.02)-$G117)*2/3</f>
        <v>0.0728441217381545</v>
      </c>
      <c r="J117" s="24" t="n">
        <f aca="false">$G117+((tp_g+0.02)-$G117)*3/3</f>
        <v>0.06</v>
      </c>
    </row>
    <row r="118" customFormat="false" ht="17.15" hidden="false" customHeight="false" outlineLevel="0" collapsed="false">
      <c r="A118" s="5" t="s">
        <v>531</v>
      </c>
      <c r="B118" s="0" t="s">
        <v>212</v>
      </c>
      <c r="C118" s="10" t="n">
        <f aca="false">C119/C116</f>
        <v>0.2906452524359</v>
      </c>
      <c r="D118" s="10" t="n">
        <f aca="false">D119/D116</f>
        <v>0.312722977838554</v>
      </c>
      <c r="E118" s="10" t="n">
        <f aca="false">E119/E116</f>
        <v>0.341138347017045</v>
      </c>
      <c r="F118" s="10" t="n">
        <f aca="false">F119/F116</f>
        <v>0.349277026949731</v>
      </c>
      <c r="G118" s="10" t="n">
        <f aca="false">G119/G116</f>
        <v>0.357653771810147</v>
      </c>
      <c r="H118" s="24" t="n">
        <f aca="false">$G118+($G118-$G118)*1/3</f>
        <v>0.357653771810147</v>
      </c>
      <c r="I118" s="24" t="n">
        <f aca="false">$G118+($G118-$G118)*2/3</f>
        <v>0.357653771810147</v>
      </c>
      <c r="J118" s="24" t="n">
        <f aca="false">$G118+($G118-$G118)*3/3</f>
        <v>0.357653771810147</v>
      </c>
    </row>
    <row r="119" customFormat="false" ht="15" hidden="false" customHeight="false" outlineLevel="0" collapsed="false">
      <c r="A119" s="5" t="s">
        <v>532</v>
      </c>
      <c r="B119" s="0" t="s">
        <v>31</v>
      </c>
      <c r="C119" s="22" t="n">
        <f aca="false">C11</f>
        <v>5.358217</v>
      </c>
      <c r="D119" s="22" t="n">
        <f aca="false">D11</f>
        <v>7.265396</v>
      </c>
      <c r="E119" s="22" t="n">
        <f aca="false">E11</f>
        <v>11.8041688881564</v>
      </c>
      <c r="F119" s="22" t="n">
        <f aca="false">F11</f>
        <v>13.1855734897352</v>
      </c>
      <c r="G119" s="22" t="n">
        <f aca="false">G11</f>
        <v>14.8321690995338</v>
      </c>
      <c r="H119" s="23" t="n">
        <f aca="false">H116*H118</f>
        <v>16.1031116166165</v>
      </c>
      <c r="I119" s="23" t="n">
        <f aca="false">I116*I118</f>
        <v>17.2761286395804</v>
      </c>
      <c r="J119" s="23" t="n">
        <f aca="false">J116*J118</f>
        <v>18.3126963579552</v>
      </c>
    </row>
    <row r="120" customFormat="false" ht="17.15" hidden="false" customHeight="false" outlineLevel="0" collapsed="false">
      <c r="A120" s="0" t="s">
        <v>533</v>
      </c>
      <c r="B120" s="0" t="s">
        <v>308</v>
      </c>
      <c r="C120" s="13" t="n">
        <f aca="false">C12</f>
        <v>4.15</v>
      </c>
      <c r="D120" s="13" t="n">
        <f aca="false">D12</f>
        <v>5.76</v>
      </c>
      <c r="E120" s="13" t="n">
        <f aca="false">E12</f>
        <v>9.42072536963797</v>
      </c>
      <c r="F120" s="13" t="n">
        <f aca="false">F12</f>
        <v>10.6834549282617</v>
      </c>
      <c r="G120" s="13" t="n">
        <f aca="false">G12</f>
        <v>12.2005985188508</v>
      </c>
      <c r="H120" s="25" t="n">
        <f aca="false">$G120*H119/$G119</f>
        <v>13.2460463752907</v>
      </c>
      <c r="I120" s="25" t="n">
        <f aca="false">$G120*I119/$G119</f>
        <v>14.2109429900017</v>
      </c>
      <c r="J120" s="25" t="n">
        <f aca="false">$G120*J119/$G119</f>
        <v>15.0635995694018</v>
      </c>
    </row>
    <row r="122" customFormat="false" ht="17.15" hidden="false" customHeight="false" outlineLevel="0" collapsed="false">
      <c r="A122" s="3" t="s">
        <v>534</v>
      </c>
    </row>
    <row r="123" customFormat="false" ht="17.15" hidden="false" customHeight="false" outlineLevel="0" collapsed="false">
      <c r="A123" s="5" t="s">
        <v>405</v>
      </c>
      <c r="B123" s="0" t="s">
        <v>31</v>
      </c>
      <c r="C123" s="22" t="n">
        <f aca="false">C15</f>
        <v>18.435591</v>
      </c>
      <c r="D123" s="22" t="n">
        <f aca="false">D15</f>
        <v>23.23269</v>
      </c>
      <c r="E123" s="22" t="n">
        <f aca="false">E15</f>
        <v>34.6022925636284</v>
      </c>
      <c r="F123" s="22" t="n">
        <f aca="false">F15</f>
        <v>35.8954420982568</v>
      </c>
      <c r="G123" s="22" t="n">
        <f aca="false">G15</f>
        <v>35.9602100328354</v>
      </c>
      <c r="H123" s="23" t="n">
        <f aca="false">G123*(1+H124)</f>
        <v>36.4829360323331</v>
      </c>
      <c r="I123" s="23" t="n">
        <f aca="false">H123*(1+I124)</f>
        <v>37.4777569862467</v>
      </c>
      <c r="J123" s="23" t="n">
        <f aca="false">I123*(1+J124)</f>
        <v>38.9768672656966</v>
      </c>
      <c r="K123" s="8" t="s">
        <v>529</v>
      </c>
    </row>
    <row r="124" customFormat="false" ht="15" hidden="false" customHeight="false" outlineLevel="0" collapsed="false">
      <c r="A124" s="5" t="s">
        <v>530</v>
      </c>
      <c r="B124" s="0" t="s">
        <v>212</v>
      </c>
      <c r="D124" s="10" t="n">
        <f aca="false">D123/C123-1</f>
        <v>0.26020858240997</v>
      </c>
      <c r="E124" s="10" t="n">
        <f aca="false">E123/D123-1</f>
        <v>0.48937951496914</v>
      </c>
      <c r="F124" s="10" t="n">
        <f aca="false">F123/E123-1</f>
        <v>0.0373717877869069</v>
      </c>
      <c r="G124" s="10" t="n">
        <f aca="false">G123/F123-1</f>
        <v>0.00180434982250111</v>
      </c>
      <c r="H124" s="24" t="n">
        <f aca="false">$G124+((tp_g)-$G124)*1/3</f>
        <v>0.0145362332150007</v>
      </c>
      <c r="I124" s="24" t="n">
        <f aca="false">$G124+((tp_g)-$G124)*2/3</f>
        <v>0.0272681166075004</v>
      </c>
      <c r="J124" s="24" t="n">
        <f aca="false">$G124+((tp_g)-$G124)*3/3</f>
        <v>0.04</v>
      </c>
    </row>
    <row r="125" customFormat="false" ht="17.15" hidden="false" customHeight="false" outlineLevel="0" collapsed="false">
      <c r="A125" s="5" t="s">
        <v>531</v>
      </c>
      <c r="B125" s="0" t="s">
        <v>212</v>
      </c>
      <c r="C125" s="10" t="n">
        <f aca="false">C126/C123</f>
        <v>0.2906452524359</v>
      </c>
      <c r="D125" s="10" t="n">
        <f aca="false">D126/D123</f>
        <v>0.312722977838554</v>
      </c>
      <c r="E125" s="10" t="n">
        <f aca="false">E126/E123</f>
        <v>0.341138347017045</v>
      </c>
      <c r="F125" s="10" t="n">
        <f aca="false">F126/F123</f>
        <v>0.34461314957602</v>
      </c>
      <c r="G125" s="10" t="n">
        <f aca="false">G126/G123</f>
        <v>0.344782118147691</v>
      </c>
      <c r="H125" s="24" t="n">
        <f aca="false">$G125+(($G125+nim10)/2-$G125)*1/3</f>
        <v>0.326891456083938</v>
      </c>
      <c r="I125" s="24" t="n">
        <f aca="false">$G125+(($G125+nim10)/2-$G125)*2/3</f>
        <v>0.309000794020186</v>
      </c>
      <c r="J125" s="24" t="n">
        <f aca="false">$G125+(($G125+nim10)/2-$G125)*3/3</f>
        <v>0.291110131956433</v>
      </c>
    </row>
    <row r="126" customFormat="false" ht="15" hidden="false" customHeight="false" outlineLevel="0" collapsed="false">
      <c r="A126" s="5" t="s">
        <v>532</v>
      </c>
      <c r="B126" s="0" t="s">
        <v>31</v>
      </c>
      <c r="C126" s="22" t="n">
        <f aca="false">C21</f>
        <v>5.358217</v>
      </c>
      <c r="D126" s="22" t="n">
        <f aca="false">D21</f>
        <v>7.265396</v>
      </c>
      <c r="E126" s="22" t="n">
        <f aca="false">E21</f>
        <v>11.8041688881564</v>
      </c>
      <c r="F126" s="22" t="n">
        <f aca="false">F21</f>
        <v>12.3700413569039</v>
      </c>
      <c r="G126" s="22" t="n">
        <f aca="false">G21</f>
        <v>12.3984373841568</v>
      </c>
      <c r="H126" s="23" t="n">
        <f aca="false">H123*H125</f>
        <v>11.9259600818265</v>
      </c>
      <c r="I126" s="23" t="n">
        <f aca="false">I123*I125</f>
        <v>11.5806566668458</v>
      </c>
      <c r="J126" s="23" t="n">
        <f aca="false">J123*J125</f>
        <v>11.3465609729653</v>
      </c>
    </row>
    <row r="127" customFormat="false" ht="17.15" hidden="false" customHeight="false" outlineLevel="0" collapsed="false">
      <c r="A127" s="0" t="s">
        <v>533</v>
      </c>
      <c r="B127" s="0" t="s">
        <v>308</v>
      </c>
      <c r="C127" s="13" t="n">
        <f aca="false">C22</f>
        <v>4.15</v>
      </c>
      <c r="D127" s="13" t="n">
        <f aca="false">D22</f>
        <v>5.76</v>
      </c>
      <c r="E127" s="13" t="n">
        <f aca="false">E22</f>
        <v>9.42072536963797</v>
      </c>
      <c r="F127" s="13" t="n">
        <f aca="false">F22</f>
        <v>10.0226796657799</v>
      </c>
      <c r="G127" s="13" t="n">
        <f aca="false">G22</f>
        <v>10.1986672192108</v>
      </c>
      <c r="H127" s="25" t="n">
        <f aca="false">$G127*H126/$G126</f>
        <v>9.81001834146964</v>
      </c>
      <c r="I127" s="25" t="n">
        <f aca="false">$G127*I126/$G126</f>
        <v>9.52597975580514</v>
      </c>
      <c r="J127" s="25" t="n">
        <f aca="false">$G127*J126/$G126</f>
        <v>9.33341806392709</v>
      </c>
    </row>
    <row r="129" customFormat="false" ht="17.15" hidden="false" customHeight="false" outlineLevel="0" collapsed="false">
      <c r="A129" s="3" t="s">
        <v>535</v>
      </c>
    </row>
    <row r="130" customFormat="false" ht="17.15" hidden="false" customHeight="false" outlineLevel="0" collapsed="false">
      <c r="A130" s="5" t="s">
        <v>405</v>
      </c>
      <c r="B130" s="0" t="s">
        <v>31</v>
      </c>
      <c r="C130" s="22" t="n">
        <f aca="false">C25</f>
        <v>18.435591</v>
      </c>
      <c r="D130" s="22" t="n">
        <f aca="false">D25</f>
        <v>23.23269</v>
      </c>
      <c r="E130" s="22" t="n">
        <f aca="false">E25</f>
        <v>34.6022925636284</v>
      </c>
      <c r="F130" s="22" t="n">
        <f aca="false">F25</f>
        <v>32.2748375498097</v>
      </c>
      <c r="G130" s="22" t="n">
        <f aca="false">G25</f>
        <v>28.8240248814277</v>
      </c>
      <c r="H130" s="23" t="n">
        <f aca="false">G130*(1+H131)</f>
        <v>26.9616162714252</v>
      </c>
      <c r="I130" s="23" t="n">
        <f aca="false">H130*(1+I131)</f>
        <v>26.3601960939676</v>
      </c>
      <c r="J130" s="23" t="n">
        <f aca="false">I130*(1+J131)</f>
        <v>26.8874000158469</v>
      </c>
      <c r="K130" s="8" t="s">
        <v>529</v>
      </c>
    </row>
    <row r="131" customFormat="false" ht="15" hidden="false" customHeight="false" outlineLevel="0" collapsed="false">
      <c r="A131" s="5" t="s">
        <v>530</v>
      </c>
      <c r="B131" s="0" t="s">
        <v>212</v>
      </c>
      <c r="D131" s="10" t="n">
        <f aca="false">D130/C130-1</f>
        <v>0.26020858240997</v>
      </c>
      <c r="E131" s="10" t="n">
        <f aca="false">E130/D130-1</f>
        <v>0.48937951496914</v>
      </c>
      <c r="F131" s="10" t="n">
        <f aca="false">F130/E130-1</f>
        <v>-0.0672630291631352</v>
      </c>
      <c r="G131" s="10" t="n">
        <f aca="false">G130/F130-1</f>
        <v>-0.10691959837308</v>
      </c>
      <c r="H131" s="24" t="n">
        <f aca="false">$G131+((tp_g-0.02)-$G131)*1/3</f>
        <v>-0.0646130655820535</v>
      </c>
      <c r="I131" s="24" t="n">
        <f aca="false">$G131+((tp_g-0.02)-$G131)*2/3</f>
        <v>-0.0223065327910267</v>
      </c>
      <c r="J131" s="24" t="n">
        <f aca="false">$G131+((tp_g-0.02)-$G131)*3/3</f>
        <v>0.02</v>
      </c>
    </row>
    <row r="132" customFormat="false" ht="17.15" hidden="false" customHeight="false" outlineLevel="0" collapsed="false">
      <c r="A132" s="5" t="s">
        <v>531</v>
      </c>
      <c r="B132" s="0" t="s">
        <v>212</v>
      </c>
      <c r="C132" s="10" t="n">
        <f aca="false">C133/C130</f>
        <v>0.2906452524359</v>
      </c>
      <c r="D132" s="10" t="n">
        <f aca="false">D133/D130</f>
        <v>0.312722977838554</v>
      </c>
      <c r="E132" s="10" t="n">
        <f aca="false">E133/E130</f>
        <v>0.341138347017045</v>
      </c>
      <c r="F132" s="10" t="n">
        <f aca="false">F133/F130</f>
        <v>0.334349028763836</v>
      </c>
      <c r="G132" s="10" t="n">
        <f aca="false">G133/G130</f>
        <v>0.322738572355168</v>
      </c>
      <c r="H132" s="24" t="n">
        <f aca="false">$G132+(nim10-$G132)*1/3</f>
        <v>0.294305096825171</v>
      </c>
      <c r="I132" s="24" t="n">
        <f aca="false">$G132+(nim10-$G132)*2/3</f>
        <v>0.265871621295173</v>
      </c>
      <c r="J132" s="24" t="n">
        <f aca="false">$G132+(nim10-$G132)*3/3</f>
        <v>0.237438145765175</v>
      </c>
    </row>
    <row r="133" customFormat="false" ht="15" hidden="false" customHeight="false" outlineLevel="0" collapsed="false">
      <c r="A133" s="5" t="s">
        <v>532</v>
      </c>
      <c r="B133" s="0" t="s">
        <v>31</v>
      </c>
      <c r="C133" s="22" t="n">
        <f aca="false">C31</f>
        <v>5.358217</v>
      </c>
      <c r="D133" s="22" t="n">
        <f aca="false">D31</f>
        <v>7.265396</v>
      </c>
      <c r="E133" s="22" t="n">
        <f aca="false">E31</f>
        <v>11.8041688881564</v>
      </c>
      <c r="F133" s="22" t="n">
        <f aca="false">F31</f>
        <v>10.7910605882895</v>
      </c>
      <c r="G133" s="22" t="n">
        <f aca="false">G31</f>
        <v>9.30262463976181</v>
      </c>
      <c r="H133" s="23" t="n">
        <f aca="false">H130*H132</f>
        <v>7.9349410873249</v>
      </c>
      <c r="I133" s="23" t="n">
        <f aca="false">I130*I132</f>
        <v>7.00842807316184</v>
      </c>
      <c r="J133" s="23" t="n">
        <f aca="false">J130*J132</f>
        <v>6.38409440420923</v>
      </c>
    </row>
    <row r="134" customFormat="false" ht="17.15" hidden="false" customHeight="false" outlineLevel="0" collapsed="false">
      <c r="A134" s="0" t="s">
        <v>533</v>
      </c>
      <c r="B134" s="0" t="s">
        <v>308</v>
      </c>
      <c r="C134" s="13" t="n">
        <f aca="false">C32</f>
        <v>4.15</v>
      </c>
      <c r="D134" s="13" t="n">
        <f aca="false">D32</f>
        <v>5.76</v>
      </c>
      <c r="E134" s="13" t="n">
        <f aca="false">E32</f>
        <v>9.42072536963797</v>
      </c>
      <c r="F134" s="13" t="n">
        <f aca="false">F32</f>
        <v>8.74332917812638</v>
      </c>
      <c r="G134" s="13" t="n">
        <f aca="false">G32</f>
        <v>7.6521234109224</v>
      </c>
      <c r="H134" s="25" t="n">
        <f aca="false">$G134*H133/$G133</f>
        <v>6.52709862107943</v>
      </c>
      <c r="I134" s="25" t="n">
        <f aca="false">$G134*I133/$G133</f>
        <v>5.76497049049811</v>
      </c>
      <c r="J134" s="25" t="n">
        <f aca="false">$G134*J133/$G133</f>
        <v>5.25140808532493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6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536</v>
      </c>
    </row>
    <row r="2" customFormat="false" ht="17.15" hidden="false" customHeight="false" outlineLevel="0" collapsed="false">
      <c r="A2" s="0" t="s">
        <v>537</v>
      </c>
    </row>
    <row r="3" customFormat="false" ht="17.15" hidden="false" customHeight="false" outlineLevel="0" collapsed="false">
      <c r="A3" s="5" t="s">
        <v>538</v>
      </c>
    </row>
    <row r="4" customFormat="false" ht="15" hidden="false" customHeight="false" outlineLevel="0" collapsed="false">
      <c r="A4" s="3" t="s">
        <v>539</v>
      </c>
    </row>
    <row r="5" customFormat="false" ht="15" hidden="false" customHeight="false" outlineLevel="0" collapsed="false">
      <c r="A5" s="6" t="s">
        <v>20</v>
      </c>
      <c r="B5" s="6" t="s">
        <v>540</v>
      </c>
      <c r="C5" s="6" t="s">
        <v>457</v>
      </c>
    </row>
    <row r="6" customFormat="false" ht="17.15" hidden="false" customHeight="false" outlineLevel="0" collapsed="false">
      <c r="A6" s="26" t="s">
        <v>541</v>
      </c>
      <c r="B6" s="27" t="n">
        <f aca="false">tp_wA*B8+tp_wB*B9+tp_wC*B10</f>
        <v>154.25592051976</v>
      </c>
      <c r="C6" s="26" t="s">
        <v>542</v>
      </c>
    </row>
    <row r="7" customFormat="false" ht="17.15" hidden="false" customHeight="false" outlineLevel="0" collapsed="false">
      <c r="A7" s="5" t="s">
        <v>543</v>
      </c>
      <c r="B7" s="10" t="n">
        <f aca="false">B6/px-1</f>
        <v>-0.329613557063189</v>
      </c>
      <c r="C7" s="5" t="s">
        <v>544</v>
      </c>
    </row>
    <row r="8" customFormat="false" ht="17.15" hidden="false" customHeight="false" outlineLevel="0" collapsed="false">
      <c r="A8" s="5" t="s">
        <v>545</v>
      </c>
      <c r="B8" s="28" t="n">
        <f aca="false">F61</f>
        <v>163.315119093162</v>
      </c>
      <c r="C8" s="5" t="s">
        <v>546</v>
      </c>
    </row>
    <row r="9" customFormat="false" ht="17.15" hidden="false" customHeight="false" outlineLevel="0" collapsed="false">
      <c r="A9" s="5" t="s">
        <v>547</v>
      </c>
      <c r="B9" s="28" t="n">
        <f aca="false">F68</f>
        <v>163.315119093162</v>
      </c>
      <c r="C9" s="5" t="s">
        <v>37</v>
      </c>
    </row>
    <row r="10" customFormat="false" ht="17.15" hidden="false" customHeight="false" outlineLevel="0" collapsed="false">
      <c r="A10" s="5" t="s">
        <v>548</v>
      </c>
      <c r="B10" s="28" t="n">
        <f aca="false">F75</f>
        <v>118.019126226154</v>
      </c>
      <c r="C10" s="5" t="s">
        <v>37</v>
      </c>
    </row>
    <row r="11" customFormat="false" ht="17.15" hidden="false" customHeight="false" outlineLevel="0" collapsed="false">
      <c r="A11" s="5" t="s">
        <v>549</v>
      </c>
      <c r="B11" s="21" t="n">
        <f aca="false">tp_wA</f>
        <v>0.3</v>
      </c>
      <c r="C11" s="21" t="n">
        <f aca="false">tp_wB</f>
        <v>0.5</v>
      </c>
      <c r="D11" s="21" t="n">
        <f aca="false">tp_wC</f>
        <v>0.2</v>
      </c>
      <c r="E11" s="8" t="s">
        <v>550</v>
      </c>
    </row>
    <row r="12" customFormat="false" ht="17.15" hidden="false" customHeight="false" outlineLevel="0" collapsed="false">
      <c r="A12" s="5" t="s">
        <v>551</v>
      </c>
      <c r="B12" s="0" t="s">
        <v>552</v>
      </c>
    </row>
    <row r="13" customFormat="false" ht="17.15" hidden="false" customHeight="false" outlineLevel="0" collapsed="false">
      <c r="A13" s="5" t="s">
        <v>553</v>
      </c>
      <c r="B13" s="13" t="n">
        <f aca="false">tp_wA+tp_wB+tp_wC-1</f>
        <v>0</v>
      </c>
    </row>
    <row r="16" customFormat="false" ht="17.15" hidden="false" customHeight="false" outlineLevel="0" collapsed="false">
      <c r="A16" s="1" t="s">
        <v>554</v>
      </c>
    </row>
    <row r="17" customFormat="false" ht="17.15" hidden="false" customHeight="false" outlineLevel="0" collapsed="false">
      <c r="A17" s="6" t="s">
        <v>555</v>
      </c>
      <c r="B17" s="6" t="s">
        <v>556</v>
      </c>
      <c r="C17" s="6" t="s">
        <v>557</v>
      </c>
      <c r="D17" s="6" t="s">
        <v>558</v>
      </c>
      <c r="E17" s="6" t="s">
        <v>559</v>
      </c>
      <c r="F17" s="6" t="s">
        <v>25</v>
      </c>
      <c r="G17" s="6" t="s">
        <v>457</v>
      </c>
    </row>
    <row r="18" customFormat="false" ht="17.15" hidden="false" customHeight="false" outlineLevel="0" collapsed="false">
      <c r="A18" s="0" t="s">
        <v>560</v>
      </c>
      <c r="B18" s="17" t="n">
        <f aca="false">E18/10</f>
        <v>0.575</v>
      </c>
      <c r="C18" s="29" t="n">
        <v>0.522</v>
      </c>
      <c r="D18" s="10" t="n">
        <f aca="false">B18/C18-1</f>
        <v>0.101532567049808</v>
      </c>
      <c r="E18" s="29" t="n">
        <v>5.75</v>
      </c>
      <c r="F18" s="8" t="s">
        <v>223</v>
      </c>
      <c r="G18" s="8" t="s">
        <v>561</v>
      </c>
    </row>
    <row r="19" customFormat="false" ht="17.15" hidden="false" customHeight="false" outlineLevel="0" collapsed="false">
      <c r="A19" s="0" t="s">
        <v>562</v>
      </c>
      <c r="B19" s="17" t="n">
        <f aca="false">E19/10</f>
        <v>1.047</v>
      </c>
      <c r="C19" s="29" t="n">
        <v>0.924</v>
      </c>
      <c r="D19" s="10" t="n">
        <f aca="false">B19/C19-1</f>
        <v>0.133116883116883</v>
      </c>
      <c r="E19" s="29" t="n">
        <v>10.47</v>
      </c>
      <c r="F19" s="8" t="s">
        <v>223</v>
      </c>
      <c r="G19" s="8" t="s">
        <v>561</v>
      </c>
    </row>
    <row r="20" customFormat="false" ht="17.15" hidden="false" customHeight="false" outlineLevel="0" collapsed="false">
      <c r="A20" s="0" t="s">
        <v>563</v>
      </c>
      <c r="B20" s="17" t="n">
        <f aca="false">E20/10</f>
        <v>1.473</v>
      </c>
      <c r="C20" s="29" t="n">
        <v>1.317</v>
      </c>
      <c r="D20" s="10" t="n">
        <f aca="false">B20/C20-1</f>
        <v>0.118451025056948</v>
      </c>
      <c r="E20" s="29" t="n">
        <v>14.73</v>
      </c>
      <c r="F20" s="8" t="s">
        <v>223</v>
      </c>
      <c r="G20" s="8" t="s">
        <v>561</v>
      </c>
    </row>
    <row r="21" customFormat="false" ht="17.15" hidden="false" customHeight="false" outlineLevel="0" collapsed="false">
      <c r="A21" s="0" t="s">
        <v>564</v>
      </c>
      <c r="B21" s="17" t="n">
        <f aca="false">E21/10</f>
        <v>1.437</v>
      </c>
      <c r="C21" s="29" t="n">
        <v>1.37</v>
      </c>
      <c r="D21" s="10" t="n">
        <f aca="false">B21/C21-1</f>
        <v>0.0489051094890509</v>
      </c>
      <c r="E21" s="29" t="n">
        <v>14.37</v>
      </c>
      <c r="F21" s="8" t="s">
        <v>223</v>
      </c>
      <c r="G21" s="8" t="s">
        <v>561</v>
      </c>
    </row>
    <row r="22" customFormat="false" ht="17.15" hidden="false" customHeight="false" outlineLevel="0" collapsed="false">
      <c r="A22" s="0" t="s">
        <v>565</v>
      </c>
      <c r="B22" s="17" t="n">
        <f aca="false">E22/10</f>
        <v>1.555</v>
      </c>
      <c r="C22" s="29" t="n">
        <v>1.51</v>
      </c>
      <c r="D22" s="10" t="n">
        <f aca="false">B22/C22-1</f>
        <v>0.0298013245033113</v>
      </c>
      <c r="E22" s="29" t="n">
        <v>15.55</v>
      </c>
      <c r="F22" s="8" t="s">
        <v>223</v>
      </c>
      <c r="G22" s="8" t="s">
        <v>561</v>
      </c>
    </row>
    <row r="23" customFormat="false" ht="17.15" hidden="false" customHeight="false" outlineLevel="0" collapsed="false">
      <c r="A23" s="0" t="s">
        <v>566</v>
      </c>
      <c r="B23" s="17" t="n">
        <f aca="false">E23/10</f>
        <v>2.722</v>
      </c>
      <c r="C23" s="29" t="n">
        <v>2.69</v>
      </c>
      <c r="D23" s="10" t="n">
        <f aca="false">B23/C23-1</f>
        <v>0.0118959107806691</v>
      </c>
      <c r="E23" s="29" t="n">
        <v>27.22</v>
      </c>
      <c r="F23" s="8" t="s">
        <v>223</v>
      </c>
      <c r="G23" s="8" t="s">
        <v>561</v>
      </c>
    </row>
    <row r="24" customFormat="false" ht="17.15" hidden="false" customHeight="false" outlineLevel="0" collapsed="false">
      <c r="A24" s="0" t="s">
        <v>567</v>
      </c>
      <c r="B24" s="17" t="n">
        <f aca="false">E24/10</f>
        <v>3.292</v>
      </c>
      <c r="C24" s="29" t="n">
        <v>3.275</v>
      </c>
      <c r="D24" s="10" t="n">
        <f aca="false">B24/C24-1</f>
        <v>0.0051908396946565</v>
      </c>
      <c r="E24" s="29" t="n">
        <v>32.92</v>
      </c>
      <c r="F24" s="8" t="s">
        <v>223</v>
      </c>
      <c r="G24" s="8" t="s">
        <v>561</v>
      </c>
    </row>
    <row r="25" customFormat="false" ht="17.15" hidden="false" customHeight="false" outlineLevel="0" collapsed="false">
      <c r="A25" s="0" t="s">
        <v>568</v>
      </c>
      <c r="B25" s="29" t="n">
        <v>3.33</v>
      </c>
      <c r="C25" s="29" t="n">
        <v>3.32</v>
      </c>
      <c r="D25" s="10" t="n">
        <f aca="false">B25/C25-1</f>
        <v>0.00301204819277112</v>
      </c>
      <c r="E25" s="17" t="n">
        <f aca="false">B25*10</f>
        <v>33.3</v>
      </c>
      <c r="F25" s="8" t="s">
        <v>223</v>
      </c>
      <c r="G25" s="8" t="s">
        <v>569</v>
      </c>
    </row>
    <row r="26" customFormat="false" ht="17.15" hidden="false" customHeight="false" outlineLevel="0" collapsed="false">
      <c r="A26" s="0" t="s">
        <v>570</v>
      </c>
      <c r="B26" s="29" t="n">
        <v>2.91</v>
      </c>
      <c r="C26" s="29" t="n">
        <v>2.9</v>
      </c>
      <c r="D26" s="10" t="n">
        <f aca="false">B26/C26-1</f>
        <v>0.00344827586206908</v>
      </c>
      <c r="E26" s="17" t="n">
        <f aca="false">B26*10</f>
        <v>29.1</v>
      </c>
      <c r="F26" s="8" t="s">
        <v>223</v>
      </c>
      <c r="G26" s="8" t="s">
        <v>569</v>
      </c>
    </row>
    <row r="27" customFormat="false" ht="17.15" hidden="false" customHeight="false" outlineLevel="0" collapsed="false">
      <c r="A27" s="0" t="s">
        <v>499</v>
      </c>
      <c r="B27" s="29" t="n">
        <v>4.17</v>
      </c>
      <c r="C27" s="29" t="n">
        <v>4.15</v>
      </c>
      <c r="D27" s="10" t="n">
        <f aca="false">B27/C27-1</f>
        <v>0.00481927710843366</v>
      </c>
      <c r="E27" s="17" t="n">
        <f aca="false">B27*10</f>
        <v>41.7</v>
      </c>
      <c r="F27" s="8" t="s">
        <v>223</v>
      </c>
      <c r="G27" s="8" t="s">
        <v>569</v>
      </c>
    </row>
    <row r="28" customFormat="false" ht="17.15" hidden="false" customHeight="false" outlineLevel="0" collapsed="false">
      <c r="A28" s="0" t="s">
        <v>571</v>
      </c>
      <c r="B28" s="29" t="n">
        <v>5.79</v>
      </c>
      <c r="C28" s="29" t="n">
        <v>5.76</v>
      </c>
      <c r="D28" s="10" t="n">
        <f aca="false">B28/C28-1</f>
        <v>0.00520833333333348</v>
      </c>
      <c r="E28" s="17" t="n">
        <f aca="false">B28*10</f>
        <v>57.9</v>
      </c>
      <c r="F28" s="8" t="s">
        <v>223</v>
      </c>
      <c r="G28" s="8" t="s">
        <v>569</v>
      </c>
    </row>
    <row r="29" customFormat="false" ht="17.15" hidden="false" customHeight="false" outlineLevel="0" collapsed="false">
      <c r="A29" s="5" t="s">
        <v>572</v>
      </c>
    </row>
    <row r="30" customFormat="false" ht="17.15" hidden="false" customHeight="false" outlineLevel="0" collapsed="false">
      <c r="A30" s="1" t="s">
        <v>573</v>
      </c>
    </row>
    <row r="31" customFormat="false" ht="17.15" hidden="false" customHeight="false" outlineLevel="0" collapsed="false">
      <c r="A31" s="6" t="s">
        <v>574</v>
      </c>
      <c r="B31" s="6" t="s">
        <v>575</v>
      </c>
      <c r="C31" s="6" t="s">
        <v>576</v>
      </c>
      <c r="D31" s="6" t="s">
        <v>577</v>
      </c>
      <c r="E31" s="14" t="s">
        <v>578</v>
      </c>
      <c r="F31" s="14" t="s">
        <v>579</v>
      </c>
      <c r="G31" s="14" t="s">
        <v>580</v>
      </c>
      <c r="H31" s="6" t="s">
        <v>581</v>
      </c>
      <c r="I31" s="14" t="s">
        <v>582</v>
      </c>
      <c r="J31" s="6" t="s">
        <v>25</v>
      </c>
      <c r="K31" s="6" t="s">
        <v>583</v>
      </c>
    </row>
    <row r="32" customFormat="false" ht="17.15" hidden="false" customHeight="false" outlineLevel="0" collapsed="false">
      <c r="A32" s="0" t="s">
        <v>584</v>
      </c>
      <c r="B32" s="22" t="n">
        <f aca="false">105.73/10</f>
        <v>10.573</v>
      </c>
      <c r="C32" s="22" t="n">
        <f aca="false">B19</f>
        <v>1.047</v>
      </c>
      <c r="D32" s="22" t="n">
        <f aca="false">B18</f>
        <v>0.575</v>
      </c>
      <c r="E32" s="30" t="n">
        <f aca="false">B32/C32</f>
        <v>10.098376313276</v>
      </c>
      <c r="F32" s="30" t="n">
        <f aca="false">B32/D32</f>
        <v>18.3878260869565</v>
      </c>
      <c r="G32" s="31" t="n">
        <v>15.1</v>
      </c>
      <c r="H32" s="30" t="n">
        <f aca="false">E32-G32</f>
        <v>-5.00162368672397</v>
      </c>
      <c r="I32" s="32" t="n">
        <v>9.3223</v>
      </c>
      <c r="J32" s="8" t="s">
        <v>585</v>
      </c>
      <c r="K32" s="5" t="s">
        <v>586</v>
      </c>
    </row>
    <row r="33" customFormat="false" ht="17.15" hidden="false" customHeight="false" outlineLevel="0" collapsed="false">
      <c r="A33" s="0" t="s">
        <v>587</v>
      </c>
      <c r="B33" s="22" t="n">
        <f aca="false">184.07/10</f>
        <v>18.407</v>
      </c>
      <c r="C33" s="22" t="n">
        <f aca="false">B20</f>
        <v>1.473</v>
      </c>
      <c r="D33" s="22" t="n">
        <f aca="false">B19</f>
        <v>1.047</v>
      </c>
      <c r="E33" s="30" t="n">
        <f aca="false">B33/C33</f>
        <v>12.4962661235574</v>
      </c>
      <c r="F33" s="30" t="n">
        <f aca="false">B33/D33</f>
        <v>17.5807067812798</v>
      </c>
      <c r="G33" s="31" t="n">
        <v>15.9</v>
      </c>
      <c r="H33" s="30" t="n">
        <f aca="false">E33-G33</f>
        <v>-3.40373387644264</v>
      </c>
      <c r="I33" s="32" t="n">
        <v>16.4265</v>
      </c>
      <c r="J33" s="8" t="s">
        <v>585</v>
      </c>
      <c r="K33" s="5" t="s">
        <v>586</v>
      </c>
    </row>
    <row r="34" customFormat="false" ht="17.15" hidden="false" customHeight="false" outlineLevel="0" collapsed="false">
      <c r="A34" s="0" t="s">
        <v>588</v>
      </c>
      <c r="B34" s="22" t="n">
        <f aca="false">136.17/10</f>
        <v>13.617</v>
      </c>
      <c r="C34" s="22" t="n">
        <f aca="false">B21</f>
        <v>1.437</v>
      </c>
      <c r="D34" s="22" t="n">
        <f aca="false">B20</f>
        <v>1.473</v>
      </c>
      <c r="E34" s="30" t="n">
        <f aca="false">B34/C34</f>
        <v>9.47599164926931</v>
      </c>
      <c r="F34" s="30" t="n">
        <f aca="false">B34/D34</f>
        <v>9.24439918533605</v>
      </c>
      <c r="G34" s="31" t="n">
        <v>6.83</v>
      </c>
      <c r="H34" s="30" t="n">
        <f aca="false">E34-G34</f>
        <v>2.64599164926931</v>
      </c>
      <c r="I34" s="32" t="n">
        <v>12.4183</v>
      </c>
      <c r="J34" s="8" t="s">
        <v>585</v>
      </c>
      <c r="K34" s="5" t="s">
        <v>586</v>
      </c>
    </row>
    <row r="35" customFormat="false" ht="17.15" hidden="false" customHeight="false" outlineLevel="0" collapsed="false">
      <c r="A35" s="0" t="s">
        <v>589</v>
      </c>
      <c r="B35" s="22" t="n">
        <f aca="false">292.4/10</f>
        <v>29.24</v>
      </c>
      <c r="C35" s="22" t="n">
        <f aca="false">B22</f>
        <v>1.555</v>
      </c>
      <c r="D35" s="22" t="n">
        <f aca="false">B21</f>
        <v>1.437</v>
      </c>
      <c r="E35" s="30" t="n">
        <f aca="false">B35/C35</f>
        <v>18.8038585209003</v>
      </c>
      <c r="F35" s="30" t="n">
        <f aca="false">B35/D35</f>
        <v>20.347947112039</v>
      </c>
      <c r="G35" s="31" t="n">
        <v>19.4</v>
      </c>
      <c r="H35" s="30" t="n">
        <f aca="false">E35-G35</f>
        <v>-0.596141479099678</v>
      </c>
      <c r="I35" s="32" t="n">
        <v>27.2375</v>
      </c>
      <c r="J35" s="8" t="s">
        <v>585</v>
      </c>
      <c r="K35" s="5" t="s">
        <v>586</v>
      </c>
    </row>
    <row r="36" customFormat="false" ht="17.15" hidden="false" customHeight="false" outlineLevel="0" collapsed="false">
      <c r="A36" s="0" t="s">
        <v>590</v>
      </c>
      <c r="B36" s="22" t="n">
        <f aca="false">472.27/10</f>
        <v>47.227</v>
      </c>
      <c r="C36" s="22" t="n">
        <f aca="false">B23</f>
        <v>2.722</v>
      </c>
      <c r="D36" s="22" t="n">
        <f aca="false">B22</f>
        <v>1.555</v>
      </c>
      <c r="E36" s="30" t="n">
        <f aca="false">B36/C36</f>
        <v>17.3501102130786</v>
      </c>
      <c r="F36" s="30" t="n">
        <f aca="false">B36/D36</f>
        <v>30.3710610932476</v>
      </c>
      <c r="G36" s="31" t="n">
        <v>21.9</v>
      </c>
      <c r="H36" s="30" t="n">
        <f aca="false">E36-G36</f>
        <v>-4.54988978692138</v>
      </c>
      <c r="I36" s="32" t="n">
        <v>44.7187</v>
      </c>
      <c r="J36" s="8" t="s">
        <v>585</v>
      </c>
      <c r="K36" s="5" t="s">
        <v>586</v>
      </c>
    </row>
    <row r="37" customFormat="false" ht="17.15" hidden="false" customHeight="false" outlineLevel="0" collapsed="false">
      <c r="A37" s="0" t="s">
        <v>591</v>
      </c>
      <c r="B37" s="22" t="n">
        <f aca="false">719.15/10</f>
        <v>71.915</v>
      </c>
      <c r="C37" s="22" t="n">
        <f aca="false">B24</f>
        <v>3.292</v>
      </c>
      <c r="D37" s="22" t="n">
        <f aca="false">B23</f>
        <v>2.722</v>
      </c>
      <c r="E37" s="30" t="n">
        <f aca="false">B37/C37</f>
        <v>21.845382746051</v>
      </c>
      <c r="F37" s="30" t="n">
        <f aca="false">B37/D37</f>
        <v>26.4199118295371</v>
      </c>
      <c r="G37" s="31" t="n">
        <v>21.3</v>
      </c>
      <c r="H37" s="30" t="n">
        <f aca="false">E37-G37</f>
        <v>0.545382746051029</v>
      </c>
      <c r="I37" s="32" t="n">
        <v>68.7159</v>
      </c>
      <c r="J37" s="8" t="s">
        <v>585</v>
      </c>
      <c r="K37" s="5" t="s">
        <v>586</v>
      </c>
    </row>
    <row r="38" customFormat="false" ht="17.15" hidden="false" customHeight="false" outlineLevel="0" collapsed="false">
      <c r="A38" s="0" t="s">
        <v>592</v>
      </c>
      <c r="B38" s="22" t="n">
        <f aca="false">420.3/10</f>
        <v>42.03</v>
      </c>
      <c r="C38" s="22" t="n">
        <f aca="false">B25</f>
        <v>3.33</v>
      </c>
      <c r="D38" s="22" t="n">
        <f aca="false">B24</f>
        <v>3.292</v>
      </c>
      <c r="E38" s="30" t="n">
        <f aca="false">B38/C38</f>
        <v>12.6216216216216</v>
      </c>
      <c r="F38" s="30" t="n">
        <f aca="false">B38/D38</f>
        <v>12.7673147023086</v>
      </c>
      <c r="G38" s="31" t="n">
        <v>11</v>
      </c>
      <c r="H38" s="30" t="n">
        <f aca="false">E38-G38</f>
        <v>1.62162162162162</v>
      </c>
      <c r="I38" s="32" t="n">
        <v>40.7327</v>
      </c>
      <c r="J38" s="8" t="s">
        <v>585</v>
      </c>
      <c r="K38" s="5" t="s">
        <v>586</v>
      </c>
    </row>
    <row r="39" customFormat="false" ht="17.15" hidden="false" customHeight="false" outlineLevel="0" collapsed="false">
      <c r="A39" s="0" t="s">
        <v>593</v>
      </c>
      <c r="B39" s="22" t="n">
        <f aca="false">783.26/10</f>
        <v>78.326</v>
      </c>
      <c r="C39" s="22" t="n">
        <f aca="false">B26</f>
        <v>2.91</v>
      </c>
      <c r="D39" s="22" t="n">
        <f aca="false">B25</f>
        <v>3.33</v>
      </c>
      <c r="E39" s="30" t="n">
        <f aca="false">B39/C39</f>
        <v>26.9161512027491</v>
      </c>
      <c r="F39" s="30" t="n">
        <f aca="false">B39/D39</f>
        <v>23.5213213213213</v>
      </c>
      <c r="G39" s="31" t="n">
        <v>29.7</v>
      </c>
      <c r="H39" s="30" t="n">
        <f aca="false">E39-G39</f>
        <v>-2.78384879725086</v>
      </c>
      <c r="I39" s="32" t="n">
        <v>76.8336</v>
      </c>
      <c r="J39" s="8" t="s">
        <v>585</v>
      </c>
      <c r="K39" s="5" t="s">
        <v>586</v>
      </c>
    </row>
    <row r="40" customFormat="false" ht="17.15" hidden="false" customHeight="false" outlineLevel="0" collapsed="false">
      <c r="A40" s="0" t="s">
        <v>594</v>
      </c>
      <c r="B40" s="32" t="n">
        <v>72.23</v>
      </c>
      <c r="C40" s="22" t="n">
        <f aca="false">B27</f>
        <v>4.17</v>
      </c>
      <c r="D40" s="22" t="n">
        <f aca="false">B26</f>
        <v>2.91</v>
      </c>
      <c r="E40" s="30" t="n">
        <f aca="false">B40/C40</f>
        <v>17.3213429256595</v>
      </c>
      <c r="F40" s="30" t="n">
        <f aca="false">B40/D40</f>
        <v>24.8213058419244</v>
      </c>
      <c r="G40" s="31" t="n">
        <v>21.7</v>
      </c>
      <c r="H40" s="30" t="n">
        <f aca="false">E40-G40</f>
        <v>-4.37865707434053</v>
      </c>
      <c r="I40" s="32" t="n">
        <v>71.5745</v>
      </c>
      <c r="J40" s="8" t="s">
        <v>585</v>
      </c>
      <c r="K40" s="5" t="s">
        <v>595</v>
      </c>
    </row>
    <row r="41" customFormat="false" ht="17.15" hidden="false" customHeight="false" outlineLevel="0" collapsed="false">
      <c r="A41" s="0" t="s">
        <v>596</v>
      </c>
      <c r="B41" s="32" t="n">
        <v>171.18</v>
      </c>
      <c r="C41" s="22" t="n">
        <f aca="false">B28</f>
        <v>5.79</v>
      </c>
      <c r="D41" s="22" t="n">
        <f aca="false">B27</f>
        <v>4.17</v>
      </c>
      <c r="E41" s="30" t="n">
        <f aca="false">B41/C41</f>
        <v>29.5647668393782</v>
      </c>
      <c r="F41" s="30" t="n">
        <f aca="false">B41/D41</f>
        <v>41.0503597122302</v>
      </c>
      <c r="G41" s="31" t="n">
        <v>34.9</v>
      </c>
      <c r="H41" s="30" t="n">
        <f aca="false">E41-G41</f>
        <v>-5.33523316062176</v>
      </c>
      <c r="I41" s="32" t="n">
        <v>171.18</v>
      </c>
      <c r="J41" s="8" t="s">
        <v>585</v>
      </c>
      <c r="K41" s="5" t="s">
        <v>595</v>
      </c>
    </row>
    <row r="42" customFormat="false" ht="17.15" hidden="false" customHeight="false" outlineLevel="0" collapsed="false">
      <c r="A42" s="5" t="s">
        <v>597</v>
      </c>
    </row>
    <row r="44" customFormat="false" ht="17.15" hidden="false" customHeight="false" outlineLevel="0" collapsed="false">
      <c r="A44" s="1" t="s">
        <v>598</v>
      </c>
    </row>
    <row r="45" customFormat="false" ht="17.15" hidden="false" customHeight="false" outlineLevel="0" collapsed="false">
      <c r="A45" s="6" t="s">
        <v>599</v>
      </c>
      <c r="B45" s="14" t="s">
        <v>578</v>
      </c>
      <c r="C45" s="14" t="s">
        <v>579</v>
      </c>
      <c r="D45" s="14" t="s">
        <v>600</v>
      </c>
      <c r="E45" s="6" t="s">
        <v>601</v>
      </c>
    </row>
    <row r="46" customFormat="false" ht="17.15" hidden="false" customHeight="false" outlineLevel="0" collapsed="false">
      <c r="A46" s="0" t="s">
        <v>602</v>
      </c>
      <c r="B46" s="30" t="n">
        <f aca="false">PERCENTILE(E32:E41,0.25)</f>
        <v>12.5276049980734</v>
      </c>
      <c r="C46" s="30" t="n">
        <f aca="false">PERCENTILE(F32:F41,0.25)</f>
        <v>17.782486607699</v>
      </c>
      <c r="D46" s="30" t="n">
        <f aca="false">PERCENTILE(G32:G41,0.25)</f>
        <v>15.3</v>
      </c>
      <c r="E46" s="5" t="s">
        <v>603</v>
      </c>
    </row>
    <row r="47" customFormat="false" ht="15" hidden="false" customHeight="false" outlineLevel="0" collapsed="false">
      <c r="A47" s="5" t="s">
        <v>604</v>
      </c>
      <c r="B47" s="30" t="n">
        <f aca="false">PERCENTILE(E32:E41,0.5)</f>
        <v>17.335726569369</v>
      </c>
      <c r="C47" s="30" t="n">
        <f aca="false">PERCENTILE(F32:F41,0.5)</f>
        <v>21.9346342166801</v>
      </c>
      <c r="D47" s="30" t="n">
        <f aca="false">PERCENTILE(G32:G41,0.5)</f>
        <v>20.35</v>
      </c>
      <c r="E47" s="5" t="s">
        <v>605</v>
      </c>
    </row>
    <row r="48" customFormat="false" ht="17.15" hidden="false" customHeight="false" outlineLevel="0" collapsed="false">
      <c r="A48" s="0" t="s">
        <v>606</v>
      </c>
      <c r="B48" s="30" t="n">
        <f aca="false">PERCENTILE(E32:E41,0.75)</f>
        <v>21.0850016897634</v>
      </c>
      <c r="C48" s="30" t="n">
        <f aca="false">PERCENTILE(F32:F41,0.75)</f>
        <v>26.0202603326339</v>
      </c>
      <c r="D48" s="30" t="n">
        <f aca="false">PERCENTILE(G32:G41,0.75)</f>
        <v>21.85</v>
      </c>
      <c r="E48" s="5" t="s">
        <v>607</v>
      </c>
    </row>
    <row r="49" customFormat="false" ht="15" hidden="false" customHeight="false" outlineLevel="0" collapsed="false">
      <c r="A49" s="5" t="s">
        <v>608</v>
      </c>
      <c r="B49" s="0" t="n">
        <f aca="false">COUNT(E32:E41)</f>
        <v>10</v>
      </c>
      <c r="C49" s="0" t="n">
        <f aca="false">COUNT(F32:F41)</f>
        <v>10</v>
      </c>
      <c r="D49" s="0" t="n">
        <f aca="false">COUNT(G32:G41)</f>
        <v>10</v>
      </c>
    </row>
    <row r="50" customFormat="false" ht="17.15" hidden="false" customHeight="false" outlineLevel="0" collapsed="false">
      <c r="A50" s="5" t="s">
        <v>609</v>
      </c>
    </row>
    <row r="52" customFormat="false" ht="17.15" hidden="false" customHeight="false" outlineLevel="0" collapsed="false">
      <c r="A52" s="1" t="s">
        <v>610</v>
      </c>
    </row>
    <row r="53" customFormat="false" ht="17.15" hidden="false" customHeight="false" outlineLevel="0" collapsed="false">
      <c r="A53" s="5" t="s">
        <v>611</v>
      </c>
    </row>
    <row r="54" customFormat="false" ht="17.15" hidden="false" customHeight="false" outlineLevel="0" collapsed="false">
      <c r="A54" s="6" t="s">
        <v>612</v>
      </c>
      <c r="B54" s="6" t="s">
        <v>613</v>
      </c>
      <c r="C54" s="14" t="s">
        <v>614</v>
      </c>
      <c r="D54" s="6" t="s">
        <v>615</v>
      </c>
      <c r="E54" s="6" t="s">
        <v>616</v>
      </c>
      <c r="F54" s="6" t="s">
        <v>617</v>
      </c>
      <c r="G54" s="6" t="s">
        <v>618</v>
      </c>
    </row>
    <row r="55" customFormat="false" ht="15" hidden="false" customHeight="false" outlineLevel="0" collapsed="false">
      <c r="A55" s="0" t="s">
        <v>619</v>
      </c>
      <c r="B55" s="0" t="n">
        <f aca="false">pk_A</f>
        <v>2029</v>
      </c>
      <c r="C55" s="7" t="n">
        <v>2027</v>
      </c>
      <c r="D55" s="0" t="str">
        <f aca="false">IF(C55&lt;pk_A,"中段",IF(C55=pk_A,"見頂","谷底"))</f>
        <v>中段</v>
      </c>
      <c r="E55" s="30" t="n">
        <f aca="false">IF(D55="見頂",pe_peak,IF(D55="谷底",pe_trough,pe_mid))</f>
        <v>17.335726569369</v>
      </c>
      <c r="F55" s="0" t="str">
        <f aca="false">IF((C55-1)&lt;pk_A,"中段",IF((C55-1)=pk_A,"見頂","谷底"))</f>
        <v>中段</v>
      </c>
      <c r="G55" s="8" t="s">
        <v>620</v>
      </c>
    </row>
    <row r="56" customFormat="false" ht="15" hidden="false" customHeight="false" outlineLevel="0" collapsed="false">
      <c r="A56" s="0" t="s">
        <v>621</v>
      </c>
      <c r="B56" s="0" t="n">
        <f aca="false">pk_B</f>
        <v>2028</v>
      </c>
      <c r="C56" s="7" t="n">
        <v>2027</v>
      </c>
      <c r="D56" s="0" t="str">
        <f aca="false">IF(C56&lt;pk_B,"中段",IF(C56=pk_B,"見頂","谷底"))</f>
        <v>中段</v>
      </c>
      <c r="E56" s="30" t="n">
        <f aca="false">IF(D56="見頂",pe_peak,IF(D56="谷底",pe_trough,pe_mid))</f>
        <v>17.335726569369</v>
      </c>
      <c r="F56" s="0" t="str">
        <f aca="false">IF((C56-1)&lt;pk_B,"中段",IF((C56-1)=pk_B,"見頂","谷底"))</f>
        <v>中段</v>
      </c>
      <c r="G56" s="8" t="s">
        <v>620</v>
      </c>
    </row>
    <row r="57" customFormat="false" ht="15" hidden="false" customHeight="false" outlineLevel="0" collapsed="false">
      <c r="A57" s="0" t="s">
        <v>622</v>
      </c>
      <c r="B57" s="0" t="n">
        <f aca="false">pk_C</f>
        <v>2027</v>
      </c>
      <c r="C57" s="7" t="n">
        <v>2027</v>
      </c>
      <c r="D57" s="0" t="str">
        <f aca="false">IF(C57&lt;pk_C,"中段",IF(C57=pk_C,"見頂","谷底"))</f>
        <v>見頂</v>
      </c>
      <c r="E57" s="30" t="n">
        <f aca="false">IF(D57="見頂",pe_peak,IF(D57="谷底",pe_trough,pe_mid))</f>
        <v>12.5276049980734</v>
      </c>
      <c r="F57" s="0" t="str">
        <f aca="false">IF((C57-1)&lt;pk_C,"中段",IF((C57-1)=pk_C,"見頂","谷底"))</f>
        <v>中段</v>
      </c>
      <c r="G57" s="8" t="s">
        <v>620</v>
      </c>
    </row>
    <row r="59" customFormat="false" ht="17.15" hidden="false" customHeight="false" outlineLevel="0" collapsed="false">
      <c r="A59" s="1" t="s">
        <v>623</v>
      </c>
    </row>
    <row r="60" customFormat="false" ht="17.15" hidden="false" customHeight="false" outlineLevel="0" collapsed="false">
      <c r="A60" s="6" t="s">
        <v>612</v>
      </c>
      <c r="B60" s="14" t="s">
        <v>624</v>
      </c>
      <c r="C60" s="14" t="s">
        <v>625</v>
      </c>
      <c r="D60" s="6" t="s">
        <v>626</v>
      </c>
      <c r="E60" s="6" t="s">
        <v>616</v>
      </c>
      <c r="F60" s="6" t="s">
        <v>627</v>
      </c>
      <c r="G60" s="6" t="s">
        <v>628</v>
      </c>
      <c r="H60" s="6" t="s">
        <v>629</v>
      </c>
    </row>
    <row r="61" customFormat="false" ht="15" hidden="false" customHeight="false" outlineLevel="0" collapsed="false">
      <c r="A61" s="33" t="s">
        <v>619</v>
      </c>
      <c r="B61" s="33" t="s">
        <v>488</v>
      </c>
      <c r="C61" s="34" t="n">
        <f aca="false">PL!E12</f>
        <v>9.42072536963797</v>
      </c>
      <c r="D61" s="33" t="str">
        <f aca="false">"規則值："&amp;D55</f>
        <v>規則值：中段</v>
      </c>
      <c r="E61" s="35" t="n">
        <f aca="false">E55</f>
        <v>17.335726569369</v>
      </c>
      <c r="F61" s="27" t="n">
        <f aca="false">C61*E61</f>
        <v>163.315119093162</v>
      </c>
      <c r="G61" s="36" t="n">
        <f aca="false">F61/px-1</f>
        <v>-0.290242854875437</v>
      </c>
      <c r="H61" s="33"/>
    </row>
    <row r="62" customFormat="false" ht="17.15" hidden="false" customHeight="false" outlineLevel="0" collapsed="false">
      <c r="A62" s="0" t="s">
        <v>619</v>
      </c>
      <c r="B62" s="0" t="s">
        <v>488</v>
      </c>
      <c r="C62" s="13" t="n">
        <f aca="false">PL!E12</f>
        <v>9.42072536963797</v>
      </c>
      <c r="D62" s="5" t="s">
        <v>630</v>
      </c>
      <c r="E62" s="30" t="n">
        <f aca="false">pe_peak</f>
        <v>12.5276049980734</v>
      </c>
      <c r="F62" s="28" t="n">
        <f aca="false">C62*E62</f>
        <v>118.019126226154</v>
      </c>
      <c r="G62" s="21" t="n">
        <f aca="false">F62/px-1</f>
        <v>-0.487096365814195</v>
      </c>
    </row>
    <row r="63" customFormat="false" ht="15" hidden="false" customHeight="false" outlineLevel="0" collapsed="false">
      <c r="A63" s="0" t="s">
        <v>619</v>
      </c>
      <c r="B63" s="0" t="s">
        <v>488</v>
      </c>
      <c r="C63" s="13" t="n">
        <f aca="false">PL!E12</f>
        <v>9.42072536963797</v>
      </c>
      <c r="D63" s="5" t="s">
        <v>631</v>
      </c>
      <c r="E63" s="30" t="n">
        <f aca="false">pe_mid</f>
        <v>17.335726569369</v>
      </c>
      <c r="F63" s="28" t="n">
        <f aca="false">C63*E63</f>
        <v>163.315119093162</v>
      </c>
      <c r="G63" s="21" t="n">
        <f aca="false">F63/px-1</f>
        <v>-0.290242854875437</v>
      </c>
    </row>
    <row r="64" customFormat="false" ht="17.15" hidden="false" customHeight="false" outlineLevel="0" collapsed="false">
      <c r="A64" s="0" t="s">
        <v>619</v>
      </c>
      <c r="B64" s="0" t="s">
        <v>488</v>
      </c>
      <c r="C64" s="13" t="n">
        <f aca="false">PL!E12</f>
        <v>9.42072536963797</v>
      </c>
      <c r="D64" s="5" t="s">
        <v>632</v>
      </c>
      <c r="E64" s="30" t="n">
        <f aca="false">pe_trough</f>
        <v>21.0850016897634</v>
      </c>
      <c r="F64" s="28" t="n">
        <f aca="false">C64*E64</f>
        <v>198.636010337613</v>
      </c>
      <c r="G64" s="21" t="n">
        <f aca="false">F64/px-1</f>
        <v>-0.136740502661395</v>
      </c>
    </row>
    <row r="65" customFormat="false" ht="17.15" hidden="false" customHeight="false" outlineLevel="0" collapsed="false">
      <c r="A65" s="0" t="s">
        <v>619</v>
      </c>
      <c r="B65" s="0" t="s">
        <v>489</v>
      </c>
      <c r="C65" s="13" t="n">
        <f aca="false">PL!F12</f>
        <v>10.6834549282617</v>
      </c>
      <c r="D65" s="5" t="s">
        <v>630</v>
      </c>
      <c r="E65" s="30" t="n">
        <f aca="false">pe_peak</f>
        <v>12.5276049980734</v>
      </c>
      <c r="F65" s="28" t="n">
        <f aca="false">C65*E65</f>
        <v>133.838103355983</v>
      </c>
      <c r="G65" s="21" t="n">
        <f aca="false">F65/px-1</f>
        <v>-0.418348094932711</v>
      </c>
    </row>
    <row r="66" customFormat="false" ht="15" hidden="false" customHeight="false" outlineLevel="0" collapsed="false">
      <c r="A66" s="0" t="s">
        <v>619</v>
      </c>
      <c r="B66" s="0" t="s">
        <v>489</v>
      </c>
      <c r="C66" s="13" t="n">
        <f aca="false">PL!F12</f>
        <v>10.6834549282617</v>
      </c>
      <c r="D66" s="5" t="s">
        <v>631</v>
      </c>
      <c r="E66" s="30" t="n">
        <f aca="false">pe_mid</f>
        <v>17.335726569369</v>
      </c>
      <c r="F66" s="28" t="n">
        <f aca="false">C66*E66</f>
        <v>185.205453452523</v>
      </c>
      <c r="G66" s="21" t="n">
        <f aca="false">F66/px-1</f>
        <v>-0.195108850706116</v>
      </c>
    </row>
    <row r="67" customFormat="false" ht="17.15" hidden="false" customHeight="false" outlineLevel="0" collapsed="false">
      <c r="A67" s="0" t="s">
        <v>619</v>
      </c>
      <c r="B67" s="0" t="s">
        <v>489</v>
      </c>
      <c r="C67" s="13" t="n">
        <f aca="false">PL!F12</f>
        <v>10.6834549282617</v>
      </c>
      <c r="D67" s="5" t="s">
        <v>632</v>
      </c>
      <c r="E67" s="30" t="n">
        <f aca="false">pe_trough</f>
        <v>21.0850016897634</v>
      </c>
      <c r="F67" s="28" t="n">
        <f aca="false">C67*E67</f>
        <v>225.260665214908</v>
      </c>
      <c r="G67" s="21" t="n">
        <f aca="false">F67/px-1</f>
        <v>-0.0210314419169573</v>
      </c>
    </row>
    <row r="68" customFormat="false" ht="15" hidden="false" customHeight="false" outlineLevel="0" collapsed="false">
      <c r="A68" s="33" t="s">
        <v>621</v>
      </c>
      <c r="B68" s="33" t="s">
        <v>488</v>
      </c>
      <c r="C68" s="34" t="n">
        <f aca="false">PL!E22</f>
        <v>9.42072536963797</v>
      </c>
      <c r="D68" s="33" t="str">
        <f aca="false">"規則值："&amp;D56</f>
        <v>規則值：中段</v>
      </c>
      <c r="E68" s="35" t="n">
        <f aca="false">E56</f>
        <v>17.335726569369</v>
      </c>
      <c r="F68" s="27" t="n">
        <f aca="false">C68*E68</f>
        <v>163.315119093162</v>
      </c>
      <c r="G68" s="36" t="n">
        <f aca="false">F68/px-1</f>
        <v>-0.290242854875437</v>
      </c>
      <c r="H68" s="33"/>
    </row>
    <row r="69" customFormat="false" ht="17.15" hidden="false" customHeight="false" outlineLevel="0" collapsed="false">
      <c r="A69" s="0" t="s">
        <v>621</v>
      </c>
      <c r="B69" s="0" t="s">
        <v>488</v>
      </c>
      <c r="C69" s="13" t="n">
        <f aca="false">PL!E22</f>
        <v>9.42072536963797</v>
      </c>
      <c r="D69" s="5" t="s">
        <v>630</v>
      </c>
      <c r="E69" s="30" t="n">
        <f aca="false">pe_peak</f>
        <v>12.5276049980734</v>
      </c>
      <c r="F69" s="28" t="n">
        <f aca="false">C69*E69</f>
        <v>118.019126226154</v>
      </c>
      <c r="G69" s="21" t="n">
        <f aca="false">F69/px-1</f>
        <v>-0.487096365814195</v>
      </c>
    </row>
    <row r="70" customFormat="false" ht="15" hidden="false" customHeight="false" outlineLevel="0" collapsed="false">
      <c r="A70" s="0" t="s">
        <v>621</v>
      </c>
      <c r="B70" s="0" t="s">
        <v>488</v>
      </c>
      <c r="C70" s="13" t="n">
        <f aca="false">PL!E22</f>
        <v>9.42072536963797</v>
      </c>
      <c r="D70" s="5" t="s">
        <v>631</v>
      </c>
      <c r="E70" s="30" t="n">
        <f aca="false">pe_mid</f>
        <v>17.335726569369</v>
      </c>
      <c r="F70" s="28" t="n">
        <f aca="false">C70*E70</f>
        <v>163.315119093162</v>
      </c>
      <c r="G70" s="21" t="n">
        <f aca="false">F70/px-1</f>
        <v>-0.290242854875437</v>
      </c>
    </row>
    <row r="71" customFormat="false" ht="17.15" hidden="false" customHeight="false" outlineLevel="0" collapsed="false">
      <c r="A71" s="0" t="s">
        <v>621</v>
      </c>
      <c r="B71" s="0" t="s">
        <v>488</v>
      </c>
      <c r="C71" s="13" t="n">
        <f aca="false">PL!E22</f>
        <v>9.42072536963797</v>
      </c>
      <c r="D71" s="5" t="s">
        <v>632</v>
      </c>
      <c r="E71" s="30" t="n">
        <f aca="false">pe_trough</f>
        <v>21.0850016897634</v>
      </c>
      <c r="F71" s="28" t="n">
        <f aca="false">C71*E71</f>
        <v>198.636010337613</v>
      </c>
      <c r="G71" s="21" t="n">
        <f aca="false">F71/px-1</f>
        <v>-0.136740502661395</v>
      </c>
    </row>
    <row r="72" customFormat="false" ht="17.15" hidden="false" customHeight="false" outlineLevel="0" collapsed="false">
      <c r="A72" s="0" t="s">
        <v>621</v>
      </c>
      <c r="B72" s="0" t="s">
        <v>489</v>
      </c>
      <c r="C72" s="13" t="n">
        <f aca="false">PL!F22</f>
        <v>10.0226796657799</v>
      </c>
      <c r="D72" s="5" t="s">
        <v>630</v>
      </c>
      <c r="E72" s="30" t="n">
        <f aca="false">pe_peak</f>
        <v>12.5276049980734</v>
      </c>
      <c r="F72" s="28" t="n">
        <f aca="false">C72*E72</f>
        <v>125.560171875114</v>
      </c>
      <c r="G72" s="21" t="n">
        <f aca="false">F72/px-1</f>
        <v>-0.454323459908242</v>
      </c>
    </row>
    <row r="73" customFormat="false" ht="15" hidden="false" customHeight="false" outlineLevel="0" collapsed="false">
      <c r="A73" s="0" t="s">
        <v>621</v>
      </c>
      <c r="B73" s="0" t="s">
        <v>489</v>
      </c>
      <c r="C73" s="13" t="n">
        <f aca="false">PL!F22</f>
        <v>10.0226796657799</v>
      </c>
      <c r="D73" s="5" t="s">
        <v>631</v>
      </c>
      <c r="E73" s="30" t="n">
        <f aca="false">pe_mid</f>
        <v>17.335726569369</v>
      </c>
      <c r="F73" s="28" t="n">
        <f aca="false">C73*E73</f>
        <v>173.750434178336</v>
      </c>
      <c r="G73" s="21" t="n">
        <f aca="false">F73/px-1</f>
        <v>-0.244891637643042</v>
      </c>
    </row>
    <row r="74" customFormat="false" ht="17.15" hidden="false" customHeight="false" outlineLevel="0" collapsed="false">
      <c r="A74" s="0" t="s">
        <v>621</v>
      </c>
      <c r="B74" s="0" t="s">
        <v>489</v>
      </c>
      <c r="C74" s="13" t="n">
        <f aca="false">PL!F22</f>
        <v>10.0226796657799</v>
      </c>
      <c r="D74" s="5" t="s">
        <v>632</v>
      </c>
      <c r="E74" s="30" t="n">
        <f aca="false">pe_trough</f>
        <v>21.0850016897634</v>
      </c>
      <c r="F74" s="28" t="n">
        <f aca="false">C74*E74</f>
        <v>211.328217688927</v>
      </c>
      <c r="G74" s="21" t="n">
        <f aca="false">F74/px-1</f>
        <v>-0.0815809748416919</v>
      </c>
    </row>
    <row r="75" customFormat="false" ht="15" hidden="false" customHeight="false" outlineLevel="0" collapsed="false">
      <c r="A75" s="33" t="s">
        <v>622</v>
      </c>
      <c r="B75" s="33" t="s">
        <v>488</v>
      </c>
      <c r="C75" s="34" t="n">
        <f aca="false">PL!E32</f>
        <v>9.42072536963797</v>
      </c>
      <c r="D75" s="33" t="str">
        <f aca="false">"規則值："&amp;D57</f>
        <v>規則值：見頂</v>
      </c>
      <c r="E75" s="35" t="n">
        <f aca="false">E57</f>
        <v>12.5276049980734</v>
      </c>
      <c r="F75" s="27" t="n">
        <f aca="false">C75*E75</f>
        <v>118.019126226154</v>
      </c>
      <c r="G75" s="36" t="n">
        <f aca="false">F75/px-1</f>
        <v>-0.487096365814195</v>
      </c>
      <c r="H75" s="33"/>
    </row>
    <row r="76" customFormat="false" ht="17.15" hidden="false" customHeight="false" outlineLevel="0" collapsed="false">
      <c r="A76" s="0" t="s">
        <v>622</v>
      </c>
      <c r="B76" s="0" t="s">
        <v>488</v>
      </c>
      <c r="C76" s="13" t="n">
        <f aca="false">PL!E32</f>
        <v>9.42072536963797</v>
      </c>
      <c r="D76" s="5" t="s">
        <v>630</v>
      </c>
      <c r="E76" s="30" t="n">
        <f aca="false">pe_peak</f>
        <v>12.5276049980734</v>
      </c>
      <c r="F76" s="28" t="n">
        <f aca="false">C76*E76</f>
        <v>118.019126226154</v>
      </c>
      <c r="G76" s="21" t="n">
        <f aca="false">F76/px-1</f>
        <v>-0.487096365814195</v>
      </c>
    </row>
    <row r="77" customFormat="false" ht="15" hidden="false" customHeight="false" outlineLevel="0" collapsed="false">
      <c r="A77" s="0" t="s">
        <v>622</v>
      </c>
      <c r="B77" s="0" t="s">
        <v>488</v>
      </c>
      <c r="C77" s="13" t="n">
        <f aca="false">PL!E32</f>
        <v>9.42072536963797</v>
      </c>
      <c r="D77" s="5" t="s">
        <v>631</v>
      </c>
      <c r="E77" s="30" t="n">
        <f aca="false">pe_mid</f>
        <v>17.335726569369</v>
      </c>
      <c r="F77" s="28" t="n">
        <f aca="false">C77*E77</f>
        <v>163.315119093162</v>
      </c>
      <c r="G77" s="21" t="n">
        <f aca="false">F77/px-1</f>
        <v>-0.290242854875437</v>
      </c>
    </row>
    <row r="78" customFormat="false" ht="17.15" hidden="false" customHeight="false" outlineLevel="0" collapsed="false">
      <c r="A78" s="0" t="s">
        <v>622</v>
      </c>
      <c r="B78" s="0" t="s">
        <v>488</v>
      </c>
      <c r="C78" s="13" t="n">
        <f aca="false">PL!E32</f>
        <v>9.42072536963797</v>
      </c>
      <c r="D78" s="5" t="s">
        <v>632</v>
      </c>
      <c r="E78" s="30" t="n">
        <f aca="false">pe_trough</f>
        <v>21.0850016897634</v>
      </c>
      <c r="F78" s="28" t="n">
        <f aca="false">C78*E78</f>
        <v>198.636010337613</v>
      </c>
      <c r="G78" s="21" t="n">
        <f aca="false">F78/px-1</f>
        <v>-0.136740502661395</v>
      </c>
    </row>
    <row r="79" customFormat="false" ht="17.15" hidden="false" customHeight="false" outlineLevel="0" collapsed="false">
      <c r="A79" s="0" t="s">
        <v>622</v>
      </c>
      <c r="B79" s="0" t="s">
        <v>489</v>
      </c>
      <c r="C79" s="13" t="n">
        <f aca="false">PL!F32</f>
        <v>8.74332917812638</v>
      </c>
      <c r="D79" s="5" t="s">
        <v>630</v>
      </c>
      <c r="E79" s="30" t="n">
        <f aca="false">pe_peak</f>
        <v>12.5276049980734</v>
      </c>
      <c r="F79" s="28" t="n">
        <f aca="false">C79*E79</f>
        <v>109.532974311697</v>
      </c>
      <c r="G79" s="21" t="n">
        <f aca="false">F79/px-1</f>
        <v>-0.523976643582367</v>
      </c>
    </row>
    <row r="80" customFormat="false" ht="15" hidden="false" customHeight="false" outlineLevel="0" collapsed="false">
      <c r="A80" s="0" t="s">
        <v>622</v>
      </c>
      <c r="B80" s="0" t="s">
        <v>489</v>
      </c>
      <c r="C80" s="13" t="n">
        <f aca="false">PL!F32</f>
        <v>8.74332917812638</v>
      </c>
      <c r="D80" s="5" t="s">
        <v>631</v>
      </c>
      <c r="E80" s="30" t="n">
        <f aca="false">pe_mid</f>
        <v>17.335726569369</v>
      </c>
      <c r="F80" s="28" t="n">
        <f aca="false">C80*E80</f>
        <v>151.571963937985</v>
      </c>
      <c r="G80" s="21" t="n">
        <f aca="false">F80/px-1</f>
        <v>-0.34127786206873</v>
      </c>
    </row>
    <row r="81" customFormat="false" ht="17.15" hidden="false" customHeight="false" outlineLevel="0" collapsed="false">
      <c r="A81" s="0" t="s">
        <v>622</v>
      </c>
      <c r="B81" s="0" t="s">
        <v>489</v>
      </c>
      <c r="C81" s="13" t="n">
        <f aca="false">PL!F32</f>
        <v>8.74332917812638</v>
      </c>
      <c r="D81" s="5" t="s">
        <v>632</v>
      </c>
      <c r="E81" s="30" t="n">
        <f aca="false">pe_trough</f>
        <v>21.0850016897634</v>
      </c>
      <c r="F81" s="28" t="n">
        <f aca="false">C81*E81</f>
        <v>184.353110494952</v>
      </c>
      <c r="G81" s="21" t="n">
        <f aca="false">F81/px-1</f>
        <v>-0.198813079117983</v>
      </c>
    </row>
    <row r="83" customFormat="false" ht="17.15" hidden="false" customHeight="false" outlineLevel="0" collapsed="false">
      <c r="A83" s="1" t="s">
        <v>633</v>
      </c>
    </row>
    <row r="84" customFormat="false" ht="15" hidden="false" customHeight="false" outlineLevel="0" collapsed="false">
      <c r="A84" s="6" t="s">
        <v>20</v>
      </c>
      <c r="B84" s="14" t="s">
        <v>619</v>
      </c>
      <c r="C84" s="14" t="s">
        <v>621</v>
      </c>
      <c r="D84" s="14" t="s">
        <v>622</v>
      </c>
      <c r="E84" s="6" t="s">
        <v>629</v>
      </c>
    </row>
    <row r="85" customFormat="false" ht="17.15" hidden="false" customHeight="false" outlineLevel="0" collapsed="false">
      <c r="A85" s="5" t="s">
        <v>634</v>
      </c>
      <c r="B85" s="22" t="n">
        <f aca="false">px</f>
        <v>230.1</v>
      </c>
    </row>
    <row r="86" customFormat="false" ht="17.15" hidden="false" customHeight="false" outlineLevel="0" collapsed="false">
      <c r="A86" s="5" t="s">
        <v>635</v>
      </c>
      <c r="B86" s="30" t="n">
        <f aca="false">sa_fpe</f>
        <v>22.39</v>
      </c>
      <c r="E86" s="8" t="s">
        <v>636</v>
      </c>
    </row>
    <row r="87" customFormat="false" ht="17.15" hidden="false" customHeight="false" outlineLevel="0" collapsed="false">
      <c r="A87" s="5" t="s">
        <v>637</v>
      </c>
      <c r="B87" s="30" t="n">
        <f aca="false">px/cons_eps27</f>
        <v>23.8940809968847</v>
      </c>
    </row>
    <row r="88" customFormat="false" ht="17.15" hidden="false" customHeight="false" outlineLevel="0" collapsed="false">
      <c r="A88" s="5" t="s">
        <v>638</v>
      </c>
      <c r="B88" s="30" t="n">
        <f aca="false">px/a26_eps</f>
        <v>39.9479166666667</v>
      </c>
      <c r="E88" s="5" t="s">
        <v>639</v>
      </c>
    </row>
    <row r="89" customFormat="false" ht="17.15" hidden="false" customHeight="false" outlineLevel="0" collapsed="false">
      <c r="A89" s="5" t="s">
        <v>640</v>
      </c>
      <c r="B89" s="30" t="n">
        <f aca="false">px/PL!E12</f>
        <v>24.4248708004575</v>
      </c>
      <c r="C89" s="30" t="n">
        <f aca="false">px/PL!E22</f>
        <v>24.4248708004575</v>
      </c>
      <c r="D89" s="30" t="n">
        <f aca="false">px/PL!E32</f>
        <v>24.4248708004575</v>
      </c>
      <c r="E89" s="8" t="s">
        <v>641</v>
      </c>
    </row>
    <row r="90" customFormat="false" ht="17.15" hidden="false" customHeight="false" outlineLevel="0" collapsed="false">
      <c r="A90" s="5" t="s">
        <v>642</v>
      </c>
      <c r="B90" s="30" t="n">
        <f aca="false">px/PL!F12</f>
        <v>21.5379763892016</v>
      </c>
      <c r="C90" s="30" t="n">
        <f aca="false">px/PL!F22</f>
        <v>22.9579321771224</v>
      </c>
      <c r="D90" s="30" t="n">
        <f aca="false">px/PL!F32</f>
        <v>26.3172065596767</v>
      </c>
      <c r="E90" s="8" t="s">
        <v>641</v>
      </c>
    </row>
    <row r="91" customFormat="false" ht="17.15" hidden="false" customHeight="false" outlineLevel="0" collapsed="false">
      <c r="A91" s="5" t="s">
        <v>643</v>
      </c>
      <c r="B91" s="13" t="n">
        <f aca="false">B89/E55</f>
        <v>1.4089326283915</v>
      </c>
      <c r="E91" s="8" t="s">
        <v>644</v>
      </c>
    </row>
    <row r="94" customFormat="false" ht="17.15" hidden="false" customHeight="false" outlineLevel="0" collapsed="false">
      <c r="A94" s="1" t="s">
        <v>645</v>
      </c>
    </row>
    <row r="95" customFormat="false" ht="17.15" hidden="false" customHeight="false" outlineLevel="0" collapsed="false">
      <c r="A95" s="1" t="s">
        <v>646</v>
      </c>
    </row>
    <row r="96" customFormat="false" ht="17.15" hidden="false" customHeight="false" outlineLevel="0" collapsed="false">
      <c r="A96" s="6" t="s">
        <v>20</v>
      </c>
      <c r="B96" s="14" t="s">
        <v>647</v>
      </c>
      <c r="C96" s="14" t="s">
        <v>648</v>
      </c>
      <c r="D96" s="14" t="s">
        <v>649</v>
      </c>
      <c r="E96" s="6" t="s">
        <v>457</v>
      </c>
    </row>
    <row r="97" customFormat="false" ht="17.15" hidden="false" customHeight="false" outlineLevel="0" collapsed="false">
      <c r="A97" s="5" t="s">
        <v>650</v>
      </c>
      <c r="E97" s="0" t="s">
        <v>651</v>
      </c>
    </row>
    <row r="98" customFormat="false" ht="15" hidden="false" customHeight="false" outlineLevel="0" collapsed="false">
      <c r="A98" s="0" t="s">
        <v>652</v>
      </c>
      <c r="B98" s="13" t="n">
        <f aca="false">PL!E120</f>
        <v>9.42072536963797</v>
      </c>
      <c r="C98" s="13" t="n">
        <f aca="false">PL!E127</f>
        <v>9.42072536963797</v>
      </c>
      <c r="D98" s="13" t="n">
        <f aca="false">PL!E134</f>
        <v>9.42072536963797</v>
      </c>
    </row>
    <row r="99" customFormat="false" ht="15" hidden="false" customHeight="false" outlineLevel="0" collapsed="false">
      <c r="A99" s="0" t="s">
        <v>653</v>
      </c>
      <c r="B99" s="13" t="n">
        <f aca="false">PL!F120</f>
        <v>10.6834549282617</v>
      </c>
      <c r="C99" s="13" t="n">
        <f aca="false">PL!F127</f>
        <v>10.0226796657799</v>
      </c>
      <c r="D99" s="13" t="n">
        <f aca="false">PL!F134</f>
        <v>8.74332917812638</v>
      </c>
    </row>
    <row r="100" customFormat="false" ht="15" hidden="false" customHeight="false" outlineLevel="0" collapsed="false">
      <c r="A100" s="0" t="s">
        <v>654</v>
      </c>
      <c r="B100" s="13" t="n">
        <f aca="false">PL!G120</f>
        <v>12.2005985188508</v>
      </c>
      <c r="C100" s="13" t="n">
        <f aca="false">PL!G127</f>
        <v>10.1986672192108</v>
      </c>
      <c r="D100" s="13" t="n">
        <f aca="false">PL!G134</f>
        <v>7.6521234109224</v>
      </c>
    </row>
    <row r="101" customFormat="false" ht="15" hidden="false" customHeight="false" outlineLevel="0" collapsed="false">
      <c r="A101" s="0" t="s">
        <v>655</v>
      </c>
      <c r="B101" s="13" t="n">
        <f aca="false">PL!H120</f>
        <v>13.2460463752907</v>
      </c>
      <c r="C101" s="13" t="n">
        <f aca="false">PL!H127</f>
        <v>9.81001834146964</v>
      </c>
      <c r="D101" s="13" t="n">
        <f aca="false">PL!H134</f>
        <v>6.52709862107943</v>
      </c>
    </row>
    <row r="102" customFormat="false" ht="15" hidden="false" customHeight="false" outlineLevel="0" collapsed="false">
      <c r="A102" s="0" t="s">
        <v>656</v>
      </c>
      <c r="B102" s="13" t="n">
        <f aca="false">PL!I120</f>
        <v>14.2109429900017</v>
      </c>
      <c r="C102" s="13" t="n">
        <f aca="false">PL!I127</f>
        <v>9.52597975580514</v>
      </c>
      <c r="D102" s="13" t="n">
        <f aca="false">PL!I134</f>
        <v>5.76497049049811</v>
      </c>
    </row>
    <row r="103" customFormat="false" ht="15" hidden="false" customHeight="false" outlineLevel="0" collapsed="false">
      <c r="A103" s="0" t="s">
        <v>657</v>
      </c>
      <c r="B103" s="13" t="n">
        <f aca="false">PL!J120</f>
        <v>15.0635995694018</v>
      </c>
      <c r="C103" s="13" t="n">
        <f aca="false">PL!J127</f>
        <v>9.33341806392709</v>
      </c>
      <c r="D103" s="13" t="n">
        <f aca="false">PL!J134</f>
        <v>5.25140808532493</v>
      </c>
    </row>
    <row r="104" customFormat="false" ht="17.15" hidden="false" customHeight="false" outlineLevel="0" collapsed="false">
      <c r="A104" s="5" t="s">
        <v>658</v>
      </c>
      <c r="E104" s="5" t="s">
        <v>659</v>
      </c>
    </row>
    <row r="105" customFormat="false" ht="17.15" hidden="false" customHeight="false" outlineLevel="0" collapsed="false">
      <c r="A105" s="5" t="s">
        <v>660</v>
      </c>
      <c r="B105" s="10" t="n">
        <f aca="false">MIN(tp_g/tp_roe,0.8)</f>
        <v>0.070997515086972</v>
      </c>
      <c r="E105" s="8" t="s">
        <v>661</v>
      </c>
    </row>
    <row r="106" customFormat="false" ht="15" hidden="false" customHeight="false" outlineLevel="0" collapsed="false">
      <c r="A106" s="0" t="s">
        <v>652</v>
      </c>
      <c r="B106" s="13" t="n">
        <f aca="false">B98*(1-$B$105)</f>
        <v>8.75187727807688</v>
      </c>
      <c r="C106" s="13" t="n">
        <f aca="false">C98*(1-$B$105)</f>
        <v>8.75187727807688</v>
      </c>
      <c r="D106" s="13" t="n">
        <f aca="false">D98*(1-$B$105)</f>
        <v>8.75187727807688</v>
      </c>
    </row>
    <row r="107" customFormat="false" ht="15" hidden="false" customHeight="false" outlineLevel="0" collapsed="false">
      <c r="A107" s="0" t="s">
        <v>653</v>
      </c>
      <c r="B107" s="13" t="n">
        <f aca="false">B99*(1-$B$105)</f>
        <v>9.92495617581144</v>
      </c>
      <c r="C107" s="13" t="n">
        <f aca="false">C99*(1-$B$105)</f>
        <v>9.31109431499684</v>
      </c>
      <c r="D107" s="13" t="n">
        <f aca="false">D99*(1-$B$105)</f>
        <v>8.12257453289199</v>
      </c>
    </row>
    <row r="108" customFormat="false" ht="15" hidden="false" customHeight="false" outlineLevel="0" collapsed="false">
      <c r="A108" s="0" t="s">
        <v>654</v>
      </c>
      <c r="B108" s="13" t="n">
        <f aca="false">B100*(1-$B$105)</f>
        <v>11.3343863414386</v>
      </c>
      <c r="C108" s="13" t="n">
        <f aca="false">C100*(1-$B$105)</f>
        <v>9.47458718944791</v>
      </c>
      <c r="D108" s="13" t="n">
        <f aca="false">D100*(1-$B$105)</f>
        <v>7.10884166360806</v>
      </c>
    </row>
    <row r="109" customFormat="false" ht="15" hidden="false" customHeight="false" outlineLevel="0" collapsed="false">
      <c r="A109" s="0" t="s">
        <v>655</v>
      </c>
      <c r="B109" s="13" t="n">
        <f aca="false">B101*(1-$B$105)</f>
        <v>12.3056099979183</v>
      </c>
      <c r="C109" s="13" t="n">
        <f aca="false">C101*(1-$B$105)</f>
        <v>9.11353141626768</v>
      </c>
      <c r="D109" s="13" t="n">
        <f aca="false">D101*(1-$B$105)</f>
        <v>6.06369083825519</v>
      </c>
    </row>
    <row r="110" customFormat="false" ht="15" hidden="false" customHeight="false" outlineLevel="0" collapsed="false">
      <c r="A110" s="0" t="s">
        <v>656</v>
      </c>
      <c r="B110" s="13" t="n">
        <f aca="false">B102*(1-$B$105)</f>
        <v>13.2020013506689</v>
      </c>
      <c r="C110" s="13" t="n">
        <f aca="false">C102*(1-$B$105)</f>
        <v>8.84965886437418</v>
      </c>
      <c r="D110" s="13" t="n">
        <f aca="false">D102*(1-$B$105)</f>
        <v>5.35567191112302</v>
      </c>
    </row>
    <row r="111" customFormat="false" ht="15" hidden="false" customHeight="false" outlineLevel="0" collapsed="false">
      <c r="A111" s="0" t="s">
        <v>657</v>
      </c>
      <c r="B111" s="13" t="n">
        <f aca="false">B103*(1-$B$105)</f>
        <v>13.9941214317091</v>
      </c>
      <c r="C111" s="13" t="n">
        <f aca="false">C103*(1-$B$105)</f>
        <v>8.67076857412041</v>
      </c>
      <c r="D111" s="13" t="n">
        <f aca="false">D103*(1-$B$105)</f>
        <v>4.87857116055923</v>
      </c>
    </row>
    <row r="112" customFormat="false" ht="17.15" hidden="false" customHeight="false" outlineLevel="0" collapsed="false">
      <c r="A112" s="0" t="s">
        <v>662</v>
      </c>
      <c r="B112" s="13" t="n">
        <f aca="false">SUMPRODUCT(B106:B111,1/(1+tp_r)^{1;2;3;4;5;6})+B111*(1+tp_g)/(tp_r-tp_g)/(1+tp_r)^6</f>
        <v>186.097495333471</v>
      </c>
      <c r="C112" s="13" t="n">
        <f aca="false">SUMPRODUCT(C106:C111,1/(1+tp_r)^{1;2;3;4;5;6})+C111*(1+tp_g)/(tp_r-tp_g)/(1+tp_r)^6</f>
        <v>124.220460317705</v>
      </c>
      <c r="D112" s="13" t="n">
        <f aca="false">SUMPRODUCT(D106:D111,1/(1+tp_r)^{1;2;3;4;5;6})+D111*(1+tp_g)/(tp_r-tp_g)/(1+tp_r)^6</f>
        <v>77.9639491930723</v>
      </c>
      <c r="E112" s="8" t="s">
        <v>663</v>
      </c>
    </row>
    <row r="113" customFormat="false" ht="17.15" hidden="false" customHeight="false" outlineLevel="0" collapsed="false">
      <c r="A113" s="0" t="s">
        <v>664</v>
      </c>
      <c r="B113" s="13" t="n">
        <f aca="false">B112*(1+tp_r)</f>
        <v>204.707244866818</v>
      </c>
      <c r="C113" s="13" t="n">
        <f aca="false">C112*(1+tp_r)</f>
        <v>136.642506349476</v>
      </c>
      <c r="D113" s="13" t="n">
        <f aca="false">D112*(1+tp_r)</f>
        <v>85.7603441123795</v>
      </c>
    </row>
    <row r="114" customFormat="false" ht="17.15" hidden="false" customHeight="false" outlineLevel="0" collapsed="false">
      <c r="A114" s="0" t="s">
        <v>665</v>
      </c>
      <c r="B114" s="34" t="n">
        <f aca="false">tp_wA*B113+tp_wB*C113+tp_wC*D113</f>
        <v>146.885495457259</v>
      </c>
      <c r="E114" s="8" t="s">
        <v>666</v>
      </c>
    </row>
    <row r="116" customFormat="false" ht="17.15" hidden="false" customHeight="false" outlineLevel="0" collapsed="false">
      <c r="A116" s="1" t="s">
        <v>667</v>
      </c>
    </row>
    <row r="117" customFormat="false" ht="17.15" hidden="false" customHeight="false" outlineLevel="0" collapsed="false">
      <c r="A117" s="6" t="s">
        <v>668</v>
      </c>
      <c r="B117" s="6" t="s">
        <v>669</v>
      </c>
      <c r="C117" s="6" t="s">
        <v>670</v>
      </c>
      <c r="D117" s="6" t="s">
        <v>671</v>
      </c>
      <c r="E117" s="6" t="s">
        <v>672</v>
      </c>
      <c r="F117" s="6" t="s">
        <v>25</v>
      </c>
    </row>
    <row r="118" customFormat="false" ht="17.15" hidden="false" customHeight="false" outlineLevel="0" collapsed="false">
      <c r="A118" s="5" t="s">
        <v>673</v>
      </c>
      <c r="B118" s="0" t="s">
        <v>674</v>
      </c>
      <c r="C118" s="31" t="n">
        <v>21.39</v>
      </c>
      <c r="D118" s="8" t="s">
        <v>675</v>
      </c>
      <c r="E118" s="8" t="s">
        <v>676</v>
      </c>
      <c r="F118" s="8" t="s">
        <v>241</v>
      </c>
    </row>
    <row r="119" customFormat="false" ht="17.15" hidden="false" customHeight="false" outlineLevel="0" collapsed="false">
      <c r="A119" s="5" t="s">
        <v>677</v>
      </c>
      <c r="B119" s="0" t="s">
        <v>678</v>
      </c>
      <c r="C119" s="31" t="n">
        <v>26.65</v>
      </c>
      <c r="D119" s="8" t="s">
        <v>675</v>
      </c>
      <c r="E119" s="8" t="s">
        <v>676</v>
      </c>
      <c r="F119" s="8" t="s">
        <v>241</v>
      </c>
    </row>
    <row r="120" customFormat="false" ht="17.15" hidden="false" customHeight="false" outlineLevel="0" collapsed="false">
      <c r="A120" s="0" t="s">
        <v>679</v>
      </c>
      <c r="B120" s="0" t="s">
        <v>680</v>
      </c>
      <c r="C120" s="31" t="n">
        <v>24.74</v>
      </c>
      <c r="D120" s="8" t="s">
        <v>675</v>
      </c>
      <c r="E120" s="8" t="s">
        <v>676</v>
      </c>
      <c r="F120" s="8" t="s">
        <v>241</v>
      </c>
    </row>
    <row r="121" customFormat="false" ht="17.15" hidden="false" customHeight="false" outlineLevel="0" collapsed="false">
      <c r="A121" s="5" t="s">
        <v>681</v>
      </c>
      <c r="B121" s="0" t="s">
        <v>682</v>
      </c>
      <c r="C121" s="31" t="n">
        <v>27.09</v>
      </c>
      <c r="D121" s="8" t="s">
        <v>683</v>
      </c>
      <c r="E121" s="8" t="s">
        <v>676</v>
      </c>
      <c r="F121" s="8" t="s">
        <v>241</v>
      </c>
    </row>
    <row r="122" customFormat="false" ht="17.15" hidden="false" customHeight="false" outlineLevel="0" collapsed="false">
      <c r="A122" s="5" t="s">
        <v>684</v>
      </c>
      <c r="B122" s="30" t="n">
        <f aca="false">MEDIAN(C118:C121)</f>
        <v>25.695</v>
      </c>
      <c r="E122" s="5" t="s">
        <v>685</v>
      </c>
    </row>
    <row r="123" customFormat="false" ht="17.15" hidden="false" customHeight="false" outlineLevel="0" collapsed="false">
      <c r="A123" s="0" t="s">
        <v>686</v>
      </c>
      <c r="B123" s="13" t="n">
        <f aca="false">tp_wA*(8/12*B99+4/12*B100)+tp_wB*(8/12*C99+4/12*C100)+tp_wC*(8/12*D99+4/12*D100)</f>
        <v>10.0733407138109</v>
      </c>
      <c r="E123" s="5" t="s">
        <v>687</v>
      </c>
    </row>
    <row r="124" customFormat="false" ht="17.15" hidden="false" customHeight="false" outlineLevel="0" collapsed="false">
      <c r="A124" s="0" t="s">
        <v>688</v>
      </c>
      <c r="B124" s="34" t="n">
        <f aca="false">B122*B123</f>
        <v>258.83448964137</v>
      </c>
      <c r="E124" s="5" t="s">
        <v>689</v>
      </c>
    </row>
    <row r="126" customFormat="false" ht="17.15" hidden="false" customHeight="false" outlineLevel="0" collapsed="false">
      <c r="A126" s="1" t="s">
        <v>690</v>
      </c>
    </row>
    <row r="127" customFormat="false" ht="15" hidden="false" customHeight="false" outlineLevel="0" collapsed="false">
      <c r="A127" s="6" t="s">
        <v>20</v>
      </c>
      <c r="B127" s="6" t="s">
        <v>540</v>
      </c>
      <c r="C127" s="14"/>
      <c r="D127" s="14"/>
      <c r="E127" s="6" t="s">
        <v>457</v>
      </c>
    </row>
    <row r="128" customFormat="false" ht="17.15" hidden="false" customHeight="false" outlineLevel="0" collapsed="false">
      <c r="A128" s="5" t="s">
        <v>691</v>
      </c>
      <c r="B128" s="34" t="n">
        <f aca="false">tp_w_dcf*B114+(1-tp_w_dcf)*B124</f>
        <v>202.859992549315</v>
      </c>
      <c r="E128" s="8" t="s">
        <v>692</v>
      </c>
    </row>
    <row r="129" customFormat="false" ht="17.15" hidden="false" customHeight="false" outlineLevel="0" collapsed="false">
      <c r="A129" s="0" t="s">
        <v>693</v>
      </c>
      <c r="B129" s="13" t="n">
        <f aca="false">B124</f>
        <v>258.83448964137</v>
      </c>
      <c r="E129" s="5" t="s">
        <v>694</v>
      </c>
    </row>
    <row r="130" customFormat="false" ht="17.15" hidden="false" customHeight="false" outlineLevel="0" collapsed="false">
      <c r="A130" s="5" t="s">
        <v>695</v>
      </c>
      <c r="B130" s="13" t="n">
        <f aca="false">cons_tp</f>
        <v>364.03</v>
      </c>
      <c r="E130" s="8" t="s">
        <v>384</v>
      </c>
    </row>
    <row r="131" customFormat="false" ht="17.15" hidden="false" customHeight="false" outlineLevel="0" collapsed="false">
      <c r="A131" s="5" t="s">
        <v>696</v>
      </c>
      <c r="B131" s="10" t="n">
        <f aca="false">B128/px-1</f>
        <v>-0.118383343983856</v>
      </c>
      <c r="E131" s="5" t="s">
        <v>697</v>
      </c>
    </row>
    <row r="132" customFormat="false" ht="17.15" hidden="false" customHeight="false" outlineLevel="0" collapsed="false">
      <c r="A132" s="5" t="s">
        <v>698</v>
      </c>
      <c r="B132" s="10" t="n">
        <f aca="false">B129/px-1</f>
        <v>0.124878268758672</v>
      </c>
    </row>
    <row r="133" customFormat="false" ht="17.15" hidden="false" customHeight="false" outlineLevel="0" collapsed="false">
      <c r="A133" s="5" t="s">
        <v>699</v>
      </c>
      <c r="B133" s="10" t="n">
        <f aca="false">B123/cons_feps-1</f>
        <v>-0.170918459768652</v>
      </c>
      <c r="E133" s="5" t="s">
        <v>700</v>
      </c>
    </row>
    <row r="134" customFormat="false" ht="17.15" hidden="false" customHeight="false" outlineLevel="0" collapsed="false">
      <c r="A134" s="5" t="s">
        <v>701</v>
      </c>
      <c r="B134" s="10" t="n">
        <f aca="false">(cons_tp/cons_feps)/B122-1</f>
        <v>0.166036850454484</v>
      </c>
      <c r="E134" s="0" t="str">
        <f aca="false">"共識目標價 ÷ 共識前瞻 EPS 隱含 "&amp;TEXT(cons_tp/cons_feps,"0.0")&amp;"x，同業中位數 "&amp;TEXT(B122,"0.0")&amp;"x"</f>
        <v>共識目標價 ÷ 共識前瞻 EPS 隱含 30.0x，同業中位數 25.7x</v>
      </c>
    </row>
    <row r="135" customFormat="false" ht="17.15" hidden="false" customHeight="false" outlineLevel="0" collapsed="false">
      <c r="A135" s="5" t="s">
        <v>702</v>
      </c>
      <c r="B135" s="37" t="str">
        <f aca="false">TEXT(D113,"0.00")&amp;"～"&amp;TEXT(B113,"0.00")</f>
        <v>85.76～204.71</v>
      </c>
      <c r="E135" s="8" t="s">
        <v>703</v>
      </c>
    </row>
    <row r="136" customFormat="false" ht="17.15" hidden="false" customHeight="false" outlineLevel="0" collapsed="false">
      <c r="A136" s="5" t="s">
        <v>704</v>
      </c>
      <c r="B136" s="21" t="n">
        <f aca="false">IF(px/B99&lt;MIN(E32:E41),0,IF(px/B99&gt;MAX(E32:E41),1,PERCENTRANK(E32:E41,px/B99)))</f>
        <v>0.767</v>
      </c>
      <c r="C136" s="21" t="n">
        <f aca="false">IF(px/C99&lt;MIN(E32:E41),0,IF(px/C99&gt;MAX(E32:E41),1,PERCENTRANK(E32:E41,px/C99)))</f>
        <v>0.802</v>
      </c>
      <c r="D136" s="21" t="n">
        <f aca="false">IF(px/D99&lt;MIN(E32:E41),0,IF(px/D99&gt;MAX(E32:E41),1,PERCENTRANK(E32:E41,px/D99)))</f>
        <v>0.876</v>
      </c>
      <c r="E136" s="5" t="s">
        <v>705</v>
      </c>
    </row>
    <row r="137" customFormat="false" ht="17.15" hidden="false" customHeight="false" outlineLevel="0" collapsed="false">
      <c r="A137" s="5" t="s">
        <v>706</v>
      </c>
      <c r="B137" s="0" t="s">
        <v>707</v>
      </c>
    </row>
    <row r="138" customFormat="false" ht="17.15" hidden="false" customHeight="false" outlineLevel="0" collapsed="false">
      <c r="A138" s="5" t="s">
        <v>708</v>
      </c>
      <c r="B138" s="37" t="str">
        <f aca="false">IF(B131&gt;0.5,"大於 50%",IF(B131&gt;0.25,"25%–50%",IF(B131&gt;=0,"0%–25%",IF(B131&gt;=-0.25,"0%～−25%",IF(B131&gt;=-0.5,"−25%～−50%","小於 −50%")))))</f>
        <v>0%～−25%</v>
      </c>
      <c r="E138" s="5" t="s">
        <v>709</v>
      </c>
    </row>
    <row r="139" customFormat="false" ht="17.15" hidden="false" customHeight="false" outlineLevel="0" collapsed="false">
      <c r="A139" s="5" t="s">
        <v>710</v>
      </c>
      <c r="B139" s="37" t="str">
        <f aca="false">IF(B131&gt;0.5,"強力買進",IF(B131&gt;0.25,"買進",IF(B131&gt;=-0.25,"中立",IF(B131&gt;=-0.5,"放空","強力放空"))))</f>
        <v>中立</v>
      </c>
      <c r="E139" s="5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2"/>
    <col collapsed="false" customWidth="true" hidden="false" outlineLevel="0" max="9" min="9" style="0" width="3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712</v>
      </c>
    </row>
    <row r="3" customFormat="false" ht="17.15" hidden="false" customHeight="false" outlineLevel="0" collapsed="false">
      <c r="A3" s="6" t="s">
        <v>20</v>
      </c>
      <c r="B3" s="6" t="s">
        <v>713</v>
      </c>
      <c r="C3" s="6" t="s">
        <v>714</v>
      </c>
      <c r="D3" s="6" t="s">
        <v>715</v>
      </c>
      <c r="E3" s="6" t="s">
        <v>716</v>
      </c>
      <c r="F3" s="6" t="s">
        <v>717</v>
      </c>
      <c r="G3" s="6" t="s">
        <v>718</v>
      </c>
      <c r="H3" s="6" t="s">
        <v>719</v>
      </c>
      <c r="I3" s="6" t="s">
        <v>720</v>
      </c>
      <c r="J3" s="6" t="s">
        <v>457</v>
      </c>
    </row>
    <row r="4" customFormat="false" ht="17.15" hidden="false" customHeight="false" outlineLevel="0" collapsed="false">
      <c r="A4" s="1" t="s">
        <v>721</v>
      </c>
    </row>
    <row r="5" customFormat="false" ht="17.15" hidden="false" customHeight="false" outlineLevel="0" collapsed="false">
      <c r="A5" s="0" t="s">
        <v>722</v>
      </c>
      <c r="B5" s="22" t="n">
        <f aca="false">cons_rev27</f>
        <v>35.39</v>
      </c>
      <c r="C5" s="22" t="n">
        <f aca="false">PL!E5</f>
        <v>34.6022925636284</v>
      </c>
      <c r="D5" s="10" t="n">
        <f aca="false">C5/B5-1</f>
        <v>-0.022257910041583</v>
      </c>
      <c r="E5" s="22" t="n">
        <f aca="false">PL!E15</f>
        <v>34.6022925636284</v>
      </c>
      <c r="F5" s="10" t="n">
        <f aca="false">E5/B5-1</f>
        <v>-0.022257910041583</v>
      </c>
      <c r="G5" s="22" t="n">
        <f aca="false">PL!E25</f>
        <v>34.6022925636284</v>
      </c>
      <c r="H5" s="10" t="n">
        <f aca="false">G5/B5-1</f>
        <v>-0.022257910041583</v>
      </c>
      <c r="I5" s="8" t="s">
        <v>723</v>
      </c>
      <c r="J5" s="8" t="s">
        <v>339</v>
      </c>
    </row>
    <row r="6" customFormat="false" ht="17.15" hidden="false" customHeight="false" outlineLevel="0" collapsed="false">
      <c r="A6" s="0" t="s">
        <v>724</v>
      </c>
      <c r="B6" s="22" t="n">
        <f aca="false">cons_eps27</f>
        <v>9.63</v>
      </c>
      <c r="C6" s="22" t="n">
        <f aca="false">PL!E12</f>
        <v>9.42072536963797</v>
      </c>
      <c r="D6" s="10" t="n">
        <f aca="false">C6/B6-1</f>
        <v>-0.02173152963261</v>
      </c>
      <c r="E6" s="22" t="n">
        <f aca="false">PL!E22</f>
        <v>9.42072536963797</v>
      </c>
      <c r="F6" s="10" t="n">
        <f aca="false">E6/B6-1</f>
        <v>-0.02173152963261</v>
      </c>
      <c r="G6" s="22" t="n">
        <f aca="false">PL!E32</f>
        <v>9.42072536963797</v>
      </c>
      <c r="H6" s="10" t="n">
        <f aca="false">G6/B6-1</f>
        <v>-0.02173152963261</v>
      </c>
      <c r="I6" s="8" t="s">
        <v>725</v>
      </c>
      <c r="J6" s="5" t="s">
        <v>726</v>
      </c>
    </row>
    <row r="7" customFormat="false" ht="17.15" hidden="false" customHeight="false" outlineLevel="0" collapsed="false">
      <c r="A7" s="0" t="s">
        <v>727</v>
      </c>
      <c r="B7" s="22" t="n">
        <f aca="false">cons_eps27b</f>
        <v>9.48</v>
      </c>
      <c r="C7" s="22" t="n">
        <f aca="false">PL!E12</f>
        <v>9.42072536963797</v>
      </c>
      <c r="D7" s="10" t="n">
        <f aca="false">C7/B7-1</f>
        <v>-0.00625259813945511</v>
      </c>
      <c r="E7" s="22" t="n">
        <f aca="false">PL!E22</f>
        <v>9.42072536963797</v>
      </c>
      <c r="F7" s="10" t="n">
        <f aca="false">E7/B7-1</f>
        <v>-0.00625259813945511</v>
      </c>
      <c r="G7" s="22" t="n">
        <f aca="false">PL!E32</f>
        <v>9.42072536963797</v>
      </c>
      <c r="H7" s="10" t="n">
        <f aca="false">G7/B7-1</f>
        <v>-0.00625259813945511</v>
      </c>
      <c r="I7" s="8" t="s">
        <v>728</v>
      </c>
    </row>
    <row r="8" customFormat="false" ht="17.15" hidden="false" customHeight="false" outlineLevel="0" collapsed="false">
      <c r="A8" s="0" t="s">
        <v>729</v>
      </c>
      <c r="B8" s="22" t="n">
        <f aca="false">cons_rev28</f>
        <v>42.68</v>
      </c>
      <c r="C8" s="22" t="n">
        <f aca="false">PL!F5</f>
        <v>37.7510470839896</v>
      </c>
      <c r="D8" s="10" t="n">
        <f aca="false">C8/B8-1</f>
        <v>-0.115486244517581</v>
      </c>
      <c r="E8" s="22" t="n">
        <f aca="false">PL!F15</f>
        <v>35.8954420982568</v>
      </c>
      <c r="F8" s="10" t="n">
        <f aca="false">E8/B8-1</f>
        <v>-0.158963399759682</v>
      </c>
      <c r="G8" s="22" t="n">
        <f aca="false">PL!F25</f>
        <v>32.2748375498097</v>
      </c>
      <c r="H8" s="10" t="n">
        <f aca="false">G8/B8-1</f>
        <v>-0.243794809048507</v>
      </c>
      <c r="I8" s="8" t="s">
        <v>730</v>
      </c>
    </row>
    <row r="9" customFormat="false" ht="17.15" hidden="false" customHeight="false" outlineLevel="0" collapsed="false">
      <c r="A9" s="0" t="s">
        <v>731</v>
      </c>
      <c r="B9" s="22" t="n">
        <f aca="false">cons_eps28</f>
        <v>12.15</v>
      </c>
      <c r="C9" s="22" t="n">
        <f aca="false">PL!F12</f>
        <v>10.6834549282617</v>
      </c>
      <c r="D9" s="10" t="n">
        <f aca="false">C9/B9-1</f>
        <v>-0.120703298085458</v>
      </c>
      <c r="E9" s="22" t="n">
        <f aca="false">PL!F22</f>
        <v>10.0226796657799</v>
      </c>
      <c r="F9" s="10" t="n">
        <f aca="false">E9/B9-1</f>
        <v>-0.175088093351446</v>
      </c>
      <c r="G9" s="22" t="n">
        <f aca="false">PL!F32</f>
        <v>8.74332917812638</v>
      </c>
      <c r="H9" s="10" t="n">
        <f aca="false">G9/B9-1</f>
        <v>-0.280384429783837</v>
      </c>
      <c r="I9" s="8" t="s">
        <v>732</v>
      </c>
    </row>
    <row r="10" customFormat="false" ht="17.15" hidden="false" customHeight="false" outlineLevel="0" collapsed="false">
      <c r="A10" s="1" t="s">
        <v>733</v>
      </c>
    </row>
    <row r="11" customFormat="false" ht="17.15" hidden="false" customHeight="false" outlineLevel="0" collapsed="false">
      <c r="A11" s="0" t="s">
        <v>734</v>
      </c>
      <c r="B11" s="10" t="n">
        <f aca="false">co_sys26</f>
        <v>0.4</v>
      </c>
      <c r="C11" s="10" t="n">
        <f aca="false">Units!G14</f>
        <v>0.482051634333757</v>
      </c>
      <c r="D11" s="10" t="n">
        <f aca="false">C11-B11</f>
        <v>0.0820516343337571</v>
      </c>
      <c r="E11" s="10" t="n">
        <f aca="false">Units!G14</f>
        <v>0.482051634333757</v>
      </c>
      <c r="F11" s="10" t="n">
        <f aca="false">E11-B11</f>
        <v>0.0820516343337571</v>
      </c>
      <c r="G11" s="10" t="n">
        <f aca="false">Units!G14</f>
        <v>0.482051634333757</v>
      </c>
      <c r="H11" s="10" t="n">
        <f aca="false">G11-B11</f>
        <v>0.0820516343337571</v>
      </c>
      <c r="I11" s="8" t="s">
        <v>735</v>
      </c>
      <c r="J11" s="5" t="s">
        <v>736</v>
      </c>
    </row>
    <row r="12" customFormat="false" ht="17.15" hidden="false" customHeight="false" outlineLevel="0" collapsed="false">
      <c r="A12" s="0" t="s">
        <v>737</v>
      </c>
      <c r="B12" s="10" t="n">
        <f aca="false">co_cs26</f>
        <v>0.3</v>
      </c>
      <c r="C12" s="10" t="n">
        <f aca="false">Units!G15</f>
        <v>0.330486721123475</v>
      </c>
      <c r="D12" s="10" t="n">
        <f aca="false">C12-B12</f>
        <v>0.0304867211234748</v>
      </c>
      <c r="E12" s="10" t="n">
        <f aca="false">Units!G15</f>
        <v>0.330486721123475</v>
      </c>
      <c r="F12" s="10" t="n">
        <f aca="false">E12-B12</f>
        <v>0.0304867211234748</v>
      </c>
      <c r="G12" s="10" t="n">
        <f aca="false">Units!G15</f>
        <v>0.330486721123475</v>
      </c>
      <c r="H12" s="10" t="n">
        <f aca="false">G12-B12</f>
        <v>0.0304867211234748</v>
      </c>
      <c r="I12" s="8" t="s">
        <v>735</v>
      </c>
      <c r="J12" s="5" t="s">
        <v>738</v>
      </c>
    </row>
    <row r="13" customFormat="false" ht="17.15" hidden="false" customHeight="false" outlineLevel="0" collapsed="false">
      <c r="A13" s="0" t="s">
        <v>739</v>
      </c>
      <c r="B13" s="10" t="n">
        <f aca="false">g_q2gm</f>
        <v>0.525</v>
      </c>
      <c r="C13" s="10" t="n">
        <f aca="false">PL!E8</f>
        <v>0.525503854044351</v>
      </c>
      <c r="D13" s="10" t="n">
        <f aca="false">C13-B13</f>
        <v>0.000503854044350605</v>
      </c>
      <c r="E13" s="10" t="n">
        <f aca="false">PL!E18</f>
        <v>0.525503854044351</v>
      </c>
      <c r="F13" s="10" t="n">
        <f aca="false">E13-B13</f>
        <v>0.000503854044350605</v>
      </c>
      <c r="G13" s="10" t="n">
        <f aca="false">PL!E28</f>
        <v>0.525503854044351</v>
      </c>
      <c r="H13" s="10" t="n">
        <f aca="false">G13-B13</f>
        <v>0.000503854044350605</v>
      </c>
      <c r="I13" s="8" t="s">
        <v>740</v>
      </c>
      <c r="J13" s="5" t="s">
        <v>741</v>
      </c>
    </row>
    <row r="14" customFormat="false" ht="17.15" hidden="false" customHeight="false" outlineLevel="0" collapsed="false">
      <c r="A14" s="0" t="s">
        <v>742</v>
      </c>
      <c r="B14" s="10" t="n">
        <f aca="false">0.55</f>
        <v>0.55</v>
      </c>
      <c r="C14" s="10" t="n">
        <f aca="false">PL!G8</f>
        <v>0.534964444590398</v>
      </c>
      <c r="D14" s="10" t="n">
        <f aca="false">C14-B14</f>
        <v>-0.0150355554096018</v>
      </c>
      <c r="E14" s="10" t="n">
        <f aca="false">PL!G18</f>
        <v>0.527515070070121</v>
      </c>
      <c r="F14" s="10" t="n">
        <f aca="false">E14-B14</f>
        <v>-0.0224849299298786</v>
      </c>
      <c r="G14" s="10" t="n">
        <f aca="false">PL!G28</f>
        <v>0.515957452643486</v>
      </c>
      <c r="H14" s="10" t="n">
        <f aca="false">G14-B14</f>
        <v>-0.034042547356514</v>
      </c>
      <c r="I14" s="8" t="s">
        <v>743</v>
      </c>
    </row>
    <row r="15" customFormat="false" ht="17.15" hidden="false" customHeight="false" outlineLevel="0" collapsed="false">
      <c r="A15" s="1" t="s">
        <v>744</v>
      </c>
    </row>
    <row r="16" customFormat="false" ht="17.15" hidden="false" customHeight="false" outlineLevel="0" collapsed="false">
      <c r="A16" s="0" t="s">
        <v>745</v>
      </c>
      <c r="B16" s="22" t="n">
        <f aca="false">co_wfe26</f>
        <v>155</v>
      </c>
      <c r="C16" s="22" t="n">
        <f aca="false">wfeA_26</f>
        <v>156.157050570127</v>
      </c>
      <c r="D16" s="10" t="n">
        <f aca="false">C16/B16-1</f>
        <v>0.00746484238791623</v>
      </c>
      <c r="E16" s="22" t="n">
        <f aca="false">wfeB_26</f>
        <v>156.157050570127</v>
      </c>
      <c r="F16" s="10" t="n">
        <f aca="false">E16/B16-1</f>
        <v>0.00746484238791623</v>
      </c>
      <c r="G16" s="22" t="n">
        <f aca="false">wfeC_26</f>
        <v>156.157050570127</v>
      </c>
      <c r="H16" s="10" t="n">
        <f aca="false">G16/B16-1</f>
        <v>0.00746484238791623</v>
      </c>
      <c r="I16" s="8" t="s">
        <v>735</v>
      </c>
      <c r="J16" s="5" t="s">
        <v>746</v>
      </c>
    </row>
    <row r="17" customFormat="false" ht="17.15" hidden="false" customHeight="false" outlineLevel="0" collapsed="false">
      <c r="A17" s="0" t="s">
        <v>747</v>
      </c>
      <c r="B17" s="22" t="n">
        <f aca="false">co_wfe27</f>
        <v>200</v>
      </c>
      <c r="C17" s="22" t="n">
        <f aca="false">wfeA_27</f>
        <v>192.795469377561</v>
      </c>
      <c r="D17" s="10" t="n">
        <f aca="false">C17/B17-1</f>
        <v>-0.036022653112195</v>
      </c>
      <c r="E17" s="22" t="n">
        <f aca="false">wfeB_27</f>
        <v>192.795469377561</v>
      </c>
      <c r="F17" s="10" t="n">
        <f aca="false">E17/B17-1</f>
        <v>-0.036022653112195</v>
      </c>
      <c r="G17" s="22" t="n">
        <f aca="false">wfeC_27</f>
        <v>192.795469377561</v>
      </c>
      <c r="H17" s="10" t="n">
        <f aca="false">G17/B17-1</f>
        <v>-0.036022653112195</v>
      </c>
      <c r="I17" s="8" t="s">
        <v>735</v>
      </c>
      <c r="J17" s="5" t="s">
        <v>748</v>
      </c>
    </row>
    <row r="18" customFormat="false" ht="17.15" hidden="false" customHeight="false" outlineLevel="0" collapsed="false">
      <c r="A18" s="0" t="s">
        <v>749</v>
      </c>
      <c r="B18" s="10" t="n">
        <f aca="false">co_wfe26/co_wfe25-1</f>
        <v>0.409090909090909</v>
      </c>
      <c r="C18" s="10" t="n">
        <f aca="false">wfeA_26/wfeA_25-1</f>
        <v>0.33585357367496</v>
      </c>
      <c r="D18" s="10" t="n">
        <f aca="false">C18-B18</f>
        <v>-0.073237335415949</v>
      </c>
      <c r="E18" s="10" t="n">
        <f aca="false">wfeB_26/wfeB_25-1</f>
        <v>0.33585357367496</v>
      </c>
      <c r="F18" s="10" t="n">
        <f aca="false">E18-B18</f>
        <v>-0.073237335415949</v>
      </c>
      <c r="G18" s="10" t="n">
        <f aca="false">wfeC_26/wfeC_25-1</f>
        <v>0.33585357367496</v>
      </c>
      <c r="H18" s="10" t="n">
        <f aca="false">G18-B18</f>
        <v>-0.073237335415949</v>
      </c>
      <c r="I18" s="8" t="s">
        <v>750</v>
      </c>
    </row>
    <row r="19" customFormat="false" ht="17.15" hidden="false" customHeight="false" outlineLevel="0" collapsed="false">
      <c r="A19" s="1" t="s">
        <v>751</v>
      </c>
    </row>
    <row r="20" customFormat="false" ht="17.15" hidden="false" customHeight="false" outlineLevel="0" collapsed="false">
      <c r="A20" s="0" t="s">
        <v>752</v>
      </c>
      <c r="C20" s="10" t="n">
        <f aca="false">(q1_rev+g_q2rev)/PL!E5</f>
        <v>0.486078139738043</v>
      </c>
    </row>
    <row r="21" customFormat="false" ht="17.15" hidden="false" customHeight="false" outlineLevel="0" collapsed="false">
      <c r="A21" s="0" t="s">
        <v>753</v>
      </c>
      <c r="C21" s="10" t="n">
        <f aca="false">(q1_eps+g_q2eps)/PL!E12</f>
        <v>0.47979320303376</v>
      </c>
    </row>
    <row r="22" customFormat="false" ht="17.15" hidden="false" customHeight="false" outlineLevel="0" collapsed="false">
      <c r="A22" s="0" t="s">
        <v>754</v>
      </c>
      <c r="C22" s="10" t="n">
        <f aca="false">Units!E24</f>
        <v>0.12696721619429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6"/>
    <col collapsed="false" customWidth="true" hidden="false" outlineLevel="0" max="8" min="3" style="0" width="15"/>
  </cols>
  <sheetData>
    <row r="1" customFormat="false" ht="17.15" hidden="false" customHeight="false" outlineLevel="0" collapsed="false">
      <c r="A1" s="0" t="s">
        <v>755</v>
      </c>
    </row>
    <row r="3" customFormat="false" ht="17.15" hidden="false" customHeight="false" outlineLevel="0" collapsed="false">
      <c r="A3" s="6" t="s">
        <v>756</v>
      </c>
      <c r="B3" s="6" t="s">
        <v>757</v>
      </c>
      <c r="C3" s="14" t="s">
        <v>758</v>
      </c>
      <c r="D3" s="14" t="s">
        <v>759</v>
      </c>
      <c r="E3" s="6" t="s">
        <v>760</v>
      </c>
      <c r="F3" s="14" t="s">
        <v>761</v>
      </c>
      <c r="G3" s="14" t="s">
        <v>762</v>
      </c>
      <c r="H3" s="6" t="s">
        <v>760</v>
      </c>
    </row>
    <row r="4" customFormat="false" ht="17.15" hidden="false" customHeight="false" outlineLevel="0" collapsed="false">
      <c r="A4" s="5" t="s">
        <v>763</v>
      </c>
      <c r="B4" s="0" t="s">
        <v>764</v>
      </c>
      <c r="C4" s="22" t="n">
        <f aca="false">PL!E52</f>
        <v>34.6022925636284</v>
      </c>
      <c r="D4" s="13" t="n">
        <f aca="false">PL!E60</f>
        <v>9.42072536963797</v>
      </c>
      <c r="E4" s="10" t="n">
        <f aca="false">D4/D$4-1</f>
        <v>0</v>
      </c>
      <c r="F4" s="22" t="n">
        <f aca="false">PL!F52</f>
        <v>37.7510470839896</v>
      </c>
      <c r="G4" s="13" t="n">
        <f aca="false">PL!F60</f>
        <v>10.6834549282617</v>
      </c>
      <c r="H4" s="10" t="n">
        <f aca="false">G4/G$4-1</f>
        <v>0</v>
      </c>
    </row>
    <row r="5" customFormat="false" ht="17.15" hidden="false" customHeight="false" outlineLevel="0" collapsed="false">
      <c r="A5" s="5" t="s">
        <v>765</v>
      </c>
      <c r="B5" s="0" t="s">
        <v>766</v>
      </c>
      <c r="C5" s="22" t="n">
        <f aca="false">E62</f>
        <v>34.3565327293558</v>
      </c>
      <c r="D5" s="13" t="n">
        <f aca="false">E70</f>
        <v>9.33508563924802</v>
      </c>
      <c r="E5" s="10" t="n">
        <f aca="false">D5/D$4-1</f>
        <v>-0.00909056649352635</v>
      </c>
      <c r="F5" s="22" t="n">
        <f aca="false">F62</f>
        <v>36.958256662074</v>
      </c>
      <c r="G5" s="13" t="n">
        <f aca="false">F70</f>
        <v>10.4007407077133</v>
      </c>
      <c r="H5" s="10" t="n">
        <f aca="false">G5/G$4-1</f>
        <v>-0.0264628083748908</v>
      </c>
    </row>
    <row r="6" customFormat="false" ht="17.15" hidden="false" customHeight="false" outlineLevel="0" collapsed="false">
      <c r="A6" s="5" t="s">
        <v>767</v>
      </c>
      <c r="B6" s="5" t="s">
        <v>768</v>
      </c>
      <c r="C6" s="22" t="n">
        <f aca="false">E92</f>
        <v>34.848052397901</v>
      </c>
      <c r="D6" s="13" t="n">
        <f aca="false">E100</f>
        <v>9.50642587596971</v>
      </c>
      <c r="E6" s="10" t="n">
        <f aca="false">D6/D$4-1</f>
        <v>0.0090970177952483</v>
      </c>
      <c r="F6" s="22" t="n">
        <f aca="false">F92</f>
        <v>38.554888628888</v>
      </c>
      <c r="G6" s="13" t="n">
        <f aca="false">F100</f>
        <v>10.9707109219934</v>
      </c>
      <c r="H6" s="10" t="n">
        <f aca="false">G6/G$4-1</f>
        <v>0.0268879305113052</v>
      </c>
    </row>
    <row r="7" customFormat="false" ht="17.15" hidden="false" customHeight="false" outlineLevel="0" collapsed="false">
      <c r="A7" s="5" t="s">
        <v>769</v>
      </c>
      <c r="B7" s="0" t="s">
        <v>770</v>
      </c>
      <c r="C7" s="22" t="n">
        <f aca="false">E122</f>
        <v>33.7667091271017</v>
      </c>
      <c r="D7" s="13" t="n">
        <f aca="false">E130</f>
        <v>9.12980086684866</v>
      </c>
      <c r="E7" s="10" t="n">
        <f aca="false">D7/D$4-1</f>
        <v>-0.0308813272199749</v>
      </c>
      <c r="F7" s="22" t="n">
        <f aca="false">F122</f>
        <v>35.9761181939343</v>
      </c>
      <c r="G7" s="13" t="n">
        <f aca="false">F130</f>
        <v>10.0513389058663</v>
      </c>
      <c r="H7" s="10" t="n">
        <f aca="false">G7/G$4-1</f>
        <v>-0.0591677530012525</v>
      </c>
    </row>
    <row r="8" customFormat="false" ht="17.15" hidden="false" customHeight="false" outlineLevel="0" collapsed="false">
      <c r="A8" s="5" t="s">
        <v>771</v>
      </c>
      <c r="B8" s="0" t="s">
        <v>772</v>
      </c>
      <c r="C8" s="22" t="n">
        <f aca="false">E152</f>
        <v>32.9311256905749</v>
      </c>
      <c r="D8" s="13" t="n">
        <f aca="false">E160</f>
        <v>8.83959638702616</v>
      </c>
      <c r="E8" s="10" t="n">
        <f aca="false">D8/D$4-1</f>
        <v>-0.0616862247661651</v>
      </c>
      <c r="F8" s="22" t="n">
        <f aca="false">F152</f>
        <v>34.2011893038791</v>
      </c>
      <c r="G8" s="13" t="n">
        <f aca="false">F160</f>
        <v>9.4223195811866</v>
      </c>
      <c r="H8" s="10" t="n">
        <f aca="false">G8/G$4-1</f>
        <v>-0.118045646800916</v>
      </c>
    </row>
    <row r="9" customFormat="false" ht="17.15" hidden="false" customHeight="false" outlineLevel="0" collapsed="false">
      <c r="A9" s="5" t="s">
        <v>773</v>
      </c>
      <c r="B9" s="0" t="s">
        <v>774</v>
      </c>
      <c r="C9" s="22" t="n">
        <f aca="false">E182</f>
        <v>32.8240051072656</v>
      </c>
      <c r="D9" s="13" t="n">
        <f aca="false">E190</f>
        <v>8.80244559089416</v>
      </c>
      <c r="E9" s="10" t="n">
        <f aca="false">D9/D$4-1</f>
        <v>-0.0656297423483399</v>
      </c>
      <c r="F9" s="22" t="n">
        <f aca="false">F182</f>
        <v>37.5325172883164</v>
      </c>
      <c r="G9" s="13" t="n">
        <f aca="false">F190</f>
        <v>10.6054664975495</v>
      </c>
      <c r="H9" s="10" t="n">
        <f aca="false">G9/G$4-1</f>
        <v>-0.00729992602916085</v>
      </c>
    </row>
    <row r="10" customFormat="false" ht="17.15" hidden="false" customHeight="false" outlineLevel="0" collapsed="false">
      <c r="A10" s="5" t="s">
        <v>775</v>
      </c>
      <c r="C10" s="22" t="n">
        <f aca="false">E212</f>
        <v>36.3805800199912</v>
      </c>
      <c r="D10" s="13" t="n">
        <f aca="false">E220</f>
        <v>10.0421886237855</v>
      </c>
      <c r="E10" s="10" t="n">
        <f aca="false">D10/D$4-1</f>
        <v>0.0659676648838963</v>
      </c>
      <c r="F10" s="22" t="n">
        <f aca="false">F212</f>
        <v>37.9695768796629</v>
      </c>
      <c r="G10" s="13" t="n">
        <f aca="false">F220</f>
        <v>10.761488075661</v>
      </c>
      <c r="H10" s="10" t="n">
        <f aca="false">G10/G$4-1</f>
        <v>0.00730411163086586</v>
      </c>
    </row>
    <row r="11" customFormat="false" ht="17.15" hidden="false" customHeight="false" outlineLevel="0" collapsed="false">
      <c r="A11" s="0" t="s">
        <v>776</v>
      </c>
      <c r="B11" s="5" t="s">
        <v>777</v>
      </c>
      <c r="C11" s="22" t="n">
        <f aca="false">E242</f>
        <v>34.3633846136284</v>
      </c>
      <c r="D11" s="13" t="n">
        <f aca="false">E250</f>
        <v>9.33747248234399</v>
      </c>
      <c r="E11" s="10" t="n">
        <f aca="false">D11/D$4-1</f>
        <v>-0.0088372056319882</v>
      </c>
      <c r="F11" s="22" t="n">
        <f aca="false">F242</f>
        <v>37.2445622299896</v>
      </c>
      <c r="G11" s="13" t="n">
        <f aca="false">F250</f>
        <v>10.5027704550673</v>
      </c>
      <c r="H11" s="10" t="n">
        <f aca="false">G11/G$4-1</f>
        <v>-0.0169125507064567</v>
      </c>
    </row>
    <row r="12" customFormat="false" ht="15" hidden="false" customHeight="false" outlineLevel="0" collapsed="false">
      <c r="A12" s="0" t="s">
        <v>778</v>
      </c>
      <c r="C12" s="22" t="n">
        <f aca="false">E272</f>
        <v>34.8412005136284</v>
      </c>
      <c r="D12" s="13" t="n">
        <f aca="false">E280</f>
        <v>9.50403569117335</v>
      </c>
      <c r="E12" s="10" t="n">
        <f aca="false">D12/D$4-1</f>
        <v>0.00884330221575969</v>
      </c>
      <c r="F12" s="22" t="n">
        <f aca="false">F272</f>
        <v>38.2575319379896</v>
      </c>
      <c r="G12" s="13" t="n">
        <f aca="false">F280</f>
        <v>10.8643796118699</v>
      </c>
      <c r="H12" s="10" t="n">
        <f aca="false">G12/G$4-1</f>
        <v>0.0169350350446691</v>
      </c>
    </row>
    <row r="13" customFormat="false" ht="15" hidden="false" customHeight="false" outlineLevel="0" collapsed="false">
      <c r="A13" s="0" t="s">
        <v>779</v>
      </c>
      <c r="C13" s="22" t="n">
        <f aca="false">E302</f>
        <v>34.6022925636284</v>
      </c>
      <c r="D13" s="13" t="n">
        <f aca="false">E310</f>
        <v>9.42072536963797</v>
      </c>
      <c r="E13" s="10" t="n">
        <f aca="false">D13/D$4-1</f>
        <v>0</v>
      </c>
      <c r="F13" s="22" t="n">
        <f aca="false">F302</f>
        <v>37.5312517699896</v>
      </c>
      <c r="G13" s="13" t="n">
        <f aca="false">F310</f>
        <v>10.6050149928985</v>
      </c>
      <c r="H13" s="10" t="n">
        <f aca="false">G13/G$4-1</f>
        <v>-0.00734218807397669</v>
      </c>
    </row>
    <row r="14" customFormat="false" ht="15" hidden="false" customHeight="false" outlineLevel="0" collapsed="false">
      <c r="A14" s="0" t="s">
        <v>780</v>
      </c>
      <c r="C14" s="22" t="n">
        <f aca="false">E332</f>
        <v>34.6022925636284</v>
      </c>
      <c r="D14" s="13" t="n">
        <f aca="false">E340</f>
        <v>9.42072536963797</v>
      </c>
      <c r="E14" s="10" t="n">
        <f aca="false">D14/D$4-1</f>
        <v>0</v>
      </c>
      <c r="F14" s="22" t="n">
        <f aca="false">F332</f>
        <v>37.9708423979896</v>
      </c>
      <c r="G14" s="13" t="n">
        <f aca="false">F340</f>
        <v>10.7619400997283</v>
      </c>
      <c r="H14" s="10" t="n">
        <f aca="false">G14/G$4-1</f>
        <v>0.00734642229443527</v>
      </c>
    </row>
    <row r="15" customFormat="false" ht="17.15" hidden="false" customHeight="false" outlineLevel="0" collapsed="false">
      <c r="A15" s="5" t="s">
        <v>781</v>
      </c>
      <c r="B15" s="0" t="s">
        <v>782</v>
      </c>
      <c r="C15" s="22" t="n">
        <f aca="false">E362</f>
        <v>34.6022925636284</v>
      </c>
      <c r="D15" s="13" t="n">
        <f aca="false">E370</f>
        <v>9.6623614529879</v>
      </c>
      <c r="E15" s="10" t="n">
        <f aca="false">D15/D$4-1</f>
        <v>0.025649413805088</v>
      </c>
      <c r="F15" s="22" t="n">
        <f aca="false">F362</f>
        <v>37.7510470839896</v>
      </c>
      <c r="G15" s="13" t="n">
        <f aca="false">F370</f>
        <v>10.9967097375445</v>
      </c>
      <c r="H15" s="10" t="n">
        <f aca="false">G15/G$4-1</f>
        <v>0.0293214892922131</v>
      </c>
    </row>
    <row r="16" customFormat="false" ht="17.15" hidden="false" customHeight="false" outlineLevel="0" collapsed="false">
      <c r="A16" s="5" t="s">
        <v>783</v>
      </c>
      <c r="B16" s="5" t="s">
        <v>784</v>
      </c>
      <c r="C16" s="22" t="n">
        <f aca="false">E392</f>
        <v>34.6022925636284</v>
      </c>
      <c r="D16" s="13" t="n">
        <f aca="false">E400</f>
        <v>9.25994886694476</v>
      </c>
      <c r="E16" s="10" t="n">
        <f aca="false">D16/D$4-1</f>
        <v>-0.0170662551326853</v>
      </c>
      <c r="F16" s="22" t="n">
        <f aca="false">F392</f>
        <v>37.7510470839896</v>
      </c>
      <c r="G16" s="13" t="n">
        <f aca="false">F400</f>
        <v>10.4750257400788</v>
      </c>
      <c r="H16" s="10" t="n">
        <f aca="false">G16/G$4-1</f>
        <v>-0.0195095303516039</v>
      </c>
    </row>
    <row r="17" customFormat="false" ht="17.15" hidden="false" customHeight="false" outlineLevel="0" collapsed="false">
      <c r="A17" s="5" t="s">
        <v>785</v>
      </c>
      <c r="C17" s="22" t="n">
        <f aca="false">E422</f>
        <v>34.6022925636284</v>
      </c>
      <c r="D17" s="13" t="n">
        <f aca="false">E430</f>
        <v>9.81560607375453</v>
      </c>
      <c r="E17" s="10" t="n">
        <f aca="false">D17/D$4-1</f>
        <v>0.0419161676646709</v>
      </c>
      <c r="F17" s="22" t="n">
        <f aca="false">F422</f>
        <v>37.7510470839896</v>
      </c>
      <c r="G17" s="13" t="n">
        <f aca="false">F430</f>
        <v>11.1312644162727</v>
      </c>
      <c r="H17" s="10" t="n">
        <f aca="false">G17/G$4-1</f>
        <v>0.0419161676646707</v>
      </c>
    </row>
    <row r="18" customFormat="false" ht="17.15" hidden="false" customHeight="false" outlineLevel="0" collapsed="false">
      <c r="A18" s="5" t="s">
        <v>786</v>
      </c>
      <c r="C18" s="22" t="n">
        <f aca="false">E452</f>
        <v>34.6022925636284</v>
      </c>
      <c r="D18" s="13" t="n">
        <f aca="false">E460</f>
        <v>9.13866772384042</v>
      </c>
      <c r="E18" s="10" t="n">
        <f aca="false">D18/D$4-1</f>
        <v>-0.0299401197604788</v>
      </c>
      <c r="F18" s="22" t="n">
        <f aca="false">F452</f>
        <v>37.7510470839896</v>
      </c>
      <c r="G18" s="13" t="n">
        <f aca="false">F460</f>
        <v>10.3635910082538</v>
      </c>
      <c r="H18" s="10" t="n">
        <f aca="false">G18/G$4-1</f>
        <v>-0.0299401197604789</v>
      </c>
    </row>
    <row r="19" customFormat="false" ht="17.15" hidden="false" customHeight="false" outlineLevel="0" collapsed="false">
      <c r="A19" s="5" t="s">
        <v>787</v>
      </c>
      <c r="C19" s="22" t="n">
        <f aca="false">E482</f>
        <v>34.6022925636284</v>
      </c>
      <c r="D19" s="13" t="n">
        <f aca="false">E490</f>
        <v>9.42072536963797</v>
      </c>
      <c r="E19" s="10" t="n">
        <f aca="false">D19/D$4-1</f>
        <v>0</v>
      </c>
      <c r="F19" s="22" t="n">
        <f aca="false">F482</f>
        <v>37.7510470839896</v>
      </c>
      <c r="G19" s="13" t="n">
        <f aca="false">F490</f>
        <v>10.5232031043378</v>
      </c>
      <c r="H19" s="10" t="n">
        <f aca="false">G19/G$4-1</f>
        <v>-0.015</v>
      </c>
    </row>
    <row r="20" customFormat="false" ht="17.15" hidden="false" customHeight="false" outlineLevel="0" collapsed="false">
      <c r="A20" s="5" t="s">
        <v>788</v>
      </c>
      <c r="C20" s="22" t="n">
        <f aca="false">E512</f>
        <v>34.6022925636284</v>
      </c>
      <c r="D20" s="13" t="n">
        <f aca="false">E520</f>
        <v>9.42072536963797</v>
      </c>
      <c r="E20" s="10" t="n">
        <f aca="false">D20/D$4-1</f>
        <v>0</v>
      </c>
      <c r="F20" s="22" t="n">
        <f aca="false">F512</f>
        <v>37.7510470839896</v>
      </c>
      <c r="G20" s="13" t="n">
        <f aca="false">F520</f>
        <v>10.8486629941626</v>
      </c>
      <c r="H20" s="10" t="n">
        <f aca="false">G20/G$4-1</f>
        <v>0.0154639175257731</v>
      </c>
    </row>
    <row r="21" customFormat="false" ht="17.15" hidden="false" customHeight="false" outlineLevel="0" collapsed="false">
      <c r="A21" s="5" t="s">
        <v>789</v>
      </c>
      <c r="C21" s="22" t="n">
        <f aca="false">E542</f>
        <v>34.6022925636284</v>
      </c>
      <c r="D21" s="13" t="n">
        <f aca="false">E550</f>
        <v>9.3540853057912</v>
      </c>
      <c r="E21" s="10" t="n">
        <f aca="false">D21/D$4-1</f>
        <v>-0.00707377205385262</v>
      </c>
      <c r="F21" s="22" t="n">
        <f aca="false">F542</f>
        <v>37.7510470839896</v>
      </c>
      <c r="G21" s="13" t="n">
        <f aca="false">F550</f>
        <v>10.6158000411076</v>
      </c>
      <c r="H21" s="10" t="n">
        <f aca="false">G21/G$4-1</f>
        <v>-0.00633267867074583</v>
      </c>
    </row>
    <row r="22" customFormat="false" ht="17.15" hidden="false" customHeight="false" outlineLevel="0" collapsed="false">
      <c r="A22" s="5" t="s">
        <v>790</v>
      </c>
      <c r="C22" s="22" t="n">
        <f aca="false">E572</f>
        <v>34.6022925636284</v>
      </c>
      <c r="D22" s="13" t="n">
        <f aca="false">E580</f>
        <v>9.48736543348474</v>
      </c>
      <c r="E22" s="10" t="n">
        <f aca="false">D22/D$4-1</f>
        <v>0.00707377205385296</v>
      </c>
      <c r="F22" s="22" t="n">
        <f aca="false">F572</f>
        <v>37.7510470839896</v>
      </c>
      <c r="G22" s="13" t="n">
        <f aca="false">F580</f>
        <v>10.7511098154158</v>
      </c>
      <c r="H22" s="10" t="n">
        <f aca="false">G22/G$4-1</f>
        <v>0.00633267867074605</v>
      </c>
    </row>
    <row r="23" customFormat="false" ht="17.15" hidden="false" customHeight="false" outlineLevel="0" collapsed="false">
      <c r="A23" s="5" t="s">
        <v>791</v>
      </c>
      <c r="B23" s="0" t="s">
        <v>792</v>
      </c>
      <c r="C23" s="22" t="n">
        <f aca="false">PL!E76</f>
        <v>34.6022925636284</v>
      </c>
      <c r="D23" s="13" t="n">
        <f aca="false">PL!E84</f>
        <v>9.42072536963797</v>
      </c>
      <c r="E23" s="10" t="n">
        <f aca="false">D23/D$4-1</f>
        <v>0</v>
      </c>
      <c r="F23" s="22" t="n">
        <f aca="false">PL!F76</f>
        <v>35.8954420982568</v>
      </c>
      <c r="G23" s="13" t="n">
        <f aca="false">PL!F84</f>
        <v>10.0226796657799</v>
      </c>
      <c r="H23" s="10" t="n">
        <f aca="false">G23/G$4-1</f>
        <v>-0.0618503346453733</v>
      </c>
    </row>
    <row r="24" customFormat="false" ht="17.15" hidden="false" customHeight="false" outlineLevel="0" collapsed="false">
      <c r="A24" s="5" t="s">
        <v>793</v>
      </c>
      <c r="B24" s="0" t="s">
        <v>794</v>
      </c>
      <c r="C24" s="22" t="n">
        <f aca="false">PL!E100</f>
        <v>34.6022925636284</v>
      </c>
      <c r="D24" s="13" t="n">
        <f aca="false">PL!E108</f>
        <v>9.42072536963797</v>
      </c>
      <c r="E24" s="10" t="n">
        <f aca="false">D24/D$4-1</f>
        <v>0</v>
      </c>
      <c r="F24" s="22" t="n">
        <f aca="false">PL!F100</f>
        <v>32.2748375498097</v>
      </c>
      <c r="G24" s="13" t="n">
        <f aca="false">PL!F108</f>
        <v>8.74332917812638</v>
      </c>
      <c r="H24" s="10" t="n">
        <f aca="false">G24/G$4-1</f>
        <v>-0.18160096739894</v>
      </c>
    </row>
    <row r="26" customFormat="false" ht="17.15" hidden="false" customHeight="false" outlineLevel="0" collapsed="false">
      <c r="A26" s="5" t="s">
        <v>795</v>
      </c>
    </row>
    <row r="50" customFormat="false" ht="17.15" hidden="false" customHeight="false" outlineLevel="0" collapsed="false">
      <c r="A50" s="3" t="s">
        <v>796</v>
      </c>
    </row>
    <row r="51" customFormat="false" ht="17.15" hidden="false" customHeight="false" outlineLevel="0" collapsed="false">
      <c r="A51" s="6" t="s">
        <v>20</v>
      </c>
      <c r="B51" s="6" t="s">
        <v>21</v>
      </c>
      <c r="C51" s="14" t="s">
        <v>499</v>
      </c>
      <c r="D51" s="14" t="s">
        <v>500</v>
      </c>
      <c r="E51" s="14" t="s">
        <v>501</v>
      </c>
      <c r="F51" s="14" t="s">
        <v>502</v>
      </c>
      <c r="G51" s="14" t="s">
        <v>503</v>
      </c>
      <c r="H51" s="6" t="s">
        <v>457</v>
      </c>
    </row>
    <row r="52" customFormat="false" ht="17.15" hidden="false" customHeight="false" outlineLevel="0" collapsed="false">
      <c r="A52" s="1" t="s">
        <v>504</v>
      </c>
    </row>
    <row r="53" customFormat="false" ht="17.15" hidden="false" customHeight="false" outlineLevel="0" collapsed="false">
      <c r="A53" s="5" t="s">
        <v>505</v>
      </c>
      <c r="B53" s="0" t="s">
        <v>31</v>
      </c>
      <c r="D53" s="17" t="n">
        <f aca="false">cy26_fl</f>
        <v>10.96762678</v>
      </c>
      <c r="E53" s="17" t="n">
        <f aca="false">k_fl*(advA_27+oflA_27)*(1+drift_lo)^1</f>
        <v>12.4477257431183</v>
      </c>
      <c r="F53" s="17" t="n">
        <f aca="false">k_fl*(advA_28+oflA_28)*(1+drift_lo)^2</f>
        <v>13.7352243939471</v>
      </c>
      <c r="G53" s="17" t="n">
        <f aca="false">k_fl*(advA_29+oflA_29)*(1+drift_lo)^3</f>
        <v>14.3606730535564</v>
      </c>
      <c r="H53" s="8" t="s">
        <v>506</v>
      </c>
    </row>
    <row r="54" customFormat="false" ht="17.15" hidden="false" customHeight="false" outlineLevel="0" collapsed="false">
      <c r="A54" s="5" t="s">
        <v>507</v>
      </c>
      <c r="B54" s="0" t="s">
        <v>31</v>
      </c>
      <c r="D54" s="17" t="n">
        <f aca="false">cy26_dram</f>
        <v>4.35400138</v>
      </c>
      <c r="E54" s="17" t="n">
        <f aca="false">k_dram*dramA_27*(1+drift_lo)^1</f>
        <v>5.77277679608639</v>
      </c>
      <c r="F54" s="17" t="n">
        <f aca="false">k_dram*dramA_28*(1+drift_lo)^2</f>
        <v>6.32675858233546</v>
      </c>
      <c r="G54" s="17" t="n">
        <f aca="false">k_dram*dramA_29*(1+drift_lo)^3</f>
        <v>6.43656882258251</v>
      </c>
      <c r="H54" s="8" t="s">
        <v>506</v>
      </c>
    </row>
    <row r="55" customFormat="false" ht="17.15" hidden="false" customHeight="false" outlineLevel="0" collapsed="false">
      <c r="A55" s="5" t="s">
        <v>508</v>
      </c>
      <c r="B55" s="0" t="s">
        <v>31</v>
      </c>
      <c r="D55" s="17" t="n">
        <f aca="false">cy26_nand</f>
        <v>4.50519784</v>
      </c>
      <c r="E55" s="17" t="n">
        <f aca="false">k_nand*nandA_27*(1+drift_lo)^1</f>
        <v>5.86396121950692</v>
      </c>
      <c r="F55" s="17" t="n">
        <f aca="false">k_nand*nandA_28*(1+drift_lo)^2</f>
        <v>6.47176330515376</v>
      </c>
      <c r="G55" s="17" t="n">
        <f aca="false">k_nand*nandA_29*(1+drift_lo)^3</f>
        <v>6.70399960468704</v>
      </c>
      <c r="H55" s="8" t="s">
        <v>506</v>
      </c>
    </row>
    <row r="56" customFormat="false" ht="17.15" hidden="false" customHeight="false" outlineLevel="0" collapsed="false">
      <c r="A56" s="5" t="s">
        <v>509</v>
      </c>
      <c r="B56" s="0" t="s">
        <v>31</v>
      </c>
      <c r="E56" s="17" t="n">
        <f aca="false">-cn_sh*0*(E53+E54+E55)</f>
        <v>-0</v>
      </c>
      <c r="F56" s="17" t="n">
        <f aca="false">-cn_sh*0*(F53+F54+F55)</f>
        <v>-0</v>
      </c>
      <c r="G56" s="17" t="n">
        <f aca="false">-cn_sh*0*(G53+G54+G55)</f>
        <v>-0</v>
      </c>
      <c r="H56" s="5" t="s">
        <v>510</v>
      </c>
    </row>
    <row r="57" customFormat="false" ht="17.15" hidden="false" customHeight="false" outlineLevel="0" collapsed="false">
      <c r="A57" s="5" t="s">
        <v>511</v>
      </c>
      <c r="B57" s="0" t="s">
        <v>31</v>
      </c>
      <c r="D57" s="17" t="n">
        <f aca="false">SUM(D53:D56)</f>
        <v>19.826826</v>
      </c>
      <c r="E57" s="17" t="n">
        <f aca="false">SUM(E53:E56)</f>
        <v>24.0844637587116</v>
      </c>
      <c r="F57" s="17" t="n">
        <f aca="false">SUM(F53:F56)</f>
        <v>26.5337462814363</v>
      </c>
      <c r="G57" s="17" t="n">
        <f aca="false">SUM(G53:G56)</f>
        <v>27.501241480826</v>
      </c>
    </row>
    <row r="58" customFormat="false" ht="17.15" hidden="false" customHeight="false" outlineLevel="0" collapsed="false">
      <c r="A58" s="0" t="s">
        <v>512</v>
      </c>
      <c r="B58" s="0" t="s">
        <v>31</v>
      </c>
      <c r="D58" s="17" t="n">
        <f aca="false">cy26_cs</f>
        <v>9.556318</v>
      </c>
      <c r="E58" s="17" t="n">
        <f aca="false">D58*(1+g_cs27)</f>
        <v>10.9897657</v>
      </c>
      <c r="F58" s="17" t="n">
        <f aca="false">E58*(1+g_cs_A)</f>
        <v>12.308537584</v>
      </c>
      <c r="G58" s="17" t="n">
        <f aca="false">F58*(1+g_cs_A)</f>
        <v>13.78556209408</v>
      </c>
      <c r="H58" s="8" t="s">
        <v>513</v>
      </c>
    </row>
    <row r="59" customFormat="false" ht="17.15" hidden="false" customHeight="false" outlineLevel="0" collapsed="false">
      <c r="A59" s="1" t="s">
        <v>514</v>
      </c>
    </row>
    <row r="60" customFormat="false" ht="17.15" hidden="false" customHeight="false" outlineLevel="0" collapsed="false">
      <c r="A60" s="5" t="s">
        <v>449</v>
      </c>
      <c r="B60" s="0" t="s">
        <v>31</v>
      </c>
      <c r="C60" s="17" t="n">
        <f aca="false">a25_sys</f>
        <v>11.49128</v>
      </c>
      <c r="D60" s="17" t="n">
        <f aca="false">a26_sys</f>
        <v>14.885488</v>
      </c>
      <c r="E60" s="17" t="n">
        <f aca="false">h2s26+h1s*E57</f>
        <v>23.8886278793558</v>
      </c>
      <c r="F60" s="17" t="n">
        <f aca="false">(1-h1s)*E57+h1s*F57</f>
        <v>25.309105020074</v>
      </c>
      <c r="G60" s="17" t="n">
        <f aca="false">(1-h1s)*F57+h1s*G57</f>
        <v>27.0174938811311</v>
      </c>
      <c r="H60" s="8" t="s">
        <v>515</v>
      </c>
    </row>
    <row r="61" customFormat="false" ht="15" hidden="false" customHeight="false" outlineLevel="0" collapsed="false">
      <c r="A61" s="0" t="s">
        <v>451</v>
      </c>
      <c r="B61" s="0" t="s">
        <v>31</v>
      </c>
      <c r="C61" s="17" t="n">
        <f aca="false">a25_cs</f>
        <v>6.944311</v>
      </c>
      <c r="D61" s="17" t="n">
        <f aca="false">a26_cs</f>
        <v>8.347202</v>
      </c>
      <c r="E61" s="17" t="n">
        <f aca="false">h2c26+h1s*E58</f>
        <v>10.46790485</v>
      </c>
      <c r="F61" s="17" t="n">
        <f aca="false">(1-h1s)*E58+h1s*F58</f>
        <v>11.649151642</v>
      </c>
      <c r="G61" s="17" t="n">
        <f aca="false">(1-h1s)*F58+h1s*G58</f>
        <v>13.04704983904</v>
      </c>
    </row>
    <row r="62" customFormat="false" ht="15" hidden="false" customHeight="false" outlineLevel="0" collapsed="false">
      <c r="A62" s="5" t="s">
        <v>405</v>
      </c>
      <c r="B62" s="0" t="s">
        <v>31</v>
      </c>
      <c r="C62" s="17" t="n">
        <f aca="false">C60+C61</f>
        <v>18.435591</v>
      </c>
      <c r="D62" s="17" t="n">
        <f aca="false">D60+D61</f>
        <v>23.23269</v>
      </c>
      <c r="E62" s="17" t="n">
        <f aca="false">E60+E61</f>
        <v>34.3565327293558</v>
      </c>
      <c r="F62" s="17" t="n">
        <f aca="false">F60+F61</f>
        <v>36.958256662074</v>
      </c>
      <c r="G62" s="17" t="n">
        <f aca="false">G60+G61</f>
        <v>40.0645437201711</v>
      </c>
    </row>
    <row r="63" customFormat="false" ht="17.15" hidden="false" customHeight="false" outlineLevel="0" collapsed="false">
      <c r="A63" s="5" t="s">
        <v>411</v>
      </c>
      <c r="B63" s="0" t="s">
        <v>212</v>
      </c>
      <c r="C63" s="10" t="n">
        <f aca="false">a25_gp/a25_rev</f>
        <v>0.487050238855917</v>
      </c>
      <c r="D63" s="10" t="n">
        <f aca="false">a26_gp/a26_rev</f>
        <v>0.504690072479769</v>
      </c>
      <c r="E63" s="10" t="n">
        <f aca="false">gm_a+gm_b*LN(E62)</f>
        <v>0.525131437822751</v>
      </c>
      <c r="F63" s="10" t="n">
        <f aca="false">gm_a+gm_b*LN(F62)</f>
        <v>0.528945432606449</v>
      </c>
      <c r="G63" s="10" t="n">
        <f aca="false">gm_a+gm_b*LN(G62)</f>
        <v>0.533162044250997</v>
      </c>
      <c r="H63" s="5" t="s">
        <v>516</v>
      </c>
    </row>
    <row r="64" customFormat="false" ht="15" hidden="false" customHeight="false" outlineLevel="0" collapsed="false">
      <c r="A64" s="5" t="s">
        <v>409</v>
      </c>
      <c r="B64" s="0" t="s">
        <v>31</v>
      </c>
      <c r="C64" s="17" t="n">
        <f aca="false">C62*C63</f>
        <v>8.979059</v>
      </c>
      <c r="D64" s="17" t="n">
        <f aca="false">D62*D63</f>
        <v>11.725308</v>
      </c>
      <c r="E64" s="17" t="n">
        <f aca="false">E62*E63</f>
        <v>18.041695430771</v>
      </c>
      <c r="F64" s="17" t="n">
        <f aca="false">F62*F63</f>
        <v>19.5489010585009</v>
      </c>
      <c r="G64" s="17" t="n">
        <f aca="false">G62*G63</f>
        <v>21.3608940318299</v>
      </c>
    </row>
    <row r="65" customFormat="false" ht="17.15" hidden="false" customHeight="false" outlineLevel="0" collapsed="false">
      <c r="A65" s="5" t="s">
        <v>415</v>
      </c>
      <c r="B65" s="0" t="s">
        <v>31</v>
      </c>
      <c r="C65" s="17" t="n">
        <f aca="false">a25_opx</f>
        <v>3.078091</v>
      </c>
      <c r="D65" s="17" t="n">
        <f aca="false">a26_opx</f>
        <v>3.525513</v>
      </c>
      <c r="E65" s="17" t="n">
        <f aca="false">opex_fix+opex_var*E62</f>
        <v>4.13347710025874</v>
      </c>
      <c r="F65" s="17" t="n">
        <f aca="false">opex_fix+opex_var*F62</f>
        <v>4.27567209423347</v>
      </c>
      <c r="G65" s="17" t="n">
        <f aca="false">opex_fix+opex_var*G62</f>
        <v>4.44544355382429</v>
      </c>
      <c r="H65" s="5" t="s">
        <v>517</v>
      </c>
    </row>
    <row r="66" customFormat="false" ht="15" hidden="false" customHeight="false" outlineLevel="0" collapsed="false">
      <c r="A66" s="5" t="s">
        <v>417</v>
      </c>
      <c r="B66" s="0" t="s">
        <v>31</v>
      </c>
      <c r="C66" s="17" t="n">
        <f aca="false">C64-C65</f>
        <v>5.900968</v>
      </c>
      <c r="D66" s="17" t="n">
        <f aca="false">D64-D65</f>
        <v>8.199795</v>
      </c>
      <c r="E66" s="17" t="n">
        <f aca="false">E64-E65</f>
        <v>13.9082183305123</v>
      </c>
      <c r="F66" s="17" t="n">
        <f aca="false">F64-F65</f>
        <v>15.2732289642674</v>
      </c>
      <c r="G66" s="17" t="n">
        <f aca="false">G64-G65</f>
        <v>16.9154504780056</v>
      </c>
    </row>
    <row r="67" customFormat="false" ht="15" hidden="false" customHeight="false" outlineLevel="0" collapsed="false">
      <c r="A67" s="5" t="s">
        <v>418</v>
      </c>
      <c r="B67" s="0" t="s">
        <v>212</v>
      </c>
      <c r="C67" s="10" t="n">
        <f aca="false">C66/C62</f>
        <v>0.320085643036884</v>
      </c>
      <c r="D67" s="10" t="n">
        <f aca="false">D66/D62</f>
        <v>0.35294212594409</v>
      </c>
      <c r="E67" s="10" t="n">
        <f aca="false">E66/E62</f>
        <v>0.404820196498713</v>
      </c>
      <c r="F67" s="10" t="n">
        <f aca="false">F66/F62</f>
        <v>0.413256206966618</v>
      </c>
      <c r="G67" s="10" t="n">
        <f aca="false">G66/G62</f>
        <v>0.422204994923959</v>
      </c>
    </row>
    <row r="68" customFormat="false" ht="15" hidden="false" customHeight="false" outlineLevel="0" collapsed="false">
      <c r="A68" s="5" t="s">
        <v>422</v>
      </c>
      <c r="B68" s="0" t="s">
        <v>31</v>
      </c>
      <c r="C68" s="17" t="n">
        <f aca="false">a25_ni</f>
        <v>5.358217</v>
      </c>
      <c r="D68" s="17" t="n">
        <f aca="false">a26_ni</f>
        <v>7.265396</v>
      </c>
      <c r="E68" s="17" t="n">
        <f aca="false">(E66+oth_inc)*(1-tax)</f>
        <v>11.6968623059778</v>
      </c>
      <c r="F68" s="17" t="n">
        <f aca="false">(F66+oth_inc)*(1-tax)</f>
        <v>12.8366461851633</v>
      </c>
      <c r="G68" s="17" t="n">
        <f aca="false">(G66+oth_inc)*(1-tax)</f>
        <v>14.2079011491347</v>
      </c>
    </row>
    <row r="69" customFormat="false" ht="15" hidden="false" customHeight="false" outlineLevel="0" collapsed="false">
      <c r="A69" s="5" t="s">
        <v>518</v>
      </c>
      <c r="B69" s="5" t="s">
        <v>288</v>
      </c>
      <c r="C69" s="19" t="n">
        <f aca="false">a25_dsh</f>
        <v>1.290142</v>
      </c>
      <c r="D69" s="19" t="n">
        <f aca="false">a26_dsh</f>
        <v>1.261102</v>
      </c>
      <c r="E69" s="19" t="n">
        <f aca="false">sh_27</f>
        <v>1.253</v>
      </c>
      <c r="F69" s="19" t="n">
        <f aca="false">E69*(1-bb)</f>
        <v>1.234205</v>
      </c>
      <c r="G69" s="19" t="n">
        <f aca="false">F69*(1-bb)</f>
        <v>1.215691925</v>
      </c>
    </row>
    <row r="70" customFormat="false" ht="17.15" hidden="false" customHeight="false" outlineLevel="0" collapsed="false">
      <c r="A70" s="0" t="s">
        <v>494</v>
      </c>
      <c r="B70" s="0" t="s">
        <v>308</v>
      </c>
      <c r="C70" s="13" t="n">
        <f aca="false">a25_eps</f>
        <v>4.15</v>
      </c>
      <c r="D70" s="13" t="n">
        <f aca="false">a26_eps</f>
        <v>5.76</v>
      </c>
      <c r="E70" s="13" t="n">
        <f aca="false">E68/E69</f>
        <v>9.33508563924802</v>
      </c>
      <c r="F70" s="13" t="n">
        <f aca="false">F68/F69</f>
        <v>10.4007407077133</v>
      </c>
      <c r="G70" s="13" t="n">
        <f aca="false">G68/G69</f>
        <v>11.6870901722364</v>
      </c>
    </row>
    <row r="71" customFormat="false" ht="15" hidden="false" customHeight="false" outlineLevel="0" collapsed="false">
      <c r="A71" s="5" t="s">
        <v>519</v>
      </c>
      <c r="B71" s="0" t="s">
        <v>212</v>
      </c>
      <c r="C71" s="10" t="n">
        <f aca="false">C60/C62</f>
        <v>0.623320402367356</v>
      </c>
      <c r="D71" s="10" t="n">
        <f aca="false">D60/D62</f>
        <v>0.640713064221147</v>
      </c>
      <c r="E71" s="10" t="n">
        <f aca="false">E60/E62</f>
        <v>0.695315446047449</v>
      </c>
      <c r="F71" s="10" t="n">
        <f aca="false">F60/F62</f>
        <v>0.684802458392087</v>
      </c>
      <c r="G71" s="10" t="n">
        <f aca="false">G60/G62</f>
        <v>0.674349221841474</v>
      </c>
    </row>
    <row r="80" customFormat="false" ht="17.15" hidden="false" customHeight="false" outlineLevel="0" collapsed="false">
      <c r="A80" s="3" t="s">
        <v>797</v>
      </c>
    </row>
    <row r="81" customFormat="false" ht="17.15" hidden="false" customHeight="false" outlineLevel="0" collapsed="false">
      <c r="A81" s="6" t="s">
        <v>20</v>
      </c>
      <c r="B81" s="6" t="s">
        <v>21</v>
      </c>
      <c r="C81" s="14" t="s">
        <v>499</v>
      </c>
      <c r="D81" s="14" t="s">
        <v>500</v>
      </c>
      <c r="E81" s="14" t="s">
        <v>501</v>
      </c>
      <c r="F81" s="14" t="s">
        <v>502</v>
      </c>
      <c r="G81" s="14" t="s">
        <v>503</v>
      </c>
      <c r="H81" s="6" t="s">
        <v>457</v>
      </c>
    </row>
    <row r="82" customFormat="false" ht="17.15" hidden="false" customHeight="false" outlineLevel="0" collapsed="false">
      <c r="A82" s="1" t="s">
        <v>504</v>
      </c>
    </row>
    <row r="83" customFormat="false" ht="17.15" hidden="false" customHeight="false" outlineLevel="0" collapsed="false">
      <c r="A83" s="5" t="s">
        <v>505</v>
      </c>
      <c r="B83" s="0" t="s">
        <v>31</v>
      </c>
      <c r="D83" s="17" t="n">
        <f aca="false">cy26_fl</f>
        <v>10.96762678</v>
      </c>
      <c r="E83" s="17" t="n">
        <f aca="false">k_fl*(advA_27+oflA_27)*(1+drift_hi)^1</f>
        <v>12.9557961816129</v>
      </c>
      <c r="F83" s="17" t="n">
        <f aca="false">k_fl*(advA_28+oflA_28)*(1+drift_hi)^2</f>
        <v>14.8793497078952</v>
      </c>
      <c r="G83" s="17" t="n">
        <f aca="false">k_fl*(advA_29+oflA_29)*(1+drift_hi)^3</f>
        <v>16.1918727845312</v>
      </c>
      <c r="H83" s="8" t="s">
        <v>506</v>
      </c>
    </row>
    <row r="84" customFormat="false" ht="17.15" hidden="false" customHeight="false" outlineLevel="0" collapsed="false">
      <c r="A84" s="5" t="s">
        <v>507</v>
      </c>
      <c r="B84" s="0" t="s">
        <v>31</v>
      </c>
      <c r="D84" s="17" t="n">
        <f aca="false">cy26_dram</f>
        <v>4.35400138</v>
      </c>
      <c r="E84" s="17" t="n">
        <f aca="false">k_dram*dramA_27*(1+drift_hi)^1</f>
        <v>6.00840033878379</v>
      </c>
      <c r="F84" s="17" t="n">
        <f aca="false">k_dram*dramA_28*(1+drift_hi)^2</f>
        <v>6.85376887657415</v>
      </c>
      <c r="G84" s="17" t="n">
        <f aca="false">k_dram*dramA_29*(1+drift_hi)^3</f>
        <v>7.25732722661809</v>
      </c>
      <c r="H84" s="8" t="s">
        <v>506</v>
      </c>
    </row>
    <row r="85" customFormat="false" ht="17.15" hidden="false" customHeight="false" outlineLevel="0" collapsed="false">
      <c r="A85" s="5" t="s">
        <v>508</v>
      </c>
      <c r="B85" s="0" t="s">
        <v>31</v>
      </c>
      <c r="D85" s="17" t="n">
        <f aca="false">cy26_nand</f>
        <v>4.50519784</v>
      </c>
      <c r="E85" s="17" t="n">
        <f aca="false">k_nand*nandA_27*(1+drift_hi)^1</f>
        <v>6.10330657540517</v>
      </c>
      <c r="F85" s="17" t="n">
        <f aca="false">k_nand*nandA_28*(1+drift_hi)^2</f>
        <v>7.01085229350476</v>
      </c>
      <c r="G85" s="17" t="n">
        <f aca="false">k_nand*nandA_29*(1+drift_hi)^3</f>
        <v>7.55885941709101</v>
      </c>
      <c r="H85" s="8" t="s">
        <v>506</v>
      </c>
    </row>
    <row r="86" customFormat="false" ht="17.15" hidden="false" customHeight="false" outlineLevel="0" collapsed="false">
      <c r="A86" s="5" t="s">
        <v>509</v>
      </c>
      <c r="B86" s="0" t="s">
        <v>31</v>
      </c>
      <c r="E86" s="17" t="n">
        <f aca="false">-cn_sh*0*(E83+E84+E85)</f>
        <v>-0</v>
      </c>
      <c r="F86" s="17" t="n">
        <f aca="false">-cn_sh*0*(F83+F84+F85)</f>
        <v>-0</v>
      </c>
      <c r="G86" s="17" t="n">
        <f aca="false">-cn_sh*0*(G83+G84+G85)</f>
        <v>-0</v>
      </c>
      <c r="H86" s="5" t="s">
        <v>510</v>
      </c>
    </row>
    <row r="87" customFormat="false" ht="17.15" hidden="false" customHeight="false" outlineLevel="0" collapsed="false">
      <c r="A87" s="5" t="s">
        <v>511</v>
      </c>
      <c r="B87" s="0" t="s">
        <v>31</v>
      </c>
      <c r="D87" s="17" t="n">
        <f aca="false">SUM(D83:D86)</f>
        <v>19.826826</v>
      </c>
      <c r="E87" s="17" t="n">
        <f aca="false">SUM(E83:E86)</f>
        <v>25.0675030958019</v>
      </c>
      <c r="F87" s="17" t="n">
        <f aca="false">SUM(F83:F86)</f>
        <v>28.7439708779741</v>
      </c>
      <c r="G87" s="17" t="n">
        <f aca="false">SUM(G83:G86)</f>
        <v>31.0080594282403</v>
      </c>
    </row>
    <row r="88" customFormat="false" ht="17.15" hidden="false" customHeight="false" outlineLevel="0" collapsed="false">
      <c r="A88" s="0" t="s">
        <v>512</v>
      </c>
      <c r="B88" s="0" t="s">
        <v>31</v>
      </c>
      <c r="D88" s="17" t="n">
        <f aca="false">cy26_cs</f>
        <v>9.556318</v>
      </c>
      <c r="E88" s="17" t="n">
        <f aca="false">D88*(1+g_cs27)</f>
        <v>10.9897657</v>
      </c>
      <c r="F88" s="17" t="n">
        <f aca="false">E88*(1+g_cs_A)</f>
        <v>12.308537584</v>
      </c>
      <c r="G88" s="17" t="n">
        <f aca="false">F88*(1+g_cs_A)</f>
        <v>13.78556209408</v>
      </c>
      <c r="H88" s="8" t="s">
        <v>513</v>
      </c>
    </row>
    <row r="89" customFormat="false" ht="17.15" hidden="false" customHeight="false" outlineLevel="0" collapsed="false">
      <c r="A89" s="1" t="s">
        <v>514</v>
      </c>
    </row>
    <row r="90" customFormat="false" ht="17.15" hidden="false" customHeight="false" outlineLevel="0" collapsed="false">
      <c r="A90" s="5" t="s">
        <v>449</v>
      </c>
      <c r="B90" s="0" t="s">
        <v>31</v>
      </c>
      <c r="C90" s="17" t="n">
        <f aca="false">a25_sys</f>
        <v>11.49128</v>
      </c>
      <c r="D90" s="17" t="n">
        <f aca="false">a26_sys</f>
        <v>14.885488</v>
      </c>
      <c r="E90" s="17" t="n">
        <f aca="false">h2s26+h1s*E87</f>
        <v>24.380147547901</v>
      </c>
      <c r="F90" s="17" t="n">
        <f aca="false">(1-h1s)*E87+h1s*F87</f>
        <v>26.905736986888</v>
      </c>
      <c r="G90" s="17" t="n">
        <f aca="false">(1-h1s)*F87+h1s*G87</f>
        <v>29.8760151531072</v>
      </c>
      <c r="H90" s="8" t="s">
        <v>515</v>
      </c>
    </row>
    <row r="91" customFormat="false" ht="15" hidden="false" customHeight="false" outlineLevel="0" collapsed="false">
      <c r="A91" s="0" t="s">
        <v>451</v>
      </c>
      <c r="B91" s="0" t="s">
        <v>31</v>
      </c>
      <c r="C91" s="17" t="n">
        <f aca="false">a25_cs</f>
        <v>6.944311</v>
      </c>
      <c r="D91" s="17" t="n">
        <f aca="false">a26_cs</f>
        <v>8.347202</v>
      </c>
      <c r="E91" s="17" t="n">
        <f aca="false">h2c26+h1s*E88</f>
        <v>10.46790485</v>
      </c>
      <c r="F91" s="17" t="n">
        <f aca="false">(1-h1s)*E88+h1s*F88</f>
        <v>11.649151642</v>
      </c>
      <c r="G91" s="17" t="n">
        <f aca="false">(1-h1s)*F88+h1s*G88</f>
        <v>13.04704983904</v>
      </c>
    </row>
    <row r="92" customFormat="false" ht="15" hidden="false" customHeight="false" outlineLevel="0" collapsed="false">
      <c r="A92" s="5" t="s">
        <v>405</v>
      </c>
      <c r="B92" s="0" t="s">
        <v>31</v>
      </c>
      <c r="C92" s="17" t="n">
        <f aca="false">C90+C91</f>
        <v>18.435591</v>
      </c>
      <c r="D92" s="17" t="n">
        <f aca="false">D90+D91</f>
        <v>23.23269</v>
      </c>
      <c r="E92" s="17" t="n">
        <f aca="false">E90+E91</f>
        <v>34.848052397901</v>
      </c>
      <c r="F92" s="17" t="n">
        <f aca="false">F90+F91</f>
        <v>38.554888628888</v>
      </c>
      <c r="G92" s="17" t="n">
        <f aca="false">G90+G91</f>
        <v>42.9230649921472</v>
      </c>
    </row>
    <row r="93" customFormat="false" ht="17.15" hidden="false" customHeight="false" outlineLevel="0" collapsed="false">
      <c r="A93" s="5" t="s">
        <v>411</v>
      </c>
      <c r="B93" s="0" t="s">
        <v>212</v>
      </c>
      <c r="C93" s="10" t="n">
        <f aca="false">a25_gp/a25_rev</f>
        <v>0.487050238855917</v>
      </c>
      <c r="D93" s="10" t="n">
        <f aca="false">a26_gp/a26_rev</f>
        <v>0.504690072479769</v>
      </c>
      <c r="E93" s="10" t="n">
        <f aca="false">gm_a+gm_b*LN(E92)</f>
        <v>0.525873634549288</v>
      </c>
      <c r="F93" s="10" t="n">
        <f aca="false">gm_a+gm_b*LN(F92)</f>
        <v>0.531155231192122</v>
      </c>
      <c r="G93" s="10" t="n">
        <f aca="false">gm_a+gm_b*LN(G92)</f>
        <v>0.536762900012546</v>
      </c>
      <c r="H93" s="5" t="s">
        <v>516</v>
      </c>
    </row>
    <row r="94" customFormat="false" ht="15" hidden="false" customHeight="false" outlineLevel="0" collapsed="false">
      <c r="A94" s="5" t="s">
        <v>409</v>
      </c>
      <c r="B94" s="0" t="s">
        <v>31</v>
      </c>
      <c r="C94" s="17" t="n">
        <f aca="false">C92*C93</f>
        <v>8.979059</v>
      </c>
      <c r="D94" s="17" t="n">
        <f aca="false">D92*D93</f>
        <v>11.725308</v>
      </c>
      <c r="E94" s="17" t="n">
        <f aca="false">E92*E93</f>
        <v>18.3256719714482</v>
      </c>
      <c r="F94" s="17" t="n">
        <f aca="false">F92*F93</f>
        <v>20.4786307832635</v>
      </c>
      <c r="G94" s="17" t="n">
        <f aca="false">G92*G93</f>
        <v>23.0395088426119</v>
      </c>
    </row>
    <row r="95" customFormat="false" ht="17.15" hidden="false" customHeight="false" outlineLevel="0" collapsed="false">
      <c r="A95" s="5" t="s">
        <v>415</v>
      </c>
      <c r="B95" s="0" t="s">
        <v>31</v>
      </c>
      <c r="C95" s="17" t="n">
        <f aca="false">a25_opx</f>
        <v>3.078091</v>
      </c>
      <c r="D95" s="17" t="n">
        <f aca="false">a26_opx</f>
        <v>3.525513</v>
      </c>
      <c r="E95" s="17" t="n">
        <f aca="false">opex_fix+opex_var*E92</f>
        <v>4.16034068690924</v>
      </c>
      <c r="F95" s="17" t="n">
        <f aca="false">opex_fix+opex_var*F92</f>
        <v>4.36293464736062</v>
      </c>
      <c r="G95" s="17" t="n">
        <f aca="false">opex_fix+opex_var*G92</f>
        <v>4.60167358650905</v>
      </c>
      <c r="H95" s="5" t="s">
        <v>517</v>
      </c>
    </row>
    <row r="96" customFormat="false" ht="15" hidden="false" customHeight="false" outlineLevel="0" collapsed="false">
      <c r="A96" s="5" t="s">
        <v>417</v>
      </c>
      <c r="B96" s="0" t="s">
        <v>31</v>
      </c>
      <c r="C96" s="17" t="n">
        <f aca="false">C94-C95</f>
        <v>5.900968</v>
      </c>
      <c r="D96" s="17" t="n">
        <f aca="false">D94-D95</f>
        <v>8.199795</v>
      </c>
      <c r="E96" s="17" t="n">
        <f aca="false">E94-E95</f>
        <v>14.165331284539</v>
      </c>
      <c r="F96" s="17" t="n">
        <f aca="false">F94-F95</f>
        <v>16.1156961359029</v>
      </c>
      <c r="G96" s="17" t="n">
        <f aca="false">G94-G95</f>
        <v>18.4378352561029</v>
      </c>
    </row>
    <row r="97" customFormat="false" ht="15" hidden="false" customHeight="false" outlineLevel="0" collapsed="false">
      <c r="A97" s="5" t="s">
        <v>418</v>
      </c>
      <c r="B97" s="0" t="s">
        <v>212</v>
      </c>
      <c r="C97" s="10" t="n">
        <f aca="false">C96/C92</f>
        <v>0.320085643036884</v>
      </c>
      <c r="D97" s="10" t="n">
        <f aca="false">D96/D92</f>
        <v>0.35294212594409</v>
      </c>
      <c r="E97" s="10" t="n">
        <f aca="false">E96/E92</f>
        <v>0.406488463768271</v>
      </c>
      <c r="F97" s="10" t="n">
        <f aca="false">F96/F92</f>
        <v>0.417993585483421</v>
      </c>
      <c r="G97" s="10" t="n">
        <f aca="false">G96/G92</f>
        <v>0.429555421065017</v>
      </c>
    </row>
    <row r="98" customFormat="false" ht="15" hidden="false" customHeight="false" outlineLevel="0" collapsed="false">
      <c r="A98" s="5" t="s">
        <v>422</v>
      </c>
      <c r="B98" s="0" t="s">
        <v>31</v>
      </c>
      <c r="C98" s="17" t="n">
        <f aca="false">a25_ni</f>
        <v>5.358217</v>
      </c>
      <c r="D98" s="17" t="n">
        <f aca="false">a26_ni</f>
        <v>7.265396</v>
      </c>
      <c r="E98" s="17" t="n">
        <f aca="false">(E96+oth_inc)*(1-tax)</f>
        <v>11.91155162259</v>
      </c>
      <c r="F98" s="17" t="n">
        <f aca="false">(F96+oth_inc)*(1-tax)</f>
        <v>13.5401062734789</v>
      </c>
      <c r="G98" s="17" t="n">
        <f aca="false">(G96+oth_inc)*(1-tax)</f>
        <v>15.4790924388459</v>
      </c>
    </row>
    <row r="99" customFormat="false" ht="15" hidden="false" customHeight="false" outlineLevel="0" collapsed="false">
      <c r="A99" s="5" t="s">
        <v>518</v>
      </c>
      <c r="B99" s="5" t="s">
        <v>288</v>
      </c>
      <c r="C99" s="19" t="n">
        <f aca="false">a25_dsh</f>
        <v>1.290142</v>
      </c>
      <c r="D99" s="19" t="n">
        <f aca="false">a26_dsh</f>
        <v>1.261102</v>
      </c>
      <c r="E99" s="19" t="n">
        <f aca="false">sh_27</f>
        <v>1.253</v>
      </c>
      <c r="F99" s="19" t="n">
        <f aca="false">E99*(1-bb)</f>
        <v>1.234205</v>
      </c>
      <c r="G99" s="19" t="n">
        <f aca="false">F99*(1-bb)</f>
        <v>1.215691925</v>
      </c>
    </row>
    <row r="100" customFormat="false" ht="17.15" hidden="false" customHeight="false" outlineLevel="0" collapsed="false">
      <c r="A100" s="0" t="s">
        <v>494</v>
      </c>
      <c r="B100" s="0" t="s">
        <v>308</v>
      </c>
      <c r="C100" s="13" t="n">
        <f aca="false">a25_eps</f>
        <v>4.15</v>
      </c>
      <c r="D100" s="13" t="n">
        <f aca="false">a26_eps</f>
        <v>5.76</v>
      </c>
      <c r="E100" s="13" t="n">
        <f aca="false">E98/E99</f>
        <v>9.50642587596971</v>
      </c>
      <c r="F100" s="13" t="n">
        <f aca="false">F98/F99</f>
        <v>10.9707109219934</v>
      </c>
      <c r="G100" s="13" t="n">
        <f aca="false">G98/G99</f>
        <v>12.7327426632746</v>
      </c>
    </row>
    <row r="101" customFormat="false" ht="15" hidden="false" customHeight="false" outlineLevel="0" collapsed="false">
      <c r="A101" s="5" t="s">
        <v>519</v>
      </c>
      <c r="B101" s="0" t="s">
        <v>212</v>
      </c>
      <c r="C101" s="10" t="n">
        <f aca="false">C90/C92</f>
        <v>0.623320402367356</v>
      </c>
      <c r="D101" s="10" t="n">
        <f aca="false">D90/D92</f>
        <v>0.640713064221147</v>
      </c>
      <c r="E101" s="10" t="n">
        <f aca="false">E90/E92</f>
        <v>0.699612915795819</v>
      </c>
      <c r="F101" s="10" t="n">
        <f aca="false">F90/F92</f>
        <v>0.697855393796375</v>
      </c>
      <c r="G101" s="10" t="n">
        <f aca="false">G90/G92</f>
        <v>0.696036388794068</v>
      </c>
    </row>
    <row r="110" customFormat="false" ht="17.15" hidden="false" customHeight="false" outlineLevel="0" collapsed="false">
      <c r="A110" s="3" t="s">
        <v>798</v>
      </c>
    </row>
    <row r="111" customFormat="false" ht="17.15" hidden="false" customHeight="false" outlineLevel="0" collapsed="false">
      <c r="A111" s="6" t="s">
        <v>20</v>
      </c>
      <c r="B111" s="6" t="s">
        <v>21</v>
      </c>
      <c r="C111" s="14" t="s">
        <v>499</v>
      </c>
      <c r="D111" s="14" t="s">
        <v>500</v>
      </c>
      <c r="E111" s="14" t="s">
        <v>501</v>
      </c>
      <c r="F111" s="14" t="s">
        <v>502</v>
      </c>
      <c r="G111" s="14" t="s">
        <v>503</v>
      </c>
      <c r="H111" s="6" t="s">
        <v>457</v>
      </c>
    </row>
    <row r="112" customFormat="false" ht="17.15" hidden="false" customHeight="false" outlineLevel="0" collapsed="false">
      <c r="A112" s="1" t="s">
        <v>504</v>
      </c>
    </row>
    <row r="113" customFormat="false" ht="17.15" hidden="false" customHeight="false" outlineLevel="0" collapsed="false">
      <c r="A113" s="5" t="s">
        <v>505</v>
      </c>
      <c r="B113" s="0" t="s">
        <v>31</v>
      </c>
      <c r="D113" s="17" t="n">
        <f aca="false">cy26_fl</f>
        <v>10.96762678</v>
      </c>
      <c r="E113" s="17" t="n">
        <f aca="false">k_fl*(advA_27+oflA_27)*(1+drift)^1</f>
        <v>12.7017609623656</v>
      </c>
      <c r="F113" s="17" t="n">
        <f aca="false">k_fl*(advA_28+oflA_28)*(1+drift)^2</f>
        <v>14.3015664243514</v>
      </c>
      <c r="G113" s="17" t="n">
        <f aca="false">k_fl*(advA_29+oflA_29)*(1+drift)^3</f>
        <v>15.2579633630082</v>
      </c>
      <c r="H113" s="8" t="s">
        <v>506</v>
      </c>
    </row>
    <row r="114" customFormat="false" ht="17.15" hidden="false" customHeight="false" outlineLevel="0" collapsed="false">
      <c r="A114" s="5" t="s">
        <v>507</v>
      </c>
      <c r="B114" s="0" t="s">
        <v>31</v>
      </c>
      <c r="D114" s="17" t="n">
        <f aca="false">cy26_dram</f>
        <v>4.35400138</v>
      </c>
      <c r="E114" s="17" t="n">
        <f aca="false">k_dram*dramA_27*(1+drift)^1</f>
        <v>5.89058856743509</v>
      </c>
      <c r="F114" s="17" t="n">
        <f aca="false">k_dram*dramA_28*(1+drift)^2</f>
        <v>6.58762867798361</v>
      </c>
      <c r="G114" s="17" t="n">
        <f aca="false">k_dram*dramA_29*(1+drift)^3</f>
        <v>6.83874153475859</v>
      </c>
      <c r="H114" s="8" t="s">
        <v>506</v>
      </c>
    </row>
    <row r="115" customFormat="false" ht="17.15" hidden="false" customHeight="false" outlineLevel="0" collapsed="false">
      <c r="A115" s="5" t="s">
        <v>508</v>
      </c>
      <c r="B115" s="0" t="s">
        <v>31</v>
      </c>
      <c r="D115" s="17" t="n">
        <f aca="false">cy26_nand</f>
        <v>4.50519784</v>
      </c>
      <c r="E115" s="17" t="n">
        <f aca="false">k_nand*nandA_27*(1+drift)^1</f>
        <v>5.98363389745604</v>
      </c>
      <c r="F115" s="17" t="n">
        <f aca="false">k_nand*nandA_28*(1+drift)^2</f>
        <v>6.7386123543875</v>
      </c>
      <c r="G115" s="17" t="n">
        <f aca="false">k_nand*nandA_29*(1+drift)^3</f>
        <v>7.12288205242611</v>
      </c>
      <c r="H115" s="8" t="s">
        <v>506</v>
      </c>
    </row>
    <row r="116" customFormat="false" ht="17.15" hidden="false" customHeight="false" outlineLevel="0" collapsed="false">
      <c r="A116" s="5" t="s">
        <v>509</v>
      </c>
      <c r="B116" s="0" t="s">
        <v>31</v>
      </c>
      <c r="E116" s="17" t="n">
        <f aca="false">-cn_sh*cut_sens_lo*(E113+E114+E115)</f>
        <v>-1.67116687305346</v>
      </c>
      <c r="F116" s="17" t="n">
        <f aca="false">-cn_sh*cut_sens_lo*(F113+F114+F115)</f>
        <v>-1.87869090705713</v>
      </c>
      <c r="G116" s="17" t="n">
        <f aca="false">-cn_sh*cut_sens_lo*(G113+G114+G115)</f>
        <v>-1.98693191261312</v>
      </c>
      <c r="H116" s="5" t="s">
        <v>510</v>
      </c>
    </row>
    <row r="117" customFormat="false" ht="17.15" hidden="false" customHeight="false" outlineLevel="0" collapsed="false">
      <c r="A117" s="5" t="s">
        <v>511</v>
      </c>
      <c r="B117" s="0" t="s">
        <v>31</v>
      </c>
      <c r="D117" s="17" t="n">
        <f aca="false">SUM(D113:D116)</f>
        <v>19.826826</v>
      </c>
      <c r="E117" s="17" t="n">
        <f aca="false">SUM(E113:E116)</f>
        <v>22.9048165542033</v>
      </c>
      <c r="F117" s="17" t="n">
        <f aca="false">SUM(F113:F116)</f>
        <v>25.7491165496654</v>
      </c>
      <c r="G117" s="17" t="n">
        <f aca="false">SUM(G113:G116)</f>
        <v>27.2326550375798</v>
      </c>
    </row>
    <row r="118" customFormat="false" ht="17.15" hidden="false" customHeight="false" outlineLevel="0" collapsed="false">
      <c r="A118" s="0" t="s">
        <v>512</v>
      </c>
      <c r="B118" s="0" t="s">
        <v>31</v>
      </c>
      <c r="D118" s="17" t="n">
        <f aca="false">cy26_cs</f>
        <v>9.556318</v>
      </c>
      <c r="E118" s="17" t="n">
        <f aca="false">D118*(1+g_cs27)</f>
        <v>10.9897657</v>
      </c>
      <c r="F118" s="17" t="n">
        <f aca="false">E118*(1+g_cs_A)</f>
        <v>12.308537584</v>
      </c>
      <c r="G118" s="17" t="n">
        <f aca="false">F118*(1+g_cs_A)</f>
        <v>13.78556209408</v>
      </c>
      <c r="H118" s="8" t="s">
        <v>513</v>
      </c>
    </row>
    <row r="119" customFormat="false" ht="17.15" hidden="false" customHeight="false" outlineLevel="0" collapsed="false">
      <c r="A119" s="1" t="s">
        <v>514</v>
      </c>
    </row>
    <row r="120" customFormat="false" ht="17.15" hidden="false" customHeight="false" outlineLevel="0" collapsed="false">
      <c r="A120" s="5" t="s">
        <v>449</v>
      </c>
      <c r="B120" s="0" t="s">
        <v>31</v>
      </c>
      <c r="C120" s="17" t="n">
        <f aca="false">a25_sys</f>
        <v>11.49128</v>
      </c>
      <c r="D120" s="17" t="n">
        <f aca="false">a26_sys</f>
        <v>14.885488</v>
      </c>
      <c r="E120" s="17" t="n">
        <f aca="false">h2s26+h1s*E117</f>
        <v>23.2988042771017</v>
      </c>
      <c r="F120" s="17" t="n">
        <f aca="false">(1-h1s)*E117+h1s*F117</f>
        <v>24.3269665519343</v>
      </c>
      <c r="G120" s="17" t="n">
        <f aca="false">(1-h1s)*F117+h1s*G117</f>
        <v>26.4908857936226</v>
      </c>
      <c r="H120" s="8" t="s">
        <v>515</v>
      </c>
    </row>
    <row r="121" customFormat="false" ht="15" hidden="false" customHeight="false" outlineLevel="0" collapsed="false">
      <c r="A121" s="0" t="s">
        <v>451</v>
      </c>
      <c r="B121" s="0" t="s">
        <v>31</v>
      </c>
      <c r="C121" s="17" t="n">
        <f aca="false">a25_cs</f>
        <v>6.944311</v>
      </c>
      <c r="D121" s="17" t="n">
        <f aca="false">a26_cs</f>
        <v>8.347202</v>
      </c>
      <c r="E121" s="17" t="n">
        <f aca="false">h2c26+h1s*E118</f>
        <v>10.46790485</v>
      </c>
      <c r="F121" s="17" t="n">
        <f aca="false">(1-h1s)*E118+h1s*F118</f>
        <v>11.649151642</v>
      </c>
      <c r="G121" s="17" t="n">
        <f aca="false">(1-h1s)*F118+h1s*G118</f>
        <v>13.04704983904</v>
      </c>
    </row>
    <row r="122" customFormat="false" ht="15" hidden="false" customHeight="false" outlineLevel="0" collapsed="false">
      <c r="A122" s="5" t="s">
        <v>405</v>
      </c>
      <c r="B122" s="0" t="s">
        <v>31</v>
      </c>
      <c r="C122" s="17" t="n">
        <f aca="false">C120+C121</f>
        <v>18.435591</v>
      </c>
      <c r="D122" s="17" t="n">
        <f aca="false">D120+D121</f>
        <v>23.23269</v>
      </c>
      <c r="E122" s="17" t="n">
        <f aca="false">E120+E121</f>
        <v>33.7667091271017</v>
      </c>
      <c r="F122" s="17" t="n">
        <f aca="false">F120+F121</f>
        <v>35.9761181939343</v>
      </c>
      <c r="G122" s="17" t="n">
        <f aca="false">G120+G121</f>
        <v>39.5379356326626</v>
      </c>
    </row>
    <row r="123" customFormat="false" ht="17.15" hidden="false" customHeight="false" outlineLevel="0" collapsed="false">
      <c r="A123" s="5" t="s">
        <v>411</v>
      </c>
      <c r="B123" s="0" t="s">
        <v>212</v>
      </c>
      <c r="C123" s="10" t="n">
        <f aca="false">a25_gp/a25_rev</f>
        <v>0.487050238855917</v>
      </c>
      <c r="D123" s="10" t="n">
        <f aca="false">a26_gp/a26_rev</f>
        <v>0.504690072479769</v>
      </c>
      <c r="E123" s="10" t="n">
        <f aca="false">gm_a+gm_b*LN(E122)</f>
        <v>0.524226656987743</v>
      </c>
      <c r="F123" s="10" t="n">
        <f aca="false">gm_a+gm_b*LN(F122)</f>
        <v>0.527538178871552</v>
      </c>
      <c r="G123" s="10" t="n">
        <f aca="false">gm_a+gm_b*LN(G122)</f>
        <v>0.532470734049608</v>
      </c>
      <c r="H123" s="5" t="s">
        <v>516</v>
      </c>
    </row>
    <row r="124" customFormat="false" ht="15" hidden="false" customHeight="false" outlineLevel="0" collapsed="false">
      <c r="A124" s="5" t="s">
        <v>409</v>
      </c>
      <c r="B124" s="0" t="s">
        <v>31</v>
      </c>
      <c r="C124" s="17" t="n">
        <f aca="false">C122*C123</f>
        <v>8.979059</v>
      </c>
      <c r="D124" s="17" t="n">
        <f aca="false">D122*D123</f>
        <v>11.725308</v>
      </c>
      <c r="E124" s="17" t="n">
        <f aca="false">E122*E123</f>
        <v>17.701409043178</v>
      </c>
      <c r="F124" s="17" t="n">
        <f aca="false">F122*F123</f>
        <v>18.9787758748958</v>
      </c>
      <c r="G124" s="17" t="n">
        <f aca="false">G122*G123</f>
        <v>21.05279360913</v>
      </c>
    </row>
    <row r="125" customFormat="false" ht="17.15" hidden="false" customHeight="false" outlineLevel="0" collapsed="false">
      <c r="A125" s="5" t="s">
        <v>415</v>
      </c>
      <c r="B125" s="0" t="s">
        <v>31</v>
      </c>
      <c r="C125" s="17" t="n">
        <f aca="false">a25_opx</f>
        <v>3.078091</v>
      </c>
      <c r="D125" s="17" t="n">
        <f aca="false">a26_opx</f>
        <v>3.525513</v>
      </c>
      <c r="E125" s="17" t="n">
        <f aca="false">opex_fix+opex_var*E122</f>
        <v>4.10124079627815</v>
      </c>
      <c r="F125" s="17" t="n">
        <f aca="false">opex_fix+opex_var*F122</f>
        <v>4.22199415715367</v>
      </c>
      <c r="G125" s="17" t="n">
        <f aca="false">opex_fix+opex_var*G122</f>
        <v>4.41666223967768</v>
      </c>
      <c r="H125" s="5" t="s">
        <v>517</v>
      </c>
    </row>
    <row r="126" customFormat="false" ht="15" hidden="false" customHeight="false" outlineLevel="0" collapsed="false">
      <c r="A126" s="5" t="s">
        <v>417</v>
      </c>
      <c r="B126" s="0" t="s">
        <v>31</v>
      </c>
      <c r="C126" s="17" t="n">
        <f aca="false">C124-C125</f>
        <v>5.900968</v>
      </c>
      <c r="D126" s="17" t="n">
        <f aca="false">D124-D125</f>
        <v>8.199795</v>
      </c>
      <c r="E126" s="17" t="n">
        <f aca="false">E124-E125</f>
        <v>13.6001682468998</v>
      </c>
      <c r="F126" s="17" t="n">
        <f aca="false">F124-F125</f>
        <v>14.7567817177421</v>
      </c>
      <c r="G126" s="17" t="n">
        <f aca="false">G124-G125</f>
        <v>16.6361313694523</v>
      </c>
    </row>
    <row r="127" customFormat="false" ht="15" hidden="false" customHeight="false" outlineLevel="0" collapsed="false">
      <c r="A127" s="5" t="s">
        <v>418</v>
      </c>
      <c r="B127" s="0" t="s">
        <v>212</v>
      </c>
      <c r="C127" s="10" t="n">
        <f aca="false">C126/C122</f>
        <v>0.320085643036884</v>
      </c>
      <c r="D127" s="10" t="n">
        <f aca="false">D126/D122</f>
        <v>0.35294212594409</v>
      </c>
      <c r="E127" s="10" t="n">
        <f aca="false">E126/E122</f>
        <v>0.402768543292368</v>
      </c>
      <c r="F127" s="10" t="n">
        <f aca="false">F126/F122</f>
        <v>0.4101827117143</v>
      </c>
      <c r="G127" s="10" t="n">
        <f aca="false">G126/G122</f>
        <v>0.420763783016256</v>
      </c>
    </row>
    <row r="128" customFormat="false" ht="15" hidden="false" customHeight="false" outlineLevel="0" collapsed="false">
      <c r="A128" s="5" t="s">
        <v>422</v>
      </c>
      <c r="B128" s="0" t="s">
        <v>31</v>
      </c>
      <c r="C128" s="17" t="n">
        <f aca="false">a25_ni</f>
        <v>5.358217</v>
      </c>
      <c r="D128" s="17" t="n">
        <f aca="false">a26_ni</f>
        <v>7.265396</v>
      </c>
      <c r="E128" s="17" t="n">
        <f aca="false">(E126+oth_inc)*(1-tax)</f>
        <v>11.4396404861614</v>
      </c>
      <c r="F128" s="17" t="n">
        <f aca="false">(F126+oth_inc)*(1-tax)</f>
        <v>12.4054127343147</v>
      </c>
      <c r="G128" s="17" t="n">
        <f aca="false">(G126+oth_inc)*(1-tax)</f>
        <v>13.9746696934927</v>
      </c>
    </row>
    <row r="129" customFormat="false" ht="15" hidden="false" customHeight="false" outlineLevel="0" collapsed="false">
      <c r="A129" s="5" t="s">
        <v>518</v>
      </c>
      <c r="B129" s="5" t="s">
        <v>288</v>
      </c>
      <c r="C129" s="19" t="n">
        <f aca="false">a25_dsh</f>
        <v>1.290142</v>
      </c>
      <c r="D129" s="19" t="n">
        <f aca="false">a26_dsh</f>
        <v>1.261102</v>
      </c>
      <c r="E129" s="19" t="n">
        <f aca="false">sh_27</f>
        <v>1.253</v>
      </c>
      <c r="F129" s="19" t="n">
        <f aca="false">E129*(1-bb)</f>
        <v>1.234205</v>
      </c>
      <c r="G129" s="19" t="n">
        <f aca="false">F129*(1-bb)</f>
        <v>1.215691925</v>
      </c>
    </row>
    <row r="130" customFormat="false" ht="17.15" hidden="false" customHeight="false" outlineLevel="0" collapsed="false">
      <c r="A130" s="0" t="s">
        <v>494</v>
      </c>
      <c r="B130" s="0" t="s">
        <v>308</v>
      </c>
      <c r="C130" s="13" t="n">
        <f aca="false">a25_eps</f>
        <v>4.15</v>
      </c>
      <c r="D130" s="13" t="n">
        <f aca="false">a26_eps</f>
        <v>5.76</v>
      </c>
      <c r="E130" s="13" t="n">
        <f aca="false">E128/E129</f>
        <v>9.12980086684866</v>
      </c>
      <c r="F130" s="13" t="n">
        <f aca="false">F128/F129</f>
        <v>10.0513389058663</v>
      </c>
      <c r="G130" s="13" t="n">
        <f aca="false">G128/G129</f>
        <v>11.4952393827019</v>
      </c>
    </row>
    <row r="131" customFormat="false" ht="15" hidden="false" customHeight="false" outlineLevel="0" collapsed="false">
      <c r="A131" s="5" t="s">
        <v>519</v>
      </c>
      <c r="B131" s="0" t="s">
        <v>212</v>
      </c>
      <c r="C131" s="10" t="n">
        <f aca="false">C120/C122</f>
        <v>0.623320402367356</v>
      </c>
      <c r="D131" s="10" t="n">
        <f aca="false">D120/D122</f>
        <v>0.640713064221147</v>
      </c>
      <c r="E131" s="10" t="n">
        <f aca="false">E120/E122</f>
        <v>0.689993336022245</v>
      </c>
      <c r="F131" s="10" t="n">
        <f aca="false">F120/F122</f>
        <v>0.676197649251551</v>
      </c>
      <c r="G131" s="10" t="n">
        <f aca="false">G120/G122</f>
        <v>0.670011859995499</v>
      </c>
    </row>
    <row r="140" customFormat="false" ht="17.15" hidden="false" customHeight="false" outlineLevel="0" collapsed="false">
      <c r="A140" s="3" t="s">
        <v>799</v>
      </c>
    </row>
    <row r="141" customFormat="false" ht="17.15" hidden="false" customHeight="false" outlineLevel="0" collapsed="false">
      <c r="A141" s="6" t="s">
        <v>20</v>
      </c>
      <c r="B141" s="6" t="s">
        <v>21</v>
      </c>
      <c r="C141" s="14" t="s">
        <v>499</v>
      </c>
      <c r="D141" s="14" t="s">
        <v>500</v>
      </c>
      <c r="E141" s="14" t="s">
        <v>501</v>
      </c>
      <c r="F141" s="14" t="s">
        <v>502</v>
      </c>
      <c r="G141" s="14" t="s">
        <v>503</v>
      </c>
      <c r="H141" s="6" t="s">
        <v>457</v>
      </c>
    </row>
    <row r="142" customFormat="false" ht="17.15" hidden="false" customHeight="false" outlineLevel="0" collapsed="false">
      <c r="A142" s="1" t="s">
        <v>504</v>
      </c>
    </row>
    <row r="143" customFormat="false" ht="17.15" hidden="false" customHeight="false" outlineLevel="0" collapsed="false">
      <c r="A143" s="5" t="s">
        <v>505</v>
      </c>
      <c r="B143" s="0" t="s">
        <v>31</v>
      </c>
      <c r="D143" s="17" t="n">
        <f aca="false">cy26_fl</f>
        <v>10.96762678</v>
      </c>
      <c r="E143" s="17" t="n">
        <f aca="false">k_fl*(advA_27+oflA_27)*(1+drift)^1</f>
        <v>12.7017609623656</v>
      </c>
      <c r="F143" s="17" t="n">
        <f aca="false">k_fl*(advA_28+oflA_28)*(1+drift)^2</f>
        <v>14.3015664243514</v>
      </c>
      <c r="G143" s="17" t="n">
        <f aca="false">k_fl*(advA_29+oflA_29)*(1+drift)^3</f>
        <v>15.2579633630082</v>
      </c>
      <c r="H143" s="8" t="s">
        <v>506</v>
      </c>
    </row>
    <row r="144" customFormat="false" ht="17.15" hidden="false" customHeight="false" outlineLevel="0" collapsed="false">
      <c r="A144" s="5" t="s">
        <v>507</v>
      </c>
      <c r="B144" s="0" t="s">
        <v>31</v>
      </c>
      <c r="D144" s="17" t="n">
        <f aca="false">cy26_dram</f>
        <v>4.35400138</v>
      </c>
      <c r="E144" s="17" t="n">
        <f aca="false">k_dram*dramA_27*(1+drift)^1</f>
        <v>5.89058856743509</v>
      </c>
      <c r="F144" s="17" t="n">
        <f aca="false">k_dram*dramA_28*(1+drift)^2</f>
        <v>6.58762867798361</v>
      </c>
      <c r="G144" s="17" t="n">
        <f aca="false">k_dram*dramA_29*(1+drift)^3</f>
        <v>6.83874153475859</v>
      </c>
      <c r="H144" s="8" t="s">
        <v>506</v>
      </c>
    </row>
    <row r="145" customFormat="false" ht="17.15" hidden="false" customHeight="false" outlineLevel="0" collapsed="false">
      <c r="A145" s="5" t="s">
        <v>508</v>
      </c>
      <c r="B145" s="0" t="s">
        <v>31</v>
      </c>
      <c r="D145" s="17" t="n">
        <f aca="false">cy26_nand</f>
        <v>4.50519784</v>
      </c>
      <c r="E145" s="17" t="n">
        <f aca="false">k_nand*nandA_27*(1+drift)^1</f>
        <v>5.98363389745604</v>
      </c>
      <c r="F145" s="17" t="n">
        <f aca="false">k_nand*nandA_28*(1+drift)^2</f>
        <v>6.7386123543875</v>
      </c>
      <c r="G145" s="17" t="n">
        <f aca="false">k_nand*nandA_29*(1+drift)^3</f>
        <v>7.12288205242611</v>
      </c>
      <c r="H145" s="8" t="s">
        <v>506</v>
      </c>
    </row>
    <row r="146" customFormat="false" ht="17.15" hidden="false" customHeight="false" outlineLevel="0" collapsed="false">
      <c r="A146" s="5" t="s">
        <v>509</v>
      </c>
      <c r="B146" s="0" t="s">
        <v>31</v>
      </c>
      <c r="E146" s="17" t="n">
        <f aca="false">-cn_sh*cut_sens_hi*(E143+E144+E145)</f>
        <v>-3.34233374610692</v>
      </c>
      <c r="F146" s="17" t="n">
        <f aca="false">-cn_sh*cut_sens_hi*(F143+F144+F145)</f>
        <v>-3.75738181411426</v>
      </c>
      <c r="G146" s="17" t="n">
        <f aca="false">-cn_sh*cut_sens_hi*(G143+G144+G145)</f>
        <v>-3.97386382522624</v>
      </c>
      <c r="H146" s="5" t="s">
        <v>510</v>
      </c>
    </row>
    <row r="147" customFormat="false" ht="17.15" hidden="false" customHeight="false" outlineLevel="0" collapsed="false">
      <c r="A147" s="5" t="s">
        <v>511</v>
      </c>
      <c r="B147" s="0" t="s">
        <v>31</v>
      </c>
      <c r="D147" s="17" t="n">
        <f aca="false">SUM(D143:D146)</f>
        <v>19.826826</v>
      </c>
      <c r="E147" s="17" t="n">
        <f aca="false">SUM(E143:E146)</f>
        <v>21.2336496811498</v>
      </c>
      <c r="F147" s="17" t="n">
        <f aca="false">SUM(F143:F146)</f>
        <v>23.8704256426082</v>
      </c>
      <c r="G147" s="17" t="n">
        <f aca="false">SUM(G143:G146)</f>
        <v>25.2457231249667</v>
      </c>
    </row>
    <row r="148" customFormat="false" ht="17.15" hidden="false" customHeight="false" outlineLevel="0" collapsed="false">
      <c r="A148" s="0" t="s">
        <v>512</v>
      </c>
      <c r="B148" s="0" t="s">
        <v>31</v>
      </c>
      <c r="D148" s="17" t="n">
        <f aca="false">cy26_cs</f>
        <v>9.556318</v>
      </c>
      <c r="E148" s="17" t="n">
        <f aca="false">D148*(1+g_cs27)</f>
        <v>10.9897657</v>
      </c>
      <c r="F148" s="17" t="n">
        <f aca="false">E148*(1+g_cs_A)</f>
        <v>12.308537584</v>
      </c>
      <c r="G148" s="17" t="n">
        <f aca="false">F148*(1+g_cs_A)</f>
        <v>13.78556209408</v>
      </c>
      <c r="H148" s="8" t="s">
        <v>513</v>
      </c>
    </row>
    <row r="149" customFormat="false" ht="17.15" hidden="false" customHeight="false" outlineLevel="0" collapsed="false">
      <c r="A149" s="1" t="s">
        <v>514</v>
      </c>
    </row>
    <row r="150" customFormat="false" ht="17.15" hidden="false" customHeight="false" outlineLevel="0" collapsed="false">
      <c r="A150" s="5" t="s">
        <v>449</v>
      </c>
      <c r="B150" s="0" t="s">
        <v>31</v>
      </c>
      <c r="C150" s="17" t="n">
        <f aca="false">a25_sys</f>
        <v>11.49128</v>
      </c>
      <c r="D150" s="17" t="n">
        <f aca="false">a26_sys</f>
        <v>14.885488</v>
      </c>
      <c r="E150" s="17" t="n">
        <f aca="false">h2s26+h1s*E147</f>
        <v>22.4632208405749</v>
      </c>
      <c r="F150" s="17" t="n">
        <f aca="false">(1-h1s)*E147+h1s*F147</f>
        <v>22.552037661879</v>
      </c>
      <c r="G150" s="17" t="n">
        <f aca="false">(1-h1s)*F147+h1s*G147</f>
        <v>24.5580743837875</v>
      </c>
      <c r="H150" s="8" t="s">
        <v>515</v>
      </c>
    </row>
    <row r="151" customFormat="false" ht="15" hidden="false" customHeight="false" outlineLevel="0" collapsed="false">
      <c r="A151" s="0" t="s">
        <v>451</v>
      </c>
      <c r="B151" s="0" t="s">
        <v>31</v>
      </c>
      <c r="C151" s="17" t="n">
        <f aca="false">a25_cs</f>
        <v>6.944311</v>
      </c>
      <c r="D151" s="17" t="n">
        <f aca="false">a26_cs</f>
        <v>8.347202</v>
      </c>
      <c r="E151" s="17" t="n">
        <f aca="false">h2c26+h1s*E148</f>
        <v>10.46790485</v>
      </c>
      <c r="F151" s="17" t="n">
        <f aca="false">(1-h1s)*E148+h1s*F148</f>
        <v>11.649151642</v>
      </c>
      <c r="G151" s="17" t="n">
        <f aca="false">(1-h1s)*F148+h1s*G148</f>
        <v>13.04704983904</v>
      </c>
    </row>
    <row r="152" customFormat="false" ht="15" hidden="false" customHeight="false" outlineLevel="0" collapsed="false">
      <c r="A152" s="5" t="s">
        <v>405</v>
      </c>
      <c r="B152" s="0" t="s">
        <v>31</v>
      </c>
      <c r="C152" s="17" t="n">
        <f aca="false">C150+C151</f>
        <v>18.435591</v>
      </c>
      <c r="D152" s="17" t="n">
        <f aca="false">D150+D151</f>
        <v>23.23269</v>
      </c>
      <c r="E152" s="17" t="n">
        <f aca="false">E150+E151</f>
        <v>32.9311256905749</v>
      </c>
      <c r="F152" s="17" t="n">
        <f aca="false">F150+F151</f>
        <v>34.2011893038791</v>
      </c>
      <c r="G152" s="17" t="n">
        <f aca="false">G150+G151</f>
        <v>37.6051242228275</v>
      </c>
    </row>
    <row r="153" customFormat="false" ht="17.15" hidden="false" customHeight="false" outlineLevel="0" collapsed="false">
      <c r="A153" s="5" t="s">
        <v>411</v>
      </c>
      <c r="B153" s="0" t="s">
        <v>212</v>
      </c>
      <c r="C153" s="10" t="n">
        <f aca="false">a25_gp/a25_rev</f>
        <v>0.487050238855917</v>
      </c>
      <c r="D153" s="10" t="n">
        <f aca="false">a26_gp/a26_rev</f>
        <v>0.504690072479769</v>
      </c>
      <c r="E153" s="10" t="n">
        <f aca="false">gm_a+gm_b*LN(E152)</f>
        <v>0.522917455443357</v>
      </c>
      <c r="F153" s="10" t="n">
        <f aca="false">gm_a+gm_b*LN(F152)</f>
        <v>0.524894658953583</v>
      </c>
      <c r="G153" s="10" t="n">
        <f aca="false">gm_a+gm_b*LN(G152)</f>
        <v>0.529852013113354</v>
      </c>
      <c r="H153" s="5" t="s">
        <v>516</v>
      </c>
    </row>
    <row r="154" customFormat="false" ht="15" hidden="false" customHeight="false" outlineLevel="0" collapsed="false">
      <c r="A154" s="5" t="s">
        <v>409</v>
      </c>
      <c r="B154" s="0" t="s">
        <v>31</v>
      </c>
      <c r="C154" s="17" t="n">
        <f aca="false">C152*C153</f>
        <v>8.979059</v>
      </c>
      <c r="D154" s="17" t="n">
        <f aca="false">D152*D153</f>
        <v>11.725308</v>
      </c>
      <c r="E154" s="17" t="n">
        <f aca="false">E152*E153</f>
        <v>17.2202604510008</v>
      </c>
      <c r="F154" s="17" t="n">
        <f aca="false">F152*F153</f>
        <v>17.9520215954665</v>
      </c>
      <c r="G154" s="17" t="n">
        <f aca="false">G152*G153</f>
        <v>19.9251507728429</v>
      </c>
    </row>
    <row r="155" customFormat="false" ht="17.15" hidden="false" customHeight="false" outlineLevel="0" collapsed="false">
      <c r="A155" s="5" t="s">
        <v>415</v>
      </c>
      <c r="B155" s="0" t="s">
        <v>31</v>
      </c>
      <c r="C155" s="17" t="n">
        <f aca="false">a25_opx</f>
        <v>3.078091</v>
      </c>
      <c r="D155" s="17" t="n">
        <f aca="false">a26_opx</f>
        <v>3.525513</v>
      </c>
      <c r="E155" s="17" t="n">
        <f aca="false">opex_fix+opex_var*E152</f>
        <v>4.05557269897231</v>
      </c>
      <c r="F155" s="17" t="n">
        <f aca="false">opex_fix+opex_var*F152</f>
        <v>4.12498693834267</v>
      </c>
      <c r="G155" s="17" t="n">
        <f aca="false">opex_fix+opex_var*G152</f>
        <v>4.31102608692543</v>
      </c>
      <c r="H155" s="5" t="s">
        <v>517</v>
      </c>
    </row>
    <row r="156" customFormat="false" ht="15" hidden="false" customHeight="false" outlineLevel="0" collapsed="false">
      <c r="A156" s="5" t="s">
        <v>417</v>
      </c>
      <c r="B156" s="0" t="s">
        <v>31</v>
      </c>
      <c r="C156" s="17" t="n">
        <f aca="false">C154-C155</f>
        <v>5.900968</v>
      </c>
      <c r="D156" s="17" t="n">
        <f aca="false">D154-D155</f>
        <v>8.199795</v>
      </c>
      <c r="E156" s="17" t="n">
        <f aca="false">E154-E155</f>
        <v>13.1646877520285</v>
      </c>
      <c r="F156" s="17" t="n">
        <f aca="false">F154-F155</f>
        <v>13.8270346571238</v>
      </c>
      <c r="G156" s="17" t="n">
        <f aca="false">G154-G155</f>
        <v>15.6141246859175</v>
      </c>
    </row>
    <row r="157" customFormat="false" ht="15" hidden="false" customHeight="false" outlineLevel="0" collapsed="false">
      <c r="A157" s="5" t="s">
        <v>418</v>
      </c>
      <c r="B157" s="0" t="s">
        <v>212</v>
      </c>
      <c r="C157" s="10" t="n">
        <f aca="false">C156/C152</f>
        <v>0.320085643036884</v>
      </c>
      <c r="D157" s="10" t="n">
        <f aca="false">D156/D152</f>
        <v>0.35294212594409</v>
      </c>
      <c r="E157" s="10" t="n">
        <f aca="false">E156/E152</f>
        <v>0.399764280022662</v>
      </c>
      <c r="F157" s="10" t="n">
        <f aca="false">F156/F152</f>
        <v>0.404285199975651</v>
      </c>
      <c r="G157" s="10" t="n">
        <f aca="false">G156/G152</f>
        <v>0.415212687329436</v>
      </c>
    </row>
    <row r="158" customFormat="false" ht="15" hidden="false" customHeight="false" outlineLevel="0" collapsed="false">
      <c r="A158" s="5" t="s">
        <v>422</v>
      </c>
      <c r="B158" s="0" t="s">
        <v>31</v>
      </c>
      <c r="C158" s="17" t="n">
        <f aca="false">a25_ni</f>
        <v>5.358217</v>
      </c>
      <c r="D158" s="17" t="n">
        <f aca="false">a26_ni</f>
        <v>7.265396</v>
      </c>
      <c r="E158" s="17" t="n">
        <f aca="false">(E156+oth_inc)*(1-tax)</f>
        <v>11.0760142729438</v>
      </c>
      <c r="F158" s="17" t="n">
        <f aca="false">(F156+oth_inc)*(1-tax)</f>
        <v>11.6290739386984</v>
      </c>
      <c r="G158" s="17" t="n">
        <f aca="false">(G156+oth_inc)*(1-tax)</f>
        <v>13.1212941127411</v>
      </c>
    </row>
    <row r="159" customFormat="false" ht="15" hidden="false" customHeight="false" outlineLevel="0" collapsed="false">
      <c r="A159" s="5" t="s">
        <v>518</v>
      </c>
      <c r="B159" s="5" t="s">
        <v>288</v>
      </c>
      <c r="C159" s="19" t="n">
        <f aca="false">a25_dsh</f>
        <v>1.290142</v>
      </c>
      <c r="D159" s="19" t="n">
        <f aca="false">a26_dsh</f>
        <v>1.261102</v>
      </c>
      <c r="E159" s="19" t="n">
        <f aca="false">sh_27</f>
        <v>1.253</v>
      </c>
      <c r="F159" s="19" t="n">
        <f aca="false">E159*(1-bb)</f>
        <v>1.234205</v>
      </c>
      <c r="G159" s="19" t="n">
        <f aca="false">F159*(1-bb)</f>
        <v>1.215691925</v>
      </c>
    </row>
    <row r="160" customFormat="false" ht="17.15" hidden="false" customHeight="false" outlineLevel="0" collapsed="false">
      <c r="A160" s="0" t="s">
        <v>494</v>
      </c>
      <c r="B160" s="0" t="s">
        <v>308</v>
      </c>
      <c r="C160" s="13" t="n">
        <f aca="false">a25_eps</f>
        <v>4.15</v>
      </c>
      <c r="D160" s="13" t="n">
        <f aca="false">a26_eps</f>
        <v>5.76</v>
      </c>
      <c r="E160" s="13" t="n">
        <f aca="false">E158/E159</f>
        <v>8.83959638702616</v>
      </c>
      <c r="F160" s="13" t="n">
        <f aca="false">F158/F159</f>
        <v>9.4223195811866</v>
      </c>
      <c r="G160" s="13" t="n">
        <f aca="false">G158/G159</f>
        <v>10.7932724096535</v>
      </c>
    </row>
    <row r="161" customFormat="false" ht="15" hidden="false" customHeight="false" outlineLevel="0" collapsed="false">
      <c r="A161" s="5" t="s">
        <v>519</v>
      </c>
      <c r="B161" s="0" t="s">
        <v>212</v>
      </c>
      <c r="C161" s="10" t="n">
        <f aca="false">C150/C152</f>
        <v>0.623320402367356</v>
      </c>
      <c r="D161" s="10" t="n">
        <f aca="false">D150/D152</f>
        <v>0.640713064221147</v>
      </c>
      <c r="E161" s="10" t="n">
        <f aca="false">E150/E152</f>
        <v>0.682127329980828</v>
      </c>
      <c r="F161" s="10" t="n">
        <f aca="false">F150/F152</f>
        <v>0.659393375519875</v>
      </c>
      <c r="G161" s="10" t="n">
        <f aca="false">G150/G152</f>
        <v>0.653051276689573</v>
      </c>
    </row>
    <row r="170" customFormat="false" ht="17.15" hidden="false" customHeight="false" outlineLevel="0" collapsed="false">
      <c r="A170" s="3" t="s">
        <v>800</v>
      </c>
    </row>
    <row r="171" customFormat="false" ht="17.15" hidden="false" customHeight="false" outlineLevel="0" collapsed="false">
      <c r="A171" s="6" t="s">
        <v>20</v>
      </c>
      <c r="B171" s="6" t="s">
        <v>21</v>
      </c>
      <c r="C171" s="14" t="s">
        <v>499</v>
      </c>
      <c r="D171" s="14" t="s">
        <v>500</v>
      </c>
      <c r="E171" s="14" t="s">
        <v>501</v>
      </c>
      <c r="F171" s="14" t="s">
        <v>502</v>
      </c>
      <c r="G171" s="14" t="s">
        <v>503</v>
      </c>
      <c r="H171" s="6" t="s">
        <v>457</v>
      </c>
    </row>
    <row r="172" customFormat="false" ht="17.15" hidden="false" customHeight="false" outlineLevel="0" collapsed="false">
      <c r="A172" s="1" t="s">
        <v>504</v>
      </c>
    </row>
    <row r="173" customFormat="false" ht="17.15" hidden="false" customHeight="false" outlineLevel="0" collapsed="false">
      <c r="A173" s="5" t="s">
        <v>505</v>
      </c>
      <c r="B173" s="0" t="s">
        <v>31</v>
      </c>
      <c r="D173" s="17" t="n">
        <f aca="false">cy26_fl</f>
        <v>10.96762678</v>
      </c>
      <c r="E173" s="17" t="n">
        <f aca="false">k_fl*(advA_27+oflA_27)*(1+drift)^1</f>
        <v>12.7017609623656</v>
      </c>
      <c r="F173" s="17" t="n">
        <f aca="false">k_fl*(advA_28+oflA_28)*(1+drift)^2</f>
        <v>14.3015664243514</v>
      </c>
      <c r="G173" s="17" t="n">
        <f aca="false">k_fl*(advA_29+oflA_29)*(1+drift)^3</f>
        <v>15.2579633630082</v>
      </c>
      <c r="H173" s="8" t="s">
        <v>506</v>
      </c>
    </row>
    <row r="174" customFormat="false" ht="17.15" hidden="false" customHeight="false" outlineLevel="0" collapsed="false">
      <c r="A174" s="5" t="s">
        <v>507</v>
      </c>
      <c r="B174" s="0" t="s">
        <v>31</v>
      </c>
      <c r="D174" s="17" t="n">
        <f aca="false">cy26_dram</f>
        <v>4.35400138</v>
      </c>
      <c r="E174" s="17" t="n">
        <f aca="false">k_dram*dramA_27*(1+drift)^1</f>
        <v>5.89058856743509</v>
      </c>
      <c r="F174" s="17" t="n">
        <f aca="false">k_dram*dramA_28*(1+drift)^2</f>
        <v>6.58762867798361</v>
      </c>
      <c r="G174" s="17" t="n">
        <f aca="false">k_dram*dramA_29*(1+drift)^3</f>
        <v>6.83874153475859</v>
      </c>
      <c r="H174" s="8" t="s">
        <v>506</v>
      </c>
    </row>
    <row r="175" customFormat="false" ht="17.15" hidden="false" customHeight="false" outlineLevel="0" collapsed="false">
      <c r="A175" s="5" t="s">
        <v>508</v>
      </c>
      <c r="B175" s="0" t="s">
        <v>31</v>
      </c>
      <c r="D175" s="17" t="n">
        <f aca="false">cy26_nand</f>
        <v>4.50519784</v>
      </c>
      <c r="E175" s="17" t="n">
        <f aca="false">k_nand*nandA_27*(1+drift)^1</f>
        <v>5.98363389745604</v>
      </c>
      <c r="F175" s="17" t="n">
        <f aca="false">k_nand*nandA_28*(1+drift)^2</f>
        <v>6.7386123543875</v>
      </c>
      <c r="G175" s="17" t="n">
        <f aca="false">k_nand*nandA_29*(1+drift)^3</f>
        <v>7.12288205242611</v>
      </c>
      <c r="H175" s="8" t="s">
        <v>506</v>
      </c>
    </row>
    <row r="176" customFormat="false" ht="17.15" hidden="false" customHeight="false" outlineLevel="0" collapsed="false">
      <c r="A176" s="5" t="s">
        <v>509</v>
      </c>
      <c r="B176" s="0" t="s">
        <v>31</v>
      </c>
      <c r="E176" s="17" t="n">
        <f aca="false">-cn_sh*0*(E173+E174+E175)</f>
        <v>-0</v>
      </c>
      <c r="F176" s="17" t="n">
        <f aca="false">-cn_sh*0*(F173+F174+F175)</f>
        <v>-0</v>
      </c>
      <c r="G176" s="17" t="n">
        <f aca="false">-cn_sh*0*(G173+G174+G175)</f>
        <v>-0</v>
      </c>
      <c r="H176" s="5" t="s">
        <v>510</v>
      </c>
    </row>
    <row r="177" customFormat="false" ht="17.15" hidden="false" customHeight="false" outlineLevel="0" collapsed="false">
      <c r="A177" s="5" t="s">
        <v>511</v>
      </c>
      <c r="B177" s="0" t="s">
        <v>31</v>
      </c>
      <c r="D177" s="17" t="n">
        <f aca="false">SUM(D173:D176)</f>
        <v>19.826826</v>
      </c>
      <c r="E177" s="17" t="n">
        <f aca="false">SUM(E173:E176)</f>
        <v>24.5759834272568</v>
      </c>
      <c r="F177" s="17" t="n">
        <f aca="false">SUM(F173:F176)</f>
        <v>27.6278074567225</v>
      </c>
      <c r="G177" s="17" t="n">
        <f aca="false">SUM(G173:G176)</f>
        <v>29.2195869501929</v>
      </c>
    </row>
    <row r="178" customFormat="false" ht="17.15" hidden="false" customHeight="false" outlineLevel="0" collapsed="false">
      <c r="A178" s="0" t="s">
        <v>512</v>
      </c>
      <c r="B178" s="0" t="s">
        <v>31</v>
      </c>
      <c r="D178" s="17" t="n">
        <f aca="false">cy26_cs</f>
        <v>9.556318</v>
      </c>
      <c r="E178" s="17" t="n">
        <f aca="false">D178*(1+g_cs27)</f>
        <v>10.9897657</v>
      </c>
      <c r="F178" s="17" t="n">
        <f aca="false">E178*(1+g_cs_A)</f>
        <v>12.308537584</v>
      </c>
      <c r="G178" s="17" t="n">
        <f aca="false">F178*(1+g_cs_A)</f>
        <v>13.78556209408</v>
      </c>
      <c r="H178" s="8" t="s">
        <v>513</v>
      </c>
    </row>
    <row r="179" customFormat="false" ht="17.15" hidden="false" customHeight="false" outlineLevel="0" collapsed="false">
      <c r="A179" s="1" t="s">
        <v>514</v>
      </c>
    </row>
    <row r="180" customFormat="false" ht="17.15" hidden="false" customHeight="false" outlineLevel="0" collapsed="false">
      <c r="A180" s="5" t="s">
        <v>449</v>
      </c>
      <c r="B180" s="0" t="s">
        <v>31</v>
      </c>
      <c r="C180" s="17" t="n">
        <f aca="false">a25_sys</f>
        <v>11.49128</v>
      </c>
      <c r="D180" s="17" t="n">
        <f aca="false">a26_sys</f>
        <v>14.885488</v>
      </c>
      <c r="E180" s="17" t="n">
        <f aca="false">h2s26+h1s_lo*E177</f>
        <v>22.9055885422655</v>
      </c>
      <c r="F180" s="17" t="n">
        <f aca="false">(1-h1s_lo)*E177+h1s_lo*F177</f>
        <v>25.9493042405164</v>
      </c>
      <c r="G180" s="17" t="n">
        <f aca="false">(1-h1s_lo)*F177+h1s_lo*G177</f>
        <v>28.3441082287842</v>
      </c>
      <c r="H180" s="8" t="s">
        <v>515</v>
      </c>
    </row>
    <row r="181" customFormat="false" ht="15" hidden="false" customHeight="false" outlineLevel="0" collapsed="false">
      <c r="A181" s="0" t="s">
        <v>451</v>
      </c>
      <c r="B181" s="0" t="s">
        <v>31</v>
      </c>
      <c r="C181" s="17" t="n">
        <f aca="false">a25_cs</f>
        <v>6.944311</v>
      </c>
      <c r="D181" s="17" t="n">
        <f aca="false">a26_cs</f>
        <v>8.347202</v>
      </c>
      <c r="E181" s="17" t="n">
        <f aca="false">h2c26+h1s_lo*E178</f>
        <v>9.918416565</v>
      </c>
      <c r="F181" s="17" t="n">
        <f aca="false">(1-h1s_lo)*E178+h1s_lo*F178</f>
        <v>11.5832130478</v>
      </c>
      <c r="G181" s="17" t="n">
        <f aca="false">(1-h1s_lo)*F178+h1s_lo*G178</f>
        <v>12.973198613536</v>
      </c>
    </row>
    <row r="182" customFormat="false" ht="15" hidden="false" customHeight="false" outlineLevel="0" collapsed="false">
      <c r="A182" s="5" t="s">
        <v>405</v>
      </c>
      <c r="B182" s="0" t="s">
        <v>31</v>
      </c>
      <c r="C182" s="17" t="n">
        <f aca="false">C180+C181</f>
        <v>18.435591</v>
      </c>
      <c r="D182" s="17" t="n">
        <f aca="false">D180+D181</f>
        <v>23.23269</v>
      </c>
      <c r="E182" s="17" t="n">
        <f aca="false">E180+E181</f>
        <v>32.8240051072656</v>
      </c>
      <c r="F182" s="17" t="n">
        <f aca="false">F180+F181</f>
        <v>37.5325172883164</v>
      </c>
      <c r="G182" s="17" t="n">
        <f aca="false">G180+G181</f>
        <v>41.3173068423202</v>
      </c>
    </row>
    <row r="183" customFormat="false" ht="17.15" hidden="false" customHeight="false" outlineLevel="0" collapsed="false">
      <c r="A183" s="5" t="s">
        <v>411</v>
      </c>
      <c r="B183" s="0" t="s">
        <v>212</v>
      </c>
      <c r="C183" s="10" t="n">
        <f aca="false">a25_gp/a25_rev</f>
        <v>0.487050238855917</v>
      </c>
      <c r="D183" s="10" t="n">
        <f aca="false">a26_gp/a26_rev</f>
        <v>0.504690072479769</v>
      </c>
      <c r="E183" s="10" t="n">
        <f aca="false">gm_a+gm_b*LN(E182)</f>
        <v>0.522747220242595</v>
      </c>
      <c r="F183" s="10" t="n">
        <f aca="false">gm_a+gm_b*LN(F182)</f>
        <v>0.529751035203379</v>
      </c>
      <c r="G183" s="10" t="n">
        <f aca="false">gm_a+gm_b*LN(G182)</f>
        <v>0.534770767755058</v>
      </c>
      <c r="H183" s="5" t="s">
        <v>516</v>
      </c>
    </row>
    <row r="184" customFormat="false" ht="15" hidden="false" customHeight="false" outlineLevel="0" collapsed="false">
      <c r="A184" s="5" t="s">
        <v>409</v>
      </c>
      <c r="B184" s="0" t="s">
        <v>31</v>
      </c>
      <c r="C184" s="17" t="n">
        <f aca="false">C182*C183</f>
        <v>8.979059</v>
      </c>
      <c r="D184" s="17" t="n">
        <f aca="false">D182*D183</f>
        <v>11.725308</v>
      </c>
      <c r="E184" s="17" t="n">
        <f aca="false">E182*E183</f>
        <v>17.1586574270518</v>
      </c>
      <c r="F184" s="17" t="n">
        <f aca="false">F182*F183</f>
        <v>19.8828898872743</v>
      </c>
      <c r="G184" s="17" t="n">
        <f aca="false">G182*G183</f>
        <v>22.0952879016389</v>
      </c>
    </row>
    <row r="185" customFormat="false" ht="17.15" hidden="false" customHeight="false" outlineLevel="0" collapsed="false">
      <c r="A185" s="5" t="s">
        <v>415</v>
      </c>
      <c r="B185" s="0" t="s">
        <v>31</v>
      </c>
      <c r="C185" s="17" t="n">
        <f aca="false">a25_opx</f>
        <v>3.078091</v>
      </c>
      <c r="D185" s="17" t="n">
        <f aca="false">a26_opx</f>
        <v>3.525513</v>
      </c>
      <c r="E185" s="17" t="n">
        <f aca="false">opex_fix+opex_var*E182</f>
        <v>4.04971811520702</v>
      </c>
      <c r="F185" s="17" t="n">
        <f aca="false">opex_fix+opex_var*F182</f>
        <v>4.307057817085</v>
      </c>
      <c r="G185" s="17" t="n">
        <f aca="false">opex_fix+opex_var*G182</f>
        <v>4.51391224966307</v>
      </c>
      <c r="H185" s="5" t="s">
        <v>517</v>
      </c>
    </row>
    <row r="186" customFormat="false" ht="15" hidden="false" customHeight="false" outlineLevel="0" collapsed="false">
      <c r="A186" s="5" t="s">
        <v>417</v>
      </c>
      <c r="B186" s="0" t="s">
        <v>31</v>
      </c>
      <c r="C186" s="17" t="n">
        <f aca="false">C184-C185</f>
        <v>5.900968</v>
      </c>
      <c r="D186" s="17" t="n">
        <f aca="false">D184-D185</f>
        <v>8.199795</v>
      </c>
      <c r="E186" s="17" t="n">
        <f aca="false">E184-E185</f>
        <v>13.1089393118448</v>
      </c>
      <c r="F186" s="17" t="n">
        <f aca="false">F184-F185</f>
        <v>15.5758320701893</v>
      </c>
      <c r="G186" s="17" t="n">
        <f aca="false">G184-G185</f>
        <v>17.5813756519758</v>
      </c>
    </row>
    <row r="187" customFormat="false" ht="15" hidden="false" customHeight="false" outlineLevel="0" collapsed="false">
      <c r="A187" s="5" t="s">
        <v>418</v>
      </c>
      <c r="B187" s="0" t="s">
        <v>212</v>
      </c>
      <c r="C187" s="10" t="n">
        <f aca="false">C186/C182</f>
        <v>0.320085643036884</v>
      </c>
      <c r="D187" s="10" t="n">
        <f aca="false">D186/D182</f>
        <v>0.35294212594409</v>
      </c>
      <c r="E187" s="10" t="n">
        <f aca="false">E186/E182</f>
        <v>0.399370499395368</v>
      </c>
      <c r="F187" s="10" t="n">
        <f aca="false">F186/F182</f>
        <v>0.414995667637725</v>
      </c>
      <c r="G187" s="10" t="n">
        <f aca="false">G186/G182</f>
        <v>0.425520853018612</v>
      </c>
    </row>
    <row r="188" customFormat="false" ht="15" hidden="false" customHeight="false" outlineLevel="0" collapsed="false">
      <c r="A188" s="5" t="s">
        <v>422</v>
      </c>
      <c r="B188" s="0" t="s">
        <v>31</v>
      </c>
      <c r="C188" s="17" t="n">
        <f aca="false">a25_ni</f>
        <v>5.358217</v>
      </c>
      <c r="D188" s="17" t="n">
        <f aca="false">a26_ni</f>
        <v>7.265396</v>
      </c>
      <c r="E188" s="17" t="n">
        <f aca="false">(E186+oth_inc)*(1-tax)</f>
        <v>11.0294643253904</v>
      </c>
      <c r="F188" s="17" t="n">
        <f aca="false">(F186+oth_inc)*(1-tax)</f>
        <v>13.0893197786081</v>
      </c>
      <c r="G188" s="17" t="n">
        <f aca="false">(G186+oth_inc)*(1-tax)</f>
        <v>14.7639486693998</v>
      </c>
    </row>
    <row r="189" customFormat="false" ht="15" hidden="false" customHeight="false" outlineLevel="0" collapsed="false">
      <c r="A189" s="5" t="s">
        <v>518</v>
      </c>
      <c r="B189" s="5" t="s">
        <v>288</v>
      </c>
      <c r="C189" s="19" t="n">
        <f aca="false">a25_dsh</f>
        <v>1.290142</v>
      </c>
      <c r="D189" s="19" t="n">
        <f aca="false">a26_dsh</f>
        <v>1.261102</v>
      </c>
      <c r="E189" s="19" t="n">
        <f aca="false">sh_27</f>
        <v>1.253</v>
      </c>
      <c r="F189" s="19" t="n">
        <f aca="false">E189*(1-bb)</f>
        <v>1.234205</v>
      </c>
      <c r="G189" s="19" t="n">
        <f aca="false">F189*(1-bb)</f>
        <v>1.215691925</v>
      </c>
    </row>
    <row r="190" customFormat="false" ht="17.15" hidden="false" customHeight="false" outlineLevel="0" collapsed="false">
      <c r="A190" s="0" t="s">
        <v>494</v>
      </c>
      <c r="B190" s="0" t="s">
        <v>308</v>
      </c>
      <c r="C190" s="13" t="n">
        <f aca="false">a25_eps</f>
        <v>4.15</v>
      </c>
      <c r="D190" s="13" t="n">
        <f aca="false">a26_eps</f>
        <v>5.76</v>
      </c>
      <c r="E190" s="13" t="n">
        <f aca="false">E188/E189</f>
        <v>8.80244559089416</v>
      </c>
      <c r="F190" s="13" t="n">
        <f aca="false">F188/F189</f>
        <v>10.6054664975495</v>
      </c>
      <c r="G190" s="13" t="n">
        <f aca="false">G188/G189</f>
        <v>12.1444819742467</v>
      </c>
    </row>
    <row r="191" customFormat="false" ht="15" hidden="false" customHeight="false" outlineLevel="0" collapsed="false">
      <c r="A191" s="5" t="s">
        <v>519</v>
      </c>
      <c r="B191" s="0" t="s">
        <v>212</v>
      </c>
      <c r="C191" s="10" t="n">
        <f aca="false">C180/C182</f>
        <v>0.623320402367356</v>
      </c>
      <c r="D191" s="10" t="n">
        <f aca="false">D180/D182</f>
        <v>0.640713064221147</v>
      </c>
      <c r="E191" s="10" t="n">
        <f aca="false">E180/E182</f>
        <v>0.697830397826602</v>
      </c>
      <c r="F191" s="10" t="n">
        <f aca="false">F180/F182</f>
        <v>0.691381929998983</v>
      </c>
      <c r="G191" s="10" t="n">
        <f aca="false">G180/G182</f>
        <v>0.686010546063765</v>
      </c>
    </row>
    <row r="200" customFormat="false" ht="17.15" hidden="false" customHeight="false" outlineLevel="0" collapsed="false">
      <c r="A200" s="3" t="s">
        <v>801</v>
      </c>
    </row>
    <row r="201" customFormat="false" ht="17.15" hidden="false" customHeight="false" outlineLevel="0" collapsed="false">
      <c r="A201" s="6" t="s">
        <v>20</v>
      </c>
      <c r="B201" s="6" t="s">
        <v>21</v>
      </c>
      <c r="C201" s="14" t="s">
        <v>499</v>
      </c>
      <c r="D201" s="14" t="s">
        <v>500</v>
      </c>
      <c r="E201" s="14" t="s">
        <v>501</v>
      </c>
      <c r="F201" s="14" t="s">
        <v>502</v>
      </c>
      <c r="G201" s="14" t="s">
        <v>503</v>
      </c>
      <c r="H201" s="6" t="s">
        <v>457</v>
      </c>
    </row>
    <row r="202" customFormat="false" ht="17.15" hidden="false" customHeight="false" outlineLevel="0" collapsed="false">
      <c r="A202" s="1" t="s">
        <v>504</v>
      </c>
    </row>
    <row r="203" customFormat="false" ht="17.15" hidden="false" customHeight="false" outlineLevel="0" collapsed="false">
      <c r="A203" s="5" t="s">
        <v>505</v>
      </c>
      <c r="B203" s="0" t="s">
        <v>31</v>
      </c>
      <c r="D203" s="17" t="n">
        <f aca="false">cy26_fl</f>
        <v>10.96762678</v>
      </c>
      <c r="E203" s="17" t="n">
        <f aca="false">k_fl*(advA_27+oflA_27)*(1+drift)^1</f>
        <v>12.7017609623656</v>
      </c>
      <c r="F203" s="17" t="n">
        <f aca="false">k_fl*(advA_28+oflA_28)*(1+drift)^2</f>
        <v>14.3015664243514</v>
      </c>
      <c r="G203" s="17" t="n">
        <f aca="false">k_fl*(advA_29+oflA_29)*(1+drift)^3</f>
        <v>15.2579633630082</v>
      </c>
      <c r="H203" s="8" t="s">
        <v>506</v>
      </c>
    </row>
    <row r="204" customFormat="false" ht="17.15" hidden="false" customHeight="false" outlineLevel="0" collapsed="false">
      <c r="A204" s="5" t="s">
        <v>507</v>
      </c>
      <c r="B204" s="0" t="s">
        <v>31</v>
      </c>
      <c r="D204" s="17" t="n">
        <f aca="false">cy26_dram</f>
        <v>4.35400138</v>
      </c>
      <c r="E204" s="17" t="n">
        <f aca="false">k_dram*dramA_27*(1+drift)^1</f>
        <v>5.89058856743509</v>
      </c>
      <c r="F204" s="17" t="n">
        <f aca="false">k_dram*dramA_28*(1+drift)^2</f>
        <v>6.58762867798361</v>
      </c>
      <c r="G204" s="17" t="n">
        <f aca="false">k_dram*dramA_29*(1+drift)^3</f>
        <v>6.83874153475859</v>
      </c>
      <c r="H204" s="8" t="s">
        <v>506</v>
      </c>
    </row>
    <row r="205" customFormat="false" ht="17.15" hidden="false" customHeight="false" outlineLevel="0" collapsed="false">
      <c r="A205" s="5" t="s">
        <v>508</v>
      </c>
      <c r="B205" s="0" t="s">
        <v>31</v>
      </c>
      <c r="D205" s="17" t="n">
        <f aca="false">cy26_nand</f>
        <v>4.50519784</v>
      </c>
      <c r="E205" s="17" t="n">
        <f aca="false">k_nand*nandA_27*(1+drift)^1</f>
        <v>5.98363389745604</v>
      </c>
      <c r="F205" s="17" t="n">
        <f aca="false">k_nand*nandA_28*(1+drift)^2</f>
        <v>6.7386123543875</v>
      </c>
      <c r="G205" s="17" t="n">
        <f aca="false">k_nand*nandA_29*(1+drift)^3</f>
        <v>7.12288205242611</v>
      </c>
      <c r="H205" s="8" t="s">
        <v>506</v>
      </c>
    </row>
    <row r="206" customFormat="false" ht="17.15" hidden="false" customHeight="false" outlineLevel="0" collapsed="false">
      <c r="A206" s="5" t="s">
        <v>509</v>
      </c>
      <c r="B206" s="0" t="s">
        <v>31</v>
      </c>
      <c r="E206" s="17" t="n">
        <f aca="false">-cn_sh*0*(E203+E204+E205)</f>
        <v>-0</v>
      </c>
      <c r="F206" s="17" t="n">
        <f aca="false">-cn_sh*0*(F203+F204+F205)</f>
        <v>-0</v>
      </c>
      <c r="G206" s="17" t="n">
        <f aca="false">-cn_sh*0*(G203+G204+G205)</f>
        <v>-0</v>
      </c>
      <c r="H206" s="5" t="s">
        <v>510</v>
      </c>
    </row>
    <row r="207" customFormat="false" ht="17.15" hidden="false" customHeight="false" outlineLevel="0" collapsed="false">
      <c r="A207" s="5" t="s">
        <v>511</v>
      </c>
      <c r="B207" s="0" t="s">
        <v>31</v>
      </c>
      <c r="D207" s="17" t="n">
        <f aca="false">SUM(D203:D206)</f>
        <v>19.826826</v>
      </c>
      <c r="E207" s="17" t="n">
        <f aca="false">SUM(E203:E206)</f>
        <v>24.5759834272568</v>
      </c>
      <c r="F207" s="17" t="n">
        <f aca="false">SUM(F203:F206)</f>
        <v>27.6278074567225</v>
      </c>
      <c r="G207" s="17" t="n">
        <f aca="false">SUM(G203:G206)</f>
        <v>29.2195869501929</v>
      </c>
    </row>
    <row r="208" customFormat="false" ht="17.15" hidden="false" customHeight="false" outlineLevel="0" collapsed="false">
      <c r="A208" s="0" t="s">
        <v>512</v>
      </c>
      <c r="B208" s="0" t="s">
        <v>31</v>
      </c>
      <c r="D208" s="17" t="n">
        <f aca="false">cy26_cs</f>
        <v>9.556318</v>
      </c>
      <c r="E208" s="17" t="n">
        <f aca="false">D208*(1+g_cs27)</f>
        <v>10.9897657</v>
      </c>
      <c r="F208" s="17" t="n">
        <f aca="false">E208*(1+g_cs_A)</f>
        <v>12.308537584</v>
      </c>
      <c r="G208" s="17" t="n">
        <f aca="false">F208*(1+g_cs_A)</f>
        <v>13.78556209408</v>
      </c>
      <c r="H208" s="8" t="s">
        <v>513</v>
      </c>
    </row>
    <row r="209" customFormat="false" ht="17.15" hidden="false" customHeight="false" outlineLevel="0" collapsed="false">
      <c r="A209" s="1" t="s">
        <v>514</v>
      </c>
    </row>
    <row r="210" customFormat="false" ht="17.15" hidden="false" customHeight="false" outlineLevel="0" collapsed="false">
      <c r="A210" s="5" t="s">
        <v>449</v>
      </c>
      <c r="B210" s="0" t="s">
        <v>31</v>
      </c>
      <c r="C210" s="17" t="n">
        <f aca="false">a25_sys</f>
        <v>11.49128</v>
      </c>
      <c r="D210" s="17" t="n">
        <f aca="false">a26_sys</f>
        <v>14.885488</v>
      </c>
      <c r="E210" s="17" t="n">
        <f aca="false">h2s26+h1s_hi*E207</f>
        <v>25.3631868849912</v>
      </c>
      <c r="F210" s="17" t="n">
        <f aca="false">(1-h1s_hi)*E207+h1s_hi*F207</f>
        <v>26.2544866434629</v>
      </c>
      <c r="G210" s="17" t="n">
        <f aca="false">(1-h1s_hi)*F207+h1s_hi*G207</f>
        <v>28.5032861781312</v>
      </c>
      <c r="H210" s="8" t="s">
        <v>515</v>
      </c>
    </row>
    <row r="211" customFormat="false" ht="15" hidden="false" customHeight="false" outlineLevel="0" collapsed="false">
      <c r="A211" s="0" t="s">
        <v>451</v>
      </c>
      <c r="B211" s="0" t="s">
        <v>31</v>
      </c>
      <c r="C211" s="17" t="n">
        <f aca="false">a25_cs</f>
        <v>6.944311</v>
      </c>
      <c r="D211" s="17" t="n">
        <f aca="false">a26_cs</f>
        <v>8.347202</v>
      </c>
      <c r="E211" s="17" t="n">
        <f aca="false">h2c26+h1s_hi*E208</f>
        <v>11.017393135</v>
      </c>
      <c r="F211" s="17" t="n">
        <f aca="false">(1-h1s_hi)*E208+h1s_hi*F208</f>
        <v>11.7150902362</v>
      </c>
      <c r="G211" s="17" t="n">
        <f aca="false">(1-h1s_hi)*F208+h1s_hi*G208</f>
        <v>13.120901064544</v>
      </c>
    </row>
    <row r="212" customFormat="false" ht="15" hidden="false" customHeight="false" outlineLevel="0" collapsed="false">
      <c r="A212" s="5" t="s">
        <v>405</v>
      </c>
      <c r="B212" s="0" t="s">
        <v>31</v>
      </c>
      <c r="C212" s="17" t="n">
        <f aca="false">C210+C211</f>
        <v>18.435591</v>
      </c>
      <c r="D212" s="17" t="n">
        <f aca="false">D210+D211</f>
        <v>23.23269</v>
      </c>
      <c r="E212" s="17" t="n">
        <f aca="false">E210+E211</f>
        <v>36.3805800199912</v>
      </c>
      <c r="F212" s="17" t="n">
        <f aca="false">F210+F211</f>
        <v>37.9695768796629</v>
      </c>
      <c r="G212" s="17" t="n">
        <f aca="false">G210+G211</f>
        <v>41.6241872426752</v>
      </c>
    </row>
    <row r="213" customFormat="false" ht="17.15" hidden="false" customHeight="false" outlineLevel="0" collapsed="false">
      <c r="A213" s="5" t="s">
        <v>411</v>
      </c>
      <c r="B213" s="0" t="s">
        <v>212</v>
      </c>
      <c r="C213" s="10" t="n">
        <f aca="false">a25_gp/a25_rev</f>
        <v>0.487050238855917</v>
      </c>
      <c r="D213" s="10" t="n">
        <f aca="false">a26_gp/a26_rev</f>
        <v>0.504690072479769</v>
      </c>
      <c r="E213" s="10" t="n">
        <f aca="false">gm_a+gm_b*LN(E212)</f>
        <v>0.528122308211755</v>
      </c>
      <c r="F213" s="10" t="n">
        <f aca="false">gm_a+gm_b*LN(F212)</f>
        <v>0.530355947215798</v>
      </c>
      <c r="G213" s="10" t="n">
        <f aca="false">gm_a+gm_b*LN(G212)</f>
        <v>0.535157406150365</v>
      </c>
      <c r="H213" s="5" t="s">
        <v>516</v>
      </c>
    </row>
    <row r="214" customFormat="false" ht="15" hidden="false" customHeight="false" outlineLevel="0" collapsed="false">
      <c r="A214" s="5" t="s">
        <v>409</v>
      </c>
      <c r="B214" s="0" t="s">
        <v>31</v>
      </c>
      <c r="C214" s="17" t="n">
        <f aca="false">C212*C213</f>
        <v>8.979059</v>
      </c>
      <c r="D214" s="17" t="n">
        <f aca="false">D212*D213</f>
        <v>11.725308</v>
      </c>
      <c r="E214" s="17" t="n">
        <f aca="false">E212*E213</f>
        <v>19.2133958942402</v>
      </c>
      <c r="F214" s="17" t="n">
        <f aca="false">F212*F213</f>
        <v>20.1373909113967</v>
      </c>
      <c r="G214" s="17" t="n">
        <f aca="false">G212*G213</f>
        <v>22.2754920779072</v>
      </c>
    </row>
    <row r="215" customFormat="false" ht="17.15" hidden="false" customHeight="false" outlineLevel="0" collapsed="false">
      <c r="A215" s="5" t="s">
        <v>415</v>
      </c>
      <c r="B215" s="0" t="s">
        <v>31</v>
      </c>
      <c r="C215" s="17" t="n">
        <f aca="false">a25_opx</f>
        <v>3.078091</v>
      </c>
      <c r="D215" s="17" t="n">
        <f aca="false">a26_opx</f>
        <v>3.525513</v>
      </c>
      <c r="E215" s="17" t="n">
        <f aca="false">opex_fix+opex_var*E212</f>
        <v>4.24409967196095</v>
      </c>
      <c r="F215" s="17" t="n">
        <f aca="false">opex_fix+opex_var*F212</f>
        <v>4.33094493484433</v>
      </c>
      <c r="G215" s="17" t="n">
        <f aca="false">opex_fix+opex_var*G212</f>
        <v>4.53068453519678</v>
      </c>
      <c r="H215" s="5" t="s">
        <v>517</v>
      </c>
    </row>
    <row r="216" customFormat="false" ht="15" hidden="false" customHeight="false" outlineLevel="0" collapsed="false">
      <c r="A216" s="5" t="s">
        <v>417</v>
      </c>
      <c r="B216" s="0" t="s">
        <v>31</v>
      </c>
      <c r="C216" s="17" t="n">
        <f aca="false">C214-C215</f>
        <v>5.900968</v>
      </c>
      <c r="D216" s="17" t="n">
        <f aca="false">D214-D215</f>
        <v>8.199795</v>
      </c>
      <c r="E216" s="17" t="n">
        <f aca="false">E214-E215</f>
        <v>14.9692962222793</v>
      </c>
      <c r="F216" s="17" t="n">
        <f aca="false">F214-F215</f>
        <v>15.8064459765524</v>
      </c>
      <c r="G216" s="17" t="n">
        <f aca="false">G214-G215</f>
        <v>17.7448075427104</v>
      </c>
    </row>
    <row r="217" customFormat="false" ht="15" hidden="false" customHeight="false" outlineLevel="0" collapsed="false">
      <c r="A217" s="5" t="s">
        <v>418</v>
      </c>
      <c r="B217" s="0" t="s">
        <v>212</v>
      </c>
      <c r="C217" s="10" t="n">
        <f aca="false">C216/C212</f>
        <v>0.320085643036884</v>
      </c>
      <c r="D217" s="10" t="n">
        <f aca="false">D216/D212</f>
        <v>0.35294212594409</v>
      </c>
      <c r="E217" s="10" t="n">
        <f aca="false">E216/E212</f>
        <v>0.41146392427096</v>
      </c>
      <c r="F217" s="10" t="n">
        <f aca="false">F216/F212</f>
        <v>0.416292391844338</v>
      </c>
      <c r="G217" s="10" t="n">
        <f aca="false">G216/G212</f>
        <v>0.426310006709694</v>
      </c>
    </row>
    <row r="218" customFormat="false" ht="15" hidden="false" customHeight="false" outlineLevel="0" collapsed="false">
      <c r="A218" s="5" t="s">
        <v>422</v>
      </c>
      <c r="B218" s="0" t="s">
        <v>31</v>
      </c>
      <c r="C218" s="17" t="n">
        <f aca="false">a25_ni</f>
        <v>5.358217</v>
      </c>
      <c r="D218" s="17" t="n">
        <f aca="false">a26_ni</f>
        <v>7.265396</v>
      </c>
      <c r="E218" s="17" t="n">
        <f aca="false">(E216+oth_inc)*(1-tax)</f>
        <v>12.5828623456032</v>
      </c>
      <c r="F218" s="17" t="n">
        <f aca="false">(F216+oth_inc)*(1-tax)</f>
        <v>13.2818823904212</v>
      </c>
      <c r="G218" s="17" t="n">
        <f aca="false">(G216+oth_inc)*(1-tax)</f>
        <v>14.9004142981632</v>
      </c>
    </row>
    <row r="219" customFormat="false" ht="15" hidden="false" customHeight="false" outlineLevel="0" collapsed="false">
      <c r="A219" s="5" t="s">
        <v>518</v>
      </c>
      <c r="B219" s="5" t="s">
        <v>288</v>
      </c>
      <c r="C219" s="19" t="n">
        <f aca="false">a25_dsh</f>
        <v>1.290142</v>
      </c>
      <c r="D219" s="19" t="n">
        <f aca="false">a26_dsh</f>
        <v>1.261102</v>
      </c>
      <c r="E219" s="19" t="n">
        <f aca="false">sh_27</f>
        <v>1.253</v>
      </c>
      <c r="F219" s="19" t="n">
        <f aca="false">E219*(1-bb)</f>
        <v>1.234205</v>
      </c>
      <c r="G219" s="19" t="n">
        <f aca="false">F219*(1-bb)</f>
        <v>1.215691925</v>
      </c>
    </row>
    <row r="220" customFormat="false" ht="17.15" hidden="false" customHeight="false" outlineLevel="0" collapsed="false">
      <c r="A220" s="0" t="s">
        <v>494</v>
      </c>
      <c r="B220" s="0" t="s">
        <v>308</v>
      </c>
      <c r="C220" s="13" t="n">
        <f aca="false">a25_eps</f>
        <v>4.15</v>
      </c>
      <c r="D220" s="13" t="n">
        <f aca="false">a26_eps</f>
        <v>5.76</v>
      </c>
      <c r="E220" s="13" t="n">
        <f aca="false">E218/E219</f>
        <v>10.0421886237855</v>
      </c>
      <c r="F220" s="13" t="n">
        <f aca="false">F218/F219</f>
        <v>10.761488075661</v>
      </c>
      <c r="G220" s="13" t="n">
        <f aca="false">G218/G219</f>
        <v>12.256735437445</v>
      </c>
    </row>
    <row r="221" customFormat="false" ht="15" hidden="false" customHeight="false" outlineLevel="0" collapsed="false">
      <c r="A221" s="5" t="s">
        <v>519</v>
      </c>
      <c r="B221" s="0" t="s">
        <v>212</v>
      </c>
      <c r="C221" s="10" t="n">
        <f aca="false">C210/C212</f>
        <v>0.623320402367356</v>
      </c>
      <c r="D221" s="10" t="n">
        <f aca="false">D210/D212</f>
        <v>0.640713064221147</v>
      </c>
      <c r="E221" s="10" t="n">
        <f aca="false">E210/E212</f>
        <v>0.697162795949215</v>
      </c>
      <c r="F221" s="10" t="n">
        <f aca="false">F210/F212</f>
        <v>0.691461132860957</v>
      </c>
      <c r="G221" s="10" t="n">
        <f aca="false">G210/G212</f>
        <v>0.684777002658402</v>
      </c>
    </row>
    <row r="230" customFormat="false" ht="17.15" hidden="false" customHeight="false" outlineLevel="0" collapsed="false">
      <c r="A230" s="3" t="s">
        <v>802</v>
      </c>
    </row>
    <row r="231" customFormat="false" ht="17.15" hidden="false" customHeight="false" outlineLevel="0" collapsed="false">
      <c r="A231" s="6" t="s">
        <v>20</v>
      </c>
      <c r="B231" s="6" t="s">
        <v>21</v>
      </c>
      <c r="C231" s="14" t="s">
        <v>499</v>
      </c>
      <c r="D231" s="14" t="s">
        <v>500</v>
      </c>
      <c r="E231" s="14" t="s">
        <v>501</v>
      </c>
      <c r="F231" s="14" t="s">
        <v>502</v>
      </c>
      <c r="G231" s="14" t="s">
        <v>503</v>
      </c>
      <c r="H231" s="6" t="s">
        <v>457</v>
      </c>
    </row>
    <row r="232" customFormat="false" ht="17.15" hidden="false" customHeight="false" outlineLevel="0" collapsed="false">
      <c r="A232" s="1" t="s">
        <v>504</v>
      </c>
    </row>
    <row r="233" customFormat="false" ht="17.15" hidden="false" customHeight="false" outlineLevel="0" collapsed="false">
      <c r="A233" s="5" t="s">
        <v>505</v>
      </c>
      <c r="B233" s="0" t="s">
        <v>31</v>
      </c>
      <c r="D233" s="17" t="n">
        <f aca="false">cy26_fl</f>
        <v>10.96762678</v>
      </c>
      <c r="E233" s="17" t="n">
        <f aca="false">k_fl*(advA_27+oflA_27)*(1+drift)^1</f>
        <v>12.7017609623656</v>
      </c>
      <c r="F233" s="17" t="n">
        <f aca="false">k_fl*(advA_28+oflA_28)*(1+drift)^2</f>
        <v>14.3015664243514</v>
      </c>
      <c r="G233" s="17" t="n">
        <f aca="false">k_fl*(advA_29+oflA_29)*(1+drift)^3</f>
        <v>15.2579633630082</v>
      </c>
      <c r="H233" s="8" t="s">
        <v>506</v>
      </c>
    </row>
    <row r="234" customFormat="false" ht="17.15" hidden="false" customHeight="false" outlineLevel="0" collapsed="false">
      <c r="A234" s="5" t="s">
        <v>507</v>
      </c>
      <c r="B234" s="0" t="s">
        <v>31</v>
      </c>
      <c r="D234" s="17" t="n">
        <f aca="false">cy26_dram</f>
        <v>4.35400138</v>
      </c>
      <c r="E234" s="17" t="n">
        <f aca="false">k_dram*dramA_27*(1+drift)^1</f>
        <v>5.89058856743509</v>
      </c>
      <c r="F234" s="17" t="n">
        <f aca="false">k_dram*dramA_28*(1+drift)^2</f>
        <v>6.58762867798361</v>
      </c>
      <c r="G234" s="17" t="n">
        <f aca="false">k_dram*dramA_29*(1+drift)^3</f>
        <v>6.83874153475859</v>
      </c>
      <c r="H234" s="8" t="s">
        <v>506</v>
      </c>
    </row>
    <row r="235" customFormat="false" ht="17.15" hidden="false" customHeight="false" outlineLevel="0" collapsed="false">
      <c r="A235" s="5" t="s">
        <v>508</v>
      </c>
      <c r="B235" s="0" t="s">
        <v>31</v>
      </c>
      <c r="D235" s="17" t="n">
        <f aca="false">cy26_nand</f>
        <v>4.50519784</v>
      </c>
      <c r="E235" s="17" t="n">
        <f aca="false">k_nand*nandA_27*(1+drift)^1</f>
        <v>5.98363389745604</v>
      </c>
      <c r="F235" s="17" t="n">
        <f aca="false">k_nand*nandA_28*(1+drift)^2</f>
        <v>6.7386123543875</v>
      </c>
      <c r="G235" s="17" t="n">
        <f aca="false">k_nand*nandA_29*(1+drift)^3</f>
        <v>7.12288205242611</v>
      </c>
      <c r="H235" s="8" t="s">
        <v>506</v>
      </c>
    </row>
    <row r="236" customFormat="false" ht="17.15" hidden="false" customHeight="false" outlineLevel="0" collapsed="false">
      <c r="A236" s="5" t="s">
        <v>509</v>
      </c>
      <c r="B236" s="0" t="s">
        <v>31</v>
      </c>
      <c r="E236" s="17" t="n">
        <f aca="false">-cn_sh*0*(E233+E234+E235)</f>
        <v>-0</v>
      </c>
      <c r="F236" s="17" t="n">
        <f aca="false">-cn_sh*0*(F233+F234+F235)</f>
        <v>-0</v>
      </c>
      <c r="G236" s="17" t="n">
        <f aca="false">-cn_sh*0*(G233+G234+G235)</f>
        <v>-0</v>
      </c>
      <c r="H236" s="5" t="s">
        <v>510</v>
      </c>
    </row>
    <row r="237" customFormat="false" ht="17.15" hidden="false" customHeight="false" outlineLevel="0" collapsed="false">
      <c r="A237" s="5" t="s">
        <v>511</v>
      </c>
      <c r="B237" s="0" t="s">
        <v>31</v>
      </c>
      <c r="D237" s="17" t="n">
        <f aca="false">SUM(D233:D236)</f>
        <v>19.826826</v>
      </c>
      <c r="E237" s="17" t="n">
        <f aca="false">SUM(E233:E236)</f>
        <v>24.5759834272568</v>
      </c>
      <c r="F237" s="17" t="n">
        <f aca="false">SUM(F233:F236)</f>
        <v>27.6278074567225</v>
      </c>
      <c r="G237" s="17" t="n">
        <f aca="false">SUM(G233:G236)</f>
        <v>29.2195869501929</v>
      </c>
    </row>
    <row r="238" customFormat="false" ht="17.15" hidden="false" customHeight="false" outlineLevel="0" collapsed="false">
      <c r="A238" s="0" t="s">
        <v>512</v>
      </c>
      <c r="B238" s="0" t="s">
        <v>31</v>
      </c>
      <c r="D238" s="17" t="n">
        <f aca="false">cy26_cs</f>
        <v>9.556318</v>
      </c>
      <c r="E238" s="17" t="n">
        <f aca="false">D238*(1+g_cs27_lo)</f>
        <v>10.5119498</v>
      </c>
      <c r="F238" s="17" t="n">
        <f aca="false">E238*(1+g_cs_A)</f>
        <v>11.773383776</v>
      </c>
      <c r="G238" s="17" t="n">
        <f aca="false">F238*(1+g_cs_A)</f>
        <v>13.18618982912</v>
      </c>
      <c r="H238" s="8" t="s">
        <v>513</v>
      </c>
    </row>
    <row r="239" customFormat="false" ht="17.15" hidden="false" customHeight="false" outlineLevel="0" collapsed="false">
      <c r="A239" s="1" t="s">
        <v>514</v>
      </c>
    </row>
    <row r="240" customFormat="false" ht="17.15" hidden="false" customHeight="false" outlineLevel="0" collapsed="false">
      <c r="A240" s="5" t="s">
        <v>449</v>
      </c>
      <c r="B240" s="0" t="s">
        <v>31</v>
      </c>
      <c r="C240" s="17" t="n">
        <f aca="false">a25_sys</f>
        <v>11.49128</v>
      </c>
      <c r="D240" s="17" t="n">
        <f aca="false">a26_sys</f>
        <v>14.885488</v>
      </c>
      <c r="E240" s="17" t="n">
        <f aca="false">h2s26+h1s*E237</f>
        <v>24.1343877136284</v>
      </c>
      <c r="F240" s="17" t="n">
        <f aca="false">(1-h1s)*E237+h1s*F237</f>
        <v>26.1018954419896</v>
      </c>
      <c r="G240" s="17" t="n">
        <f aca="false">(1-h1s)*F237+h1s*G237</f>
        <v>28.4236972034577</v>
      </c>
      <c r="H240" s="8" t="s">
        <v>515</v>
      </c>
    </row>
    <row r="241" customFormat="false" ht="15" hidden="false" customHeight="false" outlineLevel="0" collapsed="false">
      <c r="A241" s="0" t="s">
        <v>451</v>
      </c>
      <c r="B241" s="0" t="s">
        <v>31</v>
      </c>
      <c r="C241" s="17" t="n">
        <f aca="false">a25_cs</f>
        <v>6.944311</v>
      </c>
      <c r="D241" s="17" t="n">
        <f aca="false">a26_cs</f>
        <v>8.347202</v>
      </c>
      <c r="E241" s="17" t="n">
        <f aca="false">h2c26+h1s*E238</f>
        <v>10.2289969</v>
      </c>
      <c r="F241" s="17" t="n">
        <f aca="false">(1-h1s)*E238+h1s*F238</f>
        <v>11.142666788</v>
      </c>
      <c r="G241" s="17" t="n">
        <f aca="false">(1-h1s)*F238+h1s*G238</f>
        <v>12.47978680256</v>
      </c>
    </row>
    <row r="242" customFormat="false" ht="15" hidden="false" customHeight="false" outlineLevel="0" collapsed="false">
      <c r="A242" s="5" t="s">
        <v>405</v>
      </c>
      <c r="B242" s="0" t="s">
        <v>31</v>
      </c>
      <c r="C242" s="17" t="n">
        <f aca="false">C240+C241</f>
        <v>18.435591</v>
      </c>
      <c r="D242" s="17" t="n">
        <f aca="false">D240+D241</f>
        <v>23.23269</v>
      </c>
      <c r="E242" s="17" t="n">
        <f aca="false">E240+E241</f>
        <v>34.3633846136284</v>
      </c>
      <c r="F242" s="17" t="n">
        <f aca="false">F240+F241</f>
        <v>37.2445622299896</v>
      </c>
      <c r="G242" s="17" t="n">
        <f aca="false">G240+G241</f>
        <v>40.9034840060177</v>
      </c>
    </row>
    <row r="243" customFormat="false" ht="17.15" hidden="false" customHeight="false" outlineLevel="0" collapsed="false">
      <c r="A243" s="5" t="s">
        <v>411</v>
      </c>
      <c r="B243" s="0" t="s">
        <v>212</v>
      </c>
      <c r="C243" s="10" t="n">
        <f aca="false">a25_gp/a25_rev</f>
        <v>0.487050238855917</v>
      </c>
      <c r="D243" s="10" t="n">
        <f aca="false">a26_gp/a26_rev</f>
        <v>0.504690072479769</v>
      </c>
      <c r="E243" s="10" t="n">
        <f aca="false">gm_a+gm_b*LN(E242)</f>
        <v>0.525141856991989</v>
      </c>
      <c r="F243" s="10" t="n">
        <f aca="false">gm_a+gm_b*LN(F242)</f>
        <v>0.529348629563067</v>
      </c>
      <c r="G243" s="10" t="n">
        <f aca="false">gm_a+gm_b*LN(G242)</f>
        <v>0.534244820526996</v>
      </c>
      <c r="H243" s="5" t="s">
        <v>516</v>
      </c>
    </row>
    <row r="244" customFormat="false" ht="15" hidden="false" customHeight="false" outlineLevel="0" collapsed="false">
      <c r="A244" s="5" t="s">
        <v>409</v>
      </c>
      <c r="B244" s="0" t="s">
        <v>31</v>
      </c>
      <c r="C244" s="17" t="n">
        <f aca="false">C242*C243</f>
        <v>8.979059</v>
      </c>
      <c r="D244" s="17" t="n">
        <f aca="false">D242*D243</f>
        <v>11.725308</v>
      </c>
      <c r="E244" s="17" t="n">
        <f aca="false">E242*E243</f>
        <v>18.0456516085308</v>
      </c>
      <c r="F244" s="17" t="n">
        <f aca="false">F242*F243</f>
        <v>19.7153579751214</v>
      </c>
      <c r="G244" s="17" t="n">
        <f aca="false">G242*G243</f>
        <v>21.8524744717238</v>
      </c>
    </row>
    <row r="245" customFormat="false" ht="17.15" hidden="false" customHeight="false" outlineLevel="0" collapsed="false">
      <c r="A245" s="5" t="s">
        <v>415</v>
      </c>
      <c r="B245" s="0" t="s">
        <v>31</v>
      </c>
      <c r="C245" s="17" t="n">
        <f aca="false">a25_opx</f>
        <v>3.078091</v>
      </c>
      <c r="D245" s="17" t="n">
        <f aca="false">a26_opx</f>
        <v>3.525513</v>
      </c>
      <c r="E245" s="17" t="n">
        <f aca="false">opex_fix+opex_var*E242</f>
        <v>4.13385158412715</v>
      </c>
      <c r="F245" s="17" t="n">
        <f aca="false">opex_fix+opex_var*F242</f>
        <v>4.29131987991616</v>
      </c>
      <c r="G245" s="17" t="n">
        <f aca="false">opex_fix+opex_var*G242</f>
        <v>4.49129511685561</v>
      </c>
      <c r="H245" s="5" t="s">
        <v>517</v>
      </c>
    </row>
    <row r="246" customFormat="false" ht="15" hidden="false" customHeight="false" outlineLevel="0" collapsed="false">
      <c r="A246" s="5" t="s">
        <v>417</v>
      </c>
      <c r="B246" s="0" t="s">
        <v>31</v>
      </c>
      <c r="C246" s="17" t="n">
        <f aca="false">C244-C245</f>
        <v>5.900968</v>
      </c>
      <c r="D246" s="17" t="n">
        <f aca="false">D244-D245</f>
        <v>8.199795</v>
      </c>
      <c r="E246" s="17" t="n">
        <f aca="false">E244-E245</f>
        <v>13.9118000244036</v>
      </c>
      <c r="F246" s="17" t="n">
        <f aca="false">F244-F245</f>
        <v>15.4240380952052</v>
      </c>
      <c r="G246" s="17" t="n">
        <f aca="false">G244-G245</f>
        <v>17.3611793548682</v>
      </c>
    </row>
    <row r="247" customFormat="false" ht="15" hidden="false" customHeight="false" outlineLevel="0" collapsed="false">
      <c r="A247" s="5" t="s">
        <v>418</v>
      </c>
      <c r="B247" s="0" t="s">
        <v>212</v>
      </c>
      <c r="C247" s="10" t="n">
        <f aca="false">C246/C242</f>
        <v>0.320085643036884</v>
      </c>
      <c r="D247" s="10" t="n">
        <f aca="false">D246/D242</f>
        <v>0.35294212594409</v>
      </c>
      <c r="E247" s="10" t="n">
        <f aca="false">E246/E242</f>
        <v>0.404843707359555</v>
      </c>
      <c r="F247" s="10" t="n">
        <f aca="false">F246/F242</f>
        <v>0.41412859144269</v>
      </c>
      <c r="G247" s="10" t="n">
        <f aca="false">G246/G242</f>
        <v>0.424442557321376</v>
      </c>
    </row>
    <row r="248" customFormat="false" ht="15" hidden="false" customHeight="false" outlineLevel="0" collapsed="false">
      <c r="A248" s="5" t="s">
        <v>422</v>
      </c>
      <c r="B248" s="0" t="s">
        <v>31</v>
      </c>
      <c r="C248" s="17" t="n">
        <f aca="false">a25_ni</f>
        <v>5.358217</v>
      </c>
      <c r="D248" s="17" t="n">
        <f aca="false">a26_ni</f>
        <v>7.265396</v>
      </c>
      <c r="E248" s="17" t="n">
        <f aca="false">(E246+oth_inc)*(1-tax)</f>
        <v>11.699853020377</v>
      </c>
      <c r="F248" s="17" t="n">
        <f aca="false">(F246+oth_inc)*(1-tax)</f>
        <v>12.9625718094963</v>
      </c>
      <c r="G248" s="17" t="n">
        <f aca="false">(G246+oth_inc)*(1-tax)</f>
        <v>14.5800847613149</v>
      </c>
    </row>
    <row r="249" customFormat="false" ht="15" hidden="false" customHeight="false" outlineLevel="0" collapsed="false">
      <c r="A249" s="5" t="s">
        <v>518</v>
      </c>
      <c r="B249" s="5" t="s">
        <v>288</v>
      </c>
      <c r="C249" s="19" t="n">
        <f aca="false">a25_dsh</f>
        <v>1.290142</v>
      </c>
      <c r="D249" s="19" t="n">
        <f aca="false">a26_dsh</f>
        <v>1.261102</v>
      </c>
      <c r="E249" s="19" t="n">
        <f aca="false">sh_27</f>
        <v>1.253</v>
      </c>
      <c r="F249" s="19" t="n">
        <f aca="false">E249*(1-bb)</f>
        <v>1.234205</v>
      </c>
      <c r="G249" s="19" t="n">
        <f aca="false">F249*(1-bb)</f>
        <v>1.215691925</v>
      </c>
    </row>
    <row r="250" customFormat="false" ht="17.15" hidden="false" customHeight="false" outlineLevel="0" collapsed="false">
      <c r="A250" s="0" t="s">
        <v>494</v>
      </c>
      <c r="B250" s="0" t="s">
        <v>308</v>
      </c>
      <c r="C250" s="13" t="n">
        <f aca="false">a25_eps</f>
        <v>4.15</v>
      </c>
      <c r="D250" s="13" t="n">
        <f aca="false">a26_eps</f>
        <v>5.76</v>
      </c>
      <c r="E250" s="13" t="n">
        <f aca="false">E248/E249</f>
        <v>9.33747248234399</v>
      </c>
      <c r="F250" s="13" t="n">
        <f aca="false">F248/F249</f>
        <v>10.5027704550673</v>
      </c>
      <c r="G250" s="13" t="n">
        <f aca="false">G248/G249</f>
        <v>11.9932397850837</v>
      </c>
    </row>
    <row r="251" customFormat="false" ht="15" hidden="false" customHeight="false" outlineLevel="0" collapsed="false">
      <c r="A251" s="5" t="s">
        <v>519</v>
      </c>
      <c r="B251" s="0" t="s">
        <v>212</v>
      </c>
      <c r="C251" s="10" t="n">
        <f aca="false">C240/C242</f>
        <v>0.623320402367356</v>
      </c>
      <c r="D251" s="10" t="n">
        <f aca="false">D240/D242</f>
        <v>0.640713064221147</v>
      </c>
      <c r="E251" s="10" t="n">
        <f aca="false">E240/E242</f>
        <v>0.702328597284238</v>
      </c>
      <c r="F251" s="10" t="n">
        <f aca="false">F240/F242</f>
        <v>0.70082433190669</v>
      </c>
      <c r="G251" s="10" t="n">
        <f aca="false">G240/G242</f>
        <v>0.694896728094752</v>
      </c>
    </row>
    <row r="260" customFormat="false" ht="17.15" hidden="false" customHeight="false" outlineLevel="0" collapsed="false">
      <c r="A260" s="3" t="s">
        <v>803</v>
      </c>
    </row>
    <row r="261" customFormat="false" ht="17.15" hidden="false" customHeight="false" outlineLevel="0" collapsed="false">
      <c r="A261" s="6" t="s">
        <v>20</v>
      </c>
      <c r="B261" s="6" t="s">
        <v>21</v>
      </c>
      <c r="C261" s="14" t="s">
        <v>499</v>
      </c>
      <c r="D261" s="14" t="s">
        <v>500</v>
      </c>
      <c r="E261" s="14" t="s">
        <v>501</v>
      </c>
      <c r="F261" s="14" t="s">
        <v>502</v>
      </c>
      <c r="G261" s="14" t="s">
        <v>503</v>
      </c>
      <c r="H261" s="6" t="s">
        <v>457</v>
      </c>
    </row>
    <row r="262" customFormat="false" ht="17.15" hidden="false" customHeight="false" outlineLevel="0" collapsed="false">
      <c r="A262" s="1" t="s">
        <v>504</v>
      </c>
    </row>
    <row r="263" customFormat="false" ht="17.15" hidden="false" customHeight="false" outlineLevel="0" collapsed="false">
      <c r="A263" s="5" t="s">
        <v>505</v>
      </c>
      <c r="B263" s="0" t="s">
        <v>31</v>
      </c>
      <c r="D263" s="17" t="n">
        <f aca="false">cy26_fl</f>
        <v>10.96762678</v>
      </c>
      <c r="E263" s="17" t="n">
        <f aca="false">k_fl*(advA_27+oflA_27)*(1+drift)^1</f>
        <v>12.7017609623656</v>
      </c>
      <c r="F263" s="17" t="n">
        <f aca="false">k_fl*(advA_28+oflA_28)*(1+drift)^2</f>
        <v>14.3015664243514</v>
      </c>
      <c r="G263" s="17" t="n">
        <f aca="false">k_fl*(advA_29+oflA_29)*(1+drift)^3</f>
        <v>15.2579633630082</v>
      </c>
      <c r="H263" s="8" t="s">
        <v>506</v>
      </c>
    </row>
    <row r="264" customFormat="false" ht="17.15" hidden="false" customHeight="false" outlineLevel="0" collapsed="false">
      <c r="A264" s="5" t="s">
        <v>507</v>
      </c>
      <c r="B264" s="0" t="s">
        <v>31</v>
      </c>
      <c r="D264" s="17" t="n">
        <f aca="false">cy26_dram</f>
        <v>4.35400138</v>
      </c>
      <c r="E264" s="17" t="n">
        <f aca="false">k_dram*dramA_27*(1+drift)^1</f>
        <v>5.89058856743509</v>
      </c>
      <c r="F264" s="17" t="n">
        <f aca="false">k_dram*dramA_28*(1+drift)^2</f>
        <v>6.58762867798361</v>
      </c>
      <c r="G264" s="17" t="n">
        <f aca="false">k_dram*dramA_29*(1+drift)^3</f>
        <v>6.83874153475859</v>
      </c>
      <c r="H264" s="8" t="s">
        <v>506</v>
      </c>
    </row>
    <row r="265" customFormat="false" ht="17.15" hidden="false" customHeight="false" outlineLevel="0" collapsed="false">
      <c r="A265" s="5" t="s">
        <v>508</v>
      </c>
      <c r="B265" s="0" t="s">
        <v>31</v>
      </c>
      <c r="D265" s="17" t="n">
        <f aca="false">cy26_nand</f>
        <v>4.50519784</v>
      </c>
      <c r="E265" s="17" t="n">
        <f aca="false">k_nand*nandA_27*(1+drift)^1</f>
        <v>5.98363389745604</v>
      </c>
      <c r="F265" s="17" t="n">
        <f aca="false">k_nand*nandA_28*(1+drift)^2</f>
        <v>6.7386123543875</v>
      </c>
      <c r="G265" s="17" t="n">
        <f aca="false">k_nand*nandA_29*(1+drift)^3</f>
        <v>7.12288205242611</v>
      </c>
      <c r="H265" s="8" t="s">
        <v>506</v>
      </c>
    </row>
    <row r="266" customFormat="false" ht="17.15" hidden="false" customHeight="false" outlineLevel="0" collapsed="false">
      <c r="A266" s="5" t="s">
        <v>509</v>
      </c>
      <c r="B266" s="0" t="s">
        <v>31</v>
      </c>
      <c r="E266" s="17" t="n">
        <f aca="false">-cn_sh*0*(E263+E264+E265)</f>
        <v>-0</v>
      </c>
      <c r="F266" s="17" t="n">
        <f aca="false">-cn_sh*0*(F263+F264+F265)</f>
        <v>-0</v>
      </c>
      <c r="G266" s="17" t="n">
        <f aca="false">-cn_sh*0*(G263+G264+G265)</f>
        <v>-0</v>
      </c>
      <c r="H266" s="5" t="s">
        <v>510</v>
      </c>
    </row>
    <row r="267" customFormat="false" ht="17.15" hidden="false" customHeight="false" outlineLevel="0" collapsed="false">
      <c r="A267" s="5" t="s">
        <v>511</v>
      </c>
      <c r="B267" s="0" t="s">
        <v>31</v>
      </c>
      <c r="D267" s="17" t="n">
        <f aca="false">SUM(D263:D266)</f>
        <v>19.826826</v>
      </c>
      <c r="E267" s="17" t="n">
        <f aca="false">SUM(E263:E266)</f>
        <v>24.5759834272568</v>
      </c>
      <c r="F267" s="17" t="n">
        <f aca="false">SUM(F263:F266)</f>
        <v>27.6278074567225</v>
      </c>
      <c r="G267" s="17" t="n">
        <f aca="false">SUM(G263:G266)</f>
        <v>29.2195869501929</v>
      </c>
    </row>
    <row r="268" customFormat="false" ht="17.15" hidden="false" customHeight="false" outlineLevel="0" collapsed="false">
      <c r="A268" s="0" t="s">
        <v>512</v>
      </c>
      <c r="B268" s="0" t="s">
        <v>31</v>
      </c>
      <c r="D268" s="17" t="n">
        <f aca="false">cy26_cs</f>
        <v>9.556318</v>
      </c>
      <c r="E268" s="17" t="n">
        <f aca="false">D268*(1+g_cs27_hi)</f>
        <v>11.4675816</v>
      </c>
      <c r="F268" s="17" t="n">
        <f aca="false">E268*(1+g_cs_A)</f>
        <v>12.843691392</v>
      </c>
      <c r="G268" s="17" t="n">
        <f aca="false">F268*(1+g_cs_A)</f>
        <v>14.38493435904</v>
      </c>
      <c r="H268" s="8" t="s">
        <v>513</v>
      </c>
    </row>
    <row r="269" customFormat="false" ht="17.15" hidden="false" customHeight="false" outlineLevel="0" collapsed="false">
      <c r="A269" s="1" t="s">
        <v>514</v>
      </c>
    </row>
    <row r="270" customFormat="false" ht="17.15" hidden="false" customHeight="false" outlineLevel="0" collapsed="false">
      <c r="A270" s="5" t="s">
        <v>449</v>
      </c>
      <c r="B270" s="0" t="s">
        <v>31</v>
      </c>
      <c r="C270" s="17" t="n">
        <f aca="false">a25_sys</f>
        <v>11.49128</v>
      </c>
      <c r="D270" s="17" t="n">
        <f aca="false">a26_sys</f>
        <v>14.885488</v>
      </c>
      <c r="E270" s="17" t="n">
        <f aca="false">h2s26+h1s*E267</f>
        <v>24.1343877136284</v>
      </c>
      <c r="F270" s="17" t="n">
        <f aca="false">(1-h1s)*E267+h1s*F267</f>
        <v>26.1018954419896</v>
      </c>
      <c r="G270" s="17" t="n">
        <f aca="false">(1-h1s)*F267+h1s*G267</f>
        <v>28.4236972034577</v>
      </c>
      <c r="H270" s="8" t="s">
        <v>515</v>
      </c>
    </row>
    <row r="271" customFormat="false" ht="15" hidden="false" customHeight="false" outlineLevel="0" collapsed="false">
      <c r="A271" s="0" t="s">
        <v>451</v>
      </c>
      <c r="B271" s="0" t="s">
        <v>31</v>
      </c>
      <c r="C271" s="17" t="n">
        <f aca="false">a25_cs</f>
        <v>6.944311</v>
      </c>
      <c r="D271" s="17" t="n">
        <f aca="false">a26_cs</f>
        <v>8.347202</v>
      </c>
      <c r="E271" s="17" t="n">
        <f aca="false">h2c26+h1s*E268</f>
        <v>10.7068128</v>
      </c>
      <c r="F271" s="17" t="n">
        <f aca="false">(1-h1s)*E268+h1s*F268</f>
        <v>12.155636496</v>
      </c>
      <c r="G271" s="17" t="n">
        <f aca="false">(1-h1s)*F268+h1s*G268</f>
        <v>13.61431287552</v>
      </c>
    </row>
    <row r="272" customFormat="false" ht="15" hidden="false" customHeight="false" outlineLevel="0" collapsed="false">
      <c r="A272" s="5" t="s">
        <v>405</v>
      </c>
      <c r="B272" s="0" t="s">
        <v>31</v>
      </c>
      <c r="C272" s="17" t="n">
        <f aca="false">C270+C271</f>
        <v>18.435591</v>
      </c>
      <c r="D272" s="17" t="n">
        <f aca="false">D270+D271</f>
        <v>23.23269</v>
      </c>
      <c r="E272" s="17" t="n">
        <f aca="false">E270+E271</f>
        <v>34.8412005136284</v>
      </c>
      <c r="F272" s="17" t="n">
        <f aca="false">F270+F271</f>
        <v>38.2575319379896</v>
      </c>
      <c r="G272" s="17" t="n">
        <f aca="false">G270+G271</f>
        <v>42.0380100789777</v>
      </c>
    </row>
    <row r="273" customFormat="false" ht="17.15" hidden="false" customHeight="false" outlineLevel="0" collapsed="false">
      <c r="A273" s="5" t="s">
        <v>411</v>
      </c>
      <c r="B273" s="0" t="s">
        <v>212</v>
      </c>
      <c r="C273" s="10" t="n">
        <f aca="false">a25_gp/a25_rev</f>
        <v>0.487050238855917</v>
      </c>
      <c r="D273" s="10" t="n">
        <f aca="false">a26_gp/a26_rev</f>
        <v>0.504690072479769</v>
      </c>
      <c r="E273" s="10" t="n">
        <f aca="false">gm_a+gm_b*LN(E272)</f>
        <v>0.525863360304425</v>
      </c>
      <c r="F273" s="10" t="n">
        <f aca="false">gm_a+gm_b*LN(F272)</f>
        <v>0.530750698025923</v>
      </c>
      <c r="G273" s="10" t="n">
        <f aca="false">gm_a+gm_b*LN(G272)</f>
        <v>0.53567429174441</v>
      </c>
      <c r="H273" s="5" t="s">
        <v>516</v>
      </c>
    </row>
    <row r="274" customFormat="false" ht="15" hidden="false" customHeight="false" outlineLevel="0" collapsed="false">
      <c r="A274" s="5" t="s">
        <v>409</v>
      </c>
      <c r="B274" s="0" t="s">
        <v>31</v>
      </c>
      <c r="C274" s="17" t="n">
        <f aca="false">C272*C273</f>
        <v>8.979059</v>
      </c>
      <c r="D274" s="17" t="n">
        <f aca="false">D272*D273</f>
        <v>11.725308</v>
      </c>
      <c r="E274" s="17" t="n">
        <f aca="false">E272*E273</f>
        <v>18.3217107791369</v>
      </c>
      <c r="F274" s="17" t="n">
        <f aca="false">F272*F273</f>
        <v>20.305211780837</v>
      </c>
      <c r="G274" s="17" t="n">
        <f aca="false">G272*G273</f>
        <v>22.5186812754008</v>
      </c>
    </row>
    <row r="275" customFormat="false" ht="17.15" hidden="false" customHeight="false" outlineLevel="0" collapsed="false">
      <c r="A275" s="5" t="s">
        <v>415</v>
      </c>
      <c r="B275" s="0" t="s">
        <v>31</v>
      </c>
      <c r="C275" s="17" t="n">
        <f aca="false">a25_opx</f>
        <v>3.078091</v>
      </c>
      <c r="D275" s="17" t="n">
        <f aca="false">a26_opx</f>
        <v>3.525513</v>
      </c>
      <c r="E275" s="17" t="n">
        <f aca="false">opex_fix+opex_var*E272</f>
        <v>4.15996620304083</v>
      </c>
      <c r="F275" s="17" t="n">
        <f aca="false">opex_fix+opex_var*F272</f>
        <v>4.34668287201316</v>
      </c>
      <c r="G275" s="17" t="n">
        <f aca="false">opex_fix+opex_var*G272</f>
        <v>4.55330166800425</v>
      </c>
      <c r="H275" s="5" t="s">
        <v>517</v>
      </c>
    </row>
    <row r="276" customFormat="false" ht="15" hidden="false" customHeight="false" outlineLevel="0" collapsed="false">
      <c r="A276" s="5" t="s">
        <v>417</v>
      </c>
      <c r="B276" s="0" t="s">
        <v>31</v>
      </c>
      <c r="C276" s="17" t="n">
        <f aca="false">C274-C275</f>
        <v>5.900968</v>
      </c>
      <c r="D276" s="17" t="n">
        <f aca="false">D274-D275</f>
        <v>8.199795</v>
      </c>
      <c r="E276" s="17" t="n">
        <f aca="false">E274-E275</f>
        <v>14.1617445760961</v>
      </c>
      <c r="F276" s="17" t="n">
        <f aca="false">F274-F275</f>
        <v>15.9585289088239</v>
      </c>
      <c r="G276" s="17" t="n">
        <f aca="false">G274-G275</f>
        <v>17.9653796073965</v>
      </c>
    </row>
    <row r="277" customFormat="false" ht="15" hidden="false" customHeight="false" outlineLevel="0" collapsed="false">
      <c r="A277" s="5" t="s">
        <v>418</v>
      </c>
      <c r="B277" s="0" t="s">
        <v>212</v>
      </c>
      <c r="C277" s="10" t="n">
        <f aca="false">C276/C272</f>
        <v>0.320085643036884</v>
      </c>
      <c r="D277" s="10" t="n">
        <f aca="false">D276/D272</f>
        <v>0.35294212594409</v>
      </c>
      <c r="E277" s="10" t="n">
        <f aca="false">E276/E272</f>
        <v>0.406465459494043</v>
      </c>
      <c r="F277" s="10" t="n">
        <f aca="false">F276/F272</f>
        <v>0.417134302722155</v>
      </c>
      <c r="G277" s="10" t="n">
        <f aca="false">G276/G272</f>
        <v>0.427360371569553</v>
      </c>
    </row>
    <row r="278" customFormat="false" ht="15" hidden="false" customHeight="false" outlineLevel="0" collapsed="false">
      <c r="A278" s="5" t="s">
        <v>422</v>
      </c>
      <c r="B278" s="0" t="s">
        <v>31</v>
      </c>
      <c r="C278" s="17" t="n">
        <f aca="false">a25_ni</f>
        <v>5.358217</v>
      </c>
      <c r="D278" s="17" t="n">
        <f aca="false">a26_ni</f>
        <v>7.265396</v>
      </c>
      <c r="E278" s="17" t="n">
        <f aca="false">(E276+oth_inc)*(1-tax)</f>
        <v>11.9085567210402</v>
      </c>
      <c r="F278" s="17" t="n">
        <f aca="false">(F276+oth_inc)*(1-tax)</f>
        <v>13.4088716388679</v>
      </c>
      <c r="G278" s="17" t="n">
        <f aca="false">(G276+oth_inc)*(1-tax)</f>
        <v>15.0845919721761</v>
      </c>
    </row>
    <row r="279" customFormat="false" ht="15" hidden="false" customHeight="false" outlineLevel="0" collapsed="false">
      <c r="A279" s="5" t="s">
        <v>518</v>
      </c>
      <c r="B279" s="5" t="s">
        <v>288</v>
      </c>
      <c r="C279" s="19" t="n">
        <f aca="false">a25_dsh</f>
        <v>1.290142</v>
      </c>
      <c r="D279" s="19" t="n">
        <f aca="false">a26_dsh</f>
        <v>1.261102</v>
      </c>
      <c r="E279" s="19" t="n">
        <f aca="false">sh_27</f>
        <v>1.253</v>
      </c>
      <c r="F279" s="19" t="n">
        <f aca="false">E279*(1-bb)</f>
        <v>1.234205</v>
      </c>
      <c r="G279" s="19" t="n">
        <f aca="false">F279*(1-bb)</f>
        <v>1.215691925</v>
      </c>
    </row>
    <row r="280" customFormat="false" ht="17.15" hidden="false" customHeight="false" outlineLevel="0" collapsed="false">
      <c r="A280" s="0" t="s">
        <v>494</v>
      </c>
      <c r="B280" s="0" t="s">
        <v>308</v>
      </c>
      <c r="C280" s="13" t="n">
        <f aca="false">a25_eps</f>
        <v>4.15</v>
      </c>
      <c r="D280" s="13" t="n">
        <f aca="false">a26_eps</f>
        <v>5.76</v>
      </c>
      <c r="E280" s="13" t="n">
        <f aca="false">E278/E279</f>
        <v>9.50403569117335</v>
      </c>
      <c r="F280" s="13" t="n">
        <f aca="false">F278/F279</f>
        <v>10.8643796118699</v>
      </c>
      <c r="G280" s="13" t="n">
        <f aca="false">G278/G279</f>
        <v>12.4082357231879</v>
      </c>
    </row>
    <row r="281" customFormat="false" ht="15" hidden="false" customHeight="false" outlineLevel="0" collapsed="false">
      <c r="A281" s="5" t="s">
        <v>519</v>
      </c>
      <c r="B281" s="0" t="s">
        <v>212</v>
      </c>
      <c r="C281" s="10" t="n">
        <f aca="false">C270/C272</f>
        <v>0.623320402367356</v>
      </c>
      <c r="D281" s="10" t="n">
        <f aca="false">D270/D272</f>
        <v>0.640713064221147</v>
      </c>
      <c r="E281" s="10" t="n">
        <f aca="false">E270/E272</f>
        <v>0.692696788797161</v>
      </c>
      <c r="F281" s="10" t="n">
        <f aca="false">F270/F272</f>
        <v>0.682268147466944</v>
      </c>
      <c r="G281" s="10" t="n">
        <f aca="false">G270/G272</f>
        <v>0.676142784828718</v>
      </c>
    </row>
    <row r="290" customFormat="false" ht="17.15" hidden="false" customHeight="false" outlineLevel="0" collapsed="false">
      <c r="A290" s="3" t="s">
        <v>804</v>
      </c>
    </row>
    <row r="291" customFormat="false" ht="17.15" hidden="false" customHeight="false" outlineLevel="0" collapsed="false">
      <c r="A291" s="6" t="s">
        <v>20</v>
      </c>
      <c r="B291" s="6" t="s">
        <v>21</v>
      </c>
      <c r="C291" s="14" t="s">
        <v>499</v>
      </c>
      <c r="D291" s="14" t="s">
        <v>500</v>
      </c>
      <c r="E291" s="14" t="s">
        <v>501</v>
      </c>
      <c r="F291" s="14" t="s">
        <v>502</v>
      </c>
      <c r="G291" s="14" t="s">
        <v>503</v>
      </c>
      <c r="H291" s="6" t="s">
        <v>457</v>
      </c>
    </row>
    <row r="292" customFormat="false" ht="17.15" hidden="false" customHeight="false" outlineLevel="0" collapsed="false">
      <c r="A292" s="1" t="s">
        <v>504</v>
      </c>
    </row>
    <row r="293" customFormat="false" ht="17.15" hidden="false" customHeight="false" outlineLevel="0" collapsed="false">
      <c r="A293" s="5" t="s">
        <v>505</v>
      </c>
      <c r="B293" s="0" t="s">
        <v>31</v>
      </c>
      <c r="D293" s="17" t="n">
        <f aca="false">cy26_fl</f>
        <v>10.96762678</v>
      </c>
      <c r="E293" s="17" t="n">
        <f aca="false">k_fl*(advA_27+oflA_27)*(1+drift)^1</f>
        <v>12.7017609623656</v>
      </c>
      <c r="F293" s="17" t="n">
        <f aca="false">k_fl*(advA_28+oflA_28)*(1+drift)^2</f>
        <v>14.3015664243514</v>
      </c>
      <c r="G293" s="17" t="n">
        <f aca="false">k_fl*(advA_29+oflA_29)*(1+drift)^3</f>
        <v>15.2579633630082</v>
      </c>
      <c r="H293" s="8" t="s">
        <v>506</v>
      </c>
    </row>
    <row r="294" customFormat="false" ht="17.15" hidden="false" customHeight="false" outlineLevel="0" collapsed="false">
      <c r="A294" s="5" t="s">
        <v>507</v>
      </c>
      <c r="B294" s="0" t="s">
        <v>31</v>
      </c>
      <c r="D294" s="17" t="n">
        <f aca="false">cy26_dram</f>
        <v>4.35400138</v>
      </c>
      <c r="E294" s="17" t="n">
        <f aca="false">k_dram*dramA_27*(1+drift)^1</f>
        <v>5.89058856743509</v>
      </c>
      <c r="F294" s="17" t="n">
        <f aca="false">k_dram*dramA_28*(1+drift)^2</f>
        <v>6.58762867798361</v>
      </c>
      <c r="G294" s="17" t="n">
        <f aca="false">k_dram*dramA_29*(1+drift)^3</f>
        <v>6.83874153475859</v>
      </c>
      <c r="H294" s="8" t="s">
        <v>506</v>
      </c>
    </row>
    <row r="295" customFormat="false" ht="17.15" hidden="false" customHeight="false" outlineLevel="0" collapsed="false">
      <c r="A295" s="5" t="s">
        <v>508</v>
      </c>
      <c r="B295" s="0" t="s">
        <v>31</v>
      </c>
      <c r="D295" s="17" t="n">
        <f aca="false">cy26_nand</f>
        <v>4.50519784</v>
      </c>
      <c r="E295" s="17" t="n">
        <f aca="false">k_nand*nandA_27*(1+drift)^1</f>
        <v>5.98363389745604</v>
      </c>
      <c r="F295" s="17" t="n">
        <f aca="false">k_nand*nandA_28*(1+drift)^2</f>
        <v>6.7386123543875</v>
      </c>
      <c r="G295" s="17" t="n">
        <f aca="false">k_nand*nandA_29*(1+drift)^3</f>
        <v>7.12288205242611</v>
      </c>
      <c r="H295" s="8" t="s">
        <v>506</v>
      </c>
    </row>
    <row r="296" customFormat="false" ht="17.15" hidden="false" customHeight="false" outlineLevel="0" collapsed="false">
      <c r="A296" s="5" t="s">
        <v>509</v>
      </c>
      <c r="B296" s="0" t="s">
        <v>31</v>
      </c>
      <c r="E296" s="17" t="n">
        <f aca="false">-cn_sh*0*(E293+E294+E295)</f>
        <v>-0</v>
      </c>
      <c r="F296" s="17" t="n">
        <f aca="false">-cn_sh*0*(F293+F294+F295)</f>
        <v>-0</v>
      </c>
      <c r="G296" s="17" t="n">
        <f aca="false">-cn_sh*0*(G293+G294+G295)</f>
        <v>-0</v>
      </c>
      <c r="H296" s="5" t="s">
        <v>510</v>
      </c>
    </row>
    <row r="297" customFormat="false" ht="17.15" hidden="false" customHeight="false" outlineLevel="0" collapsed="false">
      <c r="A297" s="5" t="s">
        <v>511</v>
      </c>
      <c r="B297" s="0" t="s">
        <v>31</v>
      </c>
      <c r="D297" s="17" t="n">
        <f aca="false">SUM(D293:D296)</f>
        <v>19.826826</v>
      </c>
      <c r="E297" s="17" t="n">
        <f aca="false">SUM(E293:E296)</f>
        <v>24.5759834272568</v>
      </c>
      <c r="F297" s="17" t="n">
        <f aca="false">SUM(F293:F296)</f>
        <v>27.6278074567225</v>
      </c>
      <c r="G297" s="17" t="n">
        <f aca="false">SUM(G293:G296)</f>
        <v>29.2195869501929</v>
      </c>
    </row>
    <row r="298" customFormat="false" ht="17.15" hidden="false" customHeight="false" outlineLevel="0" collapsed="false">
      <c r="A298" s="0" t="s">
        <v>512</v>
      </c>
      <c r="B298" s="0" t="s">
        <v>31</v>
      </c>
      <c r="D298" s="17" t="n">
        <f aca="false">cy26_cs</f>
        <v>9.556318</v>
      </c>
      <c r="E298" s="17" t="n">
        <f aca="false">D298*(1+g_cs27)</f>
        <v>10.9897657</v>
      </c>
      <c r="F298" s="17" t="n">
        <f aca="false">E298*(1+g_cs_A_lo)</f>
        <v>11.868946956</v>
      </c>
      <c r="G298" s="17" t="n">
        <f aca="false">F298*(1+g_cs_A_lo)</f>
        <v>12.81846271248</v>
      </c>
      <c r="H298" s="8" t="s">
        <v>513</v>
      </c>
    </row>
    <row r="299" customFormat="false" ht="17.15" hidden="false" customHeight="false" outlineLevel="0" collapsed="false">
      <c r="A299" s="1" t="s">
        <v>514</v>
      </c>
    </row>
    <row r="300" customFormat="false" ht="17.15" hidden="false" customHeight="false" outlineLevel="0" collapsed="false">
      <c r="A300" s="5" t="s">
        <v>449</v>
      </c>
      <c r="B300" s="0" t="s">
        <v>31</v>
      </c>
      <c r="C300" s="17" t="n">
        <f aca="false">a25_sys</f>
        <v>11.49128</v>
      </c>
      <c r="D300" s="17" t="n">
        <f aca="false">a26_sys</f>
        <v>14.885488</v>
      </c>
      <c r="E300" s="17" t="n">
        <f aca="false">h2s26+h1s*E297</f>
        <v>24.1343877136284</v>
      </c>
      <c r="F300" s="17" t="n">
        <f aca="false">(1-h1s)*E297+h1s*F297</f>
        <v>26.1018954419896</v>
      </c>
      <c r="G300" s="17" t="n">
        <f aca="false">(1-h1s)*F297+h1s*G297</f>
        <v>28.4236972034577</v>
      </c>
      <c r="H300" s="8" t="s">
        <v>515</v>
      </c>
    </row>
    <row r="301" customFormat="false" ht="15" hidden="false" customHeight="false" outlineLevel="0" collapsed="false">
      <c r="A301" s="0" t="s">
        <v>451</v>
      </c>
      <c r="B301" s="0" t="s">
        <v>31</v>
      </c>
      <c r="C301" s="17" t="n">
        <f aca="false">a25_cs</f>
        <v>6.944311</v>
      </c>
      <c r="D301" s="17" t="n">
        <f aca="false">a26_cs</f>
        <v>8.347202</v>
      </c>
      <c r="E301" s="17" t="n">
        <f aca="false">h2c26+h1s*E298</f>
        <v>10.46790485</v>
      </c>
      <c r="F301" s="17" t="n">
        <f aca="false">(1-h1s)*E298+h1s*F298</f>
        <v>11.429356328</v>
      </c>
      <c r="G301" s="17" t="n">
        <f aca="false">(1-h1s)*F298+h1s*G298</f>
        <v>12.34370483424</v>
      </c>
    </row>
    <row r="302" customFormat="false" ht="15" hidden="false" customHeight="false" outlineLevel="0" collapsed="false">
      <c r="A302" s="5" t="s">
        <v>405</v>
      </c>
      <c r="B302" s="0" t="s">
        <v>31</v>
      </c>
      <c r="C302" s="17" t="n">
        <f aca="false">C300+C301</f>
        <v>18.435591</v>
      </c>
      <c r="D302" s="17" t="n">
        <f aca="false">D300+D301</f>
        <v>23.23269</v>
      </c>
      <c r="E302" s="17" t="n">
        <f aca="false">E300+E301</f>
        <v>34.6022925636284</v>
      </c>
      <c r="F302" s="17" t="n">
        <f aca="false">F300+F301</f>
        <v>37.5312517699896</v>
      </c>
      <c r="G302" s="17" t="n">
        <f aca="false">G300+G301</f>
        <v>40.7674020376977</v>
      </c>
    </row>
    <row r="303" customFormat="false" ht="17.15" hidden="false" customHeight="false" outlineLevel="0" collapsed="false">
      <c r="A303" s="5" t="s">
        <v>411</v>
      </c>
      <c r="B303" s="0" t="s">
        <v>212</v>
      </c>
      <c r="C303" s="10" t="n">
        <f aca="false">a25_gp/a25_rev</f>
        <v>0.487050238855917</v>
      </c>
      <c r="D303" s="10" t="n">
        <f aca="false">a26_gp/a26_rev</f>
        <v>0.504690072479769</v>
      </c>
      <c r="E303" s="10" t="n">
        <f aca="false">gm_a+gm_b*LN(E302)</f>
        <v>0.525503854044351</v>
      </c>
      <c r="F303" s="10" t="n">
        <f aca="false">gm_a+gm_b*LN(F302)</f>
        <v>0.529749273455441</v>
      </c>
      <c r="G303" s="10" t="n">
        <f aca="false">gm_a+gm_b*LN(G302)</f>
        <v>0.534070704232038</v>
      </c>
      <c r="H303" s="5" t="s">
        <v>516</v>
      </c>
    </row>
    <row r="304" customFormat="false" ht="15" hidden="false" customHeight="false" outlineLevel="0" collapsed="false">
      <c r="A304" s="5" t="s">
        <v>409</v>
      </c>
      <c r="B304" s="0" t="s">
        <v>31</v>
      </c>
      <c r="C304" s="17" t="n">
        <f aca="false">C302*C303</f>
        <v>8.979059</v>
      </c>
      <c r="D304" s="17" t="n">
        <f aca="false">D302*D303</f>
        <v>11.725308</v>
      </c>
      <c r="E304" s="17" t="n">
        <f aca="false">E302*E303</f>
        <v>18.1836381009569</v>
      </c>
      <c r="F304" s="17" t="n">
        <f aca="false">F302*F303</f>
        <v>19.8821533570252</v>
      </c>
      <c r="G304" s="17" t="n">
        <f aca="false">G302*G303</f>
        <v>21.7726751159839</v>
      </c>
    </row>
    <row r="305" customFormat="false" ht="17.15" hidden="false" customHeight="false" outlineLevel="0" collapsed="false">
      <c r="A305" s="5" t="s">
        <v>415</v>
      </c>
      <c r="B305" s="0" t="s">
        <v>31</v>
      </c>
      <c r="C305" s="17" t="n">
        <f aca="false">a25_opx</f>
        <v>3.078091</v>
      </c>
      <c r="D305" s="17" t="n">
        <f aca="false">a26_opx</f>
        <v>3.525513</v>
      </c>
      <c r="E305" s="17" t="n">
        <f aca="false">opex_fix+opex_var*E302</f>
        <v>4.14690889358399</v>
      </c>
      <c r="F305" s="17" t="n">
        <f aca="false">opex_fix+opex_var*F302</f>
        <v>4.30698865126437</v>
      </c>
      <c r="G305" s="17" t="n">
        <f aca="false">opex_fix+opex_var*G302</f>
        <v>4.48385767338899</v>
      </c>
      <c r="H305" s="5" t="s">
        <v>517</v>
      </c>
    </row>
    <row r="306" customFormat="false" ht="15" hidden="false" customHeight="false" outlineLevel="0" collapsed="false">
      <c r="A306" s="5" t="s">
        <v>417</v>
      </c>
      <c r="B306" s="0" t="s">
        <v>31</v>
      </c>
      <c r="C306" s="17" t="n">
        <f aca="false">C304-C305</f>
        <v>5.900968</v>
      </c>
      <c r="D306" s="17" t="n">
        <f aca="false">D304-D305</f>
        <v>8.199795</v>
      </c>
      <c r="E306" s="17" t="n">
        <f aca="false">E304-E305</f>
        <v>14.0367292073729</v>
      </c>
      <c r="F306" s="17" t="n">
        <f aca="false">F304-F305</f>
        <v>15.5751647057609</v>
      </c>
      <c r="G306" s="17" t="n">
        <f aca="false">G304-G305</f>
        <v>17.2888174425949</v>
      </c>
    </row>
    <row r="307" customFormat="false" ht="15" hidden="false" customHeight="false" outlineLevel="0" collapsed="false">
      <c r="A307" s="5" t="s">
        <v>418</v>
      </c>
      <c r="B307" s="0" t="s">
        <v>212</v>
      </c>
      <c r="C307" s="10" t="n">
        <f aca="false">C306/C302</f>
        <v>0.320085643036884</v>
      </c>
      <c r="D307" s="10" t="n">
        <f aca="false">D306/D302</f>
        <v>0.35294212594409</v>
      </c>
      <c r="E307" s="10" t="n">
        <f aca="false">E306/E302</f>
        <v>0.405658936660381</v>
      </c>
      <c r="F307" s="10" t="n">
        <f aca="false">F306/F302</f>
        <v>0.414991879333343</v>
      </c>
      <c r="G307" s="10" t="n">
        <f aca="false">G306/G302</f>
        <v>0.424084356089403</v>
      </c>
    </row>
    <row r="308" customFormat="false" ht="15" hidden="false" customHeight="false" outlineLevel="0" collapsed="false">
      <c r="A308" s="5" t="s">
        <v>422</v>
      </c>
      <c r="B308" s="0" t="s">
        <v>31</v>
      </c>
      <c r="C308" s="17" t="n">
        <f aca="false">a25_ni</f>
        <v>5.358217</v>
      </c>
      <c r="D308" s="17" t="n">
        <f aca="false">a26_ni</f>
        <v>7.265396</v>
      </c>
      <c r="E308" s="17" t="n">
        <f aca="false">(E306+oth_inc)*(1-tax)</f>
        <v>11.8041688881564</v>
      </c>
      <c r="F308" s="17" t="n">
        <f aca="false">(F306+oth_inc)*(1-tax)</f>
        <v>13.0887625293103</v>
      </c>
      <c r="G308" s="17" t="n">
        <f aca="false">(G306+oth_inc)*(1-tax)</f>
        <v>14.5196625645667</v>
      </c>
    </row>
    <row r="309" customFormat="false" ht="15" hidden="false" customHeight="false" outlineLevel="0" collapsed="false">
      <c r="A309" s="5" t="s">
        <v>518</v>
      </c>
      <c r="B309" s="5" t="s">
        <v>288</v>
      </c>
      <c r="C309" s="19" t="n">
        <f aca="false">a25_dsh</f>
        <v>1.290142</v>
      </c>
      <c r="D309" s="19" t="n">
        <f aca="false">a26_dsh</f>
        <v>1.261102</v>
      </c>
      <c r="E309" s="19" t="n">
        <f aca="false">sh_27</f>
        <v>1.253</v>
      </c>
      <c r="F309" s="19" t="n">
        <f aca="false">E309*(1-bb)</f>
        <v>1.234205</v>
      </c>
      <c r="G309" s="19" t="n">
        <f aca="false">F309*(1-bb)</f>
        <v>1.215691925</v>
      </c>
    </row>
    <row r="310" customFormat="false" ht="17.15" hidden="false" customHeight="false" outlineLevel="0" collapsed="false">
      <c r="A310" s="0" t="s">
        <v>494</v>
      </c>
      <c r="B310" s="0" t="s">
        <v>308</v>
      </c>
      <c r="C310" s="13" t="n">
        <f aca="false">a25_eps</f>
        <v>4.15</v>
      </c>
      <c r="D310" s="13" t="n">
        <f aca="false">a26_eps</f>
        <v>5.76</v>
      </c>
      <c r="E310" s="13" t="n">
        <f aca="false">E308/E309</f>
        <v>9.42072536963797</v>
      </c>
      <c r="F310" s="13" t="n">
        <f aca="false">F308/F309</f>
        <v>10.6050149928985</v>
      </c>
      <c r="G310" s="13" t="n">
        <f aca="false">G308/G309</f>
        <v>11.9435378865141</v>
      </c>
    </row>
    <row r="311" customFormat="false" ht="15" hidden="false" customHeight="false" outlineLevel="0" collapsed="false">
      <c r="A311" s="5" t="s">
        <v>519</v>
      </c>
      <c r="B311" s="0" t="s">
        <v>212</v>
      </c>
      <c r="C311" s="10" t="n">
        <f aca="false">C300/C302</f>
        <v>0.623320402367356</v>
      </c>
      <c r="D311" s="10" t="n">
        <f aca="false">D300/D302</f>
        <v>0.640713064221147</v>
      </c>
      <c r="E311" s="10" t="n">
        <f aca="false">E300/E302</f>
        <v>0.697479442127972</v>
      </c>
      <c r="F311" s="10" t="n">
        <f aca="false">F300/F302</f>
        <v>0.695470953166049</v>
      </c>
      <c r="G311" s="10" t="n">
        <f aca="false">G300/G302</f>
        <v>0.697216299855808</v>
      </c>
    </row>
    <row r="320" customFormat="false" ht="17.15" hidden="false" customHeight="false" outlineLevel="0" collapsed="false">
      <c r="A320" s="3" t="s">
        <v>805</v>
      </c>
    </row>
    <row r="321" customFormat="false" ht="17.15" hidden="false" customHeight="false" outlineLevel="0" collapsed="false">
      <c r="A321" s="6" t="s">
        <v>20</v>
      </c>
      <c r="B321" s="6" t="s">
        <v>21</v>
      </c>
      <c r="C321" s="14" t="s">
        <v>499</v>
      </c>
      <c r="D321" s="14" t="s">
        <v>500</v>
      </c>
      <c r="E321" s="14" t="s">
        <v>501</v>
      </c>
      <c r="F321" s="14" t="s">
        <v>502</v>
      </c>
      <c r="G321" s="14" t="s">
        <v>503</v>
      </c>
      <c r="H321" s="6" t="s">
        <v>457</v>
      </c>
    </row>
    <row r="322" customFormat="false" ht="17.15" hidden="false" customHeight="false" outlineLevel="0" collapsed="false">
      <c r="A322" s="1" t="s">
        <v>504</v>
      </c>
    </row>
    <row r="323" customFormat="false" ht="17.15" hidden="false" customHeight="false" outlineLevel="0" collapsed="false">
      <c r="A323" s="5" t="s">
        <v>505</v>
      </c>
      <c r="B323" s="0" t="s">
        <v>31</v>
      </c>
      <c r="D323" s="17" t="n">
        <f aca="false">cy26_fl</f>
        <v>10.96762678</v>
      </c>
      <c r="E323" s="17" t="n">
        <f aca="false">k_fl*(advA_27+oflA_27)*(1+drift)^1</f>
        <v>12.7017609623656</v>
      </c>
      <c r="F323" s="17" t="n">
        <f aca="false">k_fl*(advA_28+oflA_28)*(1+drift)^2</f>
        <v>14.3015664243514</v>
      </c>
      <c r="G323" s="17" t="n">
        <f aca="false">k_fl*(advA_29+oflA_29)*(1+drift)^3</f>
        <v>15.2579633630082</v>
      </c>
      <c r="H323" s="8" t="s">
        <v>506</v>
      </c>
    </row>
    <row r="324" customFormat="false" ht="17.15" hidden="false" customHeight="false" outlineLevel="0" collapsed="false">
      <c r="A324" s="5" t="s">
        <v>507</v>
      </c>
      <c r="B324" s="0" t="s">
        <v>31</v>
      </c>
      <c r="D324" s="17" t="n">
        <f aca="false">cy26_dram</f>
        <v>4.35400138</v>
      </c>
      <c r="E324" s="17" t="n">
        <f aca="false">k_dram*dramA_27*(1+drift)^1</f>
        <v>5.89058856743509</v>
      </c>
      <c r="F324" s="17" t="n">
        <f aca="false">k_dram*dramA_28*(1+drift)^2</f>
        <v>6.58762867798361</v>
      </c>
      <c r="G324" s="17" t="n">
        <f aca="false">k_dram*dramA_29*(1+drift)^3</f>
        <v>6.83874153475859</v>
      </c>
      <c r="H324" s="8" t="s">
        <v>506</v>
      </c>
    </row>
    <row r="325" customFormat="false" ht="17.15" hidden="false" customHeight="false" outlineLevel="0" collapsed="false">
      <c r="A325" s="5" t="s">
        <v>508</v>
      </c>
      <c r="B325" s="0" t="s">
        <v>31</v>
      </c>
      <c r="D325" s="17" t="n">
        <f aca="false">cy26_nand</f>
        <v>4.50519784</v>
      </c>
      <c r="E325" s="17" t="n">
        <f aca="false">k_nand*nandA_27*(1+drift)^1</f>
        <v>5.98363389745604</v>
      </c>
      <c r="F325" s="17" t="n">
        <f aca="false">k_nand*nandA_28*(1+drift)^2</f>
        <v>6.7386123543875</v>
      </c>
      <c r="G325" s="17" t="n">
        <f aca="false">k_nand*nandA_29*(1+drift)^3</f>
        <v>7.12288205242611</v>
      </c>
      <c r="H325" s="8" t="s">
        <v>506</v>
      </c>
    </row>
    <row r="326" customFormat="false" ht="17.15" hidden="false" customHeight="false" outlineLevel="0" collapsed="false">
      <c r="A326" s="5" t="s">
        <v>509</v>
      </c>
      <c r="B326" s="0" t="s">
        <v>31</v>
      </c>
      <c r="E326" s="17" t="n">
        <f aca="false">-cn_sh*0*(E323+E324+E325)</f>
        <v>-0</v>
      </c>
      <c r="F326" s="17" t="n">
        <f aca="false">-cn_sh*0*(F323+F324+F325)</f>
        <v>-0</v>
      </c>
      <c r="G326" s="17" t="n">
        <f aca="false">-cn_sh*0*(G323+G324+G325)</f>
        <v>-0</v>
      </c>
      <c r="H326" s="5" t="s">
        <v>510</v>
      </c>
    </row>
    <row r="327" customFormat="false" ht="17.15" hidden="false" customHeight="false" outlineLevel="0" collapsed="false">
      <c r="A327" s="5" t="s">
        <v>511</v>
      </c>
      <c r="B327" s="0" t="s">
        <v>31</v>
      </c>
      <c r="D327" s="17" t="n">
        <f aca="false">SUM(D323:D326)</f>
        <v>19.826826</v>
      </c>
      <c r="E327" s="17" t="n">
        <f aca="false">SUM(E323:E326)</f>
        <v>24.5759834272568</v>
      </c>
      <c r="F327" s="17" t="n">
        <f aca="false">SUM(F323:F326)</f>
        <v>27.6278074567225</v>
      </c>
      <c r="G327" s="17" t="n">
        <f aca="false">SUM(G323:G326)</f>
        <v>29.2195869501929</v>
      </c>
    </row>
    <row r="328" customFormat="false" ht="17.15" hidden="false" customHeight="false" outlineLevel="0" collapsed="false">
      <c r="A328" s="0" t="s">
        <v>512</v>
      </c>
      <c r="B328" s="0" t="s">
        <v>31</v>
      </c>
      <c r="D328" s="17" t="n">
        <f aca="false">cy26_cs</f>
        <v>9.556318</v>
      </c>
      <c r="E328" s="17" t="n">
        <f aca="false">D328*(1+g_cs27)</f>
        <v>10.9897657</v>
      </c>
      <c r="F328" s="17" t="n">
        <f aca="false">E328*(1+g_cs_A_hi)</f>
        <v>12.748128212</v>
      </c>
      <c r="G328" s="17" t="n">
        <f aca="false">F328*(1+g_cs_A_hi)</f>
        <v>14.78782872592</v>
      </c>
      <c r="H328" s="8" t="s">
        <v>513</v>
      </c>
    </row>
    <row r="329" customFormat="false" ht="17.15" hidden="false" customHeight="false" outlineLevel="0" collapsed="false">
      <c r="A329" s="1" t="s">
        <v>514</v>
      </c>
    </row>
    <row r="330" customFormat="false" ht="17.15" hidden="false" customHeight="false" outlineLevel="0" collapsed="false">
      <c r="A330" s="5" t="s">
        <v>449</v>
      </c>
      <c r="B330" s="0" t="s">
        <v>31</v>
      </c>
      <c r="C330" s="17" t="n">
        <f aca="false">a25_sys</f>
        <v>11.49128</v>
      </c>
      <c r="D330" s="17" t="n">
        <f aca="false">a26_sys</f>
        <v>14.885488</v>
      </c>
      <c r="E330" s="17" t="n">
        <f aca="false">h2s26+h1s*E327</f>
        <v>24.1343877136284</v>
      </c>
      <c r="F330" s="17" t="n">
        <f aca="false">(1-h1s)*E327+h1s*F327</f>
        <v>26.1018954419896</v>
      </c>
      <c r="G330" s="17" t="n">
        <f aca="false">(1-h1s)*F327+h1s*G327</f>
        <v>28.4236972034577</v>
      </c>
      <c r="H330" s="8" t="s">
        <v>515</v>
      </c>
    </row>
    <row r="331" customFormat="false" ht="15" hidden="false" customHeight="false" outlineLevel="0" collapsed="false">
      <c r="A331" s="0" t="s">
        <v>451</v>
      </c>
      <c r="B331" s="0" t="s">
        <v>31</v>
      </c>
      <c r="C331" s="17" t="n">
        <f aca="false">a25_cs</f>
        <v>6.944311</v>
      </c>
      <c r="D331" s="17" t="n">
        <f aca="false">a26_cs</f>
        <v>8.347202</v>
      </c>
      <c r="E331" s="17" t="n">
        <f aca="false">h2c26+h1s*E328</f>
        <v>10.46790485</v>
      </c>
      <c r="F331" s="17" t="n">
        <f aca="false">(1-h1s)*E328+h1s*F328</f>
        <v>11.868946956</v>
      </c>
      <c r="G331" s="17" t="n">
        <f aca="false">(1-h1s)*F328+h1s*G328</f>
        <v>13.76797846896</v>
      </c>
    </row>
    <row r="332" customFormat="false" ht="15" hidden="false" customHeight="false" outlineLevel="0" collapsed="false">
      <c r="A332" s="5" t="s">
        <v>405</v>
      </c>
      <c r="B332" s="0" t="s">
        <v>31</v>
      </c>
      <c r="C332" s="17" t="n">
        <f aca="false">C330+C331</f>
        <v>18.435591</v>
      </c>
      <c r="D332" s="17" t="n">
        <f aca="false">D330+D331</f>
        <v>23.23269</v>
      </c>
      <c r="E332" s="17" t="n">
        <f aca="false">E330+E331</f>
        <v>34.6022925636284</v>
      </c>
      <c r="F332" s="17" t="n">
        <f aca="false">F330+F331</f>
        <v>37.9708423979896</v>
      </c>
      <c r="G332" s="17" t="n">
        <f aca="false">G330+G331</f>
        <v>42.1916756724177</v>
      </c>
    </row>
    <row r="333" customFormat="false" ht="17.15" hidden="false" customHeight="false" outlineLevel="0" collapsed="false">
      <c r="A333" s="5" t="s">
        <v>411</v>
      </c>
      <c r="B333" s="0" t="s">
        <v>212</v>
      </c>
      <c r="C333" s="10" t="n">
        <f aca="false">a25_gp/a25_rev</f>
        <v>0.487050238855917</v>
      </c>
      <c r="D333" s="10" t="n">
        <f aca="false">a26_gp/a26_rev</f>
        <v>0.504690072479769</v>
      </c>
      <c r="E333" s="10" t="n">
        <f aca="false">gm_a+gm_b*LN(E332)</f>
        <v>0.525503854044351</v>
      </c>
      <c r="F333" s="10" t="n">
        <f aca="false">gm_a+gm_b*LN(F332)</f>
        <v>0.530357688626256</v>
      </c>
      <c r="G333" s="10" t="n">
        <f aca="false">gm_a+gm_b*LN(G332)</f>
        <v>0.535864933328953</v>
      </c>
      <c r="H333" s="5" t="s">
        <v>516</v>
      </c>
    </row>
    <row r="334" customFormat="false" ht="15" hidden="false" customHeight="false" outlineLevel="0" collapsed="false">
      <c r="A334" s="5" t="s">
        <v>409</v>
      </c>
      <c r="B334" s="0" t="s">
        <v>31</v>
      </c>
      <c r="C334" s="17" t="n">
        <f aca="false">C332*C333</f>
        <v>8.979059</v>
      </c>
      <c r="D334" s="17" t="n">
        <f aca="false">D332*D333</f>
        <v>11.725308</v>
      </c>
      <c r="E334" s="17" t="n">
        <f aca="false">E332*E333</f>
        <v>18.1836381009569</v>
      </c>
      <c r="F334" s="17" t="n">
        <f aca="false">F332*F333</f>
        <v>20.1381282093896</v>
      </c>
      <c r="G334" s="17" t="n">
        <f aca="false">G332*G333</f>
        <v>22.6090394712369</v>
      </c>
    </row>
    <row r="335" customFormat="false" ht="17.15" hidden="false" customHeight="false" outlineLevel="0" collapsed="false">
      <c r="A335" s="5" t="s">
        <v>415</v>
      </c>
      <c r="B335" s="0" t="s">
        <v>31</v>
      </c>
      <c r="C335" s="17" t="n">
        <f aca="false">a25_opx</f>
        <v>3.078091</v>
      </c>
      <c r="D335" s="17" t="n">
        <f aca="false">a26_opx</f>
        <v>3.525513</v>
      </c>
      <c r="E335" s="17" t="n">
        <f aca="false">opex_fix+opex_var*E332</f>
        <v>4.14690889358399</v>
      </c>
      <c r="F335" s="17" t="n">
        <f aca="false">opex_fix+opex_var*F332</f>
        <v>4.33101410066496</v>
      </c>
      <c r="G335" s="17" t="n">
        <f aca="false">opex_fix+opex_var*G332</f>
        <v>4.56170012944689</v>
      </c>
      <c r="H335" s="5" t="s">
        <v>517</v>
      </c>
    </row>
    <row r="336" customFormat="false" ht="15" hidden="false" customHeight="false" outlineLevel="0" collapsed="false">
      <c r="A336" s="5" t="s">
        <v>417</v>
      </c>
      <c r="B336" s="0" t="s">
        <v>31</v>
      </c>
      <c r="C336" s="17" t="n">
        <f aca="false">C334-C335</f>
        <v>5.900968</v>
      </c>
      <c r="D336" s="17" t="n">
        <f aca="false">D334-D335</f>
        <v>8.199795</v>
      </c>
      <c r="E336" s="17" t="n">
        <f aca="false">E334-E335</f>
        <v>14.0367292073729</v>
      </c>
      <c r="F336" s="17" t="n">
        <f aca="false">F334-F335</f>
        <v>15.8071141087247</v>
      </c>
      <c r="G336" s="17" t="n">
        <f aca="false">G334-G335</f>
        <v>18.04733934179</v>
      </c>
    </row>
    <row r="337" customFormat="false" ht="15" hidden="false" customHeight="false" outlineLevel="0" collapsed="false">
      <c r="A337" s="5" t="s">
        <v>418</v>
      </c>
      <c r="B337" s="0" t="s">
        <v>212</v>
      </c>
      <c r="C337" s="10" t="n">
        <f aca="false">C336/C332</f>
        <v>0.320085643036884</v>
      </c>
      <c r="D337" s="10" t="n">
        <f aca="false">D336/D332</f>
        <v>0.35294212594409</v>
      </c>
      <c r="E337" s="10" t="n">
        <f aca="false">E336/E332</f>
        <v>0.405658936660381</v>
      </c>
      <c r="F337" s="10" t="n">
        <f aca="false">F336/F332</f>
        <v>0.416296113292488</v>
      </c>
      <c r="G337" s="10" t="n">
        <f aca="false">G336/G332</f>
        <v>0.42774644652448</v>
      </c>
    </row>
    <row r="338" customFormat="false" ht="15" hidden="false" customHeight="false" outlineLevel="0" collapsed="false">
      <c r="A338" s="5" t="s">
        <v>422</v>
      </c>
      <c r="B338" s="0" t="s">
        <v>31</v>
      </c>
      <c r="C338" s="17" t="n">
        <f aca="false">a25_ni</f>
        <v>5.358217</v>
      </c>
      <c r="D338" s="17" t="n">
        <f aca="false">a26_ni</f>
        <v>7.265396</v>
      </c>
      <c r="E338" s="17" t="n">
        <f aca="false">(E336+oth_inc)*(1-tax)</f>
        <v>11.8041688881564</v>
      </c>
      <c r="F338" s="17" t="n">
        <f aca="false">(F336+oth_inc)*(1-tax)</f>
        <v>13.2824402807851</v>
      </c>
      <c r="G338" s="17" t="n">
        <f aca="false">(G336+oth_inc)*(1-tax)</f>
        <v>15.1530283503947</v>
      </c>
    </row>
    <row r="339" customFormat="false" ht="15" hidden="false" customHeight="false" outlineLevel="0" collapsed="false">
      <c r="A339" s="5" t="s">
        <v>518</v>
      </c>
      <c r="B339" s="5" t="s">
        <v>288</v>
      </c>
      <c r="C339" s="19" t="n">
        <f aca="false">a25_dsh</f>
        <v>1.290142</v>
      </c>
      <c r="D339" s="19" t="n">
        <f aca="false">a26_dsh</f>
        <v>1.261102</v>
      </c>
      <c r="E339" s="19" t="n">
        <f aca="false">sh_27</f>
        <v>1.253</v>
      </c>
      <c r="F339" s="19" t="n">
        <f aca="false">E339*(1-bb)</f>
        <v>1.234205</v>
      </c>
      <c r="G339" s="19" t="n">
        <f aca="false">F339*(1-bb)</f>
        <v>1.215691925</v>
      </c>
    </row>
    <row r="340" customFormat="false" ht="17.15" hidden="false" customHeight="false" outlineLevel="0" collapsed="false">
      <c r="A340" s="0" t="s">
        <v>494</v>
      </c>
      <c r="B340" s="0" t="s">
        <v>308</v>
      </c>
      <c r="C340" s="13" t="n">
        <f aca="false">a25_eps</f>
        <v>4.15</v>
      </c>
      <c r="D340" s="13" t="n">
        <f aca="false">a26_eps</f>
        <v>5.76</v>
      </c>
      <c r="E340" s="13" t="n">
        <f aca="false">E338/E339</f>
        <v>9.42072536963797</v>
      </c>
      <c r="F340" s="13" t="n">
        <f aca="false">F338/F339</f>
        <v>10.7619400997283</v>
      </c>
      <c r="G340" s="13" t="n">
        <f aca="false">G338/G339</f>
        <v>12.464529901681</v>
      </c>
    </row>
    <row r="341" customFormat="false" ht="15" hidden="false" customHeight="false" outlineLevel="0" collapsed="false">
      <c r="A341" s="5" t="s">
        <v>519</v>
      </c>
      <c r="B341" s="0" t="s">
        <v>212</v>
      </c>
      <c r="C341" s="10" t="n">
        <f aca="false">C330/C332</f>
        <v>0.623320402367356</v>
      </c>
      <c r="D341" s="10" t="n">
        <f aca="false">D330/D332</f>
        <v>0.640713064221147</v>
      </c>
      <c r="E341" s="10" t="n">
        <f aca="false">E330/E332</f>
        <v>0.697479442127972</v>
      </c>
      <c r="F341" s="10" t="n">
        <f aca="false">F330/F332</f>
        <v>0.687419445910729</v>
      </c>
      <c r="G341" s="10" t="n">
        <f aca="false">G330/G332</f>
        <v>0.673680216546587</v>
      </c>
    </row>
    <row r="350" customFormat="false" ht="17.15" hidden="false" customHeight="false" outlineLevel="0" collapsed="false">
      <c r="A350" s="3" t="s">
        <v>806</v>
      </c>
    </row>
    <row r="351" customFormat="false" ht="17.15" hidden="false" customHeight="false" outlineLevel="0" collapsed="false">
      <c r="A351" s="6" t="s">
        <v>20</v>
      </c>
      <c r="B351" s="6" t="s">
        <v>21</v>
      </c>
      <c r="C351" s="14" t="s">
        <v>499</v>
      </c>
      <c r="D351" s="14" t="s">
        <v>500</v>
      </c>
      <c r="E351" s="14" t="s">
        <v>501</v>
      </c>
      <c r="F351" s="14" t="s">
        <v>502</v>
      </c>
      <c r="G351" s="14" t="s">
        <v>503</v>
      </c>
      <c r="H351" s="6" t="s">
        <v>457</v>
      </c>
    </row>
    <row r="352" customFormat="false" ht="17.15" hidden="false" customHeight="false" outlineLevel="0" collapsed="false">
      <c r="A352" s="1" t="s">
        <v>504</v>
      </c>
    </row>
    <row r="353" customFormat="false" ht="17.15" hidden="false" customHeight="false" outlineLevel="0" collapsed="false">
      <c r="A353" s="5" t="s">
        <v>505</v>
      </c>
      <c r="B353" s="0" t="s">
        <v>31</v>
      </c>
      <c r="D353" s="17" t="n">
        <f aca="false">cy26_fl</f>
        <v>10.96762678</v>
      </c>
      <c r="E353" s="17" t="n">
        <f aca="false">k_fl*(advA_27+oflA_27)*(1+drift)^1</f>
        <v>12.7017609623656</v>
      </c>
      <c r="F353" s="17" t="n">
        <f aca="false">k_fl*(advA_28+oflA_28)*(1+drift)^2</f>
        <v>14.3015664243514</v>
      </c>
      <c r="G353" s="17" t="n">
        <f aca="false">k_fl*(advA_29+oflA_29)*(1+drift)^3</f>
        <v>15.2579633630082</v>
      </c>
      <c r="H353" s="8" t="s">
        <v>506</v>
      </c>
    </row>
    <row r="354" customFormat="false" ht="17.15" hidden="false" customHeight="false" outlineLevel="0" collapsed="false">
      <c r="A354" s="5" t="s">
        <v>507</v>
      </c>
      <c r="B354" s="0" t="s">
        <v>31</v>
      </c>
      <c r="D354" s="17" t="n">
        <f aca="false">cy26_dram</f>
        <v>4.35400138</v>
      </c>
      <c r="E354" s="17" t="n">
        <f aca="false">k_dram*dramA_27*(1+drift)^1</f>
        <v>5.89058856743509</v>
      </c>
      <c r="F354" s="17" t="n">
        <f aca="false">k_dram*dramA_28*(1+drift)^2</f>
        <v>6.58762867798361</v>
      </c>
      <c r="G354" s="17" t="n">
        <f aca="false">k_dram*dramA_29*(1+drift)^3</f>
        <v>6.83874153475859</v>
      </c>
      <c r="H354" s="8" t="s">
        <v>506</v>
      </c>
    </row>
    <row r="355" customFormat="false" ht="17.15" hidden="false" customHeight="false" outlineLevel="0" collapsed="false">
      <c r="A355" s="5" t="s">
        <v>508</v>
      </c>
      <c r="B355" s="0" t="s">
        <v>31</v>
      </c>
      <c r="D355" s="17" t="n">
        <f aca="false">cy26_nand</f>
        <v>4.50519784</v>
      </c>
      <c r="E355" s="17" t="n">
        <f aca="false">k_nand*nandA_27*(1+drift)^1</f>
        <v>5.98363389745604</v>
      </c>
      <c r="F355" s="17" t="n">
        <f aca="false">k_nand*nandA_28*(1+drift)^2</f>
        <v>6.7386123543875</v>
      </c>
      <c r="G355" s="17" t="n">
        <f aca="false">k_nand*nandA_29*(1+drift)^3</f>
        <v>7.12288205242611</v>
      </c>
      <c r="H355" s="8" t="s">
        <v>506</v>
      </c>
    </row>
    <row r="356" customFormat="false" ht="17.15" hidden="false" customHeight="false" outlineLevel="0" collapsed="false">
      <c r="A356" s="5" t="s">
        <v>509</v>
      </c>
      <c r="B356" s="0" t="s">
        <v>31</v>
      </c>
      <c r="E356" s="17" t="n">
        <f aca="false">-cn_sh*0*(E353+E354+E355)</f>
        <v>-0</v>
      </c>
      <c r="F356" s="17" t="n">
        <f aca="false">-cn_sh*0*(F353+F354+F355)</f>
        <v>-0</v>
      </c>
      <c r="G356" s="17" t="n">
        <f aca="false">-cn_sh*0*(G353+G354+G355)</f>
        <v>-0</v>
      </c>
      <c r="H356" s="5" t="s">
        <v>510</v>
      </c>
    </row>
    <row r="357" customFormat="false" ht="17.15" hidden="false" customHeight="false" outlineLevel="0" collapsed="false">
      <c r="A357" s="5" t="s">
        <v>511</v>
      </c>
      <c r="B357" s="0" t="s">
        <v>31</v>
      </c>
      <c r="D357" s="17" t="n">
        <f aca="false">SUM(D353:D356)</f>
        <v>19.826826</v>
      </c>
      <c r="E357" s="17" t="n">
        <f aca="false">SUM(E353:E356)</f>
        <v>24.5759834272568</v>
      </c>
      <c r="F357" s="17" t="n">
        <f aca="false">SUM(F353:F356)</f>
        <v>27.6278074567225</v>
      </c>
      <c r="G357" s="17" t="n">
        <f aca="false">SUM(G353:G356)</f>
        <v>29.2195869501929</v>
      </c>
    </row>
    <row r="358" customFormat="false" ht="17.15" hidden="false" customHeight="false" outlineLevel="0" collapsed="false">
      <c r="A358" s="0" t="s">
        <v>512</v>
      </c>
      <c r="B358" s="0" t="s">
        <v>31</v>
      </c>
      <c r="D358" s="17" t="n">
        <f aca="false">cy26_cs</f>
        <v>9.556318</v>
      </c>
      <c r="E358" s="17" t="n">
        <f aca="false">D358*(1+g_cs27)</f>
        <v>10.9897657</v>
      </c>
      <c r="F358" s="17" t="n">
        <f aca="false">E358*(1+g_cs_A)</f>
        <v>12.308537584</v>
      </c>
      <c r="G358" s="17" t="n">
        <f aca="false">F358*(1+g_cs_A)</f>
        <v>13.78556209408</v>
      </c>
      <c r="H358" s="8" t="s">
        <v>513</v>
      </c>
    </row>
    <row r="359" customFormat="false" ht="17.15" hidden="false" customHeight="false" outlineLevel="0" collapsed="false">
      <c r="A359" s="1" t="s">
        <v>514</v>
      </c>
    </row>
    <row r="360" customFormat="false" ht="17.15" hidden="false" customHeight="false" outlineLevel="0" collapsed="false">
      <c r="A360" s="5" t="s">
        <v>449</v>
      </c>
      <c r="B360" s="0" t="s">
        <v>31</v>
      </c>
      <c r="C360" s="17" t="n">
        <f aca="false">a25_sys</f>
        <v>11.49128</v>
      </c>
      <c r="D360" s="17" t="n">
        <f aca="false">a26_sys</f>
        <v>14.885488</v>
      </c>
      <c r="E360" s="17" t="n">
        <f aca="false">h2s26+h1s*E357</f>
        <v>24.1343877136284</v>
      </c>
      <c r="F360" s="17" t="n">
        <f aca="false">(1-h1s)*E357+h1s*F357</f>
        <v>26.1018954419896</v>
      </c>
      <c r="G360" s="17" t="n">
        <f aca="false">(1-h1s)*F357+h1s*G357</f>
        <v>28.4236972034577</v>
      </c>
      <c r="H360" s="8" t="s">
        <v>515</v>
      </c>
    </row>
    <row r="361" customFormat="false" ht="15" hidden="false" customHeight="false" outlineLevel="0" collapsed="false">
      <c r="A361" s="0" t="s">
        <v>451</v>
      </c>
      <c r="B361" s="0" t="s">
        <v>31</v>
      </c>
      <c r="C361" s="17" t="n">
        <f aca="false">a25_cs</f>
        <v>6.944311</v>
      </c>
      <c r="D361" s="17" t="n">
        <f aca="false">a26_cs</f>
        <v>8.347202</v>
      </c>
      <c r="E361" s="17" t="n">
        <f aca="false">h2c26+h1s*E358</f>
        <v>10.46790485</v>
      </c>
      <c r="F361" s="17" t="n">
        <f aca="false">(1-h1s)*E358+h1s*F358</f>
        <v>11.649151642</v>
      </c>
      <c r="G361" s="17" t="n">
        <f aca="false">(1-h1s)*F358+h1s*G358</f>
        <v>13.04704983904</v>
      </c>
    </row>
    <row r="362" customFormat="false" ht="15" hidden="false" customHeight="false" outlineLevel="0" collapsed="false">
      <c r="A362" s="5" t="s">
        <v>405</v>
      </c>
      <c r="B362" s="0" t="s">
        <v>31</v>
      </c>
      <c r="C362" s="17" t="n">
        <f aca="false">C360+C361</f>
        <v>18.435591</v>
      </c>
      <c r="D362" s="17" t="n">
        <f aca="false">D360+D361</f>
        <v>23.23269</v>
      </c>
      <c r="E362" s="17" t="n">
        <f aca="false">E360+E361</f>
        <v>34.6022925636284</v>
      </c>
      <c r="F362" s="17" t="n">
        <f aca="false">F360+F361</f>
        <v>37.7510470839896</v>
      </c>
      <c r="G362" s="17" t="n">
        <f aca="false">G360+G361</f>
        <v>41.4707470424977</v>
      </c>
    </row>
    <row r="363" customFormat="false" ht="17.15" hidden="false" customHeight="false" outlineLevel="0" collapsed="false">
      <c r="A363" s="5" t="s">
        <v>411</v>
      </c>
      <c r="B363" s="0" t="s">
        <v>212</v>
      </c>
      <c r="C363" s="10" t="n">
        <f aca="false">a25_gp/a25_rev</f>
        <v>0.487050238855917</v>
      </c>
      <c r="D363" s="10" t="n">
        <f aca="false">a26_gp/a26_rev</f>
        <v>0.504690072479769</v>
      </c>
      <c r="E363" s="10" t="n">
        <f aca="false">gm_a+gm_b*LN(E362)</f>
        <v>0.525503854044351</v>
      </c>
      <c r="F363" s="10" t="n">
        <f aca="false">gm_a+gm_b*LN(F362)</f>
        <v>0.530054366629259</v>
      </c>
      <c r="G363" s="10" t="n">
        <f aca="false">gm_a+gm_b*LN(G362)</f>
        <v>0.534964444590398</v>
      </c>
      <c r="H363" s="5" t="s">
        <v>516</v>
      </c>
    </row>
    <row r="364" customFormat="false" ht="15" hidden="false" customHeight="false" outlineLevel="0" collapsed="false">
      <c r="A364" s="5" t="s">
        <v>409</v>
      </c>
      <c r="B364" s="0" t="s">
        <v>31</v>
      </c>
      <c r="C364" s="17" t="n">
        <f aca="false">C362*C363</f>
        <v>8.979059</v>
      </c>
      <c r="D364" s="17" t="n">
        <f aca="false">D362*D363</f>
        <v>11.725308</v>
      </c>
      <c r="E364" s="17" t="n">
        <f aca="false">E362*E363</f>
        <v>18.1836381009569</v>
      </c>
      <c r="F364" s="17" t="n">
        <f aca="false">F362*F363</f>
        <v>20.0101073516955</v>
      </c>
      <c r="G364" s="17" t="n">
        <f aca="false">G362*G363</f>
        <v>22.1853751583387</v>
      </c>
    </row>
    <row r="365" customFormat="false" ht="17.15" hidden="false" customHeight="false" outlineLevel="0" collapsed="false">
      <c r="A365" s="5" t="s">
        <v>415</v>
      </c>
      <c r="B365" s="0" t="s">
        <v>31</v>
      </c>
      <c r="C365" s="17" t="n">
        <f aca="false">a25_opx</f>
        <v>3.078091</v>
      </c>
      <c r="D365" s="17" t="n">
        <f aca="false">a26_opx</f>
        <v>3.525513</v>
      </c>
      <c r="E365" s="17" t="n">
        <f aca="false">(1-phi_lo)*a26_opx+phi_lo*a26_opx/a26_rev*E362</f>
        <v>3.78431007629361</v>
      </c>
      <c r="F365" s="17" t="n">
        <f aca="false">(1-phi_lo)*a26_opx+phi_lo*a26_opx/a26_rev*F362</f>
        <v>3.85598263118507</v>
      </c>
      <c r="G365" s="17" t="n">
        <f aca="false">(1-phi_lo)*a26_opx+phi_lo*a26_opx/a26_rev*G362</f>
        <v>3.94065115574994</v>
      </c>
      <c r="H365" s="5" t="s">
        <v>517</v>
      </c>
    </row>
    <row r="366" customFormat="false" ht="15" hidden="false" customHeight="false" outlineLevel="0" collapsed="false">
      <c r="A366" s="5" t="s">
        <v>417</v>
      </c>
      <c r="B366" s="0" t="s">
        <v>31</v>
      </c>
      <c r="C366" s="17" t="n">
        <f aca="false">C364-C365</f>
        <v>5.900968</v>
      </c>
      <c r="D366" s="17" t="n">
        <f aca="false">D364-D365</f>
        <v>8.199795</v>
      </c>
      <c r="E366" s="17" t="n">
        <f aca="false">E364-E365</f>
        <v>14.3993280246633</v>
      </c>
      <c r="F366" s="17" t="n">
        <f aca="false">F364-F365</f>
        <v>16.1541247205104</v>
      </c>
      <c r="G366" s="17" t="n">
        <f aca="false">G364-G365</f>
        <v>18.2447240025888</v>
      </c>
    </row>
    <row r="367" customFormat="false" ht="15" hidden="false" customHeight="false" outlineLevel="0" collapsed="false">
      <c r="A367" s="5" t="s">
        <v>418</v>
      </c>
      <c r="B367" s="0" t="s">
        <v>212</v>
      </c>
      <c r="C367" s="10" t="n">
        <f aca="false">C366/C362</f>
        <v>0.320085643036884</v>
      </c>
      <c r="D367" s="10" t="n">
        <f aca="false">D366/D362</f>
        <v>0.35294212594409</v>
      </c>
      <c r="E367" s="10" t="n">
        <f aca="false">E366/E362</f>
        <v>0.416137976932745</v>
      </c>
      <c r="F367" s="10" t="n">
        <f aca="false">F366/F362</f>
        <v>0.427911964523003</v>
      </c>
      <c r="G367" s="10" t="n">
        <f aca="false">G366/G362</f>
        <v>0.439942014642085</v>
      </c>
    </row>
    <row r="368" customFormat="false" ht="15" hidden="false" customHeight="false" outlineLevel="0" collapsed="false">
      <c r="A368" s="5" t="s">
        <v>422</v>
      </c>
      <c r="B368" s="0" t="s">
        <v>31</v>
      </c>
      <c r="C368" s="17" t="n">
        <f aca="false">a25_ni</f>
        <v>5.358217</v>
      </c>
      <c r="D368" s="17" t="n">
        <f aca="false">a26_ni</f>
        <v>7.265396</v>
      </c>
      <c r="E368" s="17" t="n">
        <f aca="false">(E366+oth_inc)*(1-tax)</f>
        <v>12.1069389005938</v>
      </c>
      <c r="F368" s="17" t="n">
        <f aca="false">(F366+oth_inc)*(1-tax)</f>
        <v>13.5721941416262</v>
      </c>
      <c r="G368" s="17" t="n">
        <f aca="false">(G366+oth_inc)*(1-tax)</f>
        <v>15.3178445421616</v>
      </c>
    </row>
    <row r="369" customFormat="false" ht="15" hidden="false" customHeight="false" outlineLevel="0" collapsed="false">
      <c r="A369" s="5" t="s">
        <v>518</v>
      </c>
      <c r="B369" s="5" t="s">
        <v>288</v>
      </c>
      <c r="C369" s="19" t="n">
        <f aca="false">a25_dsh</f>
        <v>1.290142</v>
      </c>
      <c r="D369" s="19" t="n">
        <f aca="false">a26_dsh</f>
        <v>1.261102</v>
      </c>
      <c r="E369" s="19" t="n">
        <f aca="false">sh_27</f>
        <v>1.253</v>
      </c>
      <c r="F369" s="19" t="n">
        <f aca="false">E369*(1-bb)</f>
        <v>1.234205</v>
      </c>
      <c r="G369" s="19" t="n">
        <f aca="false">F369*(1-bb)</f>
        <v>1.215691925</v>
      </c>
    </row>
    <row r="370" customFormat="false" ht="17.15" hidden="false" customHeight="false" outlineLevel="0" collapsed="false">
      <c r="A370" s="0" t="s">
        <v>494</v>
      </c>
      <c r="B370" s="0" t="s">
        <v>308</v>
      </c>
      <c r="C370" s="13" t="n">
        <f aca="false">a25_eps</f>
        <v>4.15</v>
      </c>
      <c r="D370" s="13" t="n">
        <f aca="false">a26_eps</f>
        <v>5.76</v>
      </c>
      <c r="E370" s="13" t="n">
        <f aca="false">E368/E369</f>
        <v>9.6623614529879</v>
      </c>
      <c r="F370" s="13" t="n">
        <f aca="false">F368/F369</f>
        <v>10.9967097375445</v>
      </c>
      <c r="G370" s="13" t="n">
        <f aca="false">G368/G369</f>
        <v>12.600103880892</v>
      </c>
    </row>
    <row r="371" customFormat="false" ht="15" hidden="false" customHeight="false" outlineLevel="0" collapsed="false">
      <c r="A371" s="5" t="s">
        <v>519</v>
      </c>
      <c r="B371" s="0" t="s">
        <v>212</v>
      </c>
      <c r="C371" s="10" t="n">
        <f aca="false">C360/C362</f>
        <v>0.623320402367356</v>
      </c>
      <c r="D371" s="10" t="n">
        <f aca="false">D360/D362</f>
        <v>0.640713064221147</v>
      </c>
      <c r="E371" s="10" t="n">
        <f aca="false">E360/E362</f>
        <v>0.697479442127972</v>
      </c>
      <c r="F371" s="10" t="n">
        <f aca="false">F360/F362</f>
        <v>0.691421760671098</v>
      </c>
      <c r="G371" s="10" t="n">
        <f aca="false">G360/G362</f>
        <v>0.685391492329042</v>
      </c>
    </row>
    <row r="380" customFormat="false" ht="17.15" hidden="false" customHeight="false" outlineLevel="0" collapsed="false">
      <c r="A380" s="3" t="s">
        <v>807</v>
      </c>
    </row>
    <row r="381" customFormat="false" ht="17.15" hidden="false" customHeight="false" outlineLevel="0" collapsed="false">
      <c r="A381" s="6" t="s">
        <v>20</v>
      </c>
      <c r="B381" s="6" t="s">
        <v>21</v>
      </c>
      <c r="C381" s="14" t="s">
        <v>499</v>
      </c>
      <c r="D381" s="14" t="s">
        <v>500</v>
      </c>
      <c r="E381" s="14" t="s">
        <v>501</v>
      </c>
      <c r="F381" s="14" t="s">
        <v>502</v>
      </c>
      <c r="G381" s="14" t="s">
        <v>503</v>
      </c>
      <c r="H381" s="6" t="s">
        <v>457</v>
      </c>
    </row>
    <row r="382" customFormat="false" ht="17.15" hidden="false" customHeight="false" outlineLevel="0" collapsed="false">
      <c r="A382" s="1" t="s">
        <v>504</v>
      </c>
    </row>
    <row r="383" customFormat="false" ht="17.15" hidden="false" customHeight="false" outlineLevel="0" collapsed="false">
      <c r="A383" s="5" t="s">
        <v>505</v>
      </c>
      <c r="B383" s="0" t="s">
        <v>31</v>
      </c>
      <c r="D383" s="17" t="n">
        <f aca="false">cy26_fl</f>
        <v>10.96762678</v>
      </c>
      <c r="E383" s="17" t="n">
        <f aca="false">k_fl*(advA_27+oflA_27)*(1+drift)^1</f>
        <v>12.7017609623656</v>
      </c>
      <c r="F383" s="17" t="n">
        <f aca="false">k_fl*(advA_28+oflA_28)*(1+drift)^2</f>
        <v>14.3015664243514</v>
      </c>
      <c r="G383" s="17" t="n">
        <f aca="false">k_fl*(advA_29+oflA_29)*(1+drift)^3</f>
        <v>15.2579633630082</v>
      </c>
      <c r="H383" s="8" t="s">
        <v>506</v>
      </c>
    </row>
    <row r="384" customFormat="false" ht="17.15" hidden="false" customHeight="false" outlineLevel="0" collapsed="false">
      <c r="A384" s="5" t="s">
        <v>507</v>
      </c>
      <c r="B384" s="0" t="s">
        <v>31</v>
      </c>
      <c r="D384" s="17" t="n">
        <f aca="false">cy26_dram</f>
        <v>4.35400138</v>
      </c>
      <c r="E384" s="17" t="n">
        <f aca="false">k_dram*dramA_27*(1+drift)^1</f>
        <v>5.89058856743509</v>
      </c>
      <c r="F384" s="17" t="n">
        <f aca="false">k_dram*dramA_28*(1+drift)^2</f>
        <v>6.58762867798361</v>
      </c>
      <c r="G384" s="17" t="n">
        <f aca="false">k_dram*dramA_29*(1+drift)^3</f>
        <v>6.83874153475859</v>
      </c>
      <c r="H384" s="8" t="s">
        <v>506</v>
      </c>
    </row>
    <row r="385" customFormat="false" ht="17.15" hidden="false" customHeight="false" outlineLevel="0" collapsed="false">
      <c r="A385" s="5" t="s">
        <v>508</v>
      </c>
      <c r="B385" s="0" t="s">
        <v>31</v>
      </c>
      <c r="D385" s="17" t="n">
        <f aca="false">cy26_nand</f>
        <v>4.50519784</v>
      </c>
      <c r="E385" s="17" t="n">
        <f aca="false">k_nand*nandA_27*(1+drift)^1</f>
        <v>5.98363389745604</v>
      </c>
      <c r="F385" s="17" t="n">
        <f aca="false">k_nand*nandA_28*(1+drift)^2</f>
        <v>6.7386123543875</v>
      </c>
      <c r="G385" s="17" t="n">
        <f aca="false">k_nand*nandA_29*(1+drift)^3</f>
        <v>7.12288205242611</v>
      </c>
      <c r="H385" s="8" t="s">
        <v>506</v>
      </c>
    </row>
    <row r="386" customFormat="false" ht="17.15" hidden="false" customHeight="false" outlineLevel="0" collapsed="false">
      <c r="A386" s="5" t="s">
        <v>509</v>
      </c>
      <c r="B386" s="0" t="s">
        <v>31</v>
      </c>
      <c r="E386" s="17" t="n">
        <f aca="false">-cn_sh*0*(E383+E384+E385)</f>
        <v>-0</v>
      </c>
      <c r="F386" s="17" t="n">
        <f aca="false">-cn_sh*0*(F383+F384+F385)</f>
        <v>-0</v>
      </c>
      <c r="G386" s="17" t="n">
        <f aca="false">-cn_sh*0*(G383+G384+G385)</f>
        <v>-0</v>
      </c>
      <c r="H386" s="5" t="s">
        <v>510</v>
      </c>
    </row>
    <row r="387" customFormat="false" ht="17.15" hidden="false" customHeight="false" outlineLevel="0" collapsed="false">
      <c r="A387" s="5" t="s">
        <v>511</v>
      </c>
      <c r="B387" s="0" t="s">
        <v>31</v>
      </c>
      <c r="D387" s="17" t="n">
        <f aca="false">SUM(D383:D386)</f>
        <v>19.826826</v>
      </c>
      <c r="E387" s="17" t="n">
        <f aca="false">SUM(E383:E386)</f>
        <v>24.5759834272568</v>
      </c>
      <c r="F387" s="17" t="n">
        <f aca="false">SUM(F383:F386)</f>
        <v>27.6278074567225</v>
      </c>
      <c r="G387" s="17" t="n">
        <f aca="false">SUM(G383:G386)</f>
        <v>29.2195869501929</v>
      </c>
    </row>
    <row r="388" customFormat="false" ht="17.15" hidden="false" customHeight="false" outlineLevel="0" collapsed="false">
      <c r="A388" s="0" t="s">
        <v>512</v>
      </c>
      <c r="B388" s="0" t="s">
        <v>31</v>
      </c>
      <c r="D388" s="17" t="n">
        <f aca="false">cy26_cs</f>
        <v>9.556318</v>
      </c>
      <c r="E388" s="17" t="n">
        <f aca="false">D388*(1+g_cs27)</f>
        <v>10.9897657</v>
      </c>
      <c r="F388" s="17" t="n">
        <f aca="false">E388*(1+g_cs_A)</f>
        <v>12.308537584</v>
      </c>
      <c r="G388" s="17" t="n">
        <f aca="false">F388*(1+g_cs_A)</f>
        <v>13.78556209408</v>
      </c>
      <c r="H388" s="8" t="s">
        <v>513</v>
      </c>
    </row>
    <row r="389" customFormat="false" ht="17.15" hidden="false" customHeight="false" outlineLevel="0" collapsed="false">
      <c r="A389" s="1" t="s">
        <v>514</v>
      </c>
    </row>
    <row r="390" customFormat="false" ht="17.15" hidden="false" customHeight="false" outlineLevel="0" collapsed="false">
      <c r="A390" s="5" t="s">
        <v>449</v>
      </c>
      <c r="B390" s="0" t="s">
        <v>31</v>
      </c>
      <c r="C390" s="17" t="n">
        <f aca="false">a25_sys</f>
        <v>11.49128</v>
      </c>
      <c r="D390" s="17" t="n">
        <f aca="false">a26_sys</f>
        <v>14.885488</v>
      </c>
      <c r="E390" s="17" t="n">
        <f aca="false">h2s26+h1s*E387</f>
        <v>24.1343877136284</v>
      </c>
      <c r="F390" s="17" t="n">
        <f aca="false">(1-h1s)*E387+h1s*F387</f>
        <v>26.1018954419896</v>
      </c>
      <c r="G390" s="17" t="n">
        <f aca="false">(1-h1s)*F387+h1s*G387</f>
        <v>28.4236972034577</v>
      </c>
      <c r="H390" s="8" t="s">
        <v>515</v>
      </c>
    </row>
    <row r="391" customFormat="false" ht="15" hidden="false" customHeight="false" outlineLevel="0" collapsed="false">
      <c r="A391" s="0" t="s">
        <v>451</v>
      </c>
      <c r="B391" s="0" t="s">
        <v>31</v>
      </c>
      <c r="C391" s="17" t="n">
        <f aca="false">a25_cs</f>
        <v>6.944311</v>
      </c>
      <c r="D391" s="17" t="n">
        <f aca="false">a26_cs</f>
        <v>8.347202</v>
      </c>
      <c r="E391" s="17" t="n">
        <f aca="false">h2c26+h1s*E388</f>
        <v>10.46790485</v>
      </c>
      <c r="F391" s="17" t="n">
        <f aca="false">(1-h1s)*E388+h1s*F388</f>
        <v>11.649151642</v>
      </c>
      <c r="G391" s="17" t="n">
        <f aca="false">(1-h1s)*F388+h1s*G388</f>
        <v>13.04704983904</v>
      </c>
    </row>
    <row r="392" customFormat="false" ht="15" hidden="false" customHeight="false" outlineLevel="0" collapsed="false">
      <c r="A392" s="5" t="s">
        <v>405</v>
      </c>
      <c r="B392" s="0" t="s">
        <v>31</v>
      </c>
      <c r="C392" s="17" t="n">
        <f aca="false">C390+C391</f>
        <v>18.435591</v>
      </c>
      <c r="D392" s="17" t="n">
        <f aca="false">D390+D391</f>
        <v>23.23269</v>
      </c>
      <c r="E392" s="17" t="n">
        <f aca="false">E390+E391</f>
        <v>34.6022925636284</v>
      </c>
      <c r="F392" s="17" t="n">
        <f aca="false">F390+F391</f>
        <v>37.7510470839896</v>
      </c>
      <c r="G392" s="17" t="n">
        <f aca="false">G390+G391</f>
        <v>41.4707470424977</v>
      </c>
    </row>
    <row r="393" customFormat="false" ht="17.15" hidden="false" customHeight="false" outlineLevel="0" collapsed="false">
      <c r="A393" s="5" t="s">
        <v>411</v>
      </c>
      <c r="B393" s="0" t="s">
        <v>212</v>
      </c>
      <c r="C393" s="10" t="n">
        <f aca="false">a25_gp/a25_rev</f>
        <v>0.487050238855917</v>
      </c>
      <c r="D393" s="10" t="n">
        <f aca="false">a26_gp/a26_rev</f>
        <v>0.504690072479769</v>
      </c>
      <c r="E393" s="10" t="n">
        <f aca="false">gm_a+gm_b*LN(E392)</f>
        <v>0.525503854044351</v>
      </c>
      <c r="F393" s="10" t="n">
        <f aca="false">gm_a+gm_b*LN(F392)</f>
        <v>0.530054366629259</v>
      </c>
      <c r="G393" s="10" t="n">
        <f aca="false">gm_a+gm_b*LN(G392)</f>
        <v>0.534964444590398</v>
      </c>
      <c r="H393" s="5" t="s">
        <v>516</v>
      </c>
    </row>
    <row r="394" customFormat="false" ht="15" hidden="false" customHeight="false" outlineLevel="0" collapsed="false">
      <c r="A394" s="5" t="s">
        <v>409</v>
      </c>
      <c r="B394" s="0" t="s">
        <v>31</v>
      </c>
      <c r="C394" s="17" t="n">
        <f aca="false">C392*C393</f>
        <v>8.979059</v>
      </c>
      <c r="D394" s="17" t="n">
        <f aca="false">D392*D393</f>
        <v>11.725308</v>
      </c>
      <c r="E394" s="17" t="n">
        <f aca="false">E392*E393</f>
        <v>18.1836381009569</v>
      </c>
      <c r="F394" s="17" t="n">
        <f aca="false">F392*F393</f>
        <v>20.0101073516955</v>
      </c>
      <c r="G394" s="17" t="n">
        <f aca="false">G392*G393</f>
        <v>22.1853751583387</v>
      </c>
    </row>
    <row r="395" customFormat="false" ht="17.15" hidden="false" customHeight="false" outlineLevel="0" collapsed="false">
      <c r="A395" s="5" t="s">
        <v>415</v>
      </c>
      <c r="B395" s="0" t="s">
        <v>31</v>
      </c>
      <c r="C395" s="17" t="n">
        <f aca="false">a25_opx</f>
        <v>3.078091</v>
      </c>
      <c r="D395" s="17" t="n">
        <f aca="false">a26_opx</f>
        <v>3.525513</v>
      </c>
      <c r="E395" s="17" t="n">
        <f aca="false">(1-phi_hi)*a26_opx+phi_hi*a26_opx/a26_rev*E392</f>
        <v>4.3881699209787</v>
      </c>
      <c r="F395" s="17" t="n">
        <f aca="false">(1-phi_hi)*a26_opx+phi_hi*a26_opx/a26_rev*F392</f>
        <v>4.62707843728358</v>
      </c>
      <c r="G395" s="17" t="n">
        <f aca="false">(1-phi_hi)*a26_opx+phi_hi*a26_opx/a26_rev*G392</f>
        <v>4.9093068524998</v>
      </c>
      <c r="H395" s="5" t="s">
        <v>517</v>
      </c>
    </row>
    <row r="396" customFormat="false" ht="15" hidden="false" customHeight="false" outlineLevel="0" collapsed="false">
      <c r="A396" s="5" t="s">
        <v>417</v>
      </c>
      <c r="B396" s="0" t="s">
        <v>31</v>
      </c>
      <c r="C396" s="17" t="n">
        <f aca="false">C394-C395</f>
        <v>5.900968</v>
      </c>
      <c r="D396" s="17" t="n">
        <f aca="false">D394-D395</f>
        <v>8.199795</v>
      </c>
      <c r="E396" s="17" t="n">
        <f aca="false">E394-E395</f>
        <v>13.7954681799782</v>
      </c>
      <c r="F396" s="17" t="n">
        <f aca="false">F394-F395</f>
        <v>15.3830289144119</v>
      </c>
      <c r="G396" s="17" t="n">
        <f aca="false">G394-G395</f>
        <v>17.2760683058389</v>
      </c>
    </row>
    <row r="397" customFormat="false" ht="15" hidden="false" customHeight="false" outlineLevel="0" collapsed="false">
      <c r="A397" s="5" t="s">
        <v>418</v>
      </c>
      <c r="B397" s="0" t="s">
        <v>212</v>
      </c>
      <c r="C397" s="10" t="n">
        <f aca="false">C396/C392</f>
        <v>0.320085643036884</v>
      </c>
      <c r="D397" s="10" t="n">
        <f aca="false">D396/D392</f>
        <v>0.35294212594409</v>
      </c>
      <c r="E397" s="10" t="n">
        <f aca="false">E396/E392</f>
        <v>0.398686536581656</v>
      </c>
      <c r="F397" s="10" t="n">
        <f aca="false">F396/F392</f>
        <v>0.407486152110887</v>
      </c>
      <c r="G397" s="10" t="n">
        <f aca="false">G396/G392</f>
        <v>0.416584448988464</v>
      </c>
    </row>
    <row r="398" customFormat="false" ht="15" hidden="false" customHeight="false" outlineLevel="0" collapsed="false">
      <c r="A398" s="5" t="s">
        <v>422</v>
      </c>
      <c r="B398" s="0" t="s">
        <v>31</v>
      </c>
      <c r="C398" s="17" t="n">
        <f aca="false">a25_ni</f>
        <v>5.358217</v>
      </c>
      <c r="D398" s="17" t="n">
        <f aca="false">a26_ni</f>
        <v>7.265396</v>
      </c>
      <c r="E398" s="17" t="n">
        <f aca="false">(E396+oth_inc)*(1-tax)</f>
        <v>11.6027159302818</v>
      </c>
      <c r="F398" s="17" t="n">
        <f aca="false">(F396+oth_inc)*(1-tax)</f>
        <v>12.9283291435339</v>
      </c>
      <c r="G398" s="17" t="n">
        <f aca="false">(G396+oth_inc)*(1-tax)</f>
        <v>14.5090170353755</v>
      </c>
    </row>
    <row r="399" customFormat="false" ht="15" hidden="false" customHeight="false" outlineLevel="0" collapsed="false">
      <c r="A399" s="5" t="s">
        <v>518</v>
      </c>
      <c r="B399" s="5" t="s">
        <v>288</v>
      </c>
      <c r="C399" s="19" t="n">
        <f aca="false">a25_dsh</f>
        <v>1.290142</v>
      </c>
      <c r="D399" s="19" t="n">
        <f aca="false">a26_dsh</f>
        <v>1.261102</v>
      </c>
      <c r="E399" s="19" t="n">
        <f aca="false">sh_27</f>
        <v>1.253</v>
      </c>
      <c r="F399" s="19" t="n">
        <f aca="false">E399*(1-bb)</f>
        <v>1.234205</v>
      </c>
      <c r="G399" s="19" t="n">
        <f aca="false">F399*(1-bb)</f>
        <v>1.215691925</v>
      </c>
    </row>
    <row r="400" customFormat="false" ht="17.15" hidden="false" customHeight="false" outlineLevel="0" collapsed="false">
      <c r="A400" s="0" t="s">
        <v>494</v>
      </c>
      <c r="B400" s="0" t="s">
        <v>308</v>
      </c>
      <c r="C400" s="13" t="n">
        <f aca="false">a25_eps</f>
        <v>4.15</v>
      </c>
      <c r="D400" s="13" t="n">
        <f aca="false">a26_eps</f>
        <v>5.76</v>
      </c>
      <c r="E400" s="13" t="n">
        <f aca="false">E398/E399</f>
        <v>9.25994886694476</v>
      </c>
      <c r="F400" s="13" t="n">
        <f aca="false">F398/F399</f>
        <v>10.4750257400788</v>
      </c>
      <c r="G400" s="13" t="n">
        <f aca="false">G398/G399</f>
        <v>11.9347811209452</v>
      </c>
    </row>
    <row r="401" customFormat="false" ht="15" hidden="false" customHeight="false" outlineLevel="0" collapsed="false">
      <c r="A401" s="5" t="s">
        <v>519</v>
      </c>
      <c r="B401" s="0" t="s">
        <v>212</v>
      </c>
      <c r="C401" s="10" t="n">
        <f aca="false">C390/C392</f>
        <v>0.623320402367356</v>
      </c>
      <c r="D401" s="10" t="n">
        <f aca="false">D390/D392</f>
        <v>0.640713064221147</v>
      </c>
      <c r="E401" s="10" t="n">
        <f aca="false">E390/E392</f>
        <v>0.697479442127972</v>
      </c>
      <c r="F401" s="10" t="n">
        <f aca="false">F390/F392</f>
        <v>0.691421760671098</v>
      </c>
      <c r="G401" s="10" t="n">
        <f aca="false">G390/G392</f>
        <v>0.685391492329042</v>
      </c>
    </row>
    <row r="410" customFormat="false" ht="17.15" hidden="false" customHeight="false" outlineLevel="0" collapsed="false">
      <c r="A410" s="3" t="s">
        <v>808</v>
      </c>
    </row>
    <row r="411" customFormat="false" ht="17.15" hidden="false" customHeight="false" outlineLevel="0" collapsed="false">
      <c r="A411" s="6" t="s">
        <v>20</v>
      </c>
      <c r="B411" s="6" t="s">
        <v>21</v>
      </c>
      <c r="C411" s="14" t="s">
        <v>499</v>
      </c>
      <c r="D411" s="14" t="s">
        <v>500</v>
      </c>
      <c r="E411" s="14" t="s">
        <v>501</v>
      </c>
      <c r="F411" s="14" t="s">
        <v>502</v>
      </c>
      <c r="G411" s="14" t="s">
        <v>503</v>
      </c>
      <c r="H411" s="6" t="s">
        <v>457</v>
      </c>
    </row>
    <row r="412" customFormat="false" ht="17.15" hidden="false" customHeight="false" outlineLevel="0" collapsed="false">
      <c r="A412" s="1" t="s">
        <v>504</v>
      </c>
    </row>
    <row r="413" customFormat="false" ht="17.15" hidden="false" customHeight="false" outlineLevel="0" collapsed="false">
      <c r="A413" s="5" t="s">
        <v>505</v>
      </c>
      <c r="B413" s="0" t="s">
        <v>31</v>
      </c>
      <c r="D413" s="17" t="n">
        <f aca="false">cy26_fl</f>
        <v>10.96762678</v>
      </c>
      <c r="E413" s="17" t="n">
        <f aca="false">k_fl*(advA_27+oflA_27)*(1+drift)^1</f>
        <v>12.7017609623656</v>
      </c>
      <c r="F413" s="17" t="n">
        <f aca="false">k_fl*(advA_28+oflA_28)*(1+drift)^2</f>
        <v>14.3015664243514</v>
      </c>
      <c r="G413" s="17" t="n">
        <f aca="false">k_fl*(advA_29+oflA_29)*(1+drift)^3</f>
        <v>15.2579633630082</v>
      </c>
      <c r="H413" s="8" t="s">
        <v>506</v>
      </c>
    </row>
    <row r="414" customFormat="false" ht="17.15" hidden="false" customHeight="false" outlineLevel="0" collapsed="false">
      <c r="A414" s="5" t="s">
        <v>507</v>
      </c>
      <c r="B414" s="0" t="s">
        <v>31</v>
      </c>
      <c r="D414" s="17" t="n">
        <f aca="false">cy26_dram</f>
        <v>4.35400138</v>
      </c>
      <c r="E414" s="17" t="n">
        <f aca="false">k_dram*dramA_27*(1+drift)^1</f>
        <v>5.89058856743509</v>
      </c>
      <c r="F414" s="17" t="n">
        <f aca="false">k_dram*dramA_28*(1+drift)^2</f>
        <v>6.58762867798361</v>
      </c>
      <c r="G414" s="17" t="n">
        <f aca="false">k_dram*dramA_29*(1+drift)^3</f>
        <v>6.83874153475859</v>
      </c>
      <c r="H414" s="8" t="s">
        <v>506</v>
      </c>
    </row>
    <row r="415" customFormat="false" ht="17.15" hidden="false" customHeight="false" outlineLevel="0" collapsed="false">
      <c r="A415" s="5" t="s">
        <v>508</v>
      </c>
      <c r="B415" s="0" t="s">
        <v>31</v>
      </c>
      <c r="D415" s="17" t="n">
        <f aca="false">cy26_nand</f>
        <v>4.50519784</v>
      </c>
      <c r="E415" s="17" t="n">
        <f aca="false">k_nand*nandA_27*(1+drift)^1</f>
        <v>5.98363389745604</v>
      </c>
      <c r="F415" s="17" t="n">
        <f aca="false">k_nand*nandA_28*(1+drift)^2</f>
        <v>6.7386123543875</v>
      </c>
      <c r="G415" s="17" t="n">
        <f aca="false">k_nand*nandA_29*(1+drift)^3</f>
        <v>7.12288205242611</v>
      </c>
      <c r="H415" s="8" t="s">
        <v>506</v>
      </c>
    </row>
    <row r="416" customFormat="false" ht="17.15" hidden="false" customHeight="false" outlineLevel="0" collapsed="false">
      <c r="A416" s="5" t="s">
        <v>509</v>
      </c>
      <c r="B416" s="0" t="s">
        <v>31</v>
      </c>
      <c r="E416" s="17" t="n">
        <f aca="false">-cn_sh*0*(E413+E414+E415)</f>
        <v>-0</v>
      </c>
      <c r="F416" s="17" t="n">
        <f aca="false">-cn_sh*0*(F413+F414+F415)</f>
        <v>-0</v>
      </c>
      <c r="G416" s="17" t="n">
        <f aca="false">-cn_sh*0*(G413+G414+G415)</f>
        <v>-0</v>
      </c>
      <c r="H416" s="5" t="s">
        <v>510</v>
      </c>
    </row>
    <row r="417" customFormat="false" ht="17.15" hidden="false" customHeight="false" outlineLevel="0" collapsed="false">
      <c r="A417" s="5" t="s">
        <v>511</v>
      </c>
      <c r="B417" s="0" t="s">
        <v>31</v>
      </c>
      <c r="D417" s="17" t="n">
        <f aca="false">SUM(D413:D416)</f>
        <v>19.826826</v>
      </c>
      <c r="E417" s="17" t="n">
        <f aca="false">SUM(E413:E416)</f>
        <v>24.5759834272568</v>
      </c>
      <c r="F417" s="17" t="n">
        <f aca="false">SUM(F413:F416)</f>
        <v>27.6278074567225</v>
      </c>
      <c r="G417" s="17" t="n">
        <f aca="false">SUM(G413:G416)</f>
        <v>29.2195869501929</v>
      </c>
    </row>
    <row r="418" customFormat="false" ht="17.15" hidden="false" customHeight="false" outlineLevel="0" collapsed="false">
      <c r="A418" s="0" t="s">
        <v>512</v>
      </c>
      <c r="B418" s="0" t="s">
        <v>31</v>
      </c>
      <c r="D418" s="17" t="n">
        <f aca="false">cy26_cs</f>
        <v>9.556318</v>
      </c>
      <c r="E418" s="17" t="n">
        <f aca="false">D418*(1+g_cs27)</f>
        <v>10.9897657</v>
      </c>
      <c r="F418" s="17" t="n">
        <f aca="false">E418*(1+g_cs_A)</f>
        <v>12.308537584</v>
      </c>
      <c r="G418" s="17" t="n">
        <f aca="false">F418*(1+g_cs_A)</f>
        <v>13.78556209408</v>
      </c>
      <c r="H418" s="8" t="s">
        <v>513</v>
      </c>
    </row>
    <row r="419" customFormat="false" ht="17.15" hidden="false" customHeight="false" outlineLevel="0" collapsed="false">
      <c r="A419" s="1" t="s">
        <v>514</v>
      </c>
    </row>
    <row r="420" customFormat="false" ht="17.15" hidden="false" customHeight="false" outlineLevel="0" collapsed="false">
      <c r="A420" s="5" t="s">
        <v>449</v>
      </c>
      <c r="B420" s="0" t="s">
        <v>31</v>
      </c>
      <c r="C420" s="17" t="n">
        <f aca="false">a25_sys</f>
        <v>11.49128</v>
      </c>
      <c r="D420" s="17" t="n">
        <f aca="false">a26_sys</f>
        <v>14.885488</v>
      </c>
      <c r="E420" s="17" t="n">
        <f aca="false">h2s26+h1s*E417</f>
        <v>24.1343877136284</v>
      </c>
      <c r="F420" s="17" t="n">
        <f aca="false">(1-h1s)*E417+h1s*F417</f>
        <v>26.1018954419896</v>
      </c>
      <c r="G420" s="17" t="n">
        <f aca="false">(1-h1s)*F417+h1s*G417</f>
        <v>28.4236972034577</v>
      </c>
      <c r="H420" s="8" t="s">
        <v>515</v>
      </c>
    </row>
    <row r="421" customFormat="false" ht="15" hidden="false" customHeight="false" outlineLevel="0" collapsed="false">
      <c r="A421" s="0" t="s">
        <v>451</v>
      </c>
      <c r="B421" s="0" t="s">
        <v>31</v>
      </c>
      <c r="C421" s="17" t="n">
        <f aca="false">a25_cs</f>
        <v>6.944311</v>
      </c>
      <c r="D421" s="17" t="n">
        <f aca="false">a26_cs</f>
        <v>8.347202</v>
      </c>
      <c r="E421" s="17" t="n">
        <f aca="false">h2c26+h1s*E418</f>
        <v>10.46790485</v>
      </c>
      <c r="F421" s="17" t="n">
        <f aca="false">(1-h1s)*E418+h1s*F418</f>
        <v>11.649151642</v>
      </c>
      <c r="G421" s="17" t="n">
        <f aca="false">(1-h1s)*F418+h1s*G418</f>
        <v>13.04704983904</v>
      </c>
    </row>
    <row r="422" customFormat="false" ht="15" hidden="false" customHeight="false" outlineLevel="0" collapsed="false">
      <c r="A422" s="5" t="s">
        <v>405</v>
      </c>
      <c r="B422" s="0" t="s">
        <v>31</v>
      </c>
      <c r="C422" s="17" t="n">
        <f aca="false">C420+C421</f>
        <v>18.435591</v>
      </c>
      <c r="D422" s="17" t="n">
        <f aca="false">D420+D421</f>
        <v>23.23269</v>
      </c>
      <c r="E422" s="17" t="n">
        <f aca="false">E420+E421</f>
        <v>34.6022925636284</v>
      </c>
      <c r="F422" s="17" t="n">
        <f aca="false">F420+F421</f>
        <v>37.7510470839896</v>
      </c>
      <c r="G422" s="17" t="n">
        <f aca="false">G420+G421</f>
        <v>41.4707470424977</v>
      </c>
    </row>
    <row r="423" customFormat="false" ht="17.15" hidden="false" customHeight="false" outlineLevel="0" collapsed="false">
      <c r="A423" s="5" t="s">
        <v>411</v>
      </c>
      <c r="B423" s="0" t="s">
        <v>212</v>
      </c>
      <c r="C423" s="10" t="n">
        <f aca="false">a25_gp/a25_rev</f>
        <v>0.487050238855917</v>
      </c>
      <c r="D423" s="10" t="n">
        <f aca="false">a26_gp/a26_rev</f>
        <v>0.504690072479769</v>
      </c>
      <c r="E423" s="10" t="n">
        <f aca="false">gm_a+gm_b*LN(E422)</f>
        <v>0.525503854044351</v>
      </c>
      <c r="F423" s="10" t="n">
        <f aca="false">gm_a+gm_b*LN(F422)</f>
        <v>0.530054366629259</v>
      </c>
      <c r="G423" s="10" t="n">
        <f aca="false">gm_a+gm_b*LN(G422)</f>
        <v>0.534964444590398</v>
      </c>
      <c r="H423" s="5" t="s">
        <v>516</v>
      </c>
    </row>
    <row r="424" customFormat="false" ht="15" hidden="false" customHeight="false" outlineLevel="0" collapsed="false">
      <c r="A424" s="5" t="s">
        <v>409</v>
      </c>
      <c r="B424" s="0" t="s">
        <v>31</v>
      </c>
      <c r="C424" s="17" t="n">
        <f aca="false">C422*C423</f>
        <v>8.979059</v>
      </c>
      <c r="D424" s="17" t="n">
        <f aca="false">D422*D423</f>
        <v>11.725308</v>
      </c>
      <c r="E424" s="17" t="n">
        <f aca="false">E422*E423</f>
        <v>18.1836381009569</v>
      </c>
      <c r="F424" s="17" t="n">
        <f aca="false">F422*F423</f>
        <v>20.0101073516955</v>
      </c>
      <c r="G424" s="17" t="n">
        <f aca="false">G422*G423</f>
        <v>22.1853751583387</v>
      </c>
    </row>
    <row r="425" customFormat="false" ht="17.15" hidden="false" customHeight="false" outlineLevel="0" collapsed="false">
      <c r="A425" s="5" t="s">
        <v>415</v>
      </c>
      <c r="B425" s="0" t="s">
        <v>31</v>
      </c>
      <c r="C425" s="17" t="n">
        <f aca="false">a25_opx</f>
        <v>3.078091</v>
      </c>
      <c r="D425" s="17" t="n">
        <f aca="false">a26_opx</f>
        <v>3.525513</v>
      </c>
      <c r="E425" s="17" t="n">
        <f aca="false">opex_fix+opex_var*E422</f>
        <v>4.14690889358399</v>
      </c>
      <c r="F425" s="17" t="n">
        <f aca="false">opex_fix+opex_var*F422</f>
        <v>4.31900137596466</v>
      </c>
      <c r="G425" s="17" t="n">
        <f aca="false">opex_fix+opex_var*G422</f>
        <v>4.52229839242993</v>
      </c>
      <c r="H425" s="5" t="s">
        <v>517</v>
      </c>
    </row>
    <row r="426" customFormat="false" ht="15" hidden="false" customHeight="false" outlineLevel="0" collapsed="false">
      <c r="A426" s="5" t="s">
        <v>417</v>
      </c>
      <c r="B426" s="0" t="s">
        <v>31</v>
      </c>
      <c r="C426" s="17" t="n">
        <f aca="false">C424-C425</f>
        <v>5.900968</v>
      </c>
      <c r="D426" s="17" t="n">
        <f aca="false">D424-D425</f>
        <v>8.199795</v>
      </c>
      <c r="E426" s="17" t="n">
        <f aca="false">E424-E425</f>
        <v>14.0367292073729</v>
      </c>
      <c r="F426" s="17" t="n">
        <f aca="false">F424-F425</f>
        <v>15.6911059757308</v>
      </c>
      <c r="G426" s="17" t="n">
        <f aca="false">G424-G425</f>
        <v>17.6630767659088</v>
      </c>
    </row>
    <row r="427" customFormat="false" ht="15" hidden="false" customHeight="false" outlineLevel="0" collapsed="false">
      <c r="A427" s="5" t="s">
        <v>418</v>
      </c>
      <c r="B427" s="0" t="s">
        <v>212</v>
      </c>
      <c r="C427" s="10" t="n">
        <f aca="false">C426/C422</f>
        <v>0.320085643036884</v>
      </c>
      <c r="D427" s="10" t="n">
        <f aca="false">D426/D422</f>
        <v>0.35294212594409</v>
      </c>
      <c r="E427" s="10" t="n">
        <f aca="false">E426/E422</f>
        <v>0.405658936660381</v>
      </c>
      <c r="F427" s="10" t="n">
        <f aca="false">F426/F422</f>
        <v>0.415646907510161</v>
      </c>
      <c r="G427" s="10" t="n">
        <f aca="false">G426/G422</f>
        <v>0.425916532147547</v>
      </c>
    </row>
    <row r="428" customFormat="false" ht="15" hidden="false" customHeight="false" outlineLevel="0" collapsed="false">
      <c r="A428" s="5" t="s">
        <v>422</v>
      </c>
      <c r="B428" s="0" t="s">
        <v>31</v>
      </c>
      <c r="C428" s="17" t="n">
        <f aca="false">a25_ni</f>
        <v>5.358217</v>
      </c>
      <c r="D428" s="17" t="n">
        <f aca="false">a26_ni</f>
        <v>7.265396</v>
      </c>
      <c r="E428" s="17" t="n">
        <f aca="false">(E426+oth_inc)*(1-tax_lo)</f>
        <v>12.2989544104144</v>
      </c>
      <c r="F428" s="17" t="n">
        <f aca="false">(F426+oth_inc)*(1-tax_lo)</f>
        <v>13.7382621988858</v>
      </c>
      <c r="G428" s="17" t="n">
        <f aca="false">(G426+oth_inc)*(1-tax_lo)</f>
        <v>15.4538767863406</v>
      </c>
    </row>
    <row r="429" customFormat="false" ht="15" hidden="false" customHeight="false" outlineLevel="0" collapsed="false">
      <c r="A429" s="5" t="s">
        <v>518</v>
      </c>
      <c r="B429" s="5" t="s">
        <v>288</v>
      </c>
      <c r="C429" s="19" t="n">
        <f aca="false">a25_dsh</f>
        <v>1.290142</v>
      </c>
      <c r="D429" s="19" t="n">
        <f aca="false">a26_dsh</f>
        <v>1.261102</v>
      </c>
      <c r="E429" s="19" t="n">
        <f aca="false">sh_27</f>
        <v>1.253</v>
      </c>
      <c r="F429" s="19" t="n">
        <f aca="false">E429*(1-bb)</f>
        <v>1.234205</v>
      </c>
      <c r="G429" s="19" t="n">
        <f aca="false">F429*(1-bb)</f>
        <v>1.215691925</v>
      </c>
    </row>
    <row r="430" customFormat="false" ht="17.15" hidden="false" customHeight="false" outlineLevel="0" collapsed="false">
      <c r="A430" s="0" t="s">
        <v>494</v>
      </c>
      <c r="B430" s="0" t="s">
        <v>308</v>
      </c>
      <c r="C430" s="13" t="n">
        <f aca="false">a25_eps</f>
        <v>4.15</v>
      </c>
      <c r="D430" s="13" t="n">
        <f aca="false">a26_eps</f>
        <v>5.76</v>
      </c>
      <c r="E430" s="13" t="n">
        <f aca="false">E428/E429</f>
        <v>9.81560607375453</v>
      </c>
      <c r="F430" s="13" t="n">
        <f aca="false">F428/F429</f>
        <v>11.1312644162727</v>
      </c>
      <c r="G430" s="13" t="n">
        <f aca="false">G428/G429</f>
        <v>12.7120008519762</v>
      </c>
    </row>
    <row r="431" customFormat="false" ht="15" hidden="false" customHeight="false" outlineLevel="0" collapsed="false">
      <c r="A431" s="5" t="s">
        <v>519</v>
      </c>
      <c r="B431" s="0" t="s">
        <v>212</v>
      </c>
      <c r="C431" s="10" t="n">
        <f aca="false">C420/C422</f>
        <v>0.623320402367356</v>
      </c>
      <c r="D431" s="10" t="n">
        <f aca="false">D420/D422</f>
        <v>0.640713064221147</v>
      </c>
      <c r="E431" s="10" t="n">
        <f aca="false">E420/E422</f>
        <v>0.697479442127972</v>
      </c>
      <c r="F431" s="10" t="n">
        <f aca="false">F420/F422</f>
        <v>0.691421760671098</v>
      </c>
      <c r="G431" s="10" t="n">
        <f aca="false">G420/G422</f>
        <v>0.685391492329042</v>
      </c>
    </row>
    <row r="440" customFormat="false" ht="17.15" hidden="false" customHeight="false" outlineLevel="0" collapsed="false">
      <c r="A440" s="3" t="s">
        <v>809</v>
      </c>
    </row>
    <row r="441" customFormat="false" ht="17.15" hidden="false" customHeight="false" outlineLevel="0" collapsed="false">
      <c r="A441" s="6" t="s">
        <v>20</v>
      </c>
      <c r="B441" s="6" t="s">
        <v>21</v>
      </c>
      <c r="C441" s="14" t="s">
        <v>499</v>
      </c>
      <c r="D441" s="14" t="s">
        <v>500</v>
      </c>
      <c r="E441" s="14" t="s">
        <v>501</v>
      </c>
      <c r="F441" s="14" t="s">
        <v>502</v>
      </c>
      <c r="G441" s="14" t="s">
        <v>503</v>
      </c>
      <c r="H441" s="6" t="s">
        <v>457</v>
      </c>
    </row>
    <row r="442" customFormat="false" ht="17.15" hidden="false" customHeight="false" outlineLevel="0" collapsed="false">
      <c r="A442" s="1" t="s">
        <v>504</v>
      </c>
    </row>
    <row r="443" customFormat="false" ht="17.15" hidden="false" customHeight="false" outlineLevel="0" collapsed="false">
      <c r="A443" s="5" t="s">
        <v>505</v>
      </c>
      <c r="B443" s="0" t="s">
        <v>31</v>
      </c>
      <c r="D443" s="17" t="n">
        <f aca="false">cy26_fl</f>
        <v>10.96762678</v>
      </c>
      <c r="E443" s="17" t="n">
        <f aca="false">k_fl*(advA_27+oflA_27)*(1+drift)^1</f>
        <v>12.7017609623656</v>
      </c>
      <c r="F443" s="17" t="n">
        <f aca="false">k_fl*(advA_28+oflA_28)*(1+drift)^2</f>
        <v>14.3015664243514</v>
      </c>
      <c r="G443" s="17" t="n">
        <f aca="false">k_fl*(advA_29+oflA_29)*(1+drift)^3</f>
        <v>15.2579633630082</v>
      </c>
      <c r="H443" s="8" t="s">
        <v>506</v>
      </c>
    </row>
    <row r="444" customFormat="false" ht="17.15" hidden="false" customHeight="false" outlineLevel="0" collapsed="false">
      <c r="A444" s="5" t="s">
        <v>507</v>
      </c>
      <c r="B444" s="0" t="s">
        <v>31</v>
      </c>
      <c r="D444" s="17" t="n">
        <f aca="false">cy26_dram</f>
        <v>4.35400138</v>
      </c>
      <c r="E444" s="17" t="n">
        <f aca="false">k_dram*dramA_27*(1+drift)^1</f>
        <v>5.89058856743509</v>
      </c>
      <c r="F444" s="17" t="n">
        <f aca="false">k_dram*dramA_28*(1+drift)^2</f>
        <v>6.58762867798361</v>
      </c>
      <c r="G444" s="17" t="n">
        <f aca="false">k_dram*dramA_29*(1+drift)^3</f>
        <v>6.83874153475859</v>
      </c>
      <c r="H444" s="8" t="s">
        <v>506</v>
      </c>
    </row>
    <row r="445" customFormat="false" ht="17.15" hidden="false" customHeight="false" outlineLevel="0" collapsed="false">
      <c r="A445" s="5" t="s">
        <v>508</v>
      </c>
      <c r="B445" s="0" t="s">
        <v>31</v>
      </c>
      <c r="D445" s="17" t="n">
        <f aca="false">cy26_nand</f>
        <v>4.50519784</v>
      </c>
      <c r="E445" s="17" t="n">
        <f aca="false">k_nand*nandA_27*(1+drift)^1</f>
        <v>5.98363389745604</v>
      </c>
      <c r="F445" s="17" t="n">
        <f aca="false">k_nand*nandA_28*(1+drift)^2</f>
        <v>6.7386123543875</v>
      </c>
      <c r="G445" s="17" t="n">
        <f aca="false">k_nand*nandA_29*(1+drift)^3</f>
        <v>7.12288205242611</v>
      </c>
      <c r="H445" s="8" t="s">
        <v>506</v>
      </c>
    </row>
    <row r="446" customFormat="false" ht="17.15" hidden="false" customHeight="false" outlineLevel="0" collapsed="false">
      <c r="A446" s="5" t="s">
        <v>509</v>
      </c>
      <c r="B446" s="0" t="s">
        <v>31</v>
      </c>
      <c r="E446" s="17" t="n">
        <f aca="false">-cn_sh*0*(E443+E444+E445)</f>
        <v>-0</v>
      </c>
      <c r="F446" s="17" t="n">
        <f aca="false">-cn_sh*0*(F443+F444+F445)</f>
        <v>-0</v>
      </c>
      <c r="G446" s="17" t="n">
        <f aca="false">-cn_sh*0*(G443+G444+G445)</f>
        <v>-0</v>
      </c>
      <c r="H446" s="5" t="s">
        <v>510</v>
      </c>
    </row>
    <row r="447" customFormat="false" ht="17.15" hidden="false" customHeight="false" outlineLevel="0" collapsed="false">
      <c r="A447" s="5" t="s">
        <v>511</v>
      </c>
      <c r="B447" s="0" t="s">
        <v>31</v>
      </c>
      <c r="D447" s="17" t="n">
        <f aca="false">SUM(D443:D446)</f>
        <v>19.826826</v>
      </c>
      <c r="E447" s="17" t="n">
        <f aca="false">SUM(E443:E446)</f>
        <v>24.5759834272568</v>
      </c>
      <c r="F447" s="17" t="n">
        <f aca="false">SUM(F443:F446)</f>
        <v>27.6278074567225</v>
      </c>
      <c r="G447" s="17" t="n">
        <f aca="false">SUM(G443:G446)</f>
        <v>29.2195869501929</v>
      </c>
    </row>
    <row r="448" customFormat="false" ht="17.15" hidden="false" customHeight="false" outlineLevel="0" collapsed="false">
      <c r="A448" s="0" t="s">
        <v>512</v>
      </c>
      <c r="B448" s="0" t="s">
        <v>31</v>
      </c>
      <c r="D448" s="17" t="n">
        <f aca="false">cy26_cs</f>
        <v>9.556318</v>
      </c>
      <c r="E448" s="17" t="n">
        <f aca="false">D448*(1+g_cs27)</f>
        <v>10.9897657</v>
      </c>
      <c r="F448" s="17" t="n">
        <f aca="false">E448*(1+g_cs_A)</f>
        <v>12.308537584</v>
      </c>
      <c r="G448" s="17" t="n">
        <f aca="false">F448*(1+g_cs_A)</f>
        <v>13.78556209408</v>
      </c>
      <c r="H448" s="8" t="s">
        <v>513</v>
      </c>
    </row>
    <row r="449" customFormat="false" ht="17.15" hidden="false" customHeight="false" outlineLevel="0" collapsed="false">
      <c r="A449" s="1" t="s">
        <v>514</v>
      </c>
    </row>
    <row r="450" customFormat="false" ht="17.15" hidden="false" customHeight="false" outlineLevel="0" collapsed="false">
      <c r="A450" s="5" t="s">
        <v>449</v>
      </c>
      <c r="B450" s="0" t="s">
        <v>31</v>
      </c>
      <c r="C450" s="17" t="n">
        <f aca="false">a25_sys</f>
        <v>11.49128</v>
      </c>
      <c r="D450" s="17" t="n">
        <f aca="false">a26_sys</f>
        <v>14.885488</v>
      </c>
      <c r="E450" s="17" t="n">
        <f aca="false">h2s26+h1s*E447</f>
        <v>24.1343877136284</v>
      </c>
      <c r="F450" s="17" t="n">
        <f aca="false">(1-h1s)*E447+h1s*F447</f>
        <v>26.1018954419896</v>
      </c>
      <c r="G450" s="17" t="n">
        <f aca="false">(1-h1s)*F447+h1s*G447</f>
        <v>28.4236972034577</v>
      </c>
      <c r="H450" s="8" t="s">
        <v>515</v>
      </c>
    </row>
    <row r="451" customFormat="false" ht="15" hidden="false" customHeight="false" outlineLevel="0" collapsed="false">
      <c r="A451" s="0" t="s">
        <v>451</v>
      </c>
      <c r="B451" s="0" t="s">
        <v>31</v>
      </c>
      <c r="C451" s="17" t="n">
        <f aca="false">a25_cs</f>
        <v>6.944311</v>
      </c>
      <c r="D451" s="17" t="n">
        <f aca="false">a26_cs</f>
        <v>8.347202</v>
      </c>
      <c r="E451" s="17" t="n">
        <f aca="false">h2c26+h1s*E448</f>
        <v>10.46790485</v>
      </c>
      <c r="F451" s="17" t="n">
        <f aca="false">(1-h1s)*E448+h1s*F448</f>
        <v>11.649151642</v>
      </c>
      <c r="G451" s="17" t="n">
        <f aca="false">(1-h1s)*F448+h1s*G448</f>
        <v>13.04704983904</v>
      </c>
    </row>
    <row r="452" customFormat="false" ht="15" hidden="false" customHeight="false" outlineLevel="0" collapsed="false">
      <c r="A452" s="5" t="s">
        <v>405</v>
      </c>
      <c r="B452" s="0" t="s">
        <v>31</v>
      </c>
      <c r="C452" s="17" t="n">
        <f aca="false">C450+C451</f>
        <v>18.435591</v>
      </c>
      <c r="D452" s="17" t="n">
        <f aca="false">D450+D451</f>
        <v>23.23269</v>
      </c>
      <c r="E452" s="17" t="n">
        <f aca="false">E450+E451</f>
        <v>34.6022925636284</v>
      </c>
      <c r="F452" s="17" t="n">
        <f aca="false">F450+F451</f>
        <v>37.7510470839896</v>
      </c>
      <c r="G452" s="17" t="n">
        <f aca="false">G450+G451</f>
        <v>41.4707470424977</v>
      </c>
    </row>
    <row r="453" customFormat="false" ht="17.15" hidden="false" customHeight="false" outlineLevel="0" collapsed="false">
      <c r="A453" s="5" t="s">
        <v>411</v>
      </c>
      <c r="B453" s="0" t="s">
        <v>212</v>
      </c>
      <c r="C453" s="10" t="n">
        <f aca="false">a25_gp/a25_rev</f>
        <v>0.487050238855917</v>
      </c>
      <c r="D453" s="10" t="n">
        <f aca="false">a26_gp/a26_rev</f>
        <v>0.504690072479769</v>
      </c>
      <c r="E453" s="10" t="n">
        <f aca="false">gm_a+gm_b*LN(E452)</f>
        <v>0.525503854044351</v>
      </c>
      <c r="F453" s="10" t="n">
        <f aca="false">gm_a+gm_b*LN(F452)</f>
        <v>0.530054366629259</v>
      </c>
      <c r="G453" s="10" t="n">
        <f aca="false">gm_a+gm_b*LN(G452)</f>
        <v>0.534964444590398</v>
      </c>
      <c r="H453" s="5" t="s">
        <v>516</v>
      </c>
    </row>
    <row r="454" customFormat="false" ht="15" hidden="false" customHeight="false" outlineLevel="0" collapsed="false">
      <c r="A454" s="5" t="s">
        <v>409</v>
      </c>
      <c r="B454" s="0" t="s">
        <v>31</v>
      </c>
      <c r="C454" s="17" t="n">
        <f aca="false">C452*C453</f>
        <v>8.979059</v>
      </c>
      <c r="D454" s="17" t="n">
        <f aca="false">D452*D453</f>
        <v>11.725308</v>
      </c>
      <c r="E454" s="17" t="n">
        <f aca="false">E452*E453</f>
        <v>18.1836381009569</v>
      </c>
      <c r="F454" s="17" t="n">
        <f aca="false">F452*F453</f>
        <v>20.0101073516955</v>
      </c>
      <c r="G454" s="17" t="n">
        <f aca="false">G452*G453</f>
        <v>22.1853751583387</v>
      </c>
    </row>
    <row r="455" customFormat="false" ht="17.15" hidden="false" customHeight="false" outlineLevel="0" collapsed="false">
      <c r="A455" s="5" t="s">
        <v>415</v>
      </c>
      <c r="B455" s="0" t="s">
        <v>31</v>
      </c>
      <c r="C455" s="17" t="n">
        <f aca="false">a25_opx</f>
        <v>3.078091</v>
      </c>
      <c r="D455" s="17" t="n">
        <f aca="false">a26_opx</f>
        <v>3.525513</v>
      </c>
      <c r="E455" s="17" t="n">
        <f aca="false">opex_fix+opex_var*E452</f>
        <v>4.14690889358399</v>
      </c>
      <c r="F455" s="17" t="n">
        <f aca="false">opex_fix+opex_var*F452</f>
        <v>4.31900137596466</v>
      </c>
      <c r="G455" s="17" t="n">
        <f aca="false">opex_fix+opex_var*G452</f>
        <v>4.52229839242993</v>
      </c>
      <c r="H455" s="5" t="s">
        <v>517</v>
      </c>
    </row>
    <row r="456" customFormat="false" ht="15" hidden="false" customHeight="false" outlineLevel="0" collapsed="false">
      <c r="A456" s="5" t="s">
        <v>417</v>
      </c>
      <c r="B456" s="0" t="s">
        <v>31</v>
      </c>
      <c r="C456" s="17" t="n">
        <f aca="false">C454-C455</f>
        <v>5.900968</v>
      </c>
      <c r="D456" s="17" t="n">
        <f aca="false">D454-D455</f>
        <v>8.199795</v>
      </c>
      <c r="E456" s="17" t="n">
        <f aca="false">E454-E455</f>
        <v>14.0367292073729</v>
      </c>
      <c r="F456" s="17" t="n">
        <f aca="false">F454-F455</f>
        <v>15.6911059757308</v>
      </c>
      <c r="G456" s="17" t="n">
        <f aca="false">G454-G455</f>
        <v>17.6630767659088</v>
      </c>
    </row>
    <row r="457" customFormat="false" ht="15" hidden="false" customHeight="false" outlineLevel="0" collapsed="false">
      <c r="A457" s="5" t="s">
        <v>418</v>
      </c>
      <c r="B457" s="0" t="s">
        <v>212</v>
      </c>
      <c r="C457" s="10" t="n">
        <f aca="false">C456/C452</f>
        <v>0.320085643036884</v>
      </c>
      <c r="D457" s="10" t="n">
        <f aca="false">D456/D452</f>
        <v>0.35294212594409</v>
      </c>
      <c r="E457" s="10" t="n">
        <f aca="false">E456/E452</f>
        <v>0.405658936660381</v>
      </c>
      <c r="F457" s="10" t="n">
        <f aca="false">F456/F452</f>
        <v>0.415646907510161</v>
      </c>
      <c r="G457" s="10" t="n">
        <f aca="false">G456/G452</f>
        <v>0.425916532147547</v>
      </c>
    </row>
    <row r="458" customFormat="false" ht="15" hidden="false" customHeight="false" outlineLevel="0" collapsed="false">
      <c r="A458" s="5" t="s">
        <v>422</v>
      </c>
      <c r="B458" s="0" t="s">
        <v>31</v>
      </c>
      <c r="C458" s="17" t="n">
        <f aca="false">a25_ni</f>
        <v>5.358217</v>
      </c>
      <c r="D458" s="17" t="n">
        <f aca="false">a26_ni</f>
        <v>7.265396</v>
      </c>
      <c r="E458" s="17" t="n">
        <f aca="false">(E456+oth_inc)*(1-tax_hi)</f>
        <v>11.4507506579721</v>
      </c>
      <c r="F458" s="17" t="n">
        <f aca="false">(F456+oth_inc)*(1-tax_hi)</f>
        <v>12.7907958403419</v>
      </c>
      <c r="G458" s="17" t="n">
        <f aca="false">(G456+oth_inc)*(1-tax_hi)</f>
        <v>14.3880921803861</v>
      </c>
    </row>
    <row r="459" customFormat="false" ht="15" hidden="false" customHeight="false" outlineLevel="0" collapsed="false">
      <c r="A459" s="5" t="s">
        <v>518</v>
      </c>
      <c r="B459" s="5" t="s">
        <v>288</v>
      </c>
      <c r="C459" s="19" t="n">
        <f aca="false">a25_dsh</f>
        <v>1.290142</v>
      </c>
      <c r="D459" s="19" t="n">
        <f aca="false">a26_dsh</f>
        <v>1.261102</v>
      </c>
      <c r="E459" s="19" t="n">
        <f aca="false">sh_27</f>
        <v>1.253</v>
      </c>
      <c r="F459" s="19" t="n">
        <f aca="false">E459*(1-bb)</f>
        <v>1.234205</v>
      </c>
      <c r="G459" s="19" t="n">
        <f aca="false">F459*(1-bb)</f>
        <v>1.215691925</v>
      </c>
    </row>
    <row r="460" customFormat="false" ht="17.15" hidden="false" customHeight="false" outlineLevel="0" collapsed="false">
      <c r="A460" s="0" t="s">
        <v>494</v>
      </c>
      <c r="B460" s="0" t="s">
        <v>308</v>
      </c>
      <c r="C460" s="13" t="n">
        <f aca="false">a25_eps</f>
        <v>4.15</v>
      </c>
      <c r="D460" s="13" t="n">
        <f aca="false">a26_eps</f>
        <v>5.76</v>
      </c>
      <c r="E460" s="13" t="n">
        <f aca="false">E458/E459</f>
        <v>9.13866772384042</v>
      </c>
      <c r="F460" s="13" t="n">
        <f aca="false">F458/F459</f>
        <v>10.3635910082538</v>
      </c>
      <c r="G460" s="13" t="n">
        <f aca="false">G458/G459</f>
        <v>11.8353111380468</v>
      </c>
    </row>
    <row r="461" customFormat="false" ht="15" hidden="false" customHeight="false" outlineLevel="0" collapsed="false">
      <c r="A461" s="5" t="s">
        <v>519</v>
      </c>
      <c r="B461" s="0" t="s">
        <v>212</v>
      </c>
      <c r="C461" s="10" t="n">
        <f aca="false">C450/C452</f>
        <v>0.623320402367356</v>
      </c>
      <c r="D461" s="10" t="n">
        <f aca="false">D450/D452</f>
        <v>0.640713064221147</v>
      </c>
      <c r="E461" s="10" t="n">
        <f aca="false">E450/E452</f>
        <v>0.697479442127972</v>
      </c>
      <c r="F461" s="10" t="n">
        <f aca="false">F450/F452</f>
        <v>0.691421760671098</v>
      </c>
      <c r="G461" s="10" t="n">
        <f aca="false">G450/G452</f>
        <v>0.685391492329042</v>
      </c>
    </row>
    <row r="470" customFormat="false" ht="17.15" hidden="false" customHeight="false" outlineLevel="0" collapsed="false">
      <c r="A470" s="3" t="s">
        <v>810</v>
      </c>
    </row>
    <row r="471" customFormat="false" ht="17.15" hidden="false" customHeight="false" outlineLevel="0" collapsed="false">
      <c r="A471" s="6" t="s">
        <v>20</v>
      </c>
      <c r="B471" s="6" t="s">
        <v>21</v>
      </c>
      <c r="C471" s="14" t="s">
        <v>499</v>
      </c>
      <c r="D471" s="14" t="s">
        <v>500</v>
      </c>
      <c r="E471" s="14" t="s">
        <v>501</v>
      </c>
      <c r="F471" s="14" t="s">
        <v>502</v>
      </c>
      <c r="G471" s="14" t="s">
        <v>503</v>
      </c>
      <c r="H471" s="6" t="s">
        <v>457</v>
      </c>
    </row>
    <row r="472" customFormat="false" ht="17.15" hidden="false" customHeight="false" outlineLevel="0" collapsed="false">
      <c r="A472" s="1" t="s">
        <v>504</v>
      </c>
    </row>
    <row r="473" customFormat="false" ht="17.15" hidden="false" customHeight="false" outlineLevel="0" collapsed="false">
      <c r="A473" s="5" t="s">
        <v>505</v>
      </c>
      <c r="B473" s="0" t="s">
        <v>31</v>
      </c>
      <c r="D473" s="17" t="n">
        <f aca="false">cy26_fl</f>
        <v>10.96762678</v>
      </c>
      <c r="E473" s="17" t="n">
        <f aca="false">k_fl*(advA_27+oflA_27)*(1+drift)^1</f>
        <v>12.7017609623656</v>
      </c>
      <c r="F473" s="17" t="n">
        <f aca="false">k_fl*(advA_28+oflA_28)*(1+drift)^2</f>
        <v>14.3015664243514</v>
      </c>
      <c r="G473" s="17" t="n">
        <f aca="false">k_fl*(advA_29+oflA_29)*(1+drift)^3</f>
        <v>15.2579633630082</v>
      </c>
      <c r="H473" s="8" t="s">
        <v>506</v>
      </c>
    </row>
    <row r="474" customFormat="false" ht="17.15" hidden="false" customHeight="false" outlineLevel="0" collapsed="false">
      <c r="A474" s="5" t="s">
        <v>507</v>
      </c>
      <c r="B474" s="0" t="s">
        <v>31</v>
      </c>
      <c r="D474" s="17" t="n">
        <f aca="false">cy26_dram</f>
        <v>4.35400138</v>
      </c>
      <c r="E474" s="17" t="n">
        <f aca="false">k_dram*dramA_27*(1+drift)^1</f>
        <v>5.89058856743509</v>
      </c>
      <c r="F474" s="17" t="n">
        <f aca="false">k_dram*dramA_28*(1+drift)^2</f>
        <v>6.58762867798361</v>
      </c>
      <c r="G474" s="17" t="n">
        <f aca="false">k_dram*dramA_29*(1+drift)^3</f>
        <v>6.83874153475859</v>
      </c>
      <c r="H474" s="8" t="s">
        <v>506</v>
      </c>
    </row>
    <row r="475" customFormat="false" ht="17.15" hidden="false" customHeight="false" outlineLevel="0" collapsed="false">
      <c r="A475" s="5" t="s">
        <v>508</v>
      </c>
      <c r="B475" s="0" t="s">
        <v>31</v>
      </c>
      <c r="D475" s="17" t="n">
        <f aca="false">cy26_nand</f>
        <v>4.50519784</v>
      </c>
      <c r="E475" s="17" t="n">
        <f aca="false">k_nand*nandA_27*(1+drift)^1</f>
        <v>5.98363389745604</v>
      </c>
      <c r="F475" s="17" t="n">
        <f aca="false">k_nand*nandA_28*(1+drift)^2</f>
        <v>6.7386123543875</v>
      </c>
      <c r="G475" s="17" t="n">
        <f aca="false">k_nand*nandA_29*(1+drift)^3</f>
        <v>7.12288205242611</v>
      </c>
      <c r="H475" s="8" t="s">
        <v>506</v>
      </c>
    </row>
    <row r="476" customFormat="false" ht="17.15" hidden="false" customHeight="false" outlineLevel="0" collapsed="false">
      <c r="A476" s="5" t="s">
        <v>509</v>
      </c>
      <c r="B476" s="0" t="s">
        <v>31</v>
      </c>
      <c r="E476" s="17" t="n">
        <f aca="false">-cn_sh*0*(E473+E474+E475)</f>
        <v>-0</v>
      </c>
      <c r="F476" s="17" t="n">
        <f aca="false">-cn_sh*0*(F473+F474+F475)</f>
        <v>-0</v>
      </c>
      <c r="G476" s="17" t="n">
        <f aca="false">-cn_sh*0*(G473+G474+G475)</f>
        <v>-0</v>
      </c>
      <c r="H476" s="5" t="s">
        <v>510</v>
      </c>
    </row>
    <row r="477" customFormat="false" ht="17.15" hidden="false" customHeight="false" outlineLevel="0" collapsed="false">
      <c r="A477" s="5" t="s">
        <v>511</v>
      </c>
      <c r="B477" s="0" t="s">
        <v>31</v>
      </c>
      <c r="D477" s="17" t="n">
        <f aca="false">SUM(D473:D476)</f>
        <v>19.826826</v>
      </c>
      <c r="E477" s="17" t="n">
        <f aca="false">SUM(E473:E476)</f>
        <v>24.5759834272568</v>
      </c>
      <c r="F477" s="17" t="n">
        <f aca="false">SUM(F473:F476)</f>
        <v>27.6278074567225</v>
      </c>
      <c r="G477" s="17" t="n">
        <f aca="false">SUM(G473:G476)</f>
        <v>29.2195869501929</v>
      </c>
    </row>
    <row r="478" customFormat="false" ht="17.15" hidden="false" customHeight="false" outlineLevel="0" collapsed="false">
      <c r="A478" s="0" t="s">
        <v>512</v>
      </c>
      <c r="B478" s="0" t="s">
        <v>31</v>
      </c>
      <c r="D478" s="17" t="n">
        <f aca="false">cy26_cs</f>
        <v>9.556318</v>
      </c>
      <c r="E478" s="17" t="n">
        <f aca="false">D478*(1+g_cs27)</f>
        <v>10.9897657</v>
      </c>
      <c r="F478" s="17" t="n">
        <f aca="false">E478*(1+g_cs_A)</f>
        <v>12.308537584</v>
      </c>
      <c r="G478" s="17" t="n">
        <f aca="false">F478*(1+g_cs_A)</f>
        <v>13.78556209408</v>
      </c>
      <c r="H478" s="8" t="s">
        <v>513</v>
      </c>
    </row>
    <row r="479" customFormat="false" ht="17.15" hidden="false" customHeight="false" outlineLevel="0" collapsed="false">
      <c r="A479" s="1" t="s">
        <v>514</v>
      </c>
    </row>
    <row r="480" customFormat="false" ht="17.15" hidden="false" customHeight="false" outlineLevel="0" collapsed="false">
      <c r="A480" s="5" t="s">
        <v>449</v>
      </c>
      <c r="B480" s="0" t="s">
        <v>31</v>
      </c>
      <c r="C480" s="17" t="n">
        <f aca="false">a25_sys</f>
        <v>11.49128</v>
      </c>
      <c r="D480" s="17" t="n">
        <f aca="false">a26_sys</f>
        <v>14.885488</v>
      </c>
      <c r="E480" s="17" t="n">
        <f aca="false">h2s26+h1s*E477</f>
        <v>24.1343877136284</v>
      </c>
      <c r="F480" s="17" t="n">
        <f aca="false">(1-h1s)*E477+h1s*F477</f>
        <v>26.1018954419896</v>
      </c>
      <c r="G480" s="17" t="n">
        <f aca="false">(1-h1s)*F477+h1s*G477</f>
        <v>28.4236972034577</v>
      </c>
      <c r="H480" s="8" t="s">
        <v>515</v>
      </c>
    </row>
    <row r="481" customFormat="false" ht="15" hidden="false" customHeight="false" outlineLevel="0" collapsed="false">
      <c r="A481" s="0" t="s">
        <v>451</v>
      </c>
      <c r="B481" s="0" t="s">
        <v>31</v>
      </c>
      <c r="C481" s="17" t="n">
        <f aca="false">a25_cs</f>
        <v>6.944311</v>
      </c>
      <c r="D481" s="17" t="n">
        <f aca="false">a26_cs</f>
        <v>8.347202</v>
      </c>
      <c r="E481" s="17" t="n">
        <f aca="false">h2c26+h1s*E478</f>
        <v>10.46790485</v>
      </c>
      <c r="F481" s="17" t="n">
        <f aca="false">(1-h1s)*E478+h1s*F478</f>
        <v>11.649151642</v>
      </c>
      <c r="G481" s="17" t="n">
        <f aca="false">(1-h1s)*F478+h1s*G478</f>
        <v>13.04704983904</v>
      </c>
    </row>
    <row r="482" customFormat="false" ht="15" hidden="false" customHeight="false" outlineLevel="0" collapsed="false">
      <c r="A482" s="5" t="s">
        <v>405</v>
      </c>
      <c r="B482" s="0" t="s">
        <v>31</v>
      </c>
      <c r="C482" s="17" t="n">
        <f aca="false">C480+C481</f>
        <v>18.435591</v>
      </c>
      <c r="D482" s="17" t="n">
        <f aca="false">D480+D481</f>
        <v>23.23269</v>
      </c>
      <c r="E482" s="17" t="n">
        <f aca="false">E480+E481</f>
        <v>34.6022925636284</v>
      </c>
      <c r="F482" s="17" t="n">
        <f aca="false">F480+F481</f>
        <v>37.7510470839896</v>
      </c>
      <c r="G482" s="17" t="n">
        <f aca="false">G480+G481</f>
        <v>41.4707470424977</v>
      </c>
    </row>
    <row r="483" customFormat="false" ht="17.15" hidden="false" customHeight="false" outlineLevel="0" collapsed="false">
      <c r="A483" s="5" t="s">
        <v>411</v>
      </c>
      <c r="B483" s="0" t="s">
        <v>212</v>
      </c>
      <c r="C483" s="10" t="n">
        <f aca="false">a25_gp/a25_rev</f>
        <v>0.487050238855917</v>
      </c>
      <c r="D483" s="10" t="n">
        <f aca="false">a26_gp/a26_rev</f>
        <v>0.504690072479769</v>
      </c>
      <c r="E483" s="10" t="n">
        <f aca="false">gm_a+gm_b*LN(E482)</f>
        <v>0.525503854044351</v>
      </c>
      <c r="F483" s="10" t="n">
        <f aca="false">gm_a+gm_b*LN(F482)</f>
        <v>0.530054366629259</v>
      </c>
      <c r="G483" s="10" t="n">
        <f aca="false">gm_a+gm_b*LN(G482)</f>
        <v>0.534964444590398</v>
      </c>
      <c r="H483" s="5" t="s">
        <v>516</v>
      </c>
    </row>
    <row r="484" customFormat="false" ht="15" hidden="false" customHeight="false" outlineLevel="0" collapsed="false">
      <c r="A484" s="5" t="s">
        <v>409</v>
      </c>
      <c r="B484" s="0" t="s">
        <v>31</v>
      </c>
      <c r="C484" s="17" t="n">
        <f aca="false">C482*C483</f>
        <v>8.979059</v>
      </c>
      <c r="D484" s="17" t="n">
        <f aca="false">D482*D483</f>
        <v>11.725308</v>
      </c>
      <c r="E484" s="17" t="n">
        <f aca="false">E482*E483</f>
        <v>18.1836381009569</v>
      </c>
      <c r="F484" s="17" t="n">
        <f aca="false">F482*F483</f>
        <v>20.0101073516955</v>
      </c>
      <c r="G484" s="17" t="n">
        <f aca="false">G482*G483</f>
        <v>22.1853751583387</v>
      </c>
    </row>
    <row r="485" customFormat="false" ht="17.15" hidden="false" customHeight="false" outlineLevel="0" collapsed="false">
      <c r="A485" s="5" t="s">
        <v>415</v>
      </c>
      <c r="B485" s="0" t="s">
        <v>31</v>
      </c>
      <c r="C485" s="17" t="n">
        <f aca="false">a25_opx</f>
        <v>3.078091</v>
      </c>
      <c r="D485" s="17" t="n">
        <f aca="false">a26_opx</f>
        <v>3.525513</v>
      </c>
      <c r="E485" s="17" t="n">
        <f aca="false">opex_fix+opex_var*E482</f>
        <v>4.14690889358399</v>
      </c>
      <c r="F485" s="17" t="n">
        <f aca="false">opex_fix+opex_var*F482</f>
        <v>4.31900137596466</v>
      </c>
      <c r="G485" s="17" t="n">
        <f aca="false">opex_fix+opex_var*G482</f>
        <v>4.52229839242993</v>
      </c>
      <c r="H485" s="5" t="s">
        <v>517</v>
      </c>
    </row>
    <row r="486" customFormat="false" ht="15" hidden="false" customHeight="false" outlineLevel="0" collapsed="false">
      <c r="A486" s="5" t="s">
        <v>417</v>
      </c>
      <c r="B486" s="0" t="s">
        <v>31</v>
      </c>
      <c r="C486" s="17" t="n">
        <f aca="false">C484-C485</f>
        <v>5.900968</v>
      </c>
      <c r="D486" s="17" t="n">
        <f aca="false">D484-D485</f>
        <v>8.199795</v>
      </c>
      <c r="E486" s="17" t="n">
        <f aca="false">E484-E485</f>
        <v>14.0367292073729</v>
      </c>
      <c r="F486" s="17" t="n">
        <f aca="false">F484-F485</f>
        <v>15.6911059757308</v>
      </c>
      <c r="G486" s="17" t="n">
        <f aca="false">G484-G485</f>
        <v>17.6630767659088</v>
      </c>
    </row>
    <row r="487" customFormat="false" ht="15" hidden="false" customHeight="false" outlineLevel="0" collapsed="false">
      <c r="A487" s="5" t="s">
        <v>418</v>
      </c>
      <c r="B487" s="0" t="s">
        <v>212</v>
      </c>
      <c r="C487" s="10" t="n">
        <f aca="false">C486/C482</f>
        <v>0.320085643036884</v>
      </c>
      <c r="D487" s="10" t="n">
        <f aca="false">D486/D482</f>
        <v>0.35294212594409</v>
      </c>
      <c r="E487" s="10" t="n">
        <f aca="false">E486/E482</f>
        <v>0.405658936660381</v>
      </c>
      <c r="F487" s="10" t="n">
        <f aca="false">F486/F482</f>
        <v>0.415646907510161</v>
      </c>
      <c r="G487" s="10" t="n">
        <f aca="false">G486/G482</f>
        <v>0.425916532147547</v>
      </c>
    </row>
    <row r="488" customFormat="false" ht="15" hidden="false" customHeight="false" outlineLevel="0" collapsed="false">
      <c r="A488" s="5" t="s">
        <v>422</v>
      </c>
      <c r="B488" s="0" t="s">
        <v>31</v>
      </c>
      <c r="C488" s="17" t="n">
        <f aca="false">a25_ni</f>
        <v>5.358217</v>
      </c>
      <c r="D488" s="17" t="n">
        <f aca="false">a26_ni</f>
        <v>7.265396</v>
      </c>
      <c r="E488" s="17" t="n">
        <f aca="false">(E486+oth_inc)*(1-tax)</f>
        <v>11.8041688881564</v>
      </c>
      <c r="F488" s="17" t="n">
        <f aca="false">(F486+oth_inc)*(1-tax)</f>
        <v>13.1855734897352</v>
      </c>
      <c r="G488" s="17" t="n">
        <f aca="false">(G486+oth_inc)*(1-tax)</f>
        <v>14.8321690995338</v>
      </c>
    </row>
    <row r="489" customFormat="false" ht="15" hidden="false" customHeight="false" outlineLevel="0" collapsed="false">
      <c r="A489" s="5" t="s">
        <v>518</v>
      </c>
      <c r="B489" s="5" t="s">
        <v>288</v>
      </c>
      <c r="C489" s="19" t="n">
        <f aca="false">a25_dsh</f>
        <v>1.290142</v>
      </c>
      <c r="D489" s="19" t="n">
        <f aca="false">a26_dsh</f>
        <v>1.261102</v>
      </c>
      <c r="E489" s="19" t="n">
        <f aca="false">sh_27</f>
        <v>1.253</v>
      </c>
      <c r="F489" s="19" t="n">
        <f aca="false">E489*(1-bb_lo)</f>
        <v>1.253</v>
      </c>
      <c r="G489" s="19" t="n">
        <f aca="false">F489*(1-bb_lo)</f>
        <v>1.253</v>
      </c>
    </row>
    <row r="490" customFormat="false" ht="17.15" hidden="false" customHeight="false" outlineLevel="0" collapsed="false">
      <c r="A490" s="0" t="s">
        <v>494</v>
      </c>
      <c r="B490" s="0" t="s">
        <v>308</v>
      </c>
      <c r="C490" s="13" t="n">
        <f aca="false">a25_eps</f>
        <v>4.15</v>
      </c>
      <c r="D490" s="13" t="n">
        <f aca="false">a26_eps</f>
        <v>5.76</v>
      </c>
      <c r="E490" s="13" t="n">
        <f aca="false">E488/E489</f>
        <v>9.42072536963797</v>
      </c>
      <c r="F490" s="13" t="n">
        <f aca="false">F488/F489</f>
        <v>10.5232031043378</v>
      </c>
      <c r="G490" s="13" t="n">
        <f aca="false">G488/G489</f>
        <v>11.837325697952</v>
      </c>
    </row>
    <row r="491" customFormat="false" ht="15" hidden="false" customHeight="false" outlineLevel="0" collapsed="false">
      <c r="A491" s="5" t="s">
        <v>519</v>
      </c>
      <c r="B491" s="0" t="s">
        <v>212</v>
      </c>
      <c r="C491" s="10" t="n">
        <f aca="false">C480/C482</f>
        <v>0.623320402367356</v>
      </c>
      <c r="D491" s="10" t="n">
        <f aca="false">D480/D482</f>
        <v>0.640713064221147</v>
      </c>
      <c r="E491" s="10" t="n">
        <f aca="false">E480/E482</f>
        <v>0.697479442127972</v>
      </c>
      <c r="F491" s="10" t="n">
        <f aca="false">F480/F482</f>
        <v>0.691421760671098</v>
      </c>
      <c r="G491" s="10" t="n">
        <f aca="false">G480/G482</f>
        <v>0.685391492329042</v>
      </c>
    </row>
    <row r="500" customFormat="false" ht="17.15" hidden="false" customHeight="false" outlineLevel="0" collapsed="false">
      <c r="A500" s="3" t="s">
        <v>811</v>
      </c>
    </row>
    <row r="501" customFormat="false" ht="17.15" hidden="false" customHeight="false" outlineLevel="0" collapsed="false">
      <c r="A501" s="6" t="s">
        <v>20</v>
      </c>
      <c r="B501" s="6" t="s">
        <v>21</v>
      </c>
      <c r="C501" s="14" t="s">
        <v>499</v>
      </c>
      <c r="D501" s="14" t="s">
        <v>500</v>
      </c>
      <c r="E501" s="14" t="s">
        <v>501</v>
      </c>
      <c r="F501" s="14" t="s">
        <v>502</v>
      </c>
      <c r="G501" s="14" t="s">
        <v>503</v>
      </c>
      <c r="H501" s="6" t="s">
        <v>457</v>
      </c>
    </row>
    <row r="502" customFormat="false" ht="17.15" hidden="false" customHeight="false" outlineLevel="0" collapsed="false">
      <c r="A502" s="1" t="s">
        <v>504</v>
      </c>
    </row>
    <row r="503" customFormat="false" ht="17.15" hidden="false" customHeight="false" outlineLevel="0" collapsed="false">
      <c r="A503" s="5" t="s">
        <v>505</v>
      </c>
      <c r="B503" s="0" t="s">
        <v>31</v>
      </c>
      <c r="D503" s="17" t="n">
        <f aca="false">cy26_fl</f>
        <v>10.96762678</v>
      </c>
      <c r="E503" s="17" t="n">
        <f aca="false">k_fl*(advA_27+oflA_27)*(1+drift)^1</f>
        <v>12.7017609623656</v>
      </c>
      <c r="F503" s="17" t="n">
        <f aca="false">k_fl*(advA_28+oflA_28)*(1+drift)^2</f>
        <v>14.3015664243514</v>
      </c>
      <c r="G503" s="17" t="n">
        <f aca="false">k_fl*(advA_29+oflA_29)*(1+drift)^3</f>
        <v>15.2579633630082</v>
      </c>
      <c r="H503" s="8" t="s">
        <v>506</v>
      </c>
    </row>
    <row r="504" customFormat="false" ht="17.15" hidden="false" customHeight="false" outlineLevel="0" collapsed="false">
      <c r="A504" s="5" t="s">
        <v>507</v>
      </c>
      <c r="B504" s="0" t="s">
        <v>31</v>
      </c>
      <c r="D504" s="17" t="n">
        <f aca="false">cy26_dram</f>
        <v>4.35400138</v>
      </c>
      <c r="E504" s="17" t="n">
        <f aca="false">k_dram*dramA_27*(1+drift)^1</f>
        <v>5.89058856743509</v>
      </c>
      <c r="F504" s="17" t="n">
        <f aca="false">k_dram*dramA_28*(1+drift)^2</f>
        <v>6.58762867798361</v>
      </c>
      <c r="G504" s="17" t="n">
        <f aca="false">k_dram*dramA_29*(1+drift)^3</f>
        <v>6.83874153475859</v>
      </c>
      <c r="H504" s="8" t="s">
        <v>506</v>
      </c>
    </row>
    <row r="505" customFormat="false" ht="17.15" hidden="false" customHeight="false" outlineLevel="0" collapsed="false">
      <c r="A505" s="5" t="s">
        <v>508</v>
      </c>
      <c r="B505" s="0" t="s">
        <v>31</v>
      </c>
      <c r="D505" s="17" t="n">
        <f aca="false">cy26_nand</f>
        <v>4.50519784</v>
      </c>
      <c r="E505" s="17" t="n">
        <f aca="false">k_nand*nandA_27*(1+drift)^1</f>
        <v>5.98363389745604</v>
      </c>
      <c r="F505" s="17" t="n">
        <f aca="false">k_nand*nandA_28*(1+drift)^2</f>
        <v>6.7386123543875</v>
      </c>
      <c r="G505" s="17" t="n">
        <f aca="false">k_nand*nandA_29*(1+drift)^3</f>
        <v>7.12288205242611</v>
      </c>
      <c r="H505" s="8" t="s">
        <v>506</v>
      </c>
    </row>
    <row r="506" customFormat="false" ht="17.15" hidden="false" customHeight="false" outlineLevel="0" collapsed="false">
      <c r="A506" s="5" t="s">
        <v>509</v>
      </c>
      <c r="B506" s="0" t="s">
        <v>31</v>
      </c>
      <c r="E506" s="17" t="n">
        <f aca="false">-cn_sh*0*(E503+E504+E505)</f>
        <v>-0</v>
      </c>
      <c r="F506" s="17" t="n">
        <f aca="false">-cn_sh*0*(F503+F504+F505)</f>
        <v>-0</v>
      </c>
      <c r="G506" s="17" t="n">
        <f aca="false">-cn_sh*0*(G503+G504+G505)</f>
        <v>-0</v>
      </c>
      <c r="H506" s="5" t="s">
        <v>510</v>
      </c>
    </row>
    <row r="507" customFormat="false" ht="17.15" hidden="false" customHeight="false" outlineLevel="0" collapsed="false">
      <c r="A507" s="5" t="s">
        <v>511</v>
      </c>
      <c r="B507" s="0" t="s">
        <v>31</v>
      </c>
      <c r="D507" s="17" t="n">
        <f aca="false">SUM(D503:D506)</f>
        <v>19.826826</v>
      </c>
      <c r="E507" s="17" t="n">
        <f aca="false">SUM(E503:E506)</f>
        <v>24.5759834272568</v>
      </c>
      <c r="F507" s="17" t="n">
        <f aca="false">SUM(F503:F506)</f>
        <v>27.6278074567225</v>
      </c>
      <c r="G507" s="17" t="n">
        <f aca="false">SUM(G503:G506)</f>
        <v>29.2195869501929</v>
      </c>
    </row>
    <row r="508" customFormat="false" ht="17.15" hidden="false" customHeight="false" outlineLevel="0" collapsed="false">
      <c r="A508" s="0" t="s">
        <v>512</v>
      </c>
      <c r="B508" s="0" t="s">
        <v>31</v>
      </c>
      <c r="D508" s="17" t="n">
        <f aca="false">cy26_cs</f>
        <v>9.556318</v>
      </c>
      <c r="E508" s="17" t="n">
        <f aca="false">D508*(1+g_cs27)</f>
        <v>10.9897657</v>
      </c>
      <c r="F508" s="17" t="n">
        <f aca="false">E508*(1+g_cs_A)</f>
        <v>12.308537584</v>
      </c>
      <c r="G508" s="17" t="n">
        <f aca="false">F508*(1+g_cs_A)</f>
        <v>13.78556209408</v>
      </c>
      <c r="H508" s="8" t="s">
        <v>513</v>
      </c>
    </row>
    <row r="509" customFormat="false" ht="17.15" hidden="false" customHeight="false" outlineLevel="0" collapsed="false">
      <c r="A509" s="1" t="s">
        <v>514</v>
      </c>
    </row>
    <row r="510" customFormat="false" ht="17.15" hidden="false" customHeight="false" outlineLevel="0" collapsed="false">
      <c r="A510" s="5" t="s">
        <v>449</v>
      </c>
      <c r="B510" s="0" t="s">
        <v>31</v>
      </c>
      <c r="C510" s="17" t="n">
        <f aca="false">a25_sys</f>
        <v>11.49128</v>
      </c>
      <c r="D510" s="17" t="n">
        <f aca="false">a26_sys</f>
        <v>14.885488</v>
      </c>
      <c r="E510" s="17" t="n">
        <f aca="false">h2s26+h1s*E507</f>
        <v>24.1343877136284</v>
      </c>
      <c r="F510" s="17" t="n">
        <f aca="false">(1-h1s)*E507+h1s*F507</f>
        <v>26.1018954419896</v>
      </c>
      <c r="G510" s="17" t="n">
        <f aca="false">(1-h1s)*F507+h1s*G507</f>
        <v>28.4236972034577</v>
      </c>
      <c r="H510" s="8" t="s">
        <v>515</v>
      </c>
    </row>
    <row r="511" customFormat="false" ht="15" hidden="false" customHeight="false" outlineLevel="0" collapsed="false">
      <c r="A511" s="0" t="s">
        <v>451</v>
      </c>
      <c r="B511" s="0" t="s">
        <v>31</v>
      </c>
      <c r="C511" s="17" t="n">
        <f aca="false">a25_cs</f>
        <v>6.944311</v>
      </c>
      <c r="D511" s="17" t="n">
        <f aca="false">a26_cs</f>
        <v>8.347202</v>
      </c>
      <c r="E511" s="17" t="n">
        <f aca="false">h2c26+h1s*E508</f>
        <v>10.46790485</v>
      </c>
      <c r="F511" s="17" t="n">
        <f aca="false">(1-h1s)*E508+h1s*F508</f>
        <v>11.649151642</v>
      </c>
      <c r="G511" s="17" t="n">
        <f aca="false">(1-h1s)*F508+h1s*G508</f>
        <v>13.04704983904</v>
      </c>
    </row>
    <row r="512" customFormat="false" ht="15" hidden="false" customHeight="false" outlineLevel="0" collapsed="false">
      <c r="A512" s="5" t="s">
        <v>405</v>
      </c>
      <c r="B512" s="0" t="s">
        <v>31</v>
      </c>
      <c r="C512" s="17" t="n">
        <f aca="false">C510+C511</f>
        <v>18.435591</v>
      </c>
      <c r="D512" s="17" t="n">
        <f aca="false">D510+D511</f>
        <v>23.23269</v>
      </c>
      <c r="E512" s="17" t="n">
        <f aca="false">E510+E511</f>
        <v>34.6022925636284</v>
      </c>
      <c r="F512" s="17" t="n">
        <f aca="false">F510+F511</f>
        <v>37.7510470839896</v>
      </c>
      <c r="G512" s="17" t="n">
        <f aca="false">G510+G511</f>
        <v>41.4707470424977</v>
      </c>
    </row>
    <row r="513" customFormat="false" ht="17.15" hidden="false" customHeight="false" outlineLevel="0" collapsed="false">
      <c r="A513" s="5" t="s">
        <v>411</v>
      </c>
      <c r="B513" s="0" t="s">
        <v>212</v>
      </c>
      <c r="C513" s="10" t="n">
        <f aca="false">a25_gp/a25_rev</f>
        <v>0.487050238855917</v>
      </c>
      <c r="D513" s="10" t="n">
        <f aca="false">a26_gp/a26_rev</f>
        <v>0.504690072479769</v>
      </c>
      <c r="E513" s="10" t="n">
        <f aca="false">gm_a+gm_b*LN(E512)</f>
        <v>0.525503854044351</v>
      </c>
      <c r="F513" s="10" t="n">
        <f aca="false">gm_a+gm_b*LN(F512)</f>
        <v>0.530054366629259</v>
      </c>
      <c r="G513" s="10" t="n">
        <f aca="false">gm_a+gm_b*LN(G512)</f>
        <v>0.534964444590398</v>
      </c>
      <c r="H513" s="5" t="s">
        <v>516</v>
      </c>
    </row>
    <row r="514" customFormat="false" ht="15" hidden="false" customHeight="false" outlineLevel="0" collapsed="false">
      <c r="A514" s="5" t="s">
        <v>409</v>
      </c>
      <c r="B514" s="0" t="s">
        <v>31</v>
      </c>
      <c r="C514" s="17" t="n">
        <f aca="false">C512*C513</f>
        <v>8.979059</v>
      </c>
      <c r="D514" s="17" t="n">
        <f aca="false">D512*D513</f>
        <v>11.725308</v>
      </c>
      <c r="E514" s="17" t="n">
        <f aca="false">E512*E513</f>
        <v>18.1836381009569</v>
      </c>
      <c r="F514" s="17" t="n">
        <f aca="false">F512*F513</f>
        <v>20.0101073516955</v>
      </c>
      <c r="G514" s="17" t="n">
        <f aca="false">G512*G513</f>
        <v>22.1853751583387</v>
      </c>
    </row>
    <row r="515" customFormat="false" ht="17.15" hidden="false" customHeight="false" outlineLevel="0" collapsed="false">
      <c r="A515" s="5" t="s">
        <v>415</v>
      </c>
      <c r="B515" s="0" t="s">
        <v>31</v>
      </c>
      <c r="C515" s="17" t="n">
        <f aca="false">a25_opx</f>
        <v>3.078091</v>
      </c>
      <c r="D515" s="17" t="n">
        <f aca="false">a26_opx</f>
        <v>3.525513</v>
      </c>
      <c r="E515" s="17" t="n">
        <f aca="false">opex_fix+opex_var*E512</f>
        <v>4.14690889358399</v>
      </c>
      <c r="F515" s="17" t="n">
        <f aca="false">opex_fix+opex_var*F512</f>
        <v>4.31900137596466</v>
      </c>
      <c r="G515" s="17" t="n">
        <f aca="false">opex_fix+opex_var*G512</f>
        <v>4.52229839242993</v>
      </c>
      <c r="H515" s="5" t="s">
        <v>517</v>
      </c>
    </row>
    <row r="516" customFormat="false" ht="15" hidden="false" customHeight="false" outlineLevel="0" collapsed="false">
      <c r="A516" s="5" t="s">
        <v>417</v>
      </c>
      <c r="B516" s="0" t="s">
        <v>31</v>
      </c>
      <c r="C516" s="17" t="n">
        <f aca="false">C514-C515</f>
        <v>5.900968</v>
      </c>
      <c r="D516" s="17" t="n">
        <f aca="false">D514-D515</f>
        <v>8.199795</v>
      </c>
      <c r="E516" s="17" t="n">
        <f aca="false">E514-E515</f>
        <v>14.0367292073729</v>
      </c>
      <c r="F516" s="17" t="n">
        <f aca="false">F514-F515</f>
        <v>15.6911059757308</v>
      </c>
      <c r="G516" s="17" t="n">
        <f aca="false">G514-G515</f>
        <v>17.6630767659088</v>
      </c>
    </row>
    <row r="517" customFormat="false" ht="15" hidden="false" customHeight="false" outlineLevel="0" collapsed="false">
      <c r="A517" s="5" t="s">
        <v>418</v>
      </c>
      <c r="B517" s="0" t="s">
        <v>212</v>
      </c>
      <c r="C517" s="10" t="n">
        <f aca="false">C516/C512</f>
        <v>0.320085643036884</v>
      </c>
      <c r="D517" s="10" t="n">
        <f aca="false">D516/D512</f>
        <v>0.35294212594409</v>
      </c>
      <c r="E517" s="10" t="n">
        <f aca="false">E516/E512</f>
        <v>0.405658936660381</v>
      </c>
      <c r="F517" s="10" t="n">
        <f aca="false">F516/F512</f>
        <v>0.415646907510161</v>
      </c>
      <c r="G517" s="10" t="n">
        <f aca="false">G516/G512</f>
        <v>0.425916532147547</v>
      </c>
    </row>
    <row r="518" customFormat="false" ht="15" hidden="false" customHeight="false" outlineLevel="0" collapsed="false">
      <c r="A518" s="5" t="s">
        <v>422</v>
      </c>
      <c r="B518" s="0" t="s">
        <v>31</v>
      </c>
      <c r="C518" s="17" t="n">
        <f aca="false">a25_ni</f>
        <v>5.358217</v>
      </c>
      <c r="D518" s="17" t="n">
        <f aca="false">a26_ni</f>
        <v>7.265396</v>
      </c>
      <c r="E518" s="17" t="n">
        <f aca="false">(E516+oth_inc)*(1-tax)</f>
        <v>11.8041688881564</v>
      </c>
      <c r="F518" s="17" t="n">
        <f aca="false">(F516+oth_inc)*(1-tax)</f>
        <v>13.1855734897352</v>
      </c>
      <c r="G518" s="17" t="n">
        <f aca="false">(G516+oth_inc)*(1-tax)</f>
        <v>14.8321690995338</v>
      </c>
    </row>
    <row r="519" customFormat="false" ht="15" hidden="false" customHeight="false" outlineLevel="0" collapsed="false">
      <c r="A519" s="5" t="s">
        <v>518</v>
      </c>
      <c r="B519" s="5" t="s">
        <v>288</v>
      </c>
      <c r="C519" s="19" t="n">
        <f aca="false">a25_dsh</f>
        <v>1.290142</v>
      </c>
      <c r="D519" s="19" t="n">
        <f aca="false">a26_dsh</f>
        <v>1.261102</v>
      </c>
      <c r="E519" s="19" t="n">
        <f aca="false">sh_27</f>
        <v>1.253</v>
      </c>
      <c r="F519" s="19" t="n">
        <f aca="false">E519*(1-bb_hi)</f>
        <v>1.21541</v>
      </c>
      <c r="G519" s="19" t="n">
        <f aca="false">F519*(1-bb_hi)</f>
        <v>1.1789477</v>
      </c>
    </row>
    <row r="520" customFormat="false" ht="17.15" hidden="false" customHeight="false" outlineLevel="0" collapsed="false">
      <c r="A520" s="0" t="s">
        <v>494</v>
      </c>
      <c r="B520" s="0" t="s">
        <v>308</v>
      </c>
      <c r="C520" s="13" t="n">
        <f aca="false">a25_eps</f>
        <v>4.15</v>
      </c>
      <c r="D520" s="13" t="n">
        <f aca="false">a26_eps</f>
        <v>5.76</v>
      </c>
      <c r="E520" s="13" t="n">
        <f aca="false">E518/E519</f>
        <v>9.42072536963797</v>
      </c>
      <c r="F520" s="13" t="n">
        <f aca="false">F518/F519</f>
        <v>10.8486629941626</v>
      </c>
      <c r="G520" s="13" t="n">
        <f aca="false">G518/G519</f>
        <v>12.5808541799893</v>
      </c>
    </row>
    <row r="521" customFormat="false" ht="15" hidden="false" customHeight="false" outlineLevel="0" collapsed="false">
      <c r="A521" s="5" t="s">
        <v>519</v>
      </c>
      <c r="B521" s="0" t="s">
        <v>212</v>
      </c>
      <c r="C521" s="10" t="n">
        <f aca="false">C510/C512</f>
        <v>0.623320402367356</v>
      </c>
      <c r="D521" s="10" t="n">
        <f aca="false">D510/D512</f>
        <v>0.640713064221147</v>
      </c>
      <c r="E521" s="10" t="n">
        <f aca="false">E510/E512</f>
        <v>0.697479442127972</v>
      </c>
      <c r="F521" s="10" t="n">
        <f aca="false">F510/F512</f>
        <v>0.691421760671098</v>
      </c>
      <c r="G521" s="10" t="n">
        <f aca="false">G510/G512</f>
        <v>0.685391492329042</v>
      </c>
    </row>
    <row r="530" customFormat="false" ht="17.15" hidden="false" customHeight="false" outlineLevel="0" collapsed="false">
      <c r="A530" s="3" t="s">
        <v>812</v>
      </c>
    </row>
    <row r="531" customFormat="false" ht="17.15" hidden="false" customHeight="false" outlineLevel="0" collapsed="false">
      <c r="A531" s="6" t="s">
        <v>20</v>
      </c>
      <c r="B531" s="6" t="s">
        <v>21</v>
      </c>
      <c r="C531" s="14" t="s">
        <v>499</v>
      </c>
      <c r="D531" s="14" t="s">
        <v>500</v>
      </c>
      <c r="E531" s="14" t="s">
        <v>501</v>
      </c>
      <c r="F531" s="14" t="s">
        <v>502</v>
      </c>
      <c r="G531" s="14" t="s">
        <v>503</v>
      </c>
      <c r="H531" s="6" t="s">
        <v>457</v>
      </c>
    </row>
    <row r="532" customFormat="false" ht="17.15" hidden="false" customHeight="false" outlineLevel="0" collapsed="false">
      <c r="A532" s="1" t="s">
        <v>504</v>
      </c>
    </row>
    <row r="533" customFormat="false" ht="17.15" hidden="false" customHeight="false" outlineLevel="0" collapsed="false">
      <c r="A533" s="5" t="s">
        <v>505</v>
      </c>
      <c r="B533" s="0" t="s">
        <v>31</v>
      </c>
      <c r="D533" s="17" t="n">
        <f aca="false">cy26_fl</f>
        <v>10.96762678</v>
      </c>
      <c r="E533" s="17" t="n">
        <f aca="false">k_fl*(advA_27+oflA_27)*(1+drift)^1</f>
        <v>12.7017609623656</v>
      </c>
      <c r="F533" s="17" t="n">
        <f aca="false">k_fl*(advA_28+oflA_28)*(1+drift)^2</f>
        <v>14.3015664243514</v>
      </c>
      <c r="G533" s="17" t="n">
        <f aca="false">k_fl*(advA_29+oflA_29)*(1+drift)^3</f>
        <v>15.2579633630082</v>
      </c>
      <c r="H533" s="8" t="s">
        <v>506</v>
      </c>
    </row>
    <row r="534" customFormat="false" ht="17.15" hidden="false" customHeight="false" outlineLevel="0" collapsed="false">
      <c r="A534" s="5" t="s">
        <v>507</v>
      </c>
      <c r="B534" s="0" t="s">
        <v>31</v>
      </c>
      <c r="D534" s="17" t="n">
        <f aca="false">cy26_dram</f>
        <v>4.35400138</v>
      </c>
      <c r="E534" s="17" t="n">
        <f aca="false">k_dram*dramA_27*(1+drift)^1</f>
        <v>5.89058856743509</v>
      </c>
      <c r="F534" s="17" t="n">
        <f aca="false">k_dram*dramA_28*(1+drift)^2</f>
        <v>6.58762867798361</v>
      </c>
      <c r="G534" s="17" t="n">
        <f aca="false">k_dram*dramA_29*(1+drift)^3</f>
        <v>6.83874153475859</v>
      </c>
      <c r="H534" s="8" t="s">
        <v>506</v>
      </c>
    </row>
    <row r="535" customFormat="false" ht="17.15" hidden="false" customHeight="false" outlineLevel="0" collapsed="false">
      <c r="A535" s="5" t="s">
        <v>508</v>
      </c>
      <c r="B535" s="0" t="s">
        <v>31</v>
      </c>
      <c r="D535" s="17" t="n">
        <f aca="false">cy26_nand</f>
        <v>4.50519784</v>
      </c>
      <c r="E535" s="17" t="n">
        <f aca="false">k_nand*nandA_27*(1+drift)^1</f>
        <v>5.98363389745604</v>
      </c>
      <c r="F535" s="17" t="n">
        <f aca="false">k_nand*nandA_28*(1+drift)^2</f>
        <v>6.7386123543875</v>
      </c>
      <c r="G535" s="17" t="n">
        <f aca="false">k_nand*nandA_29*(1+drift)^3</f>
        <v>7.12288205242611</v>
      </c>
      <c r="H535" s="8" t="s">
        <v>506</v>
      </c>
    </row>
    <row r="536" customFormat="false" ht="17.15" hidden="false" customHeight="false" outlineLevel="0" collapsed="false">
      <c r="A536" s="5" t="s">
        <v>509</v>
      </c>
      <c r="B536" s="0" t="s">
        <v>31</v>
      </c>
      <c r="E536" s="17" t="n">
        <f aca="false">-cn_sh*0*(E533+E534+E535)</f>
        <v>-0</v>
      </c>
      <c r="F536" s="17" t="n">
        <f aca="false">-cn_sh*0*(F533+F534+F535)</f>
        <v>-0</v>
      </c>
      <c r="G536" s="17" t="n">
        <f aca="false">-cn_sh*0*(G533+G534+G535)</f>
        <v>-0</v>
      </c>
      <c r="H536" s="5" t="s">
        <v>510</v>
      </c>
    </row>
    <row r="537" customFormat="false" ht="17.15" hidden="false" customHeight="false" outlineLevel="0" collapsed="false">
      <c r="A537" s="5" t="s">
        <v>511</v>
      </c>
      <c r="B537" s="0" t="s">
        <v>31</v>
      </c>
      <c r="D537" s="17" t="n">
        <f aca="false">SUM(D533:D536)</f>
        <v>19.826826</v>
      </c>
      <c r="E537" s="17" t="n">
        <f aca="false">SUM(E533:E536)</f>
        <v>24.5759834272568</v>
      </c>
      <c r="F537" s="17" t="n">
        <f aca="false">SUM(F533:F536)</f>
        <v>27.6278074567225</v>
      </c>
      <c r="G537" s="17" t="n">
        <f aca="false">SUM(G533:G536)</f>
        <v>29.2195869501929</v>
      </c>
    </row>
    <row r="538" customFormat="false" ht="17.15" hidden="false" customHeight="false" outlineLevel="0" collapsed="false">
      <c r="A538" s="0" t="s">
        <v>512</v>
      </c>
      <c r="B538" s="0" t="s">
        <v>31</v>
      </c>
      <c r="D538" s="17" t="n">
        <f aca="false">cy26_cs</f>
        <v>9.556318</v>
      </c>
      <c r="E538" s="17" t="n">
        <f aca="false">D538*(1+g_cs27)</f>
        <v>10.9897657</v>
      </c>
      <c r="F538" s="17" t="n">
        <f aca="false">E538*(1+g_cs_A)</f>
        <v>12.308537584</v>
      </c>
      <c r="G538" s="17" t="n">
        <f aca="false">F538*(1+g_cs_A)</f>
        <v>13.78556209408</v>
      </c>
      <c r="H538" s="8" t="s">
        <v>513</v>
      </c>
    </row>
    <row r="539" customFormat="false" ht="17.15" hidden="false" customHeight="false" outlineLevel="0" collapsed="false">
      <c r="A539" s="1" t="s">
        <v>514</v>
      </c>
    </row>
    <row r="540" customFormat="false" ht="17.15" hidden="false" customHeight="false" outlineLevel="0" collapsed="false">
      <c r="A540" s="5" t="s">
        <v>449</v>
      </c>
      <c r="B540" s="0" t="s">
        <v>31</v>
      </c>
      <c r="C540" s="17" t="n">
        <f aca="false">a25_sys</f>
        <v>11.49128</v>
      </c>
      <c r="D540" s="17" t="n">
        <f aca="false">a26_sys</f>
        <v>14.885488</v>
      </c>
      <c r="E540" s="17" t="n">
        <f aca="false">h2s26+h1s*E537</f>
        <v>24.1343877136284</v>
      </c>
      <c r="F540" s="17" t="n">
        <f aca="false">(1-h1s)*E537+h1s*F537</f>
        <v>26.1018954419896</v>
      </c>
      <c r="G540" s="17" t="n">
        <f aca="false">(1-h1s)*F537+h1s*G537</f>
        <v>28.4236972034577</v>
      </c>
      <c r="H540" s="8" t="s">
        <v>515</v>
      </c>
    </row>
    <row r="541" customFormat="false" ht="15" hidden="false" customHeight="false" outlineLevel="0" collapsed="false">
      <c r="A541" s="0" t="s">
        <v>451</v>
      </c>
      <c r="B541" s="0" t="s">
        <v>31</v>
      </c>
      <c r="C541" s="17" t="n">
        <f aca="false">a25_cs</f>
        <v>6.944311</v>
      </c>
      <c r="D541" s="17" t="n">
        <f aca="false">a26_cs</f>
        <v>8.347202</v>
      </c>
      <c r="E541" s="17" t="n">
        <f aca="false">h2c26+h1s*E538</f>
        <v>10.46790485</v>
      </c>
      <c r="F541" s="17" t="n">
        <f aca="false">(1-h1s)*E538+h1s*F538</f>
        <v>11.649151642</v>
      </c>
      <c r="G541" s="17" t="n">
        <f aca="false">(1-h1s)*F538+h1s*G538</f>
        <v>13.04704983904</v>
      </c>
    </row>
    <row r="542" customFormat="false" ht="15" hidden="false" customHeight="false" outlineLevel="0" collapsed="false">
      <c r="A542" s="5" t="s">
        <v>405</v>
      </c>
      <c r="B542" s="0" t="s">
        <v>31</v>
      </c>
      <c r="C542" s="17" t="n">
        <f aca="false">C540+C541</f>
        <v>18.435591</v>
      </c>
      <c r="D542" s="17" t="n">
        <f aca="false">D540+D541</f>
        <v>23.23269</v>
      </c>
      <c r="E542" s="17" t="n">
        <f aca="false">E540+E541</f>
        <v>34.6022925636284</v>
      </c>
      <c r="F542" s="17" t="n">
        <f aca="false">F540+F541</f>
        <v>37.7510470839896</v>
      </c>
      <c r="G542" s="17" t="n">
        <f aca="false">G540+G541</f>
        <v>41.4707470424977</v>
      </c>
    </row>
    <row r="543" customFormat="false" ht="17.15" hidden="false" customHeight="false" outlineLevel="0" collapsed="false">
      <c r="A543" s="5" t="s">
        <v>411</v>
      </c>
      <c r="B543" s="0" t="s">
        <v>212</v>
      </c>
      <c r="C543" s="10" t="n">
        <f aca="false">a25_gp/a25_rev</f>
        <v>0.487050238855917</v>
      </c>
      <c r="D543" s="10" t="n">
        <f aca="false">a26_gp/a26_rev</f>
        <v>0.504690072479769</v>
      </c>
      <c r="E543" s="10" t="n">
        <f aca="false">gm_a+gm_b*LN(E542)</f>
        <v>0.525503854044351</v>
      </c>
      <c r="F543" s="10" t="n">
        <f aca="false">gm_a+gm_b*LN(F542)</f>
        <v>0.530054366629259</v>
      </c>
      <c r="G543" s="10" t="n">
        <f aca="false">gm_a+gm_b*LN(G542)</f>
        <v>0.534964444590398</v>
      </c>
      <c r="H543" s="5" t="s">
        <v>516</v>
      </c>
    </row>
    <row r="544" customFormat="false" ht="15" hidden="false" customHeight="false" outlineLevel="0" collapsed="false">
      <c r="A544" s="5" t="s">
        <v>409</v>
      </c>
      <c r="B544" s="0" t="s">
        <v>31</v>
      </c>
      <c r="C544" s="17" t="n">
        <f aca="false">C542*C543</f>
        <v>8.979059</v>
      </c>
      <c r="D544" s="17" t="n">
        <f aca="false">D542*D543</f>
        <v>11.725308</v>
      </c>
      <c r="E544" s="17" t="n">
        <f aca="false">E542*E543</f>
        <v>18.1836381009569</v>
      </c>
      <c r="F544" s="17" t="n">
        <f aca="false">F542*F543</f>
        <v>20.0101073516955</v>
      </c>
      <c r="G544" s="17" t="n">
        <f aca="false">G542*G543</f>
        <v>22.1853751583387</v>
      </c>
    </row>
    <row r="545" customFormat="false" ht="17.15" hidden="false" customHeight="false" outlineLevel="0" collapsed="false">
      <c r="A545" s="5" t="s">
        <v>415</v>
      </c>
      <c r="B545" s="0" t="s">
        <v>31</v>
      </c>
      <c r="C545" s="17" t="n">
        <f aca="false">a25_opx</f>
        <v>3.078091</v>
      </c>
      <c r="D545" s="17" t="n">
        <f aca="false">a26_opx</f>
        <v>3.525513</v>
      </c>
      <c r="E545" s="17" t="n">
        <f aca="false">opex_fix+opex_var*E542</f>
        <v>4.14690889358399</v>
      </c>
      <c r="F545" s="17" t="n">
        <f aca="false">opex_fix+opex_var*F542</f>
        <v>4.31900137596466</v>
      </c>
      <c r="G545" s="17" t="n">
        <f aca="false">opex_fix+opex_var*G542</f>
        <v>4.52229839242993</v>
      </c>
      <c r="H545" s="5" t="s">
        <v>517</v>
      </c>
    </row>
    <row r="546" customFormat="false" ht="15" hidden="false" customHeight="false" outlineLevel="0" collapsed="false">
      <c r="A546" s="5" t="s">
        <v>417</v>
      </c>
      <c r="B546" s="0" t="s">
        <v>31</v>
      </c>
      <c r="C546" s="17" t="n">
        <f aca="false">C544-C545</f>
        <v>5.900968</v>
      </c>
      <c r="D546" s="17" t="n">
        <f aca="false">D544-D545</f>
        <v>8.199795</v>
      </c>
      <c r="E546" s="17" t="n">
        <f aca="false">E544-E545</f>
        <v>14.0367292073729</v>
      </c>
      <c r="F546" s="17" t="n">
        <f aca="false">F544-F545</f>
        <v>15.6911059757308</v>
      </c>
      <c r="G546" s="17" t="n">
        <f aca="false">G544-G545</f>
        <v>17.6630767659088</v>
      </c>
    </row>
    <row r="547" customFormat="false" ht="15" hidden="false" customHeight="false" outlineLevel="0" collapsed="false">
      <c r="A547" s="5" t="s">
        <v>418</v>
      </c>
      <c r="B547" s="0" t="s">
        <v>212</v>
      </c>
      <c r="C547" s="10" t="n">
        <f aca="false">C546/C542</f>
        <v>0.320085643036884</v>
      </c>
      <c r="D547" s="10" t="n">
        <f aca="false">D546/D542</f>
        <v>0.35294212594409</v>
      </c>
      <c r="E547" s="10" t="n">
        <f aca="false">E546/E542</f>
        <v>0.405658936660381</v>
      </c>
      <c r="F547" s="10" t="n">
        <f aca="false">F546/F542</f>
        <v>0.415646907510161</v>
      </c>
      <c r="G547" s="10" t="n">
        <f aca="false">G546/G542</f>
        <v>0.425916532147547</v>
      </c>
    </row>
    <row r="548" customFormat="false" ht="15" hidden="false" customHeight="false" outlineLevel="0" collapsed="false">
      <c r="A548" s="5" t="s">
        <v>422</v>
      </c>
      <c r="B548" s="0" t="s">
        <v>31</v>
      </c>
      <c r="C548" s="17" t="n">
        <f aca="false">a25_ni</f>
        <v>5.358217</v>
      </c>
      <c r="D548" s="17" t="n">
        <f aca="false">a26_ni</f>
        <v>7.265396</v>
      </c>
      <c r="E548" s="17" t="n">
        <f aca="false">(E546+oth_inc_lo)*(1-tax)</f>
        <v>11.7206688881564</v>
      </c>
      <c r="F548" s="17" t="n">
        <f aca="false">(F546+oth_inc_lo)*(1-tax)</f>
        <v>13.1020734897352</v>
      </c>
      <c r="G548" s="17" t="n">
        <f aca="false">(G546+oth_inc_lo)*(1-tax)</f>
        <v>14.7486690995338</v>
      </c>
    </row>
    <row r="549" customFormat="false" ht="15" hidden="false" customHeight="false" outlineLevel="0" collapsed="false">
      <c r="A549" s="5" t="s">
        <v>518</v>
      </c>
      <c r="B549" s="5" t="s">
        <v>288</v>
      </c>
      <c r="C549" s="19" t="n">
        <f aca="false">a25_dsh</f>
        <v>1.290142</v>
      </c>
      <c r="D549" s="19" t="n">
        <f aca="false">a26_dsh</f>
        <v>1.261102</v>
      </c>
      <c r="E549" s="19" t="n">
        <f aca="false">sh_27</f>
        <v>1.253</v>
      </c>
      <c r="F549" s="19" t="n">
        <f aca="false">E549*(1-bb)</f>
        <v>1.234205</v>
      </c>
      <c r="G549" s="19" t="n">
        <f aca="false">F549*(1-bb)</f>
        <v>1.215691925</v>
      </c>
    </row>
    <row r="550" customFormat="false" ht="17.15" hidden="false" customHeight="false" outlineLevel="0" collapsed="false">
      <c r="A550" s="0" t="s">
        <v>494</v>
      </c>
      <c r="B550" s="0" t="s">
        <v>308</v>
      </c>
      <c r="C550" s="13" t="n">
        <f aca="false">a25_eps</f>
        <v>4.15</v>
      </c>
      <c r="D550" s="13" t="n">
        <f aca="false">a26_eps</f>
        <v>5.76</v>
      </c>
      <c r="E550" s="13" t="n">
        <f aca="false">E548/E549</f>
        <v>9.3540853057912</v>
      </c>
      <c r="F550" s="13" t="n">
        <f aca="false">F548/F549</f>
        <v>10.6158000411076</v>
      </c>
      <c r="G550" s="13" t="n">
        <f aca="false">G548/G549</f>
        <v>12.1319133542273</v>
      </c>
    </row>
    <row r="551" customFormat="false" ht="15" hidden="false" customHeight="false" outlineLevel="0" collapsed="false">
      <c r="A551" s="5" t="s">
        <v>519</v>
      </c>
      <c r="B551" s="0" t="s">
        <v>212</v>
      </c>
      <c r="C551" s="10" t="n">
        <f aca="false">C540/C542</f>
        <v>0.623320402367356</v>
      </c>
      <c r="D551" s="10" t="n">
        <f aca="false">D540/D542</f>
        <v>0.640713064221147</v>
      </c>
      <c r="E551" s="10" t="n">
        <f aca="false">E540/E542</f>
        <v>0.697479442127972</v>
      </c>
      <c r="F551" s="10" t="n">
        <f aca="false">F540/F542</f>
        <v>0.691421760671098</v>
      </c>
      <c r="G551" s="10" t="n">
        <f aca="false">G540/G542</f>
        <v>0.685391492329042</v>
      </c>
    </row>
    <row r="560" customFormat="false" ht="17.15" hidden="false" customHeight="false" outlineLevel="0" collapsed="false">
      <c r="A560" s="3" t="s">
        <v>813</v>
      </c>
    </row>
    <row r="561" customFormat="false" ht="17.15" hidden="false" customHeight="false" outlineLevel="0" collapsed="false">
      <c r="A561" s="6" t="s">
        <v>20</v>
      </c>
      <c r="B561" s="6" t="s">
        <v>21</v>
      </c>
      <c r="C561" s="14" t="s">
        <v>499</v>
      </c>
      <c r="D561" s="14" t="s">
        <v>500</v>
      </c>
      <c r="E561" s="14" t="s">
        <v>501</v>
      </c>
      <c r="F561" s="14" t="s">
        <v>502</v>
      </c>
      <c r="G561" s="14" t="s">
        <v>503</v>
      </c>
      <c r="H561" s="6" t="s">
        <v>457</v>
      </c>
    </row>
    <row r="562" customFormat="false" ht="17.15" hidden="false" customHeight="false" outlineLevel="0" collapsed="false">
      <c r="A562" s="1" t="s">
        <v>504</v>
      </c>
    </row>
    <row r="563" customFormat="false" ht="17.15" hidden="false" customHeight="false" outlineLevel="0" collapsed="false">
      <c r="A563" s="5" t="s">
        <v>505</v>
      </c>
      <c r="B563" s="0" t="s">
        <v>31</v>
      </c>
      <c r="D563" s="17" t="n">
        <f aca="false">cy26_fl</f>
        <v>10.96762678</v>
      </c>
      <c r="E563" s="17" t="n">
        <f aca="false">k_fl*(advA_27+oflA_27)*(1+drift)^1</f>
        <v>12.7017609623656</v>
      </c>
      <c r="F563" s="17" t="n">
        <f aca="false">k_fl*(advA_28+oflA_28)*(1+drift)^2</f>
        <v>14.3015664243514</v>
      </c>
      <c r="G563" s="17" t="n">
        <f aca="false">k_fl*(advA_29+oflA_29)*(1+drift)^3</f>
        <v>15.2579633630082</v>
      </c>
      <c r="H563" s="8" t="s">
        <v>506</v>
      </c>
    </row>
    <row r="564" customFormat="false" ht="17.15" hidden="false" customHeight="false" outlineLevel="0" collapsed="false">
      <c r="A564" s="5" t="s">
        <v>507</v>
      </c>
      <c r="B564" s="0" t="s">
        <v>31</v>
      </c>
      <c r="D564" s="17" t="n">
        <f aca="false">cy26_dram</f>
        <v>4.35400138</v>
      </c>
      <c r="E564" s="17" t="n">
        <f aca="false">k_dram*dramA_27*(1+drift)^1</f>
        <v>5.89058856743509</v>
      </c>
      <c r="F564" s="17" t="n">
        <f aca="false">k_dram*dramA_28*(1+drift)^2</f>
        <v>6.58762867798361</v>
      </c>
      <c r="G564" s="17" t="n">
        <f aca="false">k_dram*dramA_29*(1+drift)^3</f>
        <v>6.83874153475859</v>
      </c>
      <c r="H564" s="8" t="s">
        <v>506</v>
      </c>
    </row>
    <row r="565" customFormat="false" ht="17.15" hidden="false" customHeight="false" outlineLevel="0" collapsed="false">
      <c r="A565" s="5" t="s">
        <v>508</v>
      </c>
      <c r="B565" s="0" t="s">
        <v>31</v>
      </c>
      <c r="D565" s="17" t="n">
        <f aca="false">cy26_nand</f>
        <v>4.50519784</v>
      </c>
      <c r="E565" s="17" t="n">
        <f aca="false">k_nand*nandA_27*(1+drift)^1</f>
        <v>5.98363389745604</v>
      </c>
      <c r="F565" s="17" t="n">
        <f aca="false">k_nand*nandA_28*(1+drift)^2</f>
        <v>6.7386123543875</v>
      </c>
      <c r="G565" s="17" t="n">
        <f aca="false">k_nand*nandA_29*(1+drift)^3</f>
        <v>7.12288205242611</v>
      </c>
      <c r="H565" s="8" t="s">
        <v>506</v>
      </c>
    </row>
    <row r="566" customFormat="false" ht="17.15" hidden="false" customHeight="false" outlineLevel="0" collapsed="false">
      <c r="A566" s="5" t="s">
        <v>509</v>
      </c>
      <c r="B566" s="0" t="s">
        <v>31</v>
      </c>
      <c r="E566" s="17" t="n">
        <f aca="false">-cn_sh*0*(E563+E564+E565)</f>
        <v>-0</v>
      </c>
      <c r="F566" s="17" t="n">
        <f aca="false">-cn_sh*0*(F563+F564+F565)</f>
        <v>-0</v>
      </c>
      <c r="G566" s="17" t="n">
        <f aca="false">-cn_sh*0*(G563+G564+G565)</f>
        <v>-0</v>
      </c>
      <c r="H566" s="5" t="s">
        <v>510</v>
      </c>
    </row>
    <row r="567" customFormat="false" ht="17.15" hidden="false" customHeight="false" outlineLevel="0" collapsed="false">
      <c r="A567" s="5" t="s">
        <v>511</v>
      </c>
      <c r="B567" s="0" t="s">
        <v>31</v>
      </c>
      <c r="D567" s="17" t="n">
        <f aca="false">SUM(D563:D566)</f>
        <v>19.826826</v>
      </c>
      <c r="E567" s="17" t="n">
        <f aca="false">SUM(E563:E566)</f>
        <v>24.5759834272568</v>
      </c>
      <c r="F567" s="17" t="n">
        <f aca="false">SUM(F563:F566)</f>
        <v>27.6278074567225</v>
      </c>
      <c r="G567" s="17" t="n">
        <f aca="false">SUM(G563:G566)</f>
        <v>29.2195869501929</v>
      </c>
    </row>
    <row r="568" customFormat="false" ht="17.15" hidden="false" customHeight="false" outlineLevel="0" collapsed="false">
      <c r="A568" s="0" t="s">
        <v>512</v>
      </c>
      <c r="B568" s="0" t="s">
        <v>31</v>
      </c>
      <c r="D568" s="17" t="n">
        <f aca="false">cy26_cs</f>
        <v>9.556318</v>
      </c>
      <c r="E568" s="17" t="n">
        <f aca="false">D568*(1+g_cs27)</f>
        <v>10.9897657</v>
      </c>
      <c r="F568" s="17" t="n">
        <f aca="false">E568*(1+g_cs_A)</f>
        <v>12.308537584</v>
      </c>
      <c r="G568" s="17" t="n">
        <f aca="false">F568*(1+g_cs_A)</f>
        <v>13.78556209408</v>
      </c>
      <c r="H568" s="8" t="s">
        <v>513</v>
      </c>
    </row>
    <row r="569" customFormat="false" ht="17.15" hidden="false" customHeight="false" outlineLevel="0" collapsed="false">
      <c r="A569" s="1" t="s">
        <v>514</v>
      </c>
    </row>
    <row r="570" customFormat="false" ht="17.15" hidden="false" customHeight="false" outlineLevel="0" collapsed="false">
      <c r="A570" s="5" t="s">
        <v>449</v>
      </c>
      <c r="B570" s="0" t="s">
        <v>31</v>
      </c>
      <c r="C570" s="17" t="n">
        <f aca="false">a25_sys</f>
        <v>11.49128</v>
      </c>
      <c r="D570" s="17" t="n">
        <f aca="false">a26_sys</f>
        <v>14.885488</v>
      </c>
      <c r="E570" s="17" t="n">
        <f aca="false">h2s26+h1s*E567</f>
        <v>24.1343877136284</v>
      </c>
      <c r="F570" s="17" t="n">
        <f aca="false">(1-h1s)*E567+h1s*F567</f>
        <v>26.1018954419896</v>
      </c>
      <c r="G570" s="17" t="n">
        <f aca="false">(1-h1s)*F567+h1s*G567</f>
        <v>28.4236972034577</v>
      </c>
      <c r="H570" s="8" t="s">
        <v>515</v>
      </c>
    </row>
    <row r="571" customFormat="false" ht="15" hidden="false" customHeight="false" outlineLevel="0" collapsed="false">
      <c r="A571" s="0" t="s">
        <v>451</v>
      </c>
      <c r="B571" s="0" t="s">
        <v>31</v>
      </c>
      <c r="C571" s="17" t="n">
        <f aca="false">a25_cs</f>
        <v>6.944311</v>
      </c>
      <c r="D571" s="17" t="n">
        <f aca="false">a26_cs</f>
        <v>8.347202</v>
      </c>
      <c r="E571" s="17" t="n">
        <f aca="false">h2c26+h1s*E568</f>
        <v>10.46790485</v>
      </c>
      <c r="F571" s="17" t="n">
        <f aca="false">(1-h1s)*E568+h1s*F568</f>
        <v>11.649151642</v>
      </c>
      <c r="G571" s="17" t="n">
        <f aca="false">(1-h1s)*F568+h1s*G568</f>
        <v>13.04704983904</v>
      </c>
    </row>
    <row r="572" customFormat="false" ht="15" hidden="false" customHeight="false" outlineLevel="0" collapsed="false">
      <c r="A572" s="5" t="s">
        <v>405</v>
      </c>
      <c r="B572" s="0" t="s">
        <v>31</v>
      </c>
      <c r="C572" s="17" t="n">
        <f aca="false">C570+C571</f>
        <v>18.435591</v>
      </c>
      <c r="D572" s="17" t="n">
        <f aca="false">D570+D571</f>
        <v>23.23269</v>
      </c>
      <c r="E572" s="17" t="n">
        <f aca="false">E570+E571</f>
        <v>34.6022925636284</v>
      </c>
      <c r="F572" s="17" t="n">
        <f aca="false">F570+F571</f>
        <v>37.7510470839896</v>
      </c>
      <c r="G572" s="17" t="n">
        <f aca="false">G570+G571</f>
        <v>41.4707470424977</v>
      </c>
    </row>
    <row r="573" customFormat="false" ht="17.15" hidden="false" customHeight="false" outlineLevel="0" collapsed="false">
      <c r="A573" s="5" t="s">
        <v>411</v>
      </c>
      <c r="B573" s="0" t="s">
        <v>212</v>
      </c>
      <c r="C573" s="10" t="n">
        <f aca="false">a25_gp/a25_rev</f>
        <v>0.487050238855917</v>
      </c>
      <c r="D573" s="10" t="n">
        <f aca="false">a26_gp/a26_rev</f>
        <v>0.504690072479769</v>
      </c>
      <c r="E573" s="10" t="n">
        <f aca="false">gm_a+gm_b*LN(E572)</f>
        <v>0.525503854044351</v>
      </c>
      <c r="F573" s="10" t="n">
        <f aca="false">gm_a+gm_b*LN(F572)</f>
        <v>0.530054366629259</v>
      </c>
      <c r="G573" s="10" t="n">
        <f aca="false">gm_a+gm_b*LN(G572)</f>
        <v>0.534964444590398</v>
      </c>
      <c r="H573" s="5" t="s">
        <v>516</v>
      </c>
    </row>
    <row r="574" customFormat="false" ht="15" hidden="false" customHeight="false" outlineLevel="0" collapsed="false">
      <c r="A574" s="5" t="s">
        <v>409</v>
      </c>
      <c r="B574" s="0" t="s">
        <v>31</v>
      </c>
      <c r="C574" s="17" t="n">
        <f aca="false">C572*C573</f>
        <v>8.979059</v>
      </c>
      <c r="D574" s="17" t="n">
        <f aca="false">D572*D573</f>
        <v>11.725308</v>
      </c>
      <c r="E574" s="17" t="n">
        <f aca="false">E572*E573</f>
        <v>18.1836381009569</v>
      </c>
      <c r="F574" s="17" t="n">
        <f aca="false">F572*F573</f>
        <v>20.0101073516955</v>
      </c>
      <c r="G574" s="17" t="n">
        <f aca="false">G572*G573</f>
        <v>22.1853751583387</v>
      </c>
    </row>
    <row r="575" customFormat="false" ht="17.15" hidden="false" customHeight="false" outlineLevel="0" collapsed="false">
      <c r="A575" s="5" t="s">
        <v>415</v>
      </c>
      <c r="B575" s="0" t="s">
        <v>31</v>
      </c>
      <c r="C575" s="17" t="n">
        <f aca="false">a25_opx</f>
        <v>3.078091</v>
      </c>
      <c r="D575" s="17" t="n">
        <f aca="false">a26_opx</f>
        <v>3.525513</v>
      </c>
      <c r="E575" s="17" t="n">
        <f aca="false">opex_fix+opex_var*E572</f>
        <v>4.14690889358399</v>
      </c>
      <c r="F575" s="17" t="n">
        <f aca="false">opex_fix+opex_var*F572</f>
        <v>4.31900137596466</v>
      </c>
      <c r="G575" s="17" t="n">
        <f aca="false">opex_fix+opex_var*G572</f>
        <v>4.52229839242993</v>
      </c>
      <c r="H575" s="5" t="s">
        <v>517</v>
      </c>
    </row>
    <row r="576" customFormat="false" ht="15" hidden="false" customHeight="false" outlineLevel="0" collapsed="false">
      <c r="A576" s="5" t="s">
        <v>417</v>
      </c>
      <c r="B576" s="0" t="s">
        <v>31</v>
      </c>
      <c r="C576" s="17" t="n">
        <f aca="false">C574-C575</f>
        <v>5.900968</v>
      </c>
      <c r="D576" s="17" t="n">
        <f aca="false">D574-D575</f>
        <v>8.199795</v>
      </c>
      <c r="E576" s="17" t="n">
        <f aca="false">E574-E575</f>
        <v>14.0367292073729</v>
      </c>
      <c r="F576" s="17" t="n">
        <f aca="false">F574-F575</f>
        <v>15.6911059757308</v>
      </c>
      <c r="G576" s="17" t="n">
        <f aca="false">G574-G575</f>
        <v>17.6630767659088</v>
      </c>
    </row>
    <row r="577" customFormat="false" ht="15" hidden="false" customHeight="false" outlineLevel="0" collapsed="false">
      <c r="A577" s="5" t="s">
        <v>418</v>
      </c>
      <c r="B577" s="0" t="s">
        <v>212</v>
      </c>
      <c r="C577" s="10" t="n">
        <f aca="false">C576/C572</f>
        <v>0.320085643036884</v>
      </c>
      <c r="D577" s="10" t="n">
        <f aca="false">D576/D572</f>
        <v>0.35294212594409</v>
      </c>
      <c r="E577" s="10" t="n">
        <f aca="false">E576/E572</f>
        <v>0.405658936660381</v>
      </c>
      <c r="F577" s="10" t="n">
        <f aca="false">F576/F572</f>
        <v>0.415646907510161</v>
      </c>
      <c r="G577" s="10" t="n">
        <f aca="false">G576/G572</f>
        <v>0.425916532147547</v>
      </c>
    </row>
    <row r="578" customFormat="false" ht="15" hidden="false" customHeight="false" outlineLevel="0" collapsed="false">
      <c r="A578" s="5" t="s">
        <v>422</v>
      </c>
      <c r="B578" s="0" t="s">
        <v>31</v>
      </c>
      <c r="C578" s="17" t="n">
        <f aca="false">a25_ni</f>
        <v>5.358217</v>
      </c>
      <c r="D578" s="17" t="n">
        <f aca="false">a26_ni</f>
        <v>7.265396</v>
      </c>
      <c r="E578" s="17" t="n">
        <f aca="false">(E576+oth_inc_hi)*(1-tax)</f>
        <v>11.8876688881564</v>
      </c>
      <c r="F578" s="17" t="n">
        <f aca="false">(F576+oth_inc_hi)*(1-tax)</f>
        <v>13.2690734897352</v>
      </c>
      <c r="G578" s="17" t="n">
        <f aca="false">(G576+oth_inc_hi)*(1-tax)</f>
        <v>14.9156690995338</v>
      </c>
    </row>
    <row r="579" customFormat="false" ht="15" hidden="false" customHeight="false" outlineLevel="0" collapsed="false">
      <c r="A579" s="5" t="s">
        <v>518</v>
      </c>
      <c r="B579" s="5" t="s">
        <v>288</v>
      </c>
      <c r="C579" s="19" t="n">
        <f aca="false">a25_dsh</f>
        <v>1.290142</v>
      </c>
      <c r="D579" s="19" t="n">
        <f aca="false">a26_dsh</f>
        <v>1.261102</v>
      </c>
      <c r="E579" s="19" t="n">
        <f aca="false">sh_27</f>
        <v>1.253</v>
      </c>
      <c r="F579" s="19" t="n">
        <f aca="false">E579*(1-bb)</f>
        <v>1.234205</v>
      </c>
      <c r="G579" s="19" t="n">
        <f aca="false">F579*(1-bb)</f>
        <v>1.215691925</v>
      </c>
    </row>
    <row r="580" customFormat="false" ht="17.15" hidden="false" customHeight="false" outlineLevel="0" collapsed="false">
      <c r="A580" s="0" t="s">
        <v>494</v>
      </c>
      <c r="B580" s="0" t="s">
        <v>308</v>
      </c>
      <c r="C580" s="13" t="n">
        <f aca="false">a25_eps</f>
        <v>4.15</v>
      </c>
      <c r="D580" s="13" t="n">
        <f aca="false">a26_eps</f>
        <v>5.76</v>
      </c>
      <c r="E580" s="13" t="n">
        <f aca="false">E578/E579</f>
        <v>9.48736543348474</v>
      </c>
      <c r="F580" s="13" t="n">
        <f aca="false">F578/F579</f>
        <v>10.7511098154158</v>
      </c>
      <c r="G580" s="13" t="n">
        <f aca="false">G578/G579</f>
        <v>12.2692836834742</v>
      </c>
    </row>
    <row r="581" customFormat="false" ht="15" hidden="false" customHeight="false" outlineLevel="0" collapsed="false">
      <c r="A581" s="5" t="s">
        <v>519</v>
      </c>
      <c r="B581" s="0" t="s">
        <v>212</v>
      </c>
      <c r="C581" s="10" t="n">
        <f aca="false">C570/C572</f>
        <v>0.623320402367356</v>
      </c>
      <c r="D581" s="10" t="n">
        <f aca="false">D570/D572</f>
        <v>0.640713064221147</v>
      </c>
      <c r="E581" s="10" t="n">
        <f aca="false">E570/E572</f>
        <v>0.697479442127972</v>
      </c>
      <c r="F581" s="10" t="n">
        <f aca="false">F570/F572</f>
        <v>0.691421760671098</v>
      </c>
      <c r="G581" s="10" t="n">
        <f aca="false">G570/G572</f>
        <v>0.685391492329042</v>
      </c>
    </row>
    <row r="584" customFormat="false" ht="17.15" hidden="false" customHeight="false" outlineLevel="0" collapsed="false">
      <c r="A584" s="3" t="s">
        <v>814</v>
      </c>
    </row>
    <row r="585" customFormat="false" ht="17.15" hidden="false" customHeight="false" outlineLevel="0" collapsed="false">
      <c r="A585" s="6" t="s">
        <v>756</v>
      </c>
      <c r="B585" s="6" t="s">
        <v>757</v>
      </c>
      <c r="C585" s="14" t="s">
        <v>815</v>
      </c>
      <c r="D585" s="14" t="s">
        <v>816</v>
      </c>
      <c r="E585" s="6" t="s">
        <v>817</v>
      </c>
      <c r="F585" s="6" t="s">
        <v>760</v>
      </c>
    </row>
    <row r="586" customFormat="false" ht="17.15" hidden="false" customHeight="false" outlineLevel="0" collapsed="false">
      <c r="A586" s="5" t="s">
        <v>23</v>
      </c>
      <c r="B586" s="0" t="s">
        <v>818</v>
      </c>
      <c r="C586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146.885495457259</v>
      </c>
      <c r="D586" s="13" t="n">
        <f aca="false">Val!B124</f>
        <v>258.83448964137</v>
      </c>
      <c r="E586" s="13" t="n">
        <f aca="false">tp_w_dcf*C586+(1-tp_w_dcf)*D586</f>
        <v>202.859992549315</v>
      </c>
      <c r="F586" s="10" t="n">
        <f aca="false">E586/E$586-1</f>
        <v>0</v>
      </c>
    </row>
    <row r="587" customFormat="false" ht="17.15" hidden="false" customHeight="false" outlineLevel="0" collapsed="false">
      <c r="A587" s="5" t="s">
        <v>819</v>
      </c>
      <c r="B587" s="0" t="s">
        <v>820</v>
      </c>
      <c r="C587" s="13" t="n">
        <f aca="false">(tp_wA*(Val!B98*(1-MIN(tp_g/tp_roe,0.8))/(1+(tp_r+0.01))^1+Val!B99*(1-MIN(tp_g/tp_roe,0.8))/(1+(tp_r+0.01))^2+Val!B100*(1-MIN(tp_g/tp_roe,0.8))/(1+(tp_r+0.01))^3+Val!B101*(1-MIN(tp_g/tp_roe,0.8))/(1+(tp_r+0.01))^4+Val!B102*(1-MIN(tp_g/tp_roe,0.8))/(1+(tp_r+0.01))^5+Val!B103*(1-MIN(tp_g/tp_roe,0.8))/(1+(tp_r+0.01))^6+Val!B103*(1-MIN(tp_g/tp_roe,0.8))*(1+tp_g)/((tp_r+0.01)-tp_g)/(1+(tp_r+0.01))^6)+tp_wB*(Val!C98*(1-MIN(tp_g/tp_roe,0.8))/(1+(tp_r+0.01))^1+Val!C99*(1-MIN(tp_g/tp_roe,0.8))/(1+(tp_r+0.01))^2+Val!C100*(1-MIN(tp_g/tp_roe,0.8))/(1+(tp_r+0.01))^3+Val!C101*(1-MIN(tp_g/tp_roe,0.8))/(1+(tp_r+0.01))^4+Val!C102*(1-MIN(tp_g/tp_roe,0.8))/(1+(tp_r+0.01))^5+Val!C103*(1-MIN(tp_g/tp_roe,0.8))/(1+(tp_r+0.01))^6+Val!C103*(1-MIN(tp_g/tp_roe,0.8))*(1+tp_g)/((tp_r+0.01)-tp_g)/(1+(tp_r+0.01))^6)+tp_wC*(Val!D98*(1-MIN(tp_g/tp_roe,0.8))/(1+(tp_r+0.01))^1+Val!D99*(1-MIN(tp_g/tp_roe,0.8))/(1+(tp_r+0.01))^2+Val!D100*(1-MIN(tp_g/tp_roe,0.8))/(1+(tp_r+0.01))^3+Val!D101*(1-MIN(tp_g/tp_roe,0.8))/(1+(tp_r+0.01))^4+Val!D102*(1-MIN(tp_g/tp_roe,0.8))/(1+(tp_r+0.01))^5+Val!D103*(1-MIN(tp_g/tp_roe,0.8))/(1+(tp_r+0.01))^6+Val!D103*(1-MIN(tp_g/tp_roe,0.8))*(1+tp_g)/((tp_r+0.01)-tp_g)/(1+(tp_r+0.01))^6))*(1+(tp_r+0.01))</f>
        <v>127.484936624092</v>
      </c>
      <c r="D587" s="13" t="n">
        <f aca="false">Val!B124</f>
        <v>258.83448964137</v>
      </c>
      <c r="E587" s="13" t="n">
        <f aca="false">tp_w_dcf*C587+(1-tp_w_dcf)*D587</f>
        <v>193.159713132731</v>
      </c>
      <c r="F587" s="10" t="n">
        <f aca="false">E587/E$586-1</f>
        <v>-0.047817607083</v>
      </c>
    </row>
    <row r="588" customFormat="false" ht="17.15" hidden="false" customHeight="false" outlineLevel="0" collapsed="false">
      <c r="A588" s="5" t="s">
        <v>821</v>
      </c>
      <c r="B588" s="0" t="s">
        <v>822</v>
      </c>
      <c r="C588" s="13" t="n">
        <f aca="false">(tp_wA*(Val!B98*(1-MIN(tp_g/tp_roe,0.8))/(1+(tp_r-0.01))^1+Val!B99*(1-MIN(tp_g/tp_roe,0.8))/(1+(tp_r-0.01))^2+Val!B100*(1-MIN(tp_g/tp_roe,0.8))/(1+(tp_r-0.01))^3+Val!B101*(1-MIN(tp_g/tp_roe,0.8))/(1+(tp_r-0.01))^4+Val!B102*(1-MIN(tp_g/tp_roe,0.8))/(1+(tp_r-0.01))^5+Val!B103*(1-MIN(tp_g/tp_roe,0.8))/(1+(tp_r-0.01))^6+Val!B103*(1-MIN(tp_g/tp_roe,0.8))*(1+tp_g)/((tp_r-0.01)-tp_g)/(1+(tp_r-0.01))^6)+tp_wB*(Val!C98*(1-MIN(tp_g/tp_roe,0.8))/(1+(tp_r-0.01))^1+Val!C99*(1-MIN(tp_g/tp_roe,0.8))/(1+(tp_r-0.01))^2+Val!C100*(1-MIN(tp_g/tp_roe,0.8))/(1+(tp_r-0.01))^3+Val!C101*(1-MIN(tp_g/tp_roe,0.8))/(1+(tp_r-0.01))^4+Val!C102*(1-MIN(tp_g/tp_roe,0.8))/(1+(tp_r-0.01))^5+Val!C103*(1-MIN(tp_g/tp_roe,0.8))/(1+(tp_r-0.01))^6+Val!C103*(1-MIN(tp_g/tp_roe,0.8))*(1+tp_g)/((tp_r-0.01)-tp_g)/(1+(tp_r-0.01))^6)+tp_wC*(Val!D98*(1-MIN(tp_g/tp_roe,0.8))/(1+(tp_r-0.01))^1+Val!D99*(1-MIN(tp_g/tp_roe,0.8))/(1+(tp_r-0.01))^2+Val!D100*(1-MIN(tp_g/tp_roe,0.8))/(1+(tp_r-0.01))^3+Val!D101*(1-MIN(tp_g/tp_roe,0.8))/(1+(tp_r-0.01))^4+Val!D102*(1-MIN(tp_g/tp_roe,0.8))/(1+(tp_r-0.01))^5+Val!D103*(1-MIN(tp_g/tp_roe,0.8))/(1+(tp_r-0.01))^6+Val!D103*(1-MIN(tp_g/tp_roe,0.8))*(1+tp_g)/((tp_r-0.01)-tp_g)/(1+(tp_r-0.01))^6))*(1+(tp_r-0.01))</f>
        <v>174.029071561665</v>
      </c>
      <c r="D588" s="13" t="n">
        <f aca="false">Val!B124</f>
        <v>258.83448964137</v>
      </c>
      <c r="E588" s="13" t="n">
        <f aca="false">tp_w_dcf*C588+(1-tp_w_dcf)*D588</f>
        <v>216.431780601518</v>
      </c>
      <c r="F588" s="10" t="n">
        <f aca="false">E588/E$586-1</f>
        <v>0.0669022407111828</v>
      </c>
    </row>
    <row r="589" customFormat="false" ht="17.15" hidden="false" customHeight="false" outlineLevel="0" collapsed="false">
      <c r="A589" s="5" t="s">
        <v>823</v>
      </c>
      <c r="B589" s="0" t="s">
        <v>824</v>
      </c>
      <c r="C589" s="13" t="n">
        <f aca="false">(tp_wA*(Val!B98*(1-MIN((tp_g+0.01)/tp_roe,0.8))/(1+tp_r)^1+Val!B99*(1-MIN((tp_g+0.01)/tp_roe,0.8))/(1+tp_r)^2+Val!B100*(1-MIN((tp_g+0.01)/tp_roe,0.8))/(1+tp_r)^3+Val!B101*(1-MIN((tp_g+0.01)/tp_roe,0.8))/(1+tp_r)^4+Val!B102*(1-MIN((tp_g+0.01)/tp_roe,0.8))/(1+tp_r)^5+Val!B103*(1-MIN((tp_g+0.01)/tp_roe,0.8))/(1+tp_r)^6+Val!B103*(1-MIN((tp_g+0.01)/tp_roe,0.8))*(1+(tp_g+0.01))/(tp_r-(tp_g+0.01))/(1+tp_r)^6)+tp_wB*(Val!C98*(1-MIN((tp_g+0.01)/tp_roe,0.8))/(1+tp_r)^1+Val!C99*(1-MIN((tp_g+0.01)/tp_roe,0.8))/(1+tp_r)^2+Val!C100*(1-MIN((tp_g+0.01)/tp_roe,0.8))/(1+tp_r)^3+Val!C101*(1-MIN((tp_g+0.01)/tp_roe,0.8))/(1+tp_r)^4+Val!C102*(1-MIN((tp_g+0.01)/tp_roe,0.8))/(1+tp_r)^5+Val!C103*(1-MIN((tp_g+0.01)/tp_roe,0.8))/(1+tp_r)^6+Val!C103*(1-MIN((tp_g+0.01)/tp_roe,0.8))*(1+(tp_g+0.01))/(tp_r-(tp_g+0.01))/(1+tp_r)^6)+tp_wC*(Val!D98*(1-MIN((tp_g+0.01)/tp_roe,0.8))/(1+tp_r)^1+Val!D99*(1-MIN((tp_g+0.01)/tp_roe,0.8))/(1+tp_r)^2+Val!D100*(1-MIN((tp_g+0.01)/tp_roe,0.8))/(1+tp_r)^3+Val!D101*(1-MIN((tp_g+0.01)/tp_roe,0.8))/(1+tp_r)^4+Val!D102*(1-MIN((tp_g+0.01)/tp_roe,0.8))/(1+tp_r)^5+Val!D103*(1-MIN((tp_g+0.01)/tp_roe,0.8))/(1+tp_r)^6+Val!D103*(1-MIN((tp_g+0.01)/tp_roe,0.8))*(1+(tp_g+0.01))/(tp_r-(tp_g+0.01))/(1+tp_r)^6))*(1+tp_r)</f>
        <v>165.315494338033</v>
      </c>
      <c r="D589" s="13" t="n">
        <f aca="false">Val!B124</f>
        <v>258.83448964137</v>
      </c>
      <c r="E589" s="13" t="n">
        <f aca="false">tp_w_dcf*C589+(1-tp_w_dcf)*D589</f>
        <v>212.074991989702</v>
      </c>
      <c r="F589" s="10" t="n">
        <f aca="false">E589/E$586-1</f>
        <v>0.045425415453207</v>
      </c>
    </row>
    <row r="590" customFormat="false" ht="17.15" hidden="false" customHeight="false" outlineLevel="0" collapsed="false">
      <c r="A590" s="5" t="s">
        <v>825</v>
      </c>
      <c r="B590" s="0" t="s">
        <v>826</v>
      </c>
      <c r="C590" s="13" t="n">
        <f aca="false">(tp_wA*(Val!B98*(1-MIN((tp_g-0.01)/tp_roe,0.8))/(1+tp_r)^1+Val!B99*(1-MIN((tp_g-0.01)/tp_roe,0.8))/(1+tp_r)^2+Val!B100*(1-MIN((tp_g-0.01)/tp_roe,0.8))/(1+tp_r)^3+Val!B101*(1-MIN((tp_g-0.01)/tp_roe,0.8))/(1+tp_r)^4+Val!B102*(1-MIN((tp_g-0.01)/tp_roe,0.8))/(1+tp_r)^5+Val!B103*(1-MIN((tp_g-0.01)/tp_roe,0.8))/(1+tp_r)^6+Val!B103*(1-MIN((tp_g-0.01)/tp_roe,0.8))*(1+(tp_g-0.01))/(tp_r-(tp_g-0.01))/(1+tp_r)^6)+tp_wB*(Val!C98*(1-MIN((tp_g-0.01)/tp_roe,0.8))/(1+tp_r)^1+Val!C99*(1-MIN((tp_g-0.01)/tp_roe,0.8))/(1+tp_r)^2+Val!C100*(1-MIN((tp_g-0.01)/tp_roe,0.8))/(1+tp_r)^3+Val!C101*(1-MIN((tp_g-0.01)/tp_roe,0.8))/(1+tp_r)^4+Val!C102*(1-MIN((tp_g-0.01)/tp_roe,0.8))/(1+tp_r)^5+Val!C103*(1-MIN((tp_g-0.01)/tp_roe,0.8))/(1+tp_r)^6+Val!C103*(1-MIN((tp_g-0.01)/tp_roe,0.8))*(1+(tp_g-0.01))/(tp_r-(tp_g-0.01))/(1+tp_r)^6)+tp_wC*(Val!D98*(1-MIN((tp_g-0.01)/tp_roe,0.8))/(1+tp_r)^1+Val!D99*(1-MIN((tp_g-0.01)/tp_roe,0.8))/(1+tp_r)^2+Val!D100*(1-MIN((tp_g-0.01)/tp_roe,0.8))/(1+tp_r)^3+Val!D101*(1-MIN((tp_g-0.01)/tp_roe,0.8))/(1+tp_r)^4+Val!D102*(1-MIN((tp_g-0.01)/tp_roe,0.8))/(1+tp_r)^5+Val!D103*(1-MIN((tp_g-0.01)/tp_roe,0.8))/(1+tp_r)^6+Val!D103*(1-MIN((tp_g-0.01)/tp_roe,0.8))*(1+(tp_g-0.01))/(tp_r-(tp_g-0.01))/(1+tp_r)^6))*(1+tp_r)</f>
        <v>133.932114158512</v>
      </c>
      <c r="D590" s="13" t="n">
        <f aca="false">Val!B124</f>
        <v>258.83448964137</v>
      </c>
      <c r="E590" s="13" t="n">
        <f aca="false">tp_w_dcf*C590+(1-tp_w_dcf)*D590</f>
        <v>196.383301899941</v>
      </c>
      <c r="F590" s="10" t="n">
        <f aca="false">E590/E$586-1</f>
        <v>-0.0319268997695494</v>
      </c>
    </row>
    <row r="591" customFormat="false" ht="17.15" hidden="false" customHeight="false" outlineLevel="0" collapsed="false">
      <c r="A591" s="0" t="s">
        <v>827</v>
      </c>
      <c r="B591" s="0" t="s">
        <v>828</v>
      </c>
      <c r="C591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146.885495457259</v>
      </c>
      <c r="D591" s="13" t="n">
        <f aca="false">Val!B124</f>
        <v>258.83448964137</v>
      </c>
      <c r="E591" s="13" t="n">
        <f aca="false">0.4*C591+(1-0.4)*D591</f>
        <v>214.054891967726</v>
      </c>
      <c r="F591" s="10" t="n">
        <f aca="false">E591/E$586-1</f>
        <v>0.055185348662032</v>
      </c>
    </row>
    <row r="592" customFormat="false" ht="17.15" hidden="false" customHeight="false" outlineLevel="0" collapsed="false">
      <c r="A592" s="0" t="s">
        <v>829</v>
      </c>
      <c r="B592" s="0" t="s">
        <v>830</v>
      </c>
      <c r="C592" s="13" t="n">
        <f aca="false">(tp_wA*(Val!B98*(1-MIN(tp_g/tp_roe,0.8))/(1+tp_r)^1+Val!B99*(1-MIN(tp_g/tp_roe,0.8))/(1+tp_r)^2+Val!B100*(1-MIN(tp_g/tp_roe,0.8))/(1+tp_r)^3+Val!B101*(1-MIN(tp_g/tp_roe,0.8))/(1+tp_r)^4+Val!B102*(1-MIN(tp_g/tp_roe,0.8))/(1+tp_r)^5+Val!B103*(1-MIN(tp_g/tp_roe,0.8))/(1+tp_r)^6+Val!B103*(1-MIN(tp_g/tp_roe,0.8))*(1+tp_g)/(tp_r-tp_g)/(1+tp_r)^6)+tp_wB*(Val!C98*(1-MIN(tp_g/tp_roe,0.8))/(1+tp_r)^1+Val!C99*(1-MIN(tp_g/tp_roe,0.8))/(1+tp_r)^2+Val!C100*(1-MIN(tp_g/tp_roe,0.8))/(1+tp_r)^3+Val!C101*(1-MIN(tp_g/tp_roe,0.8))/(1+tp_r)^4+Val!C102*(1-MIN(tp_g/tp_roe,0.8))/(1+tp_r)^5+Val!C103*(1-MIN(tp_g/tp_roe,0.8))/(1+tp_r)^6+Val!C103*(1-MIN(tp_g/tp_roe,0.8))*(1+tp_g)/(tp_r-tp_g)/(1+tp_r)^6)+tp_wC*(Val!D98*(1-MIN(tp_g/tp_roe,0.8))/(1+tp_r)^1+Val!D99*(1-MIN(tp_g/tp_roe,0.8))/(1+tp_r)^2+Val!D100*(1-MIN(tp_g/tp_roe,0.8))/(1+tp_r)^3+Val!D101*(1-MIN(tp_g/tp_roe,0.8))/(1+tp_r)^4+Val!D102*(1-MIN(tp_g/tp_roe,0.8))/(1+tp_r)^5+Val!D103*(1-MIN(tp_g/tp_roe,0.8))/(1+tp_r)^6+Val!D103*(1-MIN(tp_g/tp_roe,0.8))*(1+tp_g)/(tp_r-tp_g)/(1+tp_r)^6))*(1+tp_r)</f>
        <v>146.885495457259</v>
      </c>
      <c r="D592" s="13" t="n">
        <f aca="false">Val!B124</f>
        <v>258.83448964137</v>
      </c>
      <c r="E592" s="13" t="n">
        <f aca="false">0.8*C592+(1-0.8)*D592</f>
        <v>169.275294294081</v>
      </c>
      <c r="F592" s="10" t="n">
        <f aca="false">E592/E$586-1</f>
        <v>-0.165556045986096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831</v>
      </c>
    </row>
    <row r="2" customFormat="false" ht="17.15" hidden="false" customHeight="false" outlineLevel="0" collapsed="false">
      <c r="A2" s="5" t="s">
        <v>832</v>
      </c>
      <c r="B2" s="0" t="s">
        <v>833</v>
      </c>
    </row>
    <row r="3" customFormat="false" ht="17.15" hidden="false" customHeight="false" outlineLevel="0" collapsed="false">
      <c r="A3" s="5" t="s">
        <v>834</v>
      </c>
      <c r="B3" s="0" t="s">
        <v>835</v>
      </c>
    </row>
    <row r="4" customFormat="false" ht="17.15" hidden="false" customHeight="false" outlineLevel="0" collapsed="false">
      <c r="A4" s="5" t="s">
        <v>836</v>
      </c>
      <c r="B4" s="0" t="s">
        <v>837</v>
      </c>
    </row>
    <row r="5" customFormat="false" ht="17.15" hidden="false" customHeight="false" outlineLevel="0" collapsed="false">
      <c r="A5" s="5" t="s">
        <v>838</v>
      </c>
      <c r="B5" s="0" t="s">
        <v>839</v>
      </c>
    </row>
    <row r="6" customFormat="false" ht="17.15" hidden="false" customHeight="false" outlineLevel="0" collapsed="false">
      <c r="A6" s="5" t="s">
        <v>840</v>
      </c>
      <c r="B6" s="0" t="s">
        <v>841</v>
      </c>
    </row>
    <row r="7" customFormat="false" ht="17.15" hidden="false" customHeight="false" outlineLevel="0" collapsed="false">
      <c r="A7" s="5" t="s">
        <v>842</v>
      </c>
      <c r="B7" s="0" t="s">
        <v>843</v>
      </c>
    </row>
    <row r="8" customFormat="false" ht="17.15" hidden="false" customHeight="false" outlineLevel="0" collapsed="false">
      <c r="A8" s="5" t="s">
        <v>844</v>
      </c>
      <c r="B8" s="0" t="s">
        <v>845</v>
      </c>
    </row>
    <row r="9" customFormat="false" ht="17.15" hidden="false" customHeight="false" outlineLevel="0" collapsed="false">
      <c r="A9" s="5" t="s">
        <v>846</v>
      </c>
      <c r="B9" s="0" t="s">
        <v>847</v>
      </c>
    </row>
    <row r="10" customFormat="false" ht="17.15" hidden="false" customHeight="false" outlineLevel="0" collapsed="false">
      <c r="A10" s="5" t="s">
        <v>848</v>
      </c>
      <c r="B10" s="0" t="s">
        <v>849</v>
      </c>
    </row>
    <row r="11" customFormat="false" ht="17.15" hidden="false" customHeight="false" outlineLevel="0" collapsed="false">
      <c r="A11" s="0" t="s">
        <v>850</v>
      </c>
      <c r="B11" s="0" t="s">
        <v>851</v>
      </c>
    </row>
    <row r="12" customFormat="false" ht="17.15" hidden="false" customHeight="false" outlineLevel="0" collapsed="false">
      <c r="A12" s="0" t="s">
        <v>852</v>
      </c>
      <c r="B12" s="0" t="s">
        <v>853</v>
      </c>
    </row>
    <row r="13" customFormat="false" ht="17.15" hidden="false" customHeight="false" outlineLevel="0" collapsed="false">
      <c r="A13" s="0" t="s">
        <v>854</v>
      </c>
      <c r="B13" s="0" t="s">
        <v>855</v>
      </c>
    </row>
    <row r="14" customFormat="false" ht="17.15" hidden="false" customHeight="false" outlineLevel="0" collapsed="false">
      <c r="A14" s="0" t="s">
        <v>856</v>
      </c>
      <c r="B14" s="0" t="s">
        <v>857</v>
      </c>
    </row>
    <row r="15" customFormat="false" ht="17.15" hidden="false" customHeight="false" outlineLevel="0" collapsed="false">
      <c r="A15" s="0" t="s">
        <v>858</v>
      </c>
      <c r="B15" s="0" t="s">
        <v>859</v>
      </c>
    </row>
    <row r="16" customFormat="false" ht="17.15" hidden="false" customHeight="false" outlineLevel="0" collapsed="false">
      <c r="A16" s="0" t="s">
        <v>860</v>
      </c>
      <c r="B16" s="0" t="s">
        <v>861</v>
      </c>
    </row>
    <row r="17" customFormat="false" ht="17.15" hidden="false" customHeight="false" outlineLevel="0" collapsed="false">
      <c r="A17" s="0" t="s">
        <v>862</v>
      </c>
      <c r="B17" s="0" t="s">
        <v>863</v>
      </c>
    </row>
    <row r="18" customFormat="false" ht="17.15" hidden="false" customHeight="false" outlineLevel="0" collapsed="false">
      <c r="A18" s="0" t="s">
        <v>864</v>
      </c>
      <c r="B18" s="0" t="s">
        <v>865</v>
      </c>
    </row>
    <row r="19" customFormat="false" ht="17.15" hidden="false" customHeight="false" outlineLevel="0" collapsed="false">
      <c r="A19" s="0" t="s">
        <v>866</v>
      </c>
      <c r="B19" s="0" t="s">
        <v>867</v>
      </c>
    </row>
    <row r="20" customFormat="false" ht="17.15" hidden="false" customHeight="false" outlineLevel="0" collapsed="false">
      <c r="A20" s="0" t="s">
        <v>868</v>
      </c>
      <c r="B20" s="0" t="s">
        <v>869</v>
      </c>
    </row>
    <row r="21" customFormat="false" ht="17.15" hidden="false" customHeight="false" outlineLevel="0" collapsed="false">
      <c r="A21" s="0" t="s">
        <v>870</v>
      </c>
      <c r="B21" s="0" t="s">
        <v>871</v>
      </c>
    </row>
    <row r="22" customFormat="false" ht="17.15" hidden="false" customHeight="false" outlineLevel="0" collapsed="false">
      <c r="A22" s="0" t="s">
        <v>872</v>
      </c>
      <c r="B22" s="0" t="s">
        <v>873</v>
      </c>
    </row>
    <row r="23" customFormat="false" ht="17.15" hidden="false" customHeight="false" outlineLevel="0" collapsed="false">
      <c r="A23" s="5" t="s">
        <v>874</v>
      </c>
      <c r="B23" s="0" t="s">
        <v>875</v>
      </c>
    </row>
    <row r="24" customFormat="false" ht="15" hidden="false" customHeight="false" outlineLevel="0" collapsed="false">
      <c r="A24" s="0" t="s">
        <v>876</v>
      </c>
      <c r="B24" s="5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2026-10-25T07:44:19Z</dcterms:created>
  <dc:creator>openpyxl</dc:creator>
  <dc:description/>
  <dc:language>en-US</dc:language>
  <cp:lastModifiedBy/>
  <dcterms:modified xsi:type="dcterms:W3CDTF">2026-10-25T07:44:19Z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