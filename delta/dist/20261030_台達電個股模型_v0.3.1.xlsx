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p" vbProcedure="false">Q!$B$17</definedName>
    <definedName function="false" hidden="false" name="a25_aipx" vbProcedure="false">Q!$B$20</definedName>
    <definedName function="false" hidden="false" name="a25_au" vbProcedure="false">Q!$B$34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inf" vbProcedure="false">Q!$B$35</definedName>
    <definedName function="false" hidden="false" name="a25_lc" vbProcedure="false">Q!$B$18</definedName>
    <definedName function="false" hidden="false" name="a25_mo" vbProcedure="false">Q!$B$33</definedName>
    <definedName function="false" hidden="false" name="a25_nai" vbProcedure="false">Q!$B$19</definedName>
    <definedName function="false" hidden="false" name="a25_naix" vbProcedure="false">Q!$B$21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e" vbProcedure="false">Q!$B$32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p" vbProcedure="false">Q!$F$17</definedName>
    <definedName function="false" hidden="false" name="a26_aipx" vbProcedure="false">Q!$F$20</definedName>
    <definedName function="false" hidden="false" name="a26_au" vbProcedure="false">Q!$F$34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inf" vbProcedure="false">Q!$F$35</definedName>
    <definedName function="false" hidden="false" name="a26_lc" vbProcedure="false">Q!$F$18</definedName>
    <definedName function="false" hidden="false" name="a26_mo" vbProcedure="false">Q!$F$33</definedName>
    <definedName function="false" hidden="false" name="a26_nai" vbProcedure="false">Q!$F$19</definedName>
    <definedName function="false" hidden="false" name="a26_naix" vbProcedure="false">Q!$F$21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e" vbProcedure="false">Q!$F$32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In!$E$33</definedName>
    <definedName function="false" hidden="false" name="ai_26" vbProcedure="false">In!$E$34</definedName>
    <definedName function="false" hidden="false" name="ai_26_hi" vbProcedure="false">In!$F$34</definedName>
    <definedName function="false" hidden="false" name="ai_26_lo" vbProcedure="false">In!$D$34</definedName>
    <definedName function="false" hidden="false" name="b_eps26a" vbProcedure="false">In!$E$77</definedName>
    <definedName function="false" hidden="false" name="b_eps26b" vbProcedure="false">In!$E$78</definedName>
    <definedName function="false" hidden="false" name="b_eps27a" vbProcedure="false">In!$E$79</definedName>
    <definedName function="false" hidden="false" name="b_eps27b" vbProcedure="false">In!$E$80</definedName>
    <definedName function="false" hidden="false" name="b_eps27c" vbProcedure="false">In!$E$81</definedName>
    <definedName function="false" hidden="false" name="b_rev26" vbProcedure="false">In!$E$76</definedName>
    <definedName function="false" hidden="false" name="b_rev27" vbProcedure="false">In!$E$82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vr" vbProcedure="false">In!$E$13</definedName>
    <definedName function="false" hidden="false" name="cx_r" vbProcedure="false">In!$E$108</definedName>
    <definedName function="false" hidden="false" name="da_r" vbProcedure="false">In!$E$107</definedName>
    <definedName function="false" hidden="false" name="d_ai" vbProcedure="false">In!$E$59</definedName>
    <definedName function="false" hidden="false" name="d_ai_hi" vbProcedure="false">In!$F$59</definedName>
    <definedName function="false" hidden="false" name="d_ai_lo" vbProcedure="false">In!$D$59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_au27" vbProcedure="false">In!$E$52</definedName>
    <definedName function="false" hidden="false" name="g_au27_hi" vbProcedure="false">In!$F$52</definedName>
    <definedName function="false" hidden="false" name="g_au27_lo" vbProcedure="false">In!$D$52</definedName>
    <definedName function="false" hidden="false" name="g_au28" vbProcedure="false">In!$E$53</definedName>
    <definedName function="false" hidden="false" name="g_au28_hi" vbProcedure="false">In!$F$53</definedName>
    <definedName function="false" hidden="false" name="g_au28_lo" vbProcedure="false">In!$D$53</definedName>
    <definedName function="false" hidden="false" name="g_au29" vbProcedure="false">In!$E$54</definedName>
    <definedName function="false" hidden="false" name="g_au29_hi" vbProcedure="false">In!$F$54</definedName>
    <definedName function="false" hidden="false" name="g_au29_lo" vbProcedure="false">In!$D$54</definedName>
    <definedName function="false" hidden="false" name="g_auHI27" vbProcedure="false">In!$F$52</definedName>
    <definedName function="false" hidden="false" name="g_auHI28" vbProcedure="false">In!$F$53</definedName>
    <definedName function="false" hidden="false" name="g_auHI29" vbProcedure="false">In!$F$54</definedName>
    <definedName function="false" hidden="false" name="g_auLO27" vbProcedure="false">In!$D$52</definedName>
    <definedName function="false" hidden="false" name="g_auLO28" vbProcedure="false">In!$D$53</definedName>
    <definedName function="false" hidden="false" name="g_auLO29" vbProcedure="false">In!$D$54</definedName>
    <definedName function="false" hidden="false" name="g_inf27" vbProcedure="false">In!$E$49</definedName>
    <definedName function="false" hidden="false" name="g_inf27_hi" vbProcedure="false">In!$F$49</definedName>
    <definedName function="false" hidden="false" name="g_inf27_lo" vbProcedure="false">In!$D$49</definedName>
    <definedName function="false" hidden="false" name="g_inf28" vbProcedure="false">In!$E$50</definedName>
    <definedName function="false" hidden="false" name="g_inf28_hi" vbProcedure="false">In!$F$50</definedName>
    <definedName function="false" hidden="false" name="g_inf28_lo" vbProcedure="false">In!$D$50</definedName>
    <definedName function="false" hidden="false" name="g_inf29" vbProcedure="false">In!$E$51</definedName>
    <definedName function="false" hidden="false" name="g_inf29_hi" vbProcedure="false">In!$F$51</definedName>
    <definedName function="false" hidden="false" name="g_inf29_lo" vbProcedure="false">In!$D$51</definedName>
    <definedName function="false" hidden="false" name="g_infHI27" vbProcedure="false">In!$F$49</definedName>
    <definedName function="false" hidden="false" name="g_infHI28" vbProcedure="false">In!$F$50</definedName>
    <definedName function="false" hidden="false" name="g_infHI29" vbProcedure="false">In!$F$51</definedName>
    <definedName function="false" hidden="false" name="g_infLO27" vbProcedure="false">In!$D$49</definedName>
    <definedName function="false" hidden="false" name="g_infLO28" vbProcedure="false">In!$D$50</definedName>
    <definedName function="false" hidden="false" name="g_infLO29" vbProcedure="false">In!$D$51</definedName>
    <definedName function="false" hidden="false" name="g_mo27" vbProcedure="false">In!$E$55</definedName>
    <definedName function="false" hidden="false" name="g_mo27_hi" vbProcedure="false">In!$F$55</definedName>
    <definedName function="false" hidden="false" name="g_mo27_lo" vbProcedure="false">In!$D$55</definedName>
    <definedName function="false" hidden="false" name="g_mo28" vbProcedure="false">In!$E$56</definedName>
    <definedName function="false" hidden="false" name="g_mo28_hi" vbProcedure="false">In!$F$56</definedName>
    <definedName function="false" hidden="false" name="g_mo28_lo" vbProcedure="false">In!$D$56</definedName>
    <definedName function="false" hidden="false" name="g_mo29" vbProcedure="false">In!$E$57</definedName>
    <definedName function="false" hidden="false" name="g_mo29_hi" vbProcedure="false">In!$F$57</definedName>
    <definedName function="false" hidden="false" name="g_mo29_lo" vbProcedure="false">In!$D$57</definedName>
    <definedName function="false" hidden="false" name="g_moHI27" vbProcedure="false">In!$F$55</definedName>
    <definedName function="false" hidden="false" name="g_moHI28" vbProcedure="false">In!$F$56</definedName>
    <definedName function="false" hidden="false" name="g_moHI29" vbProcedure="false">In!$F$57</definedName>
    <definedName function="false" hidden="false" name="g_moLO27" vbProcedure="false">In!$D$55</definedName>
    <definedName function="false" hidden="false" name="g_moLO28" vbProcedure="false">In!$D$56</definedName>
    <definedName function="false" hidden="false" name="g_moLO29" vbProcedure="false">In!$D$57</definedName>
    <definedName function="false" hidden="false" name="g_pe27" vbProcedure="false">In!$E$46</definedName>
    <definedName function="false" hidden="false" name="g_pe27_hi" vbProcedure="false">In!$F$46</definedName>
    <definedName function="false" hidden="false" name="g_pe27_lo" vbProcedure="false">In!$D$46</definedName>
    <definedName function="false" hidden="false" name="g_pe28" vbProcedure="false">In!$E$47</definedName>
    <definedName function="false" hidden="false" name="g_pe28_hi" vbProcedure="false">In!$F$47</definedName>
    <definedName function="false" hidden="false" name="g_pe28_lo" vbProcedure="false">In!$D$47</definedName>
    <definedName function="false" hidden="false" name="g_pe29" vbProcedure="false">In!$E$48</definedName>
    <definedName function="false" hidden="false" name="g_pe29_hi" vbProcedure="false">In!$F$48</definedName>
    <definedName function="false" hidden="false" name="g_pe29_lo" vbProcedure="false">In!$D$48</definedName>
    <definedName function="false" hidden="false" name="g_peHI27" vbProcedure="false">In!$F$46</definedName>
    <definedName function="false" hidden="false" name="g_peHI28" vbProcedure="false">In!$F$47</definedName>
    <definedName function="false" hidden="false" name="g_peHI29" vbProcedure="false">In!$F$48</definedName>
    <definedName function="false" hidden="false" name="g_peLO27" vbProcedure="false">In!$D$46</definedName>
    <definedName function="false" hidden="false" name="g_peLO28" vbProcedure="false">In!$D$47</definedName>
    <definedName function="false" hidden="false" name="g_peLO29" vbProcedure="false">In!$D$48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sh" vbProcedure="false">In!$E$85</definedName>
    <definedName function="false" hidden="false" name="LCHI_27" vbProcedure="false">In!$F$29</definedName>
    <definedName function="false" hidden="false" name="LCHI_28" vbProcedure="false">In!$F$30</definedName>
    <definedName function="false" hidden="false" name="LCHI_29" vbProcedure="false">In!$F$31</definedName>
    <definedName function="false" hidden="false" name="LCLO_27" vbProcedure="false">In!$D$29</definedName>
    <definedName function="false" hidden="false" name="LCLO_28" vbProcedure="false">In!$D$30</definedName>
    <definedName function="false" hidden="false" name="LCLO_29" vbProcedure="false">In!$D$31</definedName>
    <definedName function="false" hidden="false" name="lcr_27" vbProcedure="false">In!$E$29</definedName>
    <definedName function="false" hidden="false" name="lcr_27_hi" vbProcedure="false">In!$F$29</definedName>
    <definedName function="false" hidden="false" name="lcr_27_lo" vbProcedure="false">In!$D$29</definedName>
    <definedName function="false" hidden="false" name="lcr_28" vbProcedure="false">In!$E$30</definedName>
    <definedName function="false" hidden="false" name="lcr_28_hi" vbProcedure="false">In!$F$30</definedName>
    <definedName function="false" hidden="false" name="lcr_28_lo" vbProcedure="false">In!$D$30</definedName>
    <definedName function="false" hidden="false" name="lcr_29" vbProcedure="false">In!$E$31</definedName>
    <definedName function="false" hidden="false" name="lcr_29_hi" vbProcedure="false">In!$F$31</definedName>
    <definedName function="false" hidden="false" name="lcr_29_lo" vbProcedure="false">In!$D$31</definedName>
    <definedName function="false" hidden="false" name="lc_25" vbProcedure="false">In!$E$35</definedName>
    <definedName function="false" hidden="false" name="lc_26" vbProcedure="false">In!$E$36</definedName>
    <definedName function="false" hidden="false" name="lc_26_hi" vbProcedure="false">In!$F$36</definedName>
    <definedName function="false" hidden="false" name="lc_26_lo" vbProcedure="false">In!$D$36</definedName>
    <definedName function="false" hidden="false" name="mf" vbProcedure="false">In!$E$74</definedName>
    <definedName function="false" hidden="false" name="mf_hi" vbProcedure="false">In!$F$74</definedName>
    <definedName function="false" hidden="false" name="mf_lo" vbProcedure="false">In!$D$74</definedName>
    <definedName function="false" hidden="false" name="nim10_f" vbProcedure="false">In!$E$102</definedName>
    <definedName function="false" hidden="false" name="nir_f" vbProcedure="false">In!$E$72</definedName>
    <definedName function="false" hidden="false" name="nir_f_hi" vbProcedure="false">In!$F$72</definedName>
    <definedName function="false" hidden="false" name="nir_f_lo" vbProcedure="false">In!$D$72</definedName>
    <definedName function="false" hidden="false" name="nop_f" vbProcedure="false">In!$E$71</definedName>
    <definedName function="false" hidden="false" name="nop_f_hi" vbProcedure="false">In!$F$71</definedName>
    <definedName function="false" hidden="false" name="nop_f_lo" vbProcedure="false">In!$D$71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pe_fair_andy" vbProcedure="false">In!$E$86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In!$E$89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KHI_26" vbProcedure="false">In!$F$22</definedName>
    <definedName function="false" hidden="false" name="PKHI_27" vbProcedure="false">In!$F$23</definedName>
    <definedName function="false" hidden="false" name="PKHI_28" vbProcedure="false">In!$F$24</definedName>
    <definedName function="false" hidden="false" name="PKHI_29" vbProcedure="false">In!$F$25</definedName>
    <definedName function="false" hidden="false" name="PKLO_26" vbProcedure="false">In!$D$22</definedName>
    <definedName function="false" hidden="false" name="PKLO_27" vbProcedure="false">In!$D$23</definedName>
    <definedName function="false" hidden="false" name="PKLO_28" vbProcedure="false">In!$D$24</definedName>
    <definedName function="false" hidden="false" name="PKLO_29" vbProcedure="false">In!$D$25</definedName>
    <definedName function="false" hidden="false" name="pkw_26" vbProcedure="false">In!$E$22</definedName>
    <definedName function="false" hidden="false" name="pkw_26_hi" vbProcedure="false">In!$F$22</definedName>
    <definedName function="false" hidden="false" name="pkw_26_lo" vbProcedure="false">In!$D$22</definedName>
    <definedName function="false" hidden="false" name="pkw_27" vbProcedure="false">In!$E$23</definedName>
    <definedName function="false" hidden="false" name="pkw_27_hi" vbProcedure="false">In!$F$23</definedName>
    <definedName function="false" hidden="false" name="pkw_27_lo" vbProcedure="false">In!$D$23</definedName>
    <definedName function="false" hidden="false" name="pkw_28" vbProcedure="false">In!$E$24</definedName>
    <definedName function="false" hidden="false" name="pkw_28_hi" vbProcedure="false">In!$F$24</definedName>
    <definedName function="false" hidden="false" name="pkw_28_lo" vbProcedure="false">In!$D$24</definedName>
    <definedName function="false" hidden="false" name="pkw_29" vbProcedure="false">In!$E$25</definedName>
    <definedName function="false" hidden="false" name="pkw_29_hi" vbProcedure="false">In!$F$25</definedName>
    <definedName function="false" hidden="false" name="pkw_29_lo" vbProcedure="false">In!$D$25</definedName>
    <definedName function="false" hidden="false" name="px" vbProcedure="false">In!$E$88</definedName>
    <definedName function="false" hidden="false" name="q3_rev" vbProcedure="false">In!$E$61</definedName>
    <definedName function="false" hidden="false" name="q4g" vbProcedure="false">In!$E$62</definedName>
    <definedName function="false" hidden="false" name="q4g_hi" vbProcedure="false">In!$F$62</definedName>
    <definedName function="false" hidden="false" name="q4g_lo" vbProcedure="false">In!$D$62</definedName>
    <definedName function="false" hidden="false" name="q_gm" vbProcedure="false">In!$E$63</definedName>
    <definedName function="false" hidden="false" name="q_gm_hi" vbProcedure="false">In!$F$63</definedName>
    <definedName function="false" hidden="false" name="q_gm_lo" vbProcedure="false">In!$D$63</definedName>
    <definedName function="false" hidden="false" name="q_nir" vbProcedure="false">In!$E$66</definedName>
    <definedName function="false" hidden="false" name="q_nir_hi" vbProcedure="false">In!$F$66</definedName>
    <definedName function="false" hidden="false" name="q_nir_lo" vbProcedure="false">In!$D$66</definedName>
    <definedName function="false" hidden="false" name="q_nop" vbProcedure="false">In!$E$65</definedName>
    <definedName function="false" hidden="false" name="q_nop_hi" vbProcedure="false">In!$F$65</definedName>
    <definedName function="false" hidden="false" name="q_nop_lo" vbProcedure="false">In!$D$65</definedName>
    <definedName function="false" hidden="false" name="q_opx" vbProcedure="false">In!$E$64</definedName>
    <definedName function="false" hidden="false" name="q_opx_hi" vbProcedure="false">In!$F$64</definedName>
    <definedName function="false" hidden="false" name="q_opx_lo" vbProcedure="false">In!$D$64</definedName>
    <definedName function="false" hidden="false" name="q_sh" vbProcedure="false">In!$E$67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rm_factor" vbProcedure="false">Val!$B$153</definedName>
    <definedName function="false" hidden="false" name="s25_au" vbProcedure="false">In!$E$42</definedName>
    <definedName function="false" hidden="false" name="s25_inf" vbProcedure="false">In!$E$44</definedName>
    <definedName function="false" hidden="false" name="s25_mo" vbProcedure="false">In!$E$40</definedName>
    <definedName function="false" hidden="false" name="s25_pe" vbProcedure="false">In!$E$38</definedName>
    <definedName function="false" hidden="false" name="s26_au" vbProcedure="false">In!$E$43</definedName>
    <definedName function="false" hidden="false" name="s26_au_hi" vbProcedure="false">In!$F$43</definedName>
    <definedName function="false" hidden="false" name="s26_au_lo" vbProcedure="false">In!$D$43</definedName>
    <definedName function="false" hidden="false" name="s26_inf" vbProcedure="false">In!$E$45</definedName>
    <definedName function="false" hidden="false" name="s26_mo" vbProcedure="false">In!$E$41</definedName>
    <definedName function="false" hidden="false" name="s26_mo_hi" vbProcedure="false">In!$F$41</definedName>
    <definedName function="false" hidden="false" name="s26_mo_lo" vbProcedure="false">In!$D$41</definedName>
    <definedName function="false" hidden="false" name="s26_pe" vbProcedure="false">In!$E$39</definedName>
    <definedName function="false" hidden="false" name="s26_pe_hi" vbProcedure="false">In!$F$39</definedName>
    <definedName function="false" hidden="false" name="s26_pe_lo" vbProcedure="false">In!$D$39</definedName>
    <definedName function="false" hidden="false" name="sh_g" vbProcedure="false">In!$E$73</definedName>
    <definedName function="false" hidden="false" name="sh_g_hi" vbProcedure="false">In!$F$73</definedName>
    <definedName function="false" hidden="false" name="sh_g_lo" vbProcedure="false">In!$D$73</definedName>
    <definedName function="false" hidden="false" name="tp_comp" vbProcedure="false">Val!$B$115</definedName>
    <definedName function="false" hidden="false" name="tp_comp_adj" vbProcedure="false">Val!$B$154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bs_26" vbProcedure="false">In!$E$83</definedName>
    <definedName function="false" hidden="false" name="ubs_27" vbProcedure="false">In!$E$84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<sst xmlns="http://schemas.openxmlformats.org/spreadsheetml/2006/main" count="3097" uniqueCount="924">
  <si>
    <r>
      <rPr>
        <b val="true"/>
        <sz val="11"/>
        <rFont val="Noto Sans CJK SC"/>
        <family val="2"/>
      </rPr>
      <t xml:space="preserve">台達電（</t>
    </r>
    <r>
      <rPr>
        <b val="true"/>
        <sz val="11"/>
        <rFont val="Cambria"/>
        <family val="0"/>
        <charset val="1"/>
      </rPr>
      <t xml:space="preserve">2308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：電源與散熱次產業樣板）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</si>
  <si>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頁最後新增三情境自由現金流列（淨利＋折舊 − 資本支出，不含營運資金變動）、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頁最後新增折舊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營收、資本支出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：依個股模型原則重建營收層——營收列改為官方四大事業群〔電源及零組件、交通、自動化、基礎設施〕，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電源為電源及零組件子列、液冷為基礎設施子列，分部合計＝合併營收；非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單一成長率改為四條分部成長率）；</t>
    </r>
    <r>
      <rPr>
        <sz val="11"/>
        <rFont val="Cambria"/>
        <family val="0"/>
        <charset val="1"/>
      </rPr>
      <t xml:space="preserve">v0.2.x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27</t>
    </r>
    <r>
      <rPr>
        <sz val="11"/>
        <rFont val="Noto Sans CJK SC"/>
        <family val="2"/>
      </rPr>
      <t xml:space="preserve">：目標價、級距、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改讀）；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內容、台達電份額、液冷每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條）；奇鋐等散熱廠之後讀這條液冷線。</t>
    </r>
  </si>
  <si>
    <r>
      <rPr>
        <sz val="11"/>
        <rFont val="Noto Sans CJK SC"/>
        <family val="2"/>
      </rPr>
      <t xml:space="preserve">模型命題：台達電的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台達電份額＋液冷每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營收）。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把交流轉直流移到機架外，每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可做的金額變大；同時光寶、</t>
    </r>
    <r>
      <rPr>
        <sz val="11"/>
        <rFont val="Cambria"/>
        <family val="0"/>
        <charset val="1"/>
      </rPr>
      <t xml:space="preserve">Flex</t>
    </r>
    <r>
      <rPr>
        <sz val="11"/>
        <rFont val="Noto Sans CJK SC"/>
        <family val="2"/>
      </rPr>
      <t xml:space="preserve">、中國廠追趕份額。股價兩週跌約兩成後，約 </t>
    </r>
    <r>
      <rPr>
        <sz val="11"/>
        <rFont val="Cambria"/>
        <family val="0"/>
        <charset val="1"/>
      </rPr>
      <t xml:space="preserve">22–28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</si>
  <si>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電源內容上升（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）能不能抵銷份額流失與零組件成本，讓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年維持高成長；現價隱含的路徑合不合理。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</si>
  <si>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</si>
  <si>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</si>
  <si>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電源內容（凱基推導、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</si>
  <si>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以公司液冷占比校準每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）。營收分部：電源及零組件＝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電源＋非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（年增 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）；基礎設施＝液冷＋非液冷（年增 </t>
    </r>
    <r>
      <rPr>
        <sz val="11"/>
        <rFont val="Cambria"/>
        <family val="0"/>
        <charset val="1"/>
      </rPr>
      <t xml:space="preserve">9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）；自動化（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）；交通（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）；皆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依公司事業群比重（</t>
    </r>
    <r>
      <rPr>
        <sz val="11"/>
        <rFont val="Cambria"/>
        <family val="0"/>
        <charset val="1"/>
      </rPr>
      <t xml:space="preserve">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51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</si>
  <si>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</si>
  <si>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Schneider Electric</t>
    </r>
    <r>
      <rPr>
        <sz val="11"/>
        <rFont val="Noto Sans CJK SC"/>
        <family val="2"/>
      </rPr>
      <t xml:space="preserve">、光寶科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規則值（單一資料商來源）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；循環位置以本模型營收最高年判定（台達電不套設備股見頂年）。）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</si>
  <si>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未使用。公司原文＝法說簡報與逐字稿；券商皆未具名或單一來源。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</si>
  <si>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相關」是否含液冷，公司說法不一致（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相關含液冷」）；</t>
    </r>
    <r>
      <rPr>
        <sz val="11"/>
        <rFont val="Cambria"/>
        <family val="0"/>
        <charset val="1"/>
      </rPr>
      <t xml:space="preserve">(2)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）與份額相對值為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只有一個來源，且 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未計 </t>
    </r>
    <r>
      <rPr>
        <sz val="11"/>
        <rFont val="Cambria"/>
        <family val="0"/>
        <charset val="1"/>
      </rPr>
      <t xml:space="preserve">Vicor 337 </t>
    </r>
    <r>
      <rPr>
        <sz val="11"/>
        <rFont val="Noto Sans CJK SC"/>
        <family val="2"/>
      </rPr>
      <t xml:space="preserve">調查（垂直供電）與零組件短缺的下檔；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</si>
  <si>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 </t>
    </r>
    <r>
      <rPr>
        <sz val="11"/>
        <color theme="1"/>
        <rFont val="Noto Sans CJK SC"/>
        <family val="2"/>
      </rPr>
      <t xml:space="preserve">已是最新（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同值，單一來源），未變動。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</si>
  <si>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</si>
  <si>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</si>
  <si>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：上檔空間 −</t>
    </r>
    <r>
      <rPr>
        <sz val="11"/>
        <color theme="1"/>
        <rFont val="Calibri"/>
        <family val="2"/>
        <charset val="1"/>
      </rPr>
      <t xml:space="preserve">24.4% </t>
    </r>
    <r>
      <rPr>
        <sz val="11"/>
        <color theme="1"/>
        <rFont val="Noto Sans CJK SC"/>
        <family val="2"/>
      </rPr>
      <t xml:space="preserve">離中立與放空的界線 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只差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權重改為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（上檔空間 −</t>
    </r>
    <r>
      <rPr>
        <sz val="11"/>
        <color theme="1"/>
        <rFont val="Calibri"/>
        <family val="2"/>
        <charset val="1"/>
      </rPr>
      <t xml:space="preserve">32.4%</t>
    </r>
    <r>
      <rPr>
        <sz val="11"/>
        <color theme="1"/>
        <rFont val="Noto Sans CJK SC"/>
        <family val="2"/>
      </rPr>
      <t xml:space="preserve">，落入放空），折現率 −</t>
    </r>
    <r>
      <rPr>
        <sz val="11"/>
        <color theme="1"/>
        <rFont val="Calibri"/>
        <family val="2"/>
        <charset val="1"/>
      </rPr>
      <t xml:space="preserve">1pt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+7.9%</t>
    </r>
    <r>
      <rPr>
        <sz val="11"/>
        <color theme="1"/>
        <rFont val="Noto Sans CJK SC"/>
        <family val="2"/>
      </rPr>
      <t xml:space="preserve">；評等對估值參數敏感。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</si>
  <si>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60.71 </t>
    </r>
    <r>
      <rPr>
        <sz val="11"/>
        <color theme="1"/>
        <rFont val="Noto Sans CJK SC"/>
        <family val="2"/>
      </rPr>
      <t xml:space="preserve">低於券商 </t>
    </r>
    <r>
      <rPr>
        <sz val="11"/>
        <color theme="1"/>
        <rFont val="Calibri"/>
        <family val="2"/>
        <charset val="1"/>
      </rPr>
      <t xml:space="preserve">62.7–80.8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電源與液冷營收、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時程是下一個檢驗點。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</si>
  <si>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</si>
  <si>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</si>
  <si>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</si>
  <si>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未使用。公司原文＝台達電法說簡報與逐字稿（</t>
    </r>
    <r>
      <rPr>
        <sz val="11"/>
        <color theme="1"/>
        <rFont val="Calibri"/>
        <family val="2"/>
        <charset val="1"/>
      </rPr>
      <t xml:space="preserve">filecenter.deltaww.com</t>
    </r>
    <r>
      <rPr>
        <sz val="11"/>
        <color theme="1"/>
        <rFont val="Noto Sans CJK SC"/>
        <family val="2"/>
      </rPr>
      <t xml:space="preserve">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占比與毛利率說法為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</si>
  <si>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</si>
  <si>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</si>
  <si>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</si>
  <si>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</si>
  <si>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</si>
  <si>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</si>
  <si>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</si>
  <si>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</si>
  <si>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</si>
  <si>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</si>
  <si>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</si>
  <si>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</si>
  <si>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</si>
  <si>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</si>
  <si>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</si>
  <si>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</si>
  <si>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</si>
  <si>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</si>
  <si>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</si>
  <si>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</si>
  <si>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</si>
  <si>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</si>
  <si>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</si>
  <si>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</si>
  <si>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</si>
  <si>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</si>
  <si>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</si>
  <si>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</si>
  <si>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</si>
  <si>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</si>
  <si>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</si>
  <si>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</si>
  <si>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</si>
  <si>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</si>
  <si>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</si>
  <si>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出貨遠大於 </t>
    </r>
    <r>
      <rPr>
        <sz val="11"/>
        <color theme="1"/>
        <rFont val="Calibri"/>
        <family val="2"/>
        <charset val="1"/>
      </rPr>
      <t xml:space="preserve">Rubin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</si>
  <si>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</si>
  <si>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</si>
  <si>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</si>
  <si>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</si>
  <si>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用：每架內容換算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</si>
  <si>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</si>
  <si>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每架機架內液冷（冷板等，橋接表）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</si>
  <si>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</si>
  <si>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</si>
  <si>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NVL144 </t>
    </r>
    <r>
      <rPr>
        <sz val="11"/>
        <color theme="1"/>
        <rFont val="Noto Sans CJK SC"/>
        <family val="2"/>
      </rPr>
      <t xml:space="preserve">機架內冷卻 </t>
    </r>
    <r>
      <rPr>
        <sz val="11"/>
        <color theme="1"/>
        <rFont val="Calibri"/>
        <family val="2"/>
        <charset val="1"/>
      </rPr>
      <t xml:space="preserve">BOM US$55.7K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</si>
  <si>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</si>
  <si>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</si>
  <si>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</si>
  <si>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</si>
  <si>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</si>
  <si>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</si>
  <si>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</si>
  <si>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</si>
  <si>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</si>
  <si>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</si>
  <si>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</si>
  <si>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</si>
  <si>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</si>
  <si>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</si>
  <si>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</si>
  <si>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</si>
  <si>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</si>
  <si>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</si>
  <si>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</si>
  <si>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</si>
  <si>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</si>
  <si>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</si>
  <si>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</si>
  <si>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</si>
  <si>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</si>
  <si>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（〈台幣〉開紅盤，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</si>
  <si>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電源內容與台達電份額（本專案為權威：每架電源與液冷內容、台達電份額，規則第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</si>
  <si>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</si>
  <si>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</si>
  <si>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</si>
  <si>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</si>
  <si>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</si>
  <si>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</si>
  <si>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</si>
  <si>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</si>
  <si>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</si>
  <si>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</si>
  <si>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</si>
  <si>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</si>
  <si>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</si>
  <si>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</si>
  <si>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</si>
  <si>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</si>
  <si>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</si>
  <si>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</si>
  <si>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</si>
  <si>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</si>
  <si>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</si>
  <si>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</si>
  <si>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</si>
  <si>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</si>
  <si>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lcr_27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</si>
  <si>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</si>
  <si>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橋接表：機架內液冷 </t>
    </r>
    <r>
      <rPr>
        <sz val="11"/>
        <color theme="1"/>
        <rFont val="Calibri"/>
        <family val="2"/>
        <charset val="1"/>
      </rPr>
      <t xml:space="preserve">GB300 US$50K → VR200 US$56K</t>
    </r>
    <r>
      <rPr>
        <sz val="11"/>
        <color theme="1"/>
        <rFont val="Noto Sans CJK SC"/>
        <family val="2"/>
      </rPr>
      <t xml:space="preserve">／架（每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下降：架數 </t>
    </r>
    <r>
      <rPr>
        <sz val="11"/>
        <color theme="1"/>
        <rFont val="Calibri"/>
        <family val="2"/>
        <charset val="1"/>
      </rPr>
      <t xml:space="preserve">6,764 → 4,052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</si>
  <si>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公司：液冷占營收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 → 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Liquid-to-Air </t>
    </r>
    <r>
      <rPr>
        <sz val="11"/>
        <color theme="1"/>
        <rFont val="Noto Sans CJK SC"/>
        <family val="2"/>
      </rPr>
      <t xml:space="preserve">使用期比市場預期長（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</si>
  <si>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lcr_28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</si>
  <si>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</si>
  <si>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lcr_29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</si>
  <si>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</si>
  <si>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</si>
  <si>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</si>
  <si>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</si>
  <si>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</si>
  <si>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、液冷約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</si>
  <si>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</si>
  <si>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</si>
  <si>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「一定超過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摘要：朝 </t>
    </r>
    <r>
      <rPr>
        <sz val="11"/>
        <color theme="1"/>
        <rFont val="Calibri"/>
        <family val="2"/>
        <charset val="1"/>
      </rPr>
      <t xml:space="preserve">28%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</si>
  <si>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電源，不含液冷；另一讀法見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相關含液冷」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</si>
  <si>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</si>
  <si>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</si>
  <si>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：液冷約占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</si>
  <si>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數位時代：約 </t>
    </r>
    <r>
      <rPr>
        <sz val="11"/>
        <color theme="1"/>
        <rFont val="Calibri"/>
        <family val="2"/>
        <charset val="1"/>
      </rPr>
      <t xml:space="preserve">9%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</si>
  <si>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</si>
  <si>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</si>
  <si>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</si>
  <si>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：液冷產品可望超過 </t>
    </r>
    <r>
      <rPr>
        <sz val="11"/>
        <color theme="1"/>
        <rFont val="Calibri"/>
        <family val="2"/>
        <charset val="1"/>
      </rPr>
      <t xml:space="preserve">12%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</si>
  <si>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營收分部（官方四大事業群：電源及零組件、交通、自動化、基礎設施；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依個股模型原則重建）</t>
    </r>
  </si>
  <si>
    <t xml:space="preserve">s25_pe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</si>
  <si>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年電源及零組件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</si>
  <si>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</si>
  <si>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年報（英文版 </t>
    </r>
    <r>
      <rPr>
        <sz val="11"/>
        <color theme="1"/>
        <rFont val="Calibri"/>
        <family val="2"/>
        <charset val="1"/>
      </rPr>
      <t xml:space="preserve">p.136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）：電源及零組件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、交通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、自動化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、基礎設施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BESSmanufacturers </t>
    </r>
    <r>
      <rPr>
        <sz val="11"/>
        <color theme="1"/>
        <rFont val="Noto Sans CJK SC"/>
        <family val="2"/>
      </rPr>
      <t xml:space="preserve">摘錄）</t>
    </r>
  </si>
  <si>
    <r>
      <rPr>
        <sz val="11"/>
        <color theme="1"/>
        <rFont val="Noto Sans CJK SC"/>
        <family val="2"/>
      </rPr>
      <t xml:space="preserve">四捨五入值；基礎設施＝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</si>
  <si>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s26_pe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</si>
  <si>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年電源及零組件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</si>
  <si>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FTNN 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月營收公告）：電源及零組件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、基礎設施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、自動化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、交通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月或前三季比重，文中未區分；全年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同此）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</si>
  <si>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電源及零組件 </t>
    </r>
    <r>
      <rPr>
        <sz val="11"/>
        <color theme="1"/>
        <rFont val="Calibri"/>
        <family val="2"/>
        <charset val="1"/>
      </rPr>
      <t xml:space="preserve">962.96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52.6%</t>
    </r>
    <r>
      <rPr>
        <sz val="11"/>
        <color theme="1"/>
        <rFont val="Noto Sans CJK SC"/>
        <family val="2"/>
      </rPr>
      <t xml:space="preserve">）、基礎設施 </t>
    </r>
    <r>
      <rPr>
        <sz val="11"/>
        <color theme="1"/>
        <rFont val="Calibri"/>
        <family val="2"/>
        <charset val="1"/>
      </rPr>
      <t xml:space="preserve">629.38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34.3%</t>
    </r>
    <r>
      <rPr>
        <sz val="11"/>
        <color theme="1"/>
        <rFont val="Noto Sans CJK SC"/>
        <family val="2"/>
      </rPr>
      <t xml:space="preserve">）</t>
    </r>
  </si>
  <si>
    <t xml:space="preserve">s25_mo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</si>
  <si>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年交通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</si>
  <si>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s26_mo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</si>
  <si>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</si>
  <si>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s25_au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</si>
  <si>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年自動化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</si>
  <si>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s26_au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</si>
  <si>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年自動化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</si>
  <si>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s25_inf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</si>
  <si>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</si>
  <si>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其餘三事業群（公司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）</t>
    </r>
  </si>
  <si>
    <t xml:space="preserve">s26_inf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</si>
  <si>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年基礎設施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</si>
  <si>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其餘三事業群（公司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</si>
  <si>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基礎設施年增約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、營業利益年增約 </t>
    </r>
    <r>
      <rPr>
        <sz val="11"/>
        <color theme="1"/>
        <rFont val="Calibri"/>
        <family val="2"/>
        <charset val="1"/>
      </rPr>
      <t xml:space="preserve">121%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</si>
  <si>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g_pe27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</si>
  <si>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（一般伺服器電源、消費與工業電源、零組件）年增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</si>
  <si>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電源及零組件年增約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</si>
  <si>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電源（命題子列）另由部署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× </t>
    </r>
    <r>
      <rPr>
        <sz val="11"/>
        <color theme="1"/>
        <rFont val="Noto Sans CJK SC"/>
        <family val="2"/>
      </rPr>
      <t xml:space="preserve">份額推導</t>
    </r>
  </si>
  <si>
    <t xml:space="preserve">g_pe28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</si>
  <si>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（一般伺服器電源、消費與工業電源、零組件）年增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</si>
  <si>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g_pe29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</si>
  <si>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（一般伺服器電源、消費與工業電源、零組件）年增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</si>
  <si>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g_inf27</t>
  </si>
  <si>
    <r>
      <rPr>
        <sz val="11"/>
        <color theme="1"/>
        <rFont val="Noto Sans CJK SC"/>
        <family val="2"/>
      </rPr>
      <t xml:space="preserve">基礎設施：非液冷（資料中心 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與電力、通訊電源、樓宇自動化、儲能）年增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</si>
  <si>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基礎設施年增約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（含液冷；理財周刊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）；資料中心與液冷需求、擴廠（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</si>
  <si>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液冷（命題子列）另由部署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液冷營收推導</t>
    </r>
  </si>
  <si>
    <t xml:space="preserve">g_inf28</t>
  </si>
  <si>
    <r>
      <rPr>
        <sz val="11"/>
        <color theme="1"/>
        <rFont val="Noto Sans CJK SC"/>
        <family val="2"/>
      </rPr>
      <t xml:space="preserve">基礎設施：非液冷（資料中心 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與電力、通訊電源、樓宇自動化、儲能）年增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</si>
  <si>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g_inf29</t>
  </si>
  <si>
    <r>
      <rPr>
        <sz val="11"/>
        <color theme="1"/>
        <rFont val="Noto Sans CJK SC"/>
        <family val="2"/>
      </rPr>
      <t xml:space="preserve">基礎設施：非液冷（資料中心 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與電力、通訊電源、樓宇自動化、儲能）年增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</si>
  <si>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g_au27</t>
  </si>
  <si>
    <r>
      <rPr>
        <sz val="11"/>
        <color theme="1"/>
        <rFont val="Noto Sans CJK SC"/>
        <family val="2"/>
      </rPr>
      <t xml:space="preserve">自動化年增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</si>
  <si>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自動化年增約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但虧損；記憶體供給改善後下半年轉盈（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</si>
  <si>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自動化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</si>
  <si>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g_au28</t>
  </si>
  <si>
    <r>
      <rPr>
        <sz val="11"/>
        <color theme="1"/>
        <rFont val="Noto Sans CJK SC"/>
        <family val="2"/>
      </rPr>
      <t xml:space="preserve">自動化年增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</si>
  <si>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g_au29</t>
  </si>
  <si>
    <r>
      <rPr>
        <sz val="11"/>
        <color theme="1"/>
        <rFont val="Noto Sans CJK SC"/>
        <family val="2"/>
      </rPr>
      <t xml:space="preserve">自動化年增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</si>
  <si>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g_mo27</t>
  </si>
  <si>
    <r>
      <rPr>
        <sz val="11"/>
        <color theme="1"/>
        <rFont val="Noto Sans CJK SC"/>
        <family val="2"/>
      </rPr>
      <t xml:space="preserve">交通（電動車）年增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</si>
  <si>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交通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年衰退、持續虧損，全年表現不佳；長期趨勢不變（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</si>
  <si>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交通 −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</si>
  <si>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g_mo28</t>
  </si>
  <si>
    <r>
      <rPr>
        <sz val="11"/>
        <color theme="1"/>
        <rFont val="Noto Sans CJK SC"/>
        <family val="2"/>
      </rPr>
      <t xml:space="preserve">交通（電動車）年增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</si>
  <si>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g_mo29</t>
  </si>
  <si>
    <r>
      <rPr>
        <sz val="11"/>
        <color theme="1"/>
        <rFont val="Noto Sans CJK SC"/>
        <family val="2"/>
      </rPr>
      <t xml:space="preserve">交通（電動車）年增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</si>
  <si>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</si>
  <si>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</si>
  <si>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</si>
  <si>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</si>
  <si>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18kW 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）；公司整體 </t>
    </r>
    <r>
      <rPr>
        <sz val="11"/>
        <color theme="1"/>
        <rFont val="Calibri"/>
        <family val="2"/>
        <charset val="1"/>
      </rPr>
      <t xml:space="preserve">1H26 36.3%</t>
    </r>
  </si>
  <si>
    <r>
      <rPr>
        <sz val="11"/>
        <color theme="1"/>
        <rFont val="Noto Sans CJK SC"/>
        <family val="2"/>
      </rPr>
      <t xml:space="preserve">部門別毛利率未揭露：未找到；電源及零組件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部門利益率 </t>
    </r>
    <r>
      <rPr>
        <sz val="11"/>
        <color theme="1"/>
        <rFont val="Calibri"/>
        <family val="2"/>
        <charset val="1"/>
      </rPr>
      <t xml:space="preserve">20.1% vs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</si>
  <si>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</si>
  <si>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</si>
  <si>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</si>
  <si>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</si>
  <si>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1,970.59 </t>
    </r>
    <r>
      <rPr>
        <sz val="11"/>
        <color theme="1"/>
        <rFont val="Noto Sans CJK SC"/>
        <family val="2"/>
      </rPr>
      <t xml:space="preserve">億元、前三季 </t>
    </r>
    <r>
      <rPr>
        <sz val="11"/>
        <color theme="1"/>
        <rFont val="Calibri"/>
        <family val="2"/>
        <charset val="1"/>
      </rPr>
      <t xml:space="preserve">5,396.68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</si>
  <si>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同值（含更正稿）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</si>
  <si>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</si>
  <si>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</si>
  <si>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法人：第四季雙位數季增（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</si>
  <si>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2,511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3Q 2,093 </t>
    </r>
    <r>
      <rPr>
        <sz val="11"/>
        <color theme="1"/>
        <rFont val="Noto Sans CJK SC"/>
        <family val="2"/>
      </rPr>
      <t xml:space="preserve">億為基礎；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</si>
  <si>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</si>
  <si>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</si>
  <si>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：董事長「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左右合理」、下半年優於上半年；</t>
    </r>
    <r>
      <rPr>
        <sz val="11"/>
        <color theme="1"/>
        <rFont val="Calibri"/>
        <family val="2"/>
        <charset val="1"/>
      </rPr>
      <t xml:space="preserve">2Q26 35.6%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</si>
  <si>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38.7%</t>
    </r>
    <r>
      <rPr>
        <sz val="11"/>
        <color theme="1"/>
        <rFont val="Noto Sans CJK SC"/>
        <family val="2"/>
      </rPr>
      <t xml:space="preserve">（新高）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</si>
  <si>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</si>
  <si>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</si>
  <si>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 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</si>
  <si>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+33%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</si>
  <si>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</si>
  <si>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</si>
  <si>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4.4</t>
    </r>
    <r>
      <rPr>
        <sz val="11"/>
        <color theme="1"/>
        <rFont val="Noto Sans CJK SC"/>
        <family val="2"/>
      </rPr>
      <t xml:space="preserve">（部分為未實現投資利益）、</t>
    </r>
    <r>
      <rPr>
        <sz val="11"/>
        <color theme="1"/>
        <rFont val="Calibri"/>
        <family val="2"/>
        <charset val="1"/>
      </rPr>
      <t xml:space="preserve">4Q25 −0.8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</si>
  <si>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（公司）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</si>
  <si>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</si>
  <si>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</si>
  <si>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45.7 ÷ 66.1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60.1 ÷ 87.9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</si>
  <si>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與非控制權益（台達泰國等）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</si>
  <si>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</si>
  <si>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</si>
  <si>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</si>
  <si>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45.7 ÷ EPS 17.59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</si>
  <si>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2,597,543,329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</si>
  <si>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</si>
  <si>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</si>
  <si>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</si>
  <si>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</si>
  <si>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+20%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</si>
  <si>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</si>
  <si>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</si>
  <si>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</si>
  <si>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</si>
  <si>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</si>
  <si>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</si>
  <si>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7.2</t>
    </r>
    <r>
      <rPr>
        <sz val="11"/>
        <color theme="1"/>
        <rFont val="Noto Sans CJK SC"/>
        <family val="2"/>
      </rPr>
      <t xml:space="preserve">（公司）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</si>
  <si>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</si>
  <si>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</si>
  <si>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</si>
  <si>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</si>
  <si>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</si>
  <si>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2.598 → 1H26 2.598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</si>
  <si>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</si>
  <si>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</si>
  <si>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</si>
  <si>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</si>
  <si>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</si>
  <si>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</si>
  <si>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</si>
  <si>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（本土投顧，未具名；由 </t>
    </r>
    <r>
      <rPr>
        <sz val="11"/>
        <color theme="1"/>
        <rFont val="Calibri"/>
        <family val="2"/>
        <charset val="1"/>
      </rPr>
      <t xml:space="preserve">826.4 </t>
    </r>
    <r>
      <rPr>
        <sz val="11"/>
        <color theme="1"/>
        <rFont val="Noto Sans CJK SC"/>
        <family val="2"/>
      </rPr>
      <t xml:space="preserve">下修）</t>
    </r>
  </si>
  <si>
    <t xml:space="preserve">b_eps26a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</si>
  <si>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</si>
  <si>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</si>
  <si>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</si>
  <si>
    <t xml:space="preserve">b_eps26b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</si>
  <si>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</si>
  <si>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（美系大行，未具名）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</si>
  <si>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</si>
  <si>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</si>
  <si>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121.6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</si>
  <si>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</si>
  <si>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</si>
  <si>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98.5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</si>
  <si>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</si>
  <si>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（投顧研究團隊，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</si>
  <si>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Noto Sans CJK SC"/>
        <family val="2"/>
      </rPr>
      <t xml:space="preserve">調查）：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38x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</si>
  <si>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</si>
  <si>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</si>
  <si>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鉅亨：「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上看兆元」</t>
    </r>
  </si>
  <si>
    <t xml:space="preserve">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</si>
  <si>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</si>
  <si>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</si>
  <si>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</si>
  <si>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</si>
  <si>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</si>
  <si>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kgi_sh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</si>
  <si>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</si>
  <si>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</si>
  <si>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第二個量化來源：未找到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</si>
  <si>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</si>
  <si>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</si>
  <si>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台達電</t>
    </r>
    <r>
      <rPr>
        <sz val="11"/>
        <color theme="1"/>
        <rFont val="Calibri"/>
        <family val="2"/>
        <charset val="1"/>
      </rPr>
      <t xml:space="preserve">_20261024 D10b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</si>
  <si>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</si>
  <si>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</si>
  <si>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</si>
  <si>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</si>
  <si>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頁面「昨收」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</si>
  <si>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1,560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4.0%</t>
    </r>
    <r>
      <rPr>
        <sz val="11"/>
        <color theme="1"/>
        <rFont val="Noto Sans CJK SC"/>
        <family val="2"/>
      </rPr>
      <t xml:space="preserve">）；兩週 −</t>
    </r>
    <r>
      <rPr>
        <sz val="11"/>
        <color theme="1"/>
        <rFont val="Calibri"/>
        <family val="2"/>
        <charset val="1"/>
      </rPr>
      <t xml:space="preserve">20.6%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</si>
  <si>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</si>
  <si>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</si>
  <si>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</si>
  <si>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49.65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</si>
  <si>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</si>
  <si>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</si>
  <si>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</si>
  <si>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</si>
  <si>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</si>
  <si>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</si>
  <si>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</si>
  <si>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</si>
  <si>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</si>
  <si>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</si>
  <si>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</si>
  <si>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</si>
  <si>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</si>
  <si>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</si>
  <si>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</si>
  <si>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</si>
  <si>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</si>
  <si>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</si>
  <si>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</si>
  <si>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</si>
  <si>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</si>
  <si>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16.61%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15.47%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22.46%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</si>
  <si>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29.97%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</si>
  <si>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</si>
  <si>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</si>
  <si>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</si>
  <si>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</si>
  <si>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</si>
  <si>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</si>
  <si>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</si>
  <si>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</si>
  <si>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</si>
  <si>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</si>
  <si>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</si>
  <si>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</si>
  <si>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</si>
  <si>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</si>
  <si>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</si>
  <si>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</si>
  <si>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</si>
  <si>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</si>
  <si>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2,502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</si>
  <si>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</si>
  <si>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</si>
  <si>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</si>
  <si>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1,560 ÷ Forward PE 30.51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</si>
  <si>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</si>
  <si>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自由現金流參數（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新增；以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年報實績為錨，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起各年沿用；只供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頁自由現金流列，不進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</si>
  <si>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</t>
  </si>
  <si>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</si>
  <si>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（各年沿用）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</si>
  <si>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278.39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擷取；營業現金流與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股市四季合計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</si>
  <si>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：資本密集度不變）</t>
    </r>
  </si>
  <si>
    <t xml:space="preserve">cx_r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</si>
  <si>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</si>
  <si>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資本支出（購置不動產、廠房及設備）</t>
    </r>
    <r>
      <rPr>
        <sz val="11"/>
        <color theme="1"/>
        <rFont val="Calibri"/>
        <family val="2"/>
        <charset val="1"/>
      </rPr>
      <t xml:space="preserve">460.91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擷取；營業現金流與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股市四季合計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億元一致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</si>
  <si>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</si>
  <si>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</si>
  <si>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</si>
  <si>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</si>
  <si>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</si>
  <si>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</si>
  <si>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</si>
  <si>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</si>
  <si>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</si>
  <si>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</si>
  <si>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</si>
  <si>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</si>
  <si>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</si>
  <si>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</si>
  <si>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</si>
  <si>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</si>
  <si>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</si>
  <si>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為新台幣；股數為十億股）。藍字＝輸入；黑字＝公式。實績取自台達電法說簡報、逐字稿與月營收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</si>
  <si>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30.6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1.08</t>
    </r>
    <r>
      <rPr>
        <sz val="11"/>
        <color theme="1"/>
        <rFont val="Noto Sans CJK SC"/>
        <family val="2"/>
      </rPr>
      <t xml:space="preserve">；公司稱季增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）。部門別損益只有年度簡報數字，季度部門數字只在簡報畫面：未找到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</si>
  <si>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</si>
  <si>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</si>
  <si>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</si>
  <si>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</si>
  <si>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</si>
  <si>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</si>
  <si>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</si>
  <si>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</si>
  <si>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https://filecenter.deltaww.com/ir/download/calendar/4Q25_Analyst Meeting.pdf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</si>
  <si>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</si>
  <si>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</si>
  <si>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</si>
  <si>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</si>
  <si>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34.3%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36.3%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</si>
  <si>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</si>
  <si>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</si>
  <si>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</si>
  <si>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</si>
  <si>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</si>
  <si>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17.2%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</si>
  <si>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</si>
  <si>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</si>
  <si>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87.9</t>
    </r>
    <r>
      <rPr>
        <sz val="11"/>
        <color theme="1"/>
        <rFont val="Noto Sans CJK SC"/>
        <family val="2"/>
      </rPr>
      <t xml:space="preserve">（四捨五入差）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</si>
  <si>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</si>
  <si>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</si>
  <si>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</si>
  <si>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</si>
  <si>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</si>
  <si>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</si>
  <si>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</si>
  <si>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</si>
  <si>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9.68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</si>
  <si>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</si>
  <si>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</si>
  <si>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</si>
  <si>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</si>
  <si>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</si>
  <si>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t xml:space="preserve">公司液冷占比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</si>
  <si>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− 液冷）</t>
    </r>
  </si>
  <si>
    <r>
      <rPr>
        <sz val="11"/>
        <color theme="1"/>
        <rFont val="Noto Sans CJK SC"/>
        <family val="2"/>
      </rPr>
      <t xml:space="preserve">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資料中心、電源零組件、自動化、交通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</si>
  <si>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電源（另一讀法：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 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− 液冷））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</si>
  <si>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</si>
  <si>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（另一讀法）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</si>
  <si>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</si>
  <si>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</si>
  <si>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</si>
  <si>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</si>
  <si>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</si>
  <si>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券商（本土 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</si>
  <si>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</si>
  <si>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營收分部（官方四大事業群；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</t>
    </r>
  </si>
  <si>
    <t xml:space="preserve">電源及零組件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</si>
  <si>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</si>
  <si>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事業群比重（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</si>
  <si>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各事業群金額：未全取得（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電源及零組件、基礎設施見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</si>
  <si>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t xml:space="preserve">交通</t>
  </si>
  <si>
    <t xml:space="preserve">自動化</t>
  </si>
  <si>
    <t xml:space="preserve">基礎設施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</si>
  <si>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</si>
  <si>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</si>
  <si>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電源市場、台達電份額、每架內容（本專案權威，規則第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</si>
  <si>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</si>
  <si>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</si>
  <si>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</si>
  <si>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</si>
  <si>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</si>
  <si>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</si>
  <si>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</si>
  <si>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</si>
  <si>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</si>
  <si>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</si>
  <si>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</si>
  <si>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1 GW ÷ 4,052 </t>
    </r>
    <r>
      <rPr>
        <sz val="11"/>
        <color theme="1"/>
        <rFont val="Noto Sans CJK SC"/>
        <family val="2"/>
      </rPr>
      <t xml:space="preserve">架 ≈ </t>
    </r>
    <r>
      <rPr>
        <sz val="11"/>
        <color theme="1"/>
        <rFont val="Calibri"/>
        <family val="2"/>
        <charset val="1"/>
      </rPr>
      <t xml:space="preserve">247 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</si>
  <si>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</si>
  <si>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</si>
  <si>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台達電有效份額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</si>
  <si>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</si>
  <si>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</si>
  <si>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t xml:space="preserve">台達電液冷營收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</si>
  <si>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以公司液冷占比校準</t>
    </r>
  </si>
  <si>
    <r>
      <rPr>
        <sz val="11"/>
        <color theme="1"/>
        <rFont val="Noto Sans CJK SC"/>
        <family val="2"/>
      </rPr>
      <t xml:space="preserve">台達電液冷每架營收（以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</si>
  <si>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Noto Sans CJK SC"/>
        <family val="2"/>
      </rPr>
      <t xml:space="preserve">對照：橋接表機架內液冷 </t>
    </r>
    <r>
      <rPr>
        <sz val="11"/>
        <color theme="1"/>
        <rFont val="Calibri"/>
        <family val="2"/>
        <charset val="1"/>
      </rPr>
      <t xml:space="preserve">VR200 US$56K</t>
    </r>
    <r>
      <rPr>
        <sz val="11"/>
        <color theme="1"/>
        <rFont val="Noto Sans CJK SC"/>
        <family val="2"/>
      </rPr>
      <t xml:space="preserve">（台達電多做機架外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</si>
  <si>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營收（電源＋液冷）</t>
    </r>
  </si>
  <si>
    <t xml:space="preserve">US$M/GW</t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</si>
  <si>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、麥格米特、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等）＝ 市場 − 台達電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</si>
  <si>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有效份額低於凱基的 </t>
    </r>
    <r>
      <rPr>
        <b val="true"/>
        <sz val="11"/>
        <rFont val="Cambria"/>
        <family val="0"/>
        <charset val="1"/>
      </rPr>
      <t xml:space="preserve">Blackwell PSU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，因為本模型分母含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機架與 </t>
    </r>
    <r>
      <rPr>
        <b val="true"/>
        <sz val="11"/>
        <rFont val="Cambria"/>
        <family val="0"/>
        <charset val="1"/>
      </rPr>
      <t xml:space="preserve">HVDC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；份額路徑（相對值）與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年起的每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</si>
  <si>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台達電損益（十億新台幣；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</si>
  <si>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</si>
  <si>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</si>
  <si>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</si>
  <si>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</si>
  <si>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</si>
  <si>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</si>
  <si>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</si>
  <si>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電源營收</t>
    </r>
  </si>
  <si>
    <t xml:space="preserve">  液冷營收</t>
  </si>
  <si>
    <t xml:space="preserve">  電源及零組件</t>
  </si>
  <si>
    <t xml:space="preserve">  基礎設施</t>
  </si>
  <si>
    <t xml:space="preserve">  自動化</t>
  </si>
  <si>
    <t xml:space="preserve">  交通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</si>
  <si>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</si>
  <si>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</si>
  <si>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</si>
  <si>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</si>
  <si>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</si>
  <si>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</si>
  <si>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</si>
  <si>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</si>
  <si>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</si>
  <si>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</si>
  <si>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</si>
  <si>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</si>
  <si>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</si>
  <si>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</si>
  <si>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</si>
  <si>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</si>
  <si>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台達電有效份額（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</si>
  <si>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</si>
  <si>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</si>
  <si>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</si>
  <si>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</si>
  <si>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</si>
  <si>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</si>
  <si>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</si>
  <si>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</si>
  <si>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sz val="11"/>
        <color theme="1"/>
        <rFont val="Noto Sans CJK SC"/>
        <family val="2"/>
      </rPr>
      <t xml:space="preserve">電源及零組件：非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</si>
  <si>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電源（上列）為本分部的命題子列；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＝分部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</si>
  <si>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電源＋非 </t>
    </r>
    <r>
      <rPr>
        <sz val="11"/>
        <color theme="1"/>
        <rFont val="Calibri"/>
        <family val="2"/>
        <charset val="1"/>
      </rPr>
      <t xml:space="preserve">AI</t>
    </r>
  </si>
  <si>
    <t xml:space="preserve">基礎設施：非液冷</t>
  </si>
  <si>
    <r>
      <rPr>
        <sz val="11"/>
        <color theme="1"/>
        <rFont val="Noto Sans CJK SC"/>
        <family val="2"/>
      </rPr>
      <t xml:space="preserve">液冷（上列）為本分部的命題子列（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：液冷全部歸基礎設施）</t>
    </r>
  </si>
  <si>
    <t xml:space="preserve">＝液冷＋非液冷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</si>
  <si>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＋基礎設施非液冷＋自動化＋交通）</t>
    </r>
  </si>
  <si>
    <t xml:space="preserve">＝四大事業群合計</t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</si>
  <si>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</si>
  <si>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</si>
  <si>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</si>
  <si>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</si>
  <si>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</si>
  <si>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電源占比（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</si>
  <si>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</si>
  <si>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</si>
  <si>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</si>
  <si>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</si>
  <si>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</si>
  <si>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</si>
  <si>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</si>
  <si>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</si>
  <si>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</si>
  <si>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</si>
  <si>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</si>
  <si>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</si>
  <si>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</si>
  <si>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</si>
  <si>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</si>
  <si>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</si>
  <si>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</si>
  <si>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</si>
  <si>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</si>
  <si>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</si>
  <si>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</si>
  <si>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</si>
  <si>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</si>
  <si>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</si>
  <si>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</si>
  <si>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</si>
  <si>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</si>
  <si>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</si>
  <si>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請求）：淨利（歸屬母公司，延伸表）＋折舊與攤銷（營收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da_r</t>
    </r>
    <r>
      <rPr>
        <b val="true"/>
        <sz val="11"/>
        <rFont val="Noto Sans CJK SC"/>
        <family val="2"/>
      </rPr>
      <t xml:space="preserve">）− 資本支出（營收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cx_r</t>
    </r>
    <r>
      <rPr>
        <b val="true"/>
        <sz val="11"/>
        <rFont val="Noto Sans CJK SC"/>
        <family val="2"/>
      </rPr>
      <t xml:space="preserve">）；不含營運資金變動。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</si>
  <si>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</si>
  <si>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淨利、營收引用本頁延伸表同情境列；折舊、資本支出以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</si>
  <si>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</si>
  <si>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</si>
  <si>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</si>
  <si>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循環位置：台達電不是設備股，不套設備市場見頂年；以本模型營收最高的會計年度為見頂年（比照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</si>
  <si>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</si>
  <si>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</si>
  <si>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</si>
  <si>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</si>
  <si>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</si>
  <si>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</si>
  <si>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</si>
  <si>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</si>
  <si>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</si>
  <si>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</si>
  <si>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</si>
  <si>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</si>
  <si>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</si>
  <si>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D10a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</si>
  <si>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</si>
  <si>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</si>
  <si>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</si>
  <si>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</si>
  <si>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</si>
  <si>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</si>
  <si>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</si>
  <si>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</si>
  <si>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</si>
  <si>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</si>
  <si>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</si>
  <si>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</si>
  <si>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</si>
  <si>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</si>
  <si>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</si>
  <si>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</si>
  <si>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</si>
  <si>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</si>
  <si>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</si>
  <si>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</si>
  <si>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</si>
  <si>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</si>
  <si>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</si>
  <si>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25x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</si>
  <si>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</si>
  <si>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</si>
  <si>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</si>
  <si>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</si>
  <si>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</si>
  <si>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</si>
  <si>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</si>
  <si>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</si>
  <si>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</si>
  <si>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</si>
  <si>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</si>
  <si>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</si>
  <si>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</si>
  <si>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</si>
  <si>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</si>
  <si>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年低成長電源期低倍數（約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</si>
  <si>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</si>
  <si>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依循環位置取分位。只有一個來源（第二來源：未找到；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20.96–44.37 </t>
    </r>
    <r>
      <rPr>
        <sz val="11"/>
        <color theme="1"/>
        <rFont val="Noto Sans CJK SC"/>
        <family val="2"/>
      </rPr>
      <t xml:space="preserve">只作量級核對）。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年台達電為低成長電源零組件公司（約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</si>
  <si>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</si>
  <si>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</si>
  <si>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</si>
  <si>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</si>
  <si>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</si>
  <si>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</si>
  <si>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</si>
  <si>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</si>
  <si>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</si>
  <si>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</si>
  <si>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</si>
  <si>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</si>
  <si>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</si>
  <si>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</si>
  <si>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</si>
  <si>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</si>
  <si>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</si>
  <si>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</si>
  <si>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</si>
  <si>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</si>
  <si>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</si>
  <si>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</si>
  <si>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</si>
  <si>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</si>
  <si>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</si>
  <si>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</si>
  <si>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</si>
  <si>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</si>
  <si>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</si>
  <si>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</si>
  <si>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</si>
  <si>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</si>
  <si>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</si>
  <si>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</si>
  <si>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</si>
  <si>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</si>
  <si>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</si>
  <si>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</si>
  <si>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</si>
  <si>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</si>
  <si>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</si>
  <si>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</si>
  <si>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</si>
  <si>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</si>
  <si>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</si>
  <si>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</si>
  <si>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</si>
  <si>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</si>
  <si>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</si>
  <si>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</si>
  <si>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</si>
  <si>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</si>
  <si>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</si>
  <si>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</si>
  <si>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</si>
  <si>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</si>
  <si>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</si>
  <si>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</si>
  <si>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</si>
  <si>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</si>
  <si>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</si>
  <si>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</si>
  <si>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</si>
  <si>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</si>
  <si>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</si>
  <si>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</si>
  <si>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Vertiv</t>
  </si>
  <si>
    <t xml:space="preserve">VRT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</si>
  <si>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</si>
  <si>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</si>
  <si>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</si>
  <si>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t xml:space="preserve">Eaton</t>
  </si>
  <si>
    <t xml:space="preserve">ETN</t>
  </si>
  <si>
    <t xml:space="preserve">Schneider Electric</t>
  </si>
  <si>
    <t xml:space="preserve">SU.PA</t>
  </si>
  <si>
    <r>
      <rPr>
        <sz val="11"/>
        <color theme="1"/>
        <rFont val="Noto Sans CJK SC"/>
        <family val="2"/>
      </rPr>
      <t xml:space="preserve">光寶科（</t>
    </r>
    <r>
      <rPr>
        <sz val="11"/>
        <color theme="1"/>
        <rFont val="Calibri"/>
        <family val="2"/>
        <charset val="1"/>
      </rPr>
      <t xml:space="preserve">Lite-On</t>
    </r>
    <r>
      <rPr>
        <sz val="11"/>
        <color theme="1"/>
        <rFont val="Noto Sans CJK SC"/>
        <family val="2"/>
      </rPr>
      <t xml:space="preserve">）</t>
    </r>
  </si>
  <si>
    <t xml:space="preserve">2301.TW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</si>
  <si>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</si>
  <si>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</si>
  <si>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 Electric</t>
    </r>
    <r>
      <rPr>
        <sz val="11"/>
        <color theme="1"/>
        <rFont val="Noto Sans CJK SC"/>
        <family val="2"/>
      </rPr>
      <t xml:space="preserve">、光寶科（券商常用比較組）。麥格米特（</t>
    </r>
    <r>
      <rPr>
        <sz val="11"/>
        <color theme="1"/>
        <rFont val="Calibri"/>
        <family val="2"/>
        <charset val="1"/>
      </rPr>
      <t xml:space="preserve">002851.SZ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</si>
  <si>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</si>
  <si>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</si>
  <si>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</si>
  <si>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</si>
  <si>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</si>
  <si>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</si>
  <si>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</si>
  <si>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</si>
  <si>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</si>
  <si>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</si>
  <si>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</si>
  <si>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</si>
  <si>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</si>
  <si>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</si>
  <si>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</si>
  <si>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</si>
  <si>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</si>
  <si>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</si>
  <si>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</si>
  <si>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</si>
  <si>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</si>
  <si>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</si>
  <si>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</t>
    </r>
    <r>
      <rPr>
        <sz val="11"/>
        <color theme="1"/>
        <rFont val="Noto Sans CJK SC"/>
        <family val="2"/>
      </rPr>
      <t xml:space="preserve">、光寶科前瞻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中位數；歐美電氣大廠業務組合較成熟、成長較低，台達電歷來倍數較高，偏低估。情境對應：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</si>
  <si>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，單一來源；同規則值）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</si>
  <si>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</si>
  <si>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</si>
  <si>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</si>
  <si>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</si>
  <si>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</si>
  <si>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</si>
  <si>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</si>
  <si>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</si>
  <si>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</si>
  <si>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</si>
  <si>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</si>
  <si>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</si>
  <si>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</si>
  <si>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</si>
  <si>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</si>
  <si>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</si>
  <si>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</si>
  <si>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</si>
  <si>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</si>
  <si>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</si>
  <si>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</si>
  <si>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</si>
  <si>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</si>
  <si>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台達電</t>
  </si>
  <si>
    <t xml:space="preserve">2308.TW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</si>
  <si>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</si>
  <si>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</si>
  <si>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</si>
  <si>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</si>
  <si>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ETN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</si>
  <si>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SU FP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</si>
  <si>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</si>
  <si>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</si>
  <si>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</si>
  <si>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</si>
  <si>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</si>
  <si>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</si>
  <si>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</si>
  <si>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</si>
  <si>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</si>
  <si>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</si>
  <si>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</si>
  <si>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</si>
  <si>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</si>
  <si>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</si>
  <si>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</si>
  <si>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券商估計、研調市場與份額。只作事後對照，不為對上數字而調參數。券商皆未具名或單一來源；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</si>
  <si>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</si>
  <si>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</si>
  <si>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</si>
  <si>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</si>
  <si>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</si>
  <si>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</si>
  <si>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</si>
  <si>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</si>
  <si>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</si>
  <si>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</si>
  <si>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2,093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</si>
  <si>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</si>
  <si>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</si>
  <si>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t xml:space="preserve">CMoney 2026-05-04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</si>
  <si>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投顧研究團隊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</si>
  <si>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</si>
  <si>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投顧研究團隊（</t>
    </r>
    <r>
      <rPr>
        <sz val="11"/>
        <color theme="1"/>
        <rFont val="Calibri"/>
        <family val="2"/>
        <charset val="1"/>
      </rPr>
      <t xml:space="preserve">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</si>
  <si>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</si>
  <si>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</si>
  <si>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62.7–80.8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</si>
  <si>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</si>
  <si>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市場與份額（先驗比對的機制檢查）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</si>
  <si>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</si>
  <si>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</si>
  <si>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口徑未知（是否含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</si>
  <si>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</si>
  <si>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</si>
  <si>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</si>
  <si>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Noto Sans CJK SC"/>
        <family val="2"/>
      </rPr>
      <t xml:space="preserve">口徑不同：本模型分母含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</si>
  <si>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</si>
  <si>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300–550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</si>
  <si>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台達電液冷每架（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橋接表機架內液冷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</si>
  <si>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</si>
  <si>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），所以兩者不是同一個東西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</si>
  <si>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</si>
  <si>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</si>
  <si>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</si>
  <si>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</si>
  <si>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</si>
  <si>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</si>
  <si>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</si>
  <si>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</si>
  <si>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</si>
  <si>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14.7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2,511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</si>
  <si>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</si>
  <si>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</si>
  <si>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</si>
  <si>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</si>
  <si>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</si>
  <si>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</si>
  <si>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</si>
  <si>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</si>
  <si>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；有效份額、液冷每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</si>
  <si>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</si>
  <si>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</si>
  <si>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</si>
  <si>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</si>
  <si>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</si>
  <si>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</si>
  <si>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</si>
  <si>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</si>
  <si>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</si>
  <si>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</si>
  <si>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</si>
  <si>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</si>
  <si>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</si>
  <si>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、中國廠追趕）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</si>
  <si>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</si>
  <si>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</si>
  <si>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</si>
  <si>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</si>
  <si>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</si>
  <si>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</si>
  <si>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</si>
  <si>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</si>
  <si>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</si>
  <si>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</si>
  <si>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</si>
  <si>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</si>
  <si>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</si>
  <si>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</si>
  <si>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低</t>
    </r>
  </si>
  <si>
    <r>
      <rPr>
        <sz val="11"/>
        <color theme="1"/>
        <rFont val="Noto Sans CJK SC"/>
        <family val="2"/>
      </rPr>
      <t xml:space="preserve">四條非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分部成長率取低值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</si>
  <si>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高</t>
    </r>
  </si>
  <si>
    <r>
      <rPr>
        <sz val="11"/>
        <color theme="1"/>
        <rFont val="Noto Sans CJK SC"/>
        <family val="2"/>
      </rPr>
      <t xml:space="preserve">四條非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分部成長率取高值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</si>
  <si>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</si>
  <si>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</si>
  <si>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</si>
  <si>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</si>
  <si>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</si>
  <si>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</si>
  <si>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</si>
  <si>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26% − 12.5%</t>
    </r>
    <r>
      <rPr>
        <sz val="11"/>
        <color theme="1"/>
        <rFont val="Noto Sans CJK SC"/>
        <family val="2"/>
      </rPr>
      <t xml:space="preserve">）；份額分子變小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</si>
  <si>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</si>
  <si>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</si>
  <si>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</si>
  <si>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</si>
  <si>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</si>
  <si>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</si>
  <si>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</si>
  <si>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</si>
  <si>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</si>
  <si>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</si>
  <si>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</si>
  <si>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</si>
  <si>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</si>
  <si>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</si>
  <si>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</si>
  <si>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</si>
  <si>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</si>
  <si>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</si>
  <si>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相關含液冷（讀法）（情境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</si>
  <si>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</si>
  <si>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</si>
  <si>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</si>
  <si>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</si>
  <si>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</si>
  <si>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</si>
  <si>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</si>
  <si>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</si>
  <si>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</si>
  <si>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</si>
  <si>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</si>
  <si>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</si>
  <si>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</si>
  <si>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</si>
  <si>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</si>
  <si>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</si>
  <si>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</si>
  <si>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來源（公司原文＝台達電法說簡報與逐字稿，已逐份抓取；券商與研調皆為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</si>
  <si>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損益、部門營收與利益）</t>
    </r>
  </si>
  <si>
    <t xml:space="preserve">https://filecenter.deltaww.com/ir/download/calendar/4Q25_Analyst Meeting.pdf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</si>
  <si>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占比、液冷占比、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時程、資本支出、零組件短缺）</t>
    </r>
  </si>
  <si>
    <t xml:space="preserve">https://filecenter.deltaww.com/IR/download/calendar/2Q26_Transcript.pdf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</si>
  <si>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相關朝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；對手名單）</t>
    </r>
  </si>
  <si>
    <t xml:space="preserve">https://finance.biggo.com/news/TW_2308.TW_2026-07-30</t>
  </si>
  <si>
    <r>
      <rPr>
        <sz val="11"/>
        <color theme="1"/>
        <rFont val="Noto Sans CJK SC"/>
        <family val="2"/>
      </rPr>
      <t xml:space="preserve">二手：數位時代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部門營收比重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</si>
  <si>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https://www.bnext.com.tw/article/90178/2026-delta-earnings-call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</si>
  <si>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AI </t>
    </r>
    <r>
      <rPr>
        <sz val="11"/>
        <color theme="1"/>
        <rFont val="Noto Sans CJK SC"/>
        <family val="2"/>
      </rPr>
      <t xml:space="preserve">伺服器電源市場）</t>
    </r>
  </si>
  <si>
    <t xml:space="preserve">https://finance.technews.tw/2026/10/12/delta-electronics-q3-revenue-nears-200-billion-record-high-q4-double-digit-growth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</si>
  <si>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2025-07-01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內容、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</si>
  <si>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https://www.kgi.com.hk/en/-/media/files/kgishk/research-reports/tw-reports/power-supply-industry_01072025.pdf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</si>
  <si>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</si>
  <si>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https://wantrich.chinatimes.com/news/20261001900208-420101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</si>
  <si>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</si>
  <si>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https://www.cmoney.tw/notes/note-detail.aspx?nid=1180676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</si>
  <si>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（投顧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Vicor 337 </t>
    </r>
    <r>
      <rPr>
        <sz val="11"/>
        <color theme="1"/>
        <rFont val="Noto Sans CJK SC"/>
        <family val="2"/>
      </rPr>
      <t xml:space="preserve">調查）</t>
    </r>
  </si>
  <si>
    <t xml:space="preserve">https://tw.news.yahoo.com/%E5%8F%B0%E9%81%94%E9%9B%BBq3%E7%87%9F%E6%94%B6%E5%89%B5%E6%96%B0%E9%AB%98-337%E8%AA%BF%E6%9F%A5%E8%A1%9D%E6%93%8A-%E6%B3%95%E4%BA%BA%E9%80%99%E6%A8%A3%E7%9C%8B-035400801.html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</si>
  <si>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</si>
  <si>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</si>
  <si>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</si>
  <si>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https://tw.stock.yahoo.com/quote/2308.TW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</si>
  <si>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</si>
  <si>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https://companiesmarketcap.com/delta-electronics/pe-ratio/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</si>
  <si>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</si>
  <si>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月底）；部門季度損益；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電源與液冷的季度金額；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</si>
  <si>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</si>
  <si>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</si>
  <si>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</si>
  <si>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278.39 </t>
    </r>
    <r>
      <rPr>
        <sz val="11"/>
        <color theme="1"/>
        <rFont val="Noto Sans CJK SC"/>
        <family val="2"/>
      </rPr>
      <t xml:space="preserve">億元、資本支出 </t>
    </r>
    <r>
      <rPr>
        <sz val="11"/>
        <color theme="1"/>
        <rFont val="Calibri"/>
        <family val="2"/>
        <charset val="1"/>
      </rPr>
      <t xml:space="preserve">460.91 </t>
    </r>
    <r>
      <rPr>
        <sz val="11"/>
        <color theme="1"/>
        <rFont val="Noto Sans CJK SC"/>
        <family val="2"/>
      </rPr>
      <t xml:space="preserve">億元、營業現金流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億元（資料商轉載合併現金流量表）</t>
    </r>
  </si>
  <si>
    <t xml:space="preserve">https://stockanalysis.com/quote/tpe/2308/financials/cash-flow-statement/</t>
  </si>
  <si>
    <r>
      <rPr>
        <sz val="11"/>
        <color theme="1"/>
        <rFont val="Calibri"/>
        <family val="2"/>
        <charset val="1"/>
      </rPr>
      <t xml:space="preserve">[Assumed] 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</t>
    </r>
    <r>
      <rPr>
        <sz val="11"/>
        <color theme="1"/>
        <rFont val="Noto Sans CJK SC"/>
        <family val="2"/>
      </rPr>
      <t xml:space="preserve">）；自由現金流不含營運資金變動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</si>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</sst>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General"/>
    <numFmt numFmtId="166" formatCode="0.00%"/>
    <numFmt numFmtId="167" formatCode="#,##0.000"/>
    <numFmt numFmtId="168" formatCode="0.0%"/>
    <numFmt numFmtId="169" formatCode="0.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0.000"/>
    <numFmt numFmtId="176" formatCode="0%"/>
    <numFmt numFmtId="177" formatCode="@"/>
    <numFmt numFmtId="17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投資建議：中立（依上檔空間固定規則）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NT$"&amp;TEXT(Val!$B$119,"#,##0")&amp;"（DCF "&amp;TEXT(Val!$B$105,"#,##0")&amp;"、Comparable（相對倍數調整後）"&amp;TEXT(tp_comp_adj,"#,##0")&amp;"；DCF 權重 "&amp;TEXT(tp_w_dcf,"0%")&amp;"），比現價 "&amp;TEXT(px,"#,##0")&amp;"（2026-10-23）"&amp;IF(Val!$B$122&gt;=0,"高 "&amp;TEXT(Val!$B$122,"0.0%"),"低 "&amp;TEXT(-Val!$B$122,"0.0%"))&amp;"，級距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"&amp;TEXT((tp_w_dcf*Val!$B$105+(1-tp_w_dcf)*Val!$B$115)/px-1,"+0.0%;−0.0%")&amp;"；Comparable 單獨（市場主流同業法、未調整）為 "&amp;TEXT(Val!$B$123,"+0.0%;−0.0%")&amp;"。"&amp;"以下為 2026-10-29 相對倍數調整前撰寫的說明，其中數字為調整前：主因是倍數不是 EPS：本模型 12 個月後前瞻 EPS 65.12 比共識前瞻 EPS 51.13 高 27.4%（兩者期間差約一年），但同業（Vertiv、Eaton、Schneider Electric、光寶科）前瞻 P/E 中位數 21.9 倍，現價隱含 31.4 倍、共識目標價 2,502 隱含 48.9 倍（比同"&amp;"業高 123%）；DCF 只有前瞻 EPS 的 15.3 倍（ROE 18.2%、再投資率 22.0%），單獨為 −37.7%。"</f>
        <v>重點觀察 1：目標價 NT$1,237（DCF 1,001、Comparable（相對倍數調整後）1,473；DCF 權重 50%），比現價 1,605（2026-10-23）低 22.9%，級距 0%～−25%、投資建議 中立。相對倍數調整係數 1.03（本公司 10 年前瞻倍數中位數 ÷ 同業的中位數，夾在 0.5–2.0；Val 第 0.5 節），調整前加權上檔空間 −24.3%；Comparable 單獨（市場主流同業法、未調整）為 −11.0%。以下為 2026-10-29 相對倍數調整前撰寫的說明，其中數字為調整前：主因是倍數不是 EPS：本模型 12 個月後前瞻 EPS 65.12 比共識前瞻 EPS 51.13 高 27.4%（兩者期間差約一年），但同業（Vertiv、Eaton、Schneider Electric、光寶科）前瞻 P/E 中位數 21.9 倍，現價隱含 31.4 倍、共識目標價 2,502 隱含 48.9 倍（比同業高 123%）；DCF 只有前瞻 EPS 的 15.3 倍（ROE 18.2%、再投資率 22.0%），單獨為 −37.7%。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781.872916666666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1565.35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1984.26388888889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2260.39027777778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7" t="n">
        <v>32.237224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7" t="n">
        <v>37.586352</v>
      </c>
      <c r="G10" s="8" t="s">
        <v>34</v>
      </c>
      <c r="H10" s="8" t="s">
        <v>46</v>
      </c>
      <c r="I10" s="4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7" t="n">
        <v>0.15</v>
      </c>
      <c r="E11" s="7" t="n">
        <v>0.22</v>
      </c>
      <c r="F11" s="7" t="n">
        <v>0.3</v>
      </c>
      <c r="G11" s="8" t="s">
        <v>54</v>
      </c>
      <c r="H11" s="8" t="s">
        <v>55</v>
      </c>
      <c r="I11" s="4" t="s">
        <v>56</v>
      </c>
    </row>
    <row r="12" customFormat="false" ht="17.15" hidden="false" customHeight="false" outlineLevel="0" collapsed="false">
      <c r="A12" s="0" t="s">
        <v>57</v>
      </c>
      <c r="B12" s="4" t="s">
        <v>58</v>
      </c>
      <c r="C12" s="4" t="s">
        <v>59</v>
      </c>
      <c r="E12" s="7" t="n">
        <v>4052</v>
      </c>
      <c r="G12" s="8" t="s">
        <v>34</v>
      </c>
      <c r="H12" s="8" t="s">
        <v>60</v>
      </c>
      <c r="I12" s="8" t="s">
        <v>61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0" t="s">
        <v>64</v>
      </c>
      <c r="E13" s="7" t="n">
        <v>56</v>
      </c>
      <c r="G13" s="8" t="s">
        <v>54</v>
      </c>
      <c r="H13" s="8" t="s">
        <v>65</v>
      </c>
      <c r="I13" s="8" t="s">
        <v>66</v>
      </c>
    </row>
    <row r="14" customFormat="false" ht="17.15" hidden="false" customHeight="false" outlineLevel="0" collapsed="false">
      <c r="A14" s="0" t="s">
        <v>67</v>
      </c>
      <c r="B14" s="4" t="s">
        <v>68</v>
      </c>
      <c r="C14" s="0" t="s">
        <v>69</v>
      </c>
      <c r="E14" s="7" t="n">
        <v>1</v>
      </c>
      <c r="G14" s="8" t="s">
        <v>70</v>
      </c>
      <c r="H14" s="8" t="s">
        <v>71</v>
      </c>
      <c r="I14" s="8" t="s">
        <v>72</v>
      </c>
    </row>
    <row r="15" customFormat="false" ht="17.15" hidden="false" customHeight="false" outlineLevel="0" collapsed="false">
      <c r="A15" s="0" t="s">
        <v>73</v>
      </c>
      <c r="B15" s="4" t="s">
        <v>74</v>
      </c>
      <c r="C15" s="0" t="s">
        <v>69</v>
      </c>
      <c r="E15" s="7" t="n">
        <v>1</v>
      </c>
      <c r="G15" s="8" t="s">
        <v>70</v>
      </c>
      <c r="H15" s="8" t="s">
        <v>75</v>
      </c>
      <c r="I15" s="4" t="s">
        <v>39</v>
      </c>
    </row>
    <row r="16" customFormat="false" ht="17.15" hidden="false" customHeight="false" outlineLevel="0" collapsed="false">
      <c r="A16" s="0" t="s">
        <v>76</v>
      </c>
      <c r="B16" s="4" t="s">
        <v>77</v>
      </c>
      <c r="C16" s="0" t="s">
        <v>69</v>
      </c>
      <c r="E16" s="7" t="n">
        <v>0.8</v>
      </c>
      <c r="G16" s="8" t="s">
        <v>70</v>
      </c>
      <c r="H16" s="8" t="s">
        <v>78</v>
      </c>
      <c r="I16" s="8" t="s">
        <v>72</v>
      </c>
    </row>
    <row r="17" customFormat="false" ht="17.15" hidden="false" customHeight="false" outlineLevel="0" collapsed="false">
      <c r="A17" s="0" t="s">
        <v>79</v>
      </c>
      <c r="B17" s="4" t="s">
        <v>80</v>
      </c>
      <c r="C17" s="0" t="s">
        <v>69</v>
      </c>
      <c r="E17" s="7" t="n">
        <v>0.85</v>
      </c>
      <c r="G17" s="8" t="s">
        <v>70</v>
      </c>
      <c r="H17" s="8" t="s">
        <v>81</v>
      </c>
      <c r="I17" s="4" t="s">
        <v>39</v>
      </c>
    </row>
    <row r="18" customFormat="false" ht="17.15" hidden="false" customHeight="false" outlineLevel="0" collapsed="false">
      <c r="A18" s="0" t="s">
        <v>82</v>
      </c>
      <c r="B18" s="4" t="s">
        <v>83</v>
      </c>
      <c r="C18" s="0" t="s">
        <v>69</v>
      </c>
      <c r="E18" s="7" t="n">
        <v>0.6</v>
      </c>
      <c r="G18" s="8" t="s">
        <v>70</v>
      </c>
      <c r="H18" s="8" t="s">
        <v>84</v>
      </c>
      <c r="I18" s="8" t="s">
        <v>72</v>
      </c>
    </row>
    <row r="19" customFormat="false" ht="17.15" hidden="false" customHeight="false" outlineLevel="0" collapsed="false">
      <c r="A19" s="0" t="s">
        <v>85</v>
      </c>
      <c r="B19" s="4" t="s">
        <v>86</v>
      </c>
      <c r="C19" s="0" t="s">
        <v>69</v>
      </c>
      <c r="E19" s="7" t="n">
        <v>0.6</v>
      </c>
      <c r="G19" s="8" t="s">
        <v>70</v>
      </c>
      <c r="H19" s="8" t="s">
        <v>87</v>
      </c>
      <c r="I19" s="4" t="s">
        <v>39</v>
      </c>
    </row>
    <row r="20" customFormat="false" ht="17.15" hidden="false" customHeight="false" outlineLevel="0" collapsed="false">
      <c r="A20" s="0" t="s">
        <v>88</v>
      </c>
      <c r="B20" s="4" t="s">
        <v>89</v>
      </c>
      <c r="C20" s="0" t="s">
        <v>90</v>
      </c>
      <c r="D20" s="7" t="n">
        <v>30.5</v>
      </c>
      <c r="E20" s="7" t="n">
        <v>32</v>
      </c>
      <c r="F20" s="7" t="n">
        <v>33</v>
      </c>
      <c r="G20" s="8" t="s">
        <v>34</v>
      </c>
      <c r="H20" s="4" t="s">
        <v>91</v>
      </c>
      <c r="I20" s="8" t="s">
        <v>92</v>
      </c>
    </row>
    <row r="21" customFormat="false" ht="17.15" hidden="false" customHeight="false" outlineLevel="0" collapsed="false">
      <c r="A21" s="6" t="s">
        <v>93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96</v>
      </c>
      <c r="D22" s="7" t="n">
        <v>380</v>
      </c>
      <c r="E22" s="7" t="n">
        <v>450</v>
      </c>
      <c r="F22" s="7" t="n">
        <v>520</v>
      </c>
      <c r="G22" s="8" t="s">
        <v>34</v>
      </c>
      <c r="H22" s="8" t="s">
        <v>97</v>
      </c>
      <c r="I22" s="8" t="s">
        <v>98</v>
      </c>
    </row>
    <row r="23" customFormat="false" ht="17.15" hidden="false" customHeight="false" outlineLevel="0" collapsed="false">
      <c r="A23" s="0" t="s">
        <v>99</v>
      </c>
      <c r="B23" s="0" t="s">
        <v>100</v>
      </c>
      <c r="C23" s="0" t="s">
        <v>96</v>
      </c>
      <c r="D23" s="7" t="n">
        <v>500</v>
      </c>
      <c r="E23" s="7" t="n">
        <v>600</v>
      </c>
      <c r="F23" s="7" t="n">
        <v>700</v>
      </c>
      <c r="G23" s="8" t="s">
        <v>34</v>
      </c>
      <c r="H23" s="8" t="s">
        <v>101</v>
      </c>
      <c r="I23" s="4" t="s">
        <v>102</v>
      </c>
    </row>
    <row r="24" customFormat="false" ht="17.15" hidden="false" customHeight="false" outlineLevel="0" collapsed="false">
      <c r="A24" s="0" t="s">
        <v>103</v>
      </c>
      <c r="B24" s="0" t="s">
        <v>104</v>
      </c>
      <c r="C24" s="0" t="s">
        <v>96</v>
      </c>
      <c r="D24" s="7" t="n">
        <v>550</v>
      </c>
      <c r="E24" s="7" t="n">
        <v>680</v>
      </c>
      <c r="F24" s="7" t="n">
        <v>800</v>
      </c>
      <c r="G24" s="8" t="s">
        <v>70</v>
      </c>
      <c r="H24" s="4" t="s">
        <v>105</v>
      </c>
      <c r="I24" s="8" t="s">
        <v>106</v>
      </c>
    </row>
    <row r="25" customFormat="false" ht="17.15" hidden="false" customHeight="false" outlineLevel="0" collapsed="false">
      <c r="A25" s="0" t="s">
        <v>107</v>
      </c>
      <c r="B25" s="0" t="s">
        <v>108</v>
      </c>
      <c r="C25" s="0" t="s">
        <v>96</v>
      </c>
      <c r="D25" s="7" t="n">
        <v>550</v>
      </c>
      <c r="E25" s="7" t="n">
        <v>720</v>
      </c>
      <c r="F25" s="7" t="n">
        <v>850</v>
      </c>
      <c r="G25" s="8" t="s">
        <v>70</v>
      </c>
      <c r="H25" s="4" t="s">
        <v>39</v>
      </c>
      <c r="I25" s="8" t="s">
        <v>109</v>
      </c>
    </row>
    <row r="26" customFormat="false" ht="17.15" hidden="false" customHeight="false" outlineLevel="0" collapsed="false">
      <c r="A26" s="0" t="s">
        <v>110</v>
      </c>
      <c r="B26" s="4" t="s">
        <v>111</v>
      </c>
      <c r="C26" s="0" t="s">
        <v>69</v>
      </c>
      <c r="D26" s="7" t="n">
        <v>0.85</v>
      </c>
      <c r="E26" s="7" t="n">
        <v>0.95</v>
      </c>
      <c r="F26" s="7" t="n">
        <v>1</v>
      </c>
      <c r="G26" s="8" t="s">
        <v>70</v>
      </c>
      <c r="H26" s="8" t="s">
        <v>112</v>
      </c>
      <c r="I26" s="4" t="s">
        <v>113</v>
      </c>
    </row>
    <row r="27" customFormat="false" ht="17.15" hidden="false" customHeight="false" outlineLevel="0" collapsed="false">
      <c r="A27" s="0" t="s">
        <v>114</v>
      </c>
      <c r="B27" s="4" t="s">
        <v>115</v>
      </c>
      <c r="C27" s="0" t="s">
        <v>69</v>
      </c>
      <c r="D27" s="7" t="n">
        <v>0.7</v>
      </c>
      <c r="E27" s="7" t="n">
        <v>0.9</v>
      </c>
      <c r="F27" s="7" t="n">
        <v>1</v>
      </c>
      <c r="G27" s="8" t="s">
        <v>70</v>
      </c>
      <c r="H27" s="4" t="s">
        <v>39</v>
      </c>
      <c r="I27" s="8" t="s">
        <v>109</v>
      </c>
    </row>
    <row r="28" customFormat="false" ht="17.15" hidden="false" customHeight="false" outlineLevel="0" collapsed="false">
      <c r="A28" s="0" t="s">
        <v>116</v>
      </c>
      <c r="B28" s="4" t="s">
        <v>117</v>
      </c>
      <c r="C28" s="0" t="s">
        <v>69</v>
      </c>
      <c r="D28" s="7" t="n">
        <v>0.65</v>
      </c>
      <c r="E28" s="7" t="n">
        <v>0.85</v>
      </c>
      <c r="F28" s="7" t="n">
        <v>1</v>
      </c>
      <c r="G28" s="8" t="s">
        <v>70</v>
      </c>
      <c r="H28" s="4" t="s">
        <v>39</v>
      </c>
      <c r="I28" s="8" t="s">
        <v>109</v>
      </c>
    </row>
    <row r="29" customFormat="false" ht="17.15" hidden="false" customHeight="false" outlineLevel="0" collapsed="false">
      <c r="A29" s="0" t="s">
        <v>118</v>
      </c>
      <c r="B29" s="4" t="s">
        <v>119</v>
      </c>
      <c r="C29" s="0" t="s">
        <v>69</v>
      </c>
      <c r="D29" s="7" t="n">
        <v>0.9</v>
      </c>
      <c r="E29" s="7" t="n">
        <v>1.1</v>
      </c>
      <c r="F29" s="7" t="n">
        <v>1.3</v>
      </c>
      <c r="G29" s="8" t="s">
        <v>70</v>
      </c>
      <c r="H29" s="4" t="s">
        <v>120</v>
      </c>
      <c r="I29" s="4" t="s">
        <v>121</v>
      </c>
    </row>
    <row r="30" customFormat="false" ht="17.15" hidden="false" customHeight="false" outlineLevel="0" collapsed="false">
      <c r="A30" s="0" t="s">
        <v>122</v>
      </c>
      <c r="B30" s="4" t="s">
        <v>123</v>
      </c>
      <c r="C30" s="0" t="s">
        <v>69</v>
      </c>
      <c r="D30" s="7" t="n">
        <v>0.85</v>
      </c>
      <c r="E30" s="7" t="n">
        <v>1.15</v>
      </c>
      <c r="F30" s="7" t="n">
        <v>1.4</v>
      </c>
      <c r="G30" s="8" t="s">
        <v>70</v>
      </c>
      <c r="H30" s="4" t="s">
        <v>39</v>
      </c>
      <c r="I30" s="8" t="s">
        <v>109</v>
      </c>
    </row>
    <row r="31" customFormat="false" ht="17.15" hidden="false" customHeight="false" outlineLevel="0" collapsed="false">
      <c r="A31" s="0" t="s">
        <v>124</v>
      </c>
      <c r="B31" s="4" t="s">
        <v>125</v>
      </c>
      <c r="C31" s="0" t="s">
        <v>69</v>
      </c>
      <c r="D31" s="7" t="n">
        <v>0.8</v>
      </c>
      <c r="E31" s="7" t="n">
        <v>1.2</v>
      </c>
      <c r="F31" s="7" t="n">
        <v>1.5</v>
      </c>
      <c r="G31" s="8" t="s">
        <v>70</v>
      </c>
      <c r="H31" s="4" t="s">
        <v>39</v>
      </c>
      <c r="I31" s="8" t="s">
        <v>109</v>
      </c>
    </row>
    <row r="32" customFormat="false" ht="17.15" hidden="false" customHeight="false" outlineLevel="0" collapsed="false">
      <c r="A32" s="6" t="s">
        <v>126</v>
      </c>
    </row>
    <row r="33" customFormat="false" ht="17.15" hidden="false" customHeight="false" outlineLevel="0" collapsed="false">
      <c r="A33" s="0" t="s">
        <v>127</v>
      </c>
      <c r="B33" s="0" t="s">
        <v>128</v>
      </c>
      <c r="C33" s="0" t="s">
        <v>53</v>
      </c>
      <c r="E33" s="7" t="n">
        <v>0.18</v>
      </c>
      <c r="G33" s="8" t="s">
        <v>54</v>
      </c>
      <c r="H33" s="8" t="s">
        <v>129</v>
      </c>
      <c r="I33" s="4" t="s">
        <v>130</v>
      </c>
    </row>
    <row r="34" customFormat="false" ht="17.15" hidden="false" customHeight="false" outlineLevel="0" collapsed="false">
      <c r="A34" s="0" t="s">
        <v>131</v>
      </c>
      <c r="B34" s="0" t="s">
        <v>132</v>
      </c>
      <c r="C34" s="0" t="s">
        <v>53</v>
      </c>
      <c r="D34" s="7" t="n">
        <v>0.25</v>
      </c>
      <c r="E34" s="7" t="n">
        <v>0.26</v>
      </c>
      <c r="F34" s="7" t="n">
        <v>0.28</v>
      </c>
      <c r="G34" s="8" t="s">
        <v>54</v>
      </c>
      <c r="H34" s="8" t="s">
        <v>133</v>
      </c>
      <c r="I34" s="4" t="s">
        <v>134</v>
      </c>
    </row>
    <row r="35" customFormat="false" ht="17.15" hidden="false" customHeight="false" outlineLevel="0" collapsed="false">
      <c r="A35" s="0" t="s">
        <v>135</v>
      </c>
      <c r="B35" s="0" t="s">
        <v>136</v>
      </c>
      <c r="C35" s="0" t="s">
        <v>53</v>
      </c>
      <c r="E35" s="7" t="n">
        <v>0.1</v>
      </c>
      <c r="G35" s="8" t="s">
        <v>54</v>
      </c>
      <c r="H35" s="8" t="s">
        <v>137</v>
      </c>
      <c r="I35" s="4" t="s">
        <v>138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53</v>
      </c>
      <c r="D36" s="7" t="n">
        <v>0.12</v>
      </c>
      <c r="E36" s="7" t="n">
        <v>0.125</v>
      </c>
      <c r="F36" s="7" t="n">
        <v>0.13</v>
      </c>
      <c r="G36" s="8" t="s">
        <v>54</v>
      </c>
      <c r="H36" s="8" t="s">
        <v>141</v>
      </c>
      <c r="I36" s="8" t="s">
        <v>142</v>
      </c>
    </row>
    <row r="37" customFormat="false" ht="17.15" hidden="false" customHeight="false" outlineLevel="0" collapsed="false">
      <c r="A37" s="6" t="s">
        <v>143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53</v>
      </c>
      <c r="E38" s="7" t="n">
        <v>0.5</v>
      </c>
      <c r="G38" s="8" t="s">
        <v>146</v>
      </c>
      <c r="H38" s="4" t="s">
        <v>147</v>
      </c>
      <c r="I38" s="4" t="s">
        <v>148</v>
      </c>
    </row>
    <row r="39" customFormat="false" ht="17.15" hidden="false" customHeight="false" outlineLevel="0" collapsed="false">
      <c r="A39" s="0" t="s">
        <v>149</v>
      </c>
      <c r="B39" s="0" t="s">
        <v>150</v>
      </c>
      <c r="C39" s="0" t="s">
        <v>53</v>
      </c>
      <c r="D39" s="7" t="n">
        <v>0.5</v>
      </c>
      <c r="E39" s="7" t="n">
        <v>0.51</v>
      </c>
      <c r="F39" s="7" t="n">
        <v>0.53</v>
      </c>
      <c r="G39" s="8" t="s">
        <v>54</v>
      </c>
      <c r="H39" s="8" t="s">
        <v>151</v>
      </c>
      <c r="I39" s="4" t="s">
        <v>152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53</v>
      </c>
      <c r="E40" s="7" t="n">
        <v>0.07</v>
      </c>
      <c r="G40" s="8" t="s">
        <v>146</v>
      </c>
      <c r="H40" s="4" t="s">
        <v>147</v>
      </c>
      <c r="I40" s="4" t="s">
        <v>148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53</v>
      </c>
      <c r="D41" s="7" t="n">
        <v>0.05</v>
      </c>
      <c r="E41" s="7" t="n">
        <v>0.06</v>
      </c>
      <c r="F41" s="7" t="n">
        <v>0.07</v>
      </c>
      <c r="G41" s="8" t="s">
        <v>54</v>
      </c>
      <c r="H41" s="8" t="s">
        <v>151</v>
      </c>
      <c r="I41" s="8" t="s">
        <v>109</v>
      </c>
    </row>
    <row r="42" customFormat="false" ht="17.15" hidden="false" customHeight="false" outlineLevel="0" collapsed="false">
      <c r="A42" s="0" t="s">
        <v>157</v>
      </c>
      <c r="B42" s="0" t="s">
        <v>158</v>
      </c>
      <c r="C42" s="0" t="s">
        <v>53</v>
      </c>
      <c r="E42" s="7" t="n">
        <v>0.1</v>
      </c>
      <c r="G42" s="8" t="s">
        <v>146</v>
      </c>
      <c r="H42" s="4" t="s">
        <v>147</v>
      </c>
      <c r="I42" s="4" t="s">
        <v>148</v>
      </c>
    </row>
    <row r="43" customFormat="false" ht="17.15" hidden="false" customHeight="false" outlineLevel="0" collapsed="false">
      <c r="A43" s="0" t="s">
        <v>159</v>
      </c>
      <c r="B43" s="0" t="s">
        <v>160</v>
      </c>
      <c r="C43" s="0" t="s">
        <v>53</v>
      </c>
      <c r="D43" s="7" t="n">
        <v>0.07</v>
      </c>
      <c r="E43" s="7" t="n">
        <v>0.08</v>
      </c>
      <c r="F43" s="7" t="n">
        <v>0.09</v>
      </c>
      <c r="G43" s="8" t="s">
        <v>54</v>
      </c>
      <c r="H43" s="8" t="s">
        <v>151</v>
      </c>
      <c r="I43" s="8" t="s">
        <v>109</v>
      </c>
    </row>
    <row r="44" customFormat="false" ht="17.15" hidden="false" customHeight="false" outlineLevel="0" collapsed="false">
      <c r="A44" s="0" t="s">
        <v>161</v>
      </c>
      <c r="B44" s="0" t="s">
        <v>162</v>
      </c>
      <c r="C44" s="0" t="s">
        <v>53</v>
      </c>
      <c r="E44" s="0" t="n">
        <f aca="false">1-s25_pe-s25_mo-s25_au</f>
        <v>0.33</v>
      </c>
      <c r="G44" s="0" t="s">
        <v>34</v>
      </c>
      <c r="H44" s="0" t="s">
        <v>163</v>
      </c>
      <c r="I44" s="0" t="s">
        <v>109</v>
      </c>
    </row>
    <row r="45" customFormat="false" ht="17.15" hidden="false" customHeight="false" outlineLevel="0" collapsed="false">
      <c r="A45" s="0" t="s">
        <v>164</v>
      </c>
      <c r="B45" s="0" t="s">
        <v>165</v>
      </c>
      <c r="C45" s="0" t="s">
        <v>53</v>
      </c>
      <c r="E45" s="0" t="n">
        <f aca="false">1-s26_pe-s26_mo-s26_au</f>
        <v>0.35</v>
      </c>
      <c r="G45" s="0" t="s">
        <v>34</v>
      </c>
      <c r="H45" s="0" t="s">
        <v>166</v>
      </c>
      <c r="I45" s="0" t="s">
        <v>167</v>
      </c>
    </row>
    <row r="46" customFormat="false" ht="17.15" hidden="false" customHeight="false" outlineLevel="0" collapsed="false">
      <c r="A46" s="0" t="s">
        <v>168</v>
      </c>
      <c r="B46" s="4" t="s">
        <v>169</v>
      </c>
      <c r="C46" s="0" t="s">
        <v>53</v>
      </c>
      <c r="D46" s="7" t="n">
        <v>0</v>
      </c>
      <c r="E46" s="7" t="n">
        <v>0.05</v>
      </c>
      <c r="F46" s="7" t="n">
        <v>0.1</v>
      </c>
      <c r="G46" s="8" t="s">
        <v>70</v>
      </c>
      <c r="H46" s="8" t="s">
        <v>170</v>
      </c>
      <c r="I46" s="8" t="s">
        <v>171</v>
      </c>
    </row>
    <row r="47" customFormat="false" ht="17.15" hidden="false" customHeight="false" outlineLevel="0" collapsed="false">
      <c r="A47" s="0" t="s">
        <v>172</v>
      </c>
      <c r="B47" s="4" t="s">
        <v>173</v>
      </c>
      <c r="C47" s="0" t="s">
        <v>53</v>
      </c>
      <c r="D47" s="7" t="n">
        <v>0</v>
      </c>
      <c r="E47" s="7" t="n">
        <v>0.04</v>
      </c>
      <c r="F47" s="7" t="n">
        <v>0.08</v>
      </c>
      <c r="G47" s="8" t="s">
        <v>70</v>
      </c>
      <c r="H47" s="4" t="s">
        <v>39</v>
      </c>
      <c r="I47" s="8" t="s">
        <v>109</v>
      </c>
    </row>
    <row r="48" customFormat="false" ht="17.15" hidden="false" customHeight="false" outlineLevel="0" collapsed="false">
      <c r="A48" s="0" t="s">
        <v>174</v>
      </c>
      <c r="B48" s="4" t="s">
        <v>175</v>
      </c>
      <c r="C48" s="0" t="s">
        <v>53</v>
      </c>
      <c r="D48" s="7" t="n">
        <v>0</v>
      </c>
      <c r="E48" s="7" t="n">
        <v>0.03</v>
      </c>
      <c r="F48" s="7" t="n">
        <v>0.06</v>
      </c>
      <c r="G48" s="8" t="s">
        <v>70</v>
      </c>
      <c r="H48" s="4" t="s">
        <v>39</v>
      </c>
      <c r="I48" s="8" t="s">
        <v>109</v>
      </c>
    </row>
    <row r="49" customFormat="false" ht="17.15" hidden="false" customHeight="false" outlineLevel="0" collapsed="false">
      <c r="A49" s="0" t="s">
        <v>176</v>
      </c>
      <c r="B49" s="4" t="s">
        <v>177</v>
      </c>
      <c r="C49" s="0" t="s">
        <v>53</v>
      </c>
      <c r="D49" s="7" t="n">
        <v>0.03</v>
      </c>
      <c r="E49" s="7" t="n">
        <v>0.09</v>
      </c>
      <c r="F49" s="7" t="n">
        <v>0.15</v>
      </c>
      <c r="G49" s="8" t="s">
        <v>70</v>
      </c>
      <c r="H49" s="8" t="s">
        <v>178</v>
      </c>
      <c r="I49" s="4" t="s">
        <v>179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53</v>
      </c>
      <c r="D50" s="7" t="n">
        <v>0</v>
      </c>
      <c r="E50" s="7" t="n">
        <v>0.07</v>
      </c>
      <c r="F50" s="7" t="n">
        <v>0.12</v>
      </c>
      <c r="G50" s="8" t="s">
        <v>70</v>
      </c>
      <c r="H50" s="4" t="s">
        <v>39</v>
      </c>
      <c r="I50" s="8" t="s">
        <v>109</v>
      </c>
    </row>
    <row r="51" customFormat="false" ht="17.15" hidden="false" customHeight="false" outlineLevel="0" collapsed="false">
      <c r="A51" s="0" t="s">
        <v>182</v>
      </c>
      <c r="B51" s="4" t="s">
        <v>183</v>
      </c>
      <c r="C51" s="0" t="s">
        <v>53</v>
      </c>
      <c r="D51" s="7" t="n">
        <v>0</v>
      </c>
      <c r="E51" s="7" t="n">
        <v>0.06</v>
      </c>
      <c r="F51" s="7" t="n">
        <v>0.1</v>
      </c>
      <c r="G51" s="8" t="s">
        <v>70</v>
      </c>
      <c r="H51" s="4" t="s">
        <v>39</v>
      </c>
      <c r="I51" s="8" t="s">
        <v>109</v>
      </c>
    </row>
    <row r="52" customFormat="false" ht="17.15" hidden="false" customHeight="false" outlineLevel="0" collapsed="false">
      <c r="A52" s="0" t="s">
        <v>184</v>
      </c>
      <c r="B52" s="4" t="s">
        <v>185</v>
      </c>
      <c r="C52" s="0" t="s">
        <v>53</v>
      </c>
      <c r="D52" s="7" t="n">
        <v>0</v>
      </c>
      <c r="E52" s="7" t="n">
        <v>0.05</v>
      </c>
      <c r="F52" s="7" t="n">
        <v>0.1</v>
      </c>
      <c r="G52" s="8" t="s">
        <v>70</v>
      </c>
      <c r="H52" s="8" t="s">
        <v>186</v>
      </c>
      <c r="I52" s="8" t="s">
        <v>187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0" t="s">
        <v>53</v>
      </c>
      <c r="D53" s="7" t="n">
        <v>0</v>
      </c>
      <c r="E53" s="7" t="n">
        <v>0.05</v>
      </c>
      <c r="F53" s="7" t="n">
        <v>0.1</v>
      </c>
      <c r="G53" s="8" t="s">
        <v>70</v>
      </c>
      <c r="H53" s="4" t="s">
        <v>39</v>
      </c>
      <c r="I53" s="8" t="s">
        <v>109</v>
      </c>
    </row>
    <row r="54" customFormat="false" ht="17.15" hidden="false" customHeight="false" outlineLevel="0" collapsed="false">
      <c r="A54" s="0" t="s">
        <v>190</v>
      </c>
      <c r="B54" s="4" t="s">
        <v>191</v>
      </c>
      <c r="C54" s="0" t="s">
        <v>53</v>
      </c>
      <c r="D54" s="7" t="n">
        <v>0</v>
      </c>
      <c r="E54" s="7" t="n">
        <v>0.04</v>
      </c>
      <c r="F54" s="7" t="n">
        <v>0.08</v>
      </c>
      <c r="G54" s="8" t="s">
        <v>70</v>
      </c>
      <c r="H54" s="4" t="s">
        <v>39</v>
      </c>
      <c r="I54" s="8" t="s">
        <v>109</v>
      </c>
    </row>
    <row r="55" customFormat="false" ht="17.15" hidden="false" customHeight="false" outlineLevel="0" collapsed="false">
      <c r="A55" s="0" t="s">
        <v>192</v>
      </c>
      <c r="B55" s="4" t="s">
        <v>193</v>
      </c>
      <c r="C55" s="0" t="s">
        <v>53</v>
      </c>
      <c r="D55" s="7" t="n">
        <v>-0.1</v>
      </c>
      <c r="E55" s="7" t="n">
        <v>0</v>
      </c>
      <c r="F55" s="7" t="n">
        <v>0.1</v>
      </c>
      <c r="G55" s="8" t="s">
        <v>70</v>
      </c>
      <c r="H55" s="4" t="s">
        <v>194</v>
      </c>
      <c r="I55" s="8" t="s">
        <v>195</v>
      </c>
    </row>
    <row r="56" customFormat="false" ht="17.15" hidden="false" customHeight="false" outlineLevel="0" collapsed="false">
      <c r="A56" s="0" t="s">
        <v>196</v>
      </c>
      <c r="B56" s="4" t="s">
        <v>197</v>
      </c>
      <c r="C56" s="0" t="s">
        <v>53</v>
      </c>
      <c r="D56" s="7" t="n">
        <v>-0.05</v>
      </c>
      <c r="E56" s="7" t="n">
        <v>0.02</v>
      </c>
      <c r="F56" s="7" t="n">
        <v>0.1</v>
      </c>
      <c r="G56" s="8" t="s">
        <v>70</v>
      </c>
      <c r="H56" s="4" t="s">
        <v>39</v>
      </c>
      <c r="I56" s="8" t="s">
        <v>109</v>
      </c>
    </row>
    <row r="57" customFormat="false" ht="17.15" hidden="false" customHeight="false" outlineLevel="0" collapsed="false">
      <c r="A57" s="0" t="s">
        <v>198</v>
      </c>
      <c r="B57" s="4" t="s">
        <v>199</v>
      </c>
      <c r="C57" s="0" t="s">
        <v>53</v>
      </c>
      <c r="D57" s="7" t="n">
        <v>-0.05</v>
      </c>
      <c r="E57" s="7" t="n">
        <v>0.02</v>
      </c>
      <c r="F57" s="7" t="n">
        <v>0.1</v>
      </c>
      <c r="G57" s="8" t="s">
        <v>70</v>
      </c>
      <c r="H57" s="4" t="s">
        <v>39</v>
      </c>
      <c r="I57" s="8" t="s">
        <v>109</v>
      </c>
    </row>
    <row r="58" customFormat="false" ht="17.15" hidden="false" customHeight="false" outlineLevel="0" collapsed="false">
      <c r="A58" s="6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203</v>
      </c>
      <c r="D59" s="7" t="n">
        <v>0.04</v>
      </c>
      <c r="E59" s="7" t="n">
        <v>0.08</v>
      </c>
      <c r="F59" s="7" t="n">
        <v>0.12</v>
      </c>
      <c r="G59" s="8" t="s">
        <v>70</v>
      </c>
      <c r="H59" s="4" t="s">
        <v>204</v>
      </c>
      <c r="I59" s="4" t="s">
        <v>205</v>
      </c>
    </row>
    <row r="60" customFormat="false" ht="17.15" hidden="false" customHeight="false" outlineLevel="0" collapsed="false">
      <c r="A60" s="6" t="s">
        <v>206</v>
      </c>
    </row>
    <row r="61" customFormat="false" ht="17.15" hidden="false" customHeight="false" outlineLevel="0" collapsed="false">
      <c r="A61" s="0" t="s">
        <v>207</v>
      </c>
      <c r="B61" s="0" t="s">
        <v>208</v>
      </c>
      <c r="C61" s="0" t="s">
        <v>209</v>
      </c>
      <c r="E61" s="7" t="n">
        <v>197.059</v>
      </c>
      <c r="G61" s="8" t="s">
        <v>146</v>
      </c>
      <c r="H61" s="8" t="s">
        <v>210</v>
      </c>
      <c r="I61" s="4" t="s">
        <v>211</v>
      </c>
    </row>
    <row r="62" customFormat="false" ht="17.15" hidden="false" customHeight="false" outlineLevel="0" collapsed="false">
      <c r="A62" s="0" t="s">
        <v>212</v>
      </c>
      <c r="B62" s="0" t="s">
        <v>213</v>
      </c>
      <c r="C62" s="0" t="s">
        <v>53</v>
      </c>
      <c r="D62" s="7" t="n">
        <v>0.05</v>
      </c>
      <c r="E62" s="7" t="n">
        <v>0.1</v>
      </c>
      <c r="F62" s="7" t="n">
        <v>0.2</v>
      </c>
      <c r="G62" s="8" t="s">
        <v>54</v>
      </c>
      <c r="H62" s="4" t="s">
        <v>214</v>
      </c>
      <c r="I62" s="4" t="s">
        <v>215</v>
      </c>
    </row>
    <row r="63" customFormat="false" ht="17.15" hidden="false" customHeight="false" outlineLevel="0" collapsed="false">
      <c r="A63" s="0" t="s">
        <v>216</v>
      </c>
      <c r="B63" s="0" t="s">
        <v>217</v>
      </c>
      <c r="C63" s="0" t="s">
        <v>53</v>
      </c>
      <c r="D63" s="7" t="n">
        <v>0.35</v>
      </c>
      <c r="E63" s="7" t="n">
        <v>0.36</v>
      </c>
      <c r="F63" s="7" t="n">
        <v>0.38</v>
      </c>
      <c r="G63" s="8" t="s">
        <v>54</v>
      </c>
      <c r="H63" s="8" t="s">
        <v>218</v>
      </c>
      <c r="I63" s="4" t="s">
        <v>219</v>
      </c>
    </row>
    <row r="64" customFormat="false" ht="17.15" hidden="false" customHeight="false" outlineLevel="0" collapsed="false">
      <c r="A64" s="0" t="s">
        <v>220</v>
      </c>
      <c r="B64" s="0" t="s">
        <v>221</v>
      </c>
      <c r="C64" s="0" t="s">
        <v>53</v>
      </c>
      <c r="D64" s="7" t="n">
        <v>0.175</v>
      </c>
      <c r="E64" s="7" t="n">
        <v>0.185</v>
      </c>
      <c r="F64" s="7" t="n">
        <v>0.195</v>
      </c>
      <c r="G64" s="8" t="s">
        <v>70</v>
      </c>
      <c r="H64" s="8" t="s">
        <v>222</v>
      </c>
      <c r="I64" s="4" t="s">
        <v>223</v>
      </c>
    </row>
    <row r="65" customFormat="false" ht="17.15" hidden="false" customHeight="false" outlineLevel="0" collapsed="false">
      <c r="A65" s="0" t="s">
        <v>224</v>
      </c>
      <c r="B65" s="0" t="s">
        <v>225</v>
      </c>
      <c r="C65" s="0" t="s">
        <v>209</v>
      </c>
      <c r="D65" s="7" t="n">
        <v>0</v>
      </c>
      <c r="E65" s="7" t="n">
        <v>2</v>
      </c>
      <c r="F65" s="7" t="n">
        <v>4.4</v>
      </c>
      <c r="G65" s="8" t="s">
        <v>34</v>
      </c>
      <c r="H65" s="8" t="s">
        <v>226</v>
      </c>
      <c r="I65" s="8" t="s">
        <v>227</v>
      </c>
    </row>
    <row r="66" customFormat="false" ht="17.15" hidden="false" customHeight="false" outlineLevel="0" collapsed="false">
      <c r="A66" s="0" t="s">
        <v>228</v>
      </c>
      <c r="B66" s="0" t="s">
        <v>229</v>
      </c>
      <c r="C66" s="0" t="s">
        <v>53</v>
      </c>
      <c r="D66" s="7" t="n">
        <v>0.67</v>
      </c>
      <c r="E66" s="7" t="n">
        <v>0.69</v>
      </c>
      <c r="F66" s="7" t="n">
        <v>0.71</v>
      </c>
      <c r="G66" s="8" t="s">
        <v>34</v>
      </c>
      <c r="H66" s="8" t="s">
        <v>230</v>
      </c>
      <c r="I66" s="4" t="s">
        <v>231</v>
      </c>
    </row>
    <row r="67" customFormat="false" ht="17.15" hidden="false" customHeight="false" outlineLevel="0" collapsed="false">
      <c r="A67" s="0" t="s">
        <v>232</v>
      </c>
      <c r="B67" s="4" t="s">
        <v>233</v>
      </c>
      <c r="C67" s="4" t="s">
        <v>234</v>
      </c>
      <c r="E67" s="0" t="n">
        <f aca="false">45.7/17.59</f>
        <v>2.59806708357021</v>
      </c>
      <c r="G67" s="0" t="s">
        <v>34</v>
      </c>
      <c r="H67" s="0" t="s">
        <v>235</v>
      </c>
      <c r="I67" s="4" t="s">
        <v>236</v>
      </c>
    </row>
    <row r="68" customFormat="false" ht="17.15" hidden="false" customHeight="false" outlineLevel="0" collapsed="false">
      <c r="A68" s="6" t="s">
        <v>237</v>
      </c>
    </row>
    <row r="69" customFormat="false" ht="17.15" hidden="false" customHeight="false" outlineLevel="0" collapsed="false">
      <c r="A69" s="0" t="s">
        <v>238</v>
      </c>
      <c r="B69" s="4" t="s">
        <v>239</v>
      </c>
      <c r="C69" s="0" t="s">
        <v>69</v>
      </c>
      <c r="D69" s="7" t="n">
        <v>0.6</v>
      </c>
      <c r="E69" s="7" t="n">
        <v>0.8</v>
      </c>
      <c r="F69" s="7" t="n">
        <v>1</v>
      </c>
      <c r="G69" s="8" t="s">
        <v>34</v>
      </c>
      <c r="H69" s="8" t="s">
        <v>240</v>
      </c>
      <c r="I69" s="8" t="s">
        <v>241</v>
      </c>
    </row>
    <row r="70" customFormat="false" ht="17.15" hidden="false" customHeight="false" outlineLevel="0" collapsed="false">
      <c r="A70" s="0" t="s">
        <v>242</v>
      </c>
      <c r="B70" s="4" t="s">
        <v>243</v>
      </c>
      <c r="C70" s="0" t="s">
        <v>203</v>
      </c>
      <c r="D70" s="7" t="n">
        <v>-0.02</v>
      </c>
      <c r="E70" s="7" t="n">
        <v>0</v>
      </c>
      <c r="F70" s="7" t="n">
        <v>0.02</v>
      </c>
      <c r="G70" s="8" t="s">
        <v>70</v>
      </c>
      <c r="H70" s="4" t="s">
        <v>244</v>
      </c>
      <c r="I70" s="8" t="s">
        <v>245</v>
      </c>
    </row>
    <row r="71" customFormat="false" ht="17.15" hidden="false" customHeight="false" outlineLevel="0" collapsed="false">
      <c r="A71" s="0" t="s">
        <v>246</v>
      </c>
      <c r="B71" s="4" t="s">
        <v>247</v>
      </c>
      <c r="C71" s="0" t="s">
        <v>209</v>
      </c>
      <c r="D71" s="7" t="n">
        <v>4</v>
      </c>
      <c r="E71" s="7" t="n">
        <v>8</v>
      </c>
      <c r="F71" s="7" t="n">
        <v>12</v>
      </c>
      <c r="G71" s="8" t="s">
        <v>70</v>
      </c>
      <c r="H71" s="8" t="s">
        <v>248</v>
      </c>
      <c r="I71" s="8" t="s">
        <v>109</v>
      </c>
    </row>
    <row r="72" customFormat="false" ht="17.15" hidden="false" customHeight="false" outlineLevel="0" collapsed="false">
      <c r="A72" s="0" t="s">
        <v>249</v>
      </c>
      <c r="B72" s="4" t="s">
        <v>250</v>
      </c>
      <c r="C72" s="0" t="s">
        <v>53</v>
      </c>
      <c r="D72" s="7" t="n">
        <v>0.66</v>
      </c>
      <c r="E72" s="7" t="n">
        <v>0.69</v>
      </c>
      <c r="F72" s="7" t="n">
        <v>0.71</v>
      </c>
      <c r="G72" s="8" t="s">
        <v>34</v>
      </c>
      <c r="H72" s="4" t="s">
        <v>251</v>
      </c>
      <c r="I72" s="8" t="s">
        <v>109</v>
      </c>
    </row>
    <row r="73" customFormat="false" ht="17.15" hidden="false" customHeight="false" outlineLevel="0" collapsed="false">
      <c r="A73" s="0" t="s">
        <v>252</v>
      </c>
      <c r="B73" s="4" t="s">
        <v>253</v>
      </c>
      <c r="C73" s="0" t="s">
        <v>53</v>
      </c>
      <c r="D73" s="7" t="n">
        <v>0</v>
      </c>
      <c r="E73" s="7" t="n">
        <v>0</v>
      </c>
      <c r="F73" s="7" t="n">
        <v>0.005</v>
      </c>
      <c r="G73" s="8" t="s">
        <v>70</v>
      </c>
      <c r="H73" s="8" t="s">
        <v>254</v>
      </c>
      <c r="I73" s="8" t="s">
        <v>109</v>
      </c>
    </row>
    <row r="74" customFormat="false" ht="17.15" hidden="false" customHeight="false" outlineLevel="0" collapsed="false">
      <c r="A74" s="0" t="s">
        <v>255</v>
      </c>
      <c r="B74" s="0" t="s">
        <v>256</v>
      </c>
      <c r="C74" s="0" t="s">
        <v>69</v>
      </c>
      <c r="D74" s="7" t="n">
        <v>0.8</v>
      </c>
      <c r="E74" s="7" t="n">
        <v>1</v>
      </c>
      <c r="F74" s="7" t="n">
        <v>1.2</v>
      </c>
      <c r="G74" s="8" t="s">
        <v>70</v>
      </c>
      <c r="H74" s="4" t="s">
        <v>257</v>
      </c>
      <c r="I74" s="8" t="s">
        <v>258</v>
      </c>
    </row>
    <row r="75" customFormat="false" ht="17.15" hidden="false" customHeight="false" outlineLevel="0" collapsed="false">
      <c r="A75" s="6" t="s">
        <v>259</v>
      </c>
    </row>
    <row r="76" customFormat="false" ht="17.15" hidden="false" customHeight="false" outlineLevel="0" collapsed="false">
      <c r="A76" s="0" t="s">
        <v>260</v>
      </c>
      <c r="B76" s="4" t="s">
        <v>261</v>
      </c>
      <c r="C76" s="0" t="s">
        <v>209</v>
      </c>
      <c r="E76" s="7" t="n">
        <v>803</v>
      </c>
      <c r="G76" s="8" t="s">
        <v>54</v>
      </c>
      <c r="H76" s="4" t="s">
        <v>262</v>
      </c>
      <c r="I76" s="8" t="s">
        <v>109</v>
      </c>
    </row>
    <row r="77" customFormat="false" ht="17.15" hidden="false" customHeight="false" outlineLevel="0" collapsed="false">
      <c r="A77" s="0" t="s">
        <v>263</v>
      </c>
      <c r="B77" s="4" t="s">
        <v>264</v>
      </c>
      <c r="C77" s="0" t="s">
        <v>265</v>
      </c>
      <c r="E77" s="7" t="n">
        <v>43.1</v>
      </c>
      <c r="G77" s="8" t="s">
        <v>54</v>
      </c>
      <c r="H77" s="4" t="s">
        <v>266</v>
      </c>
      <c r="I77" s="8" t="s">
        <v>109</v>
      </c>
    </row>
    <row r="78" customFormat="false" ht="17.15" hidden="false" customHeight="false" outlineLevel="0" collapsed="false">
      <c r="A78" s="0" t="s">
        <v>267</v>
      </c>
      <c r="B78" s="4" t="s">
        <v>268</v>
      </c>
      <c r="C78" s="0" t="s">
        <v>265</v>
      </c>
      <c r="E78" s="7" t="n">
        <v>41.5</v>
      </c>
      <c r="G78" s="8" t="s">
        <v>54</v>
      </c>
      <c r="H78" s="8" t="s">
        <v>269</v>
      </c>
      <c r="I78" s="8" t="s">
        <v>109</v>
      </c>
    </row>
    <row r="79" customFormat="false" ht="17.15" hidden="false" customHeight="false" outlineLevel="0" collapsed="false">
      <c r="A79" s="0" t="s">
        <v>270</v>
      </c>
      <c r="B79" s="4" t="s">
        <v>271</v>
      </c>
      <c r="C79" s="0" t="s">
        <v>265</v>
      </c>
      <c r="E79" s="7" t="n">
        <v>80.8</v>
      </c>
      <c r="G79" s="8" t="s">
        <v>54</v>
      </c>
      <c r="H79" s="4" t="s">
        <v>272</v>
      </c>
      <c r="I79" s="8" t="s">
        <v>109</v>
      </c>
    </row>
    <row r="80" customFormat="false" ht="17.15" hidden="false" customHeight="false" outlineLevel="0" collapsed="false">
      <c r="A80" s="0" t="s">
        <v>273</v>
      </c>
      <c r="B80" s="4" t="s">
        <v>274</v>
      </c>
      <c r="C80" s="0" t="s">
        <v>265</v>
      </c>
      <c r="E80" s="7" t="n">
        <v>65.1</v>
      </c>
      <c r="G80" s="8" t="s">
        <v>54</v>
      </c>
      <c r="H80" s="8" t="s">
        <v>275</v>
      </c>
      <c r="I80" s="8" t="s">
        <v>109</v>
      </c>
    </row>
    <row r="81" customFormat="false" ht="17.15" hidden="false" customHeight="false" outlineLevel="0" collapsed="false">
      <c r="A81" s="0" t="s">
        <v>276</v>
      </c>
      <c r="B81" s="4" t="s">
        <v>277</v>
      </c>
      <c r="C81" s="0" t="s">
        <v>265</v>
      </c>
      <c r="E81" s="7" t="n">
        <v>62.68</v>
      </c>
      <c r="G81" s="8" t="s">
        <v>54</v>
      </c>
      <c r="H81" s="8" t="s">
        <v>278</v>
      </c>
      <c r="I81" s="8" t="s">
        <v>109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209</v>
      </c>
      <c r="E82" s="7" t="n">
        <v>1050</v>
      </c>
      <c r="G82" s="8" t="s">
        <v>54</v>
      </c>
      <c r="H82" s="4" t="s">
        <v>39</v>
      </c>
      <c r="I82" s="4" t="s">
        <v>281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33</v>
      </c>
      <c r="E83" s="7" t="n">
        <v>17.7</v>
      </c>
      <c r="G83" s="8" t="s">
        <v>54</v>
      </c>
      <c r="H83" s="8" t="s">
        <v>284</v>
      </c>
      <c r="I83" s="4" t="s">
        <v>285</v>
      </c>
    </row>
    <row r="84" customFormat="false" ht="17.15" hidden="false" customHeight="false" outlineLevel="0" collapsed="false">
      <c r="A84" s="0" t="s">
        <v>286</v>
      </c>
      <c r="B84" s="0" t="s">
        <v>287</v>
      </c>
      <c r="C84" s="0" t="s">
        <v>33</v>
      </c>
      <c r="E84" s="7" t="n">
        <v>38.2</v>
      </c>
      <c r="G84" s="8" t="s">
        <v>54</v>
      </c>
      <c r="H84" s="4" t="s">
        <v>39</v>
      </c>
      <c r="I84" s="8" t="s">
        <v>109</v>
      </c>
    </row>
    <row r="85" customFormat="false" ht="17.15" hidden="false" customHeight="false" outlineLevel="0" collapsed="false">
      <c r="A85" s="0" t="s">
        <v>288</v>
      </c>
      <c r="B85" s="4" t="s">
        <v>289</v>
      </c>
      <c r="C85" s="0" t="s">
        <v>53</v>
      </c>
      <c r="E85" s="7" t="n">
        <v>0.7</v>
      </c>
      <c r="G85" s="8" t="s">
        <v>54</v>
      </c>
      <c r="H85" s="4" t="s">
        <v>290</v>
      </c>
      <c r="I85" s="4" t="s">
        <v>291</v>
      </c>
    </row>
    <row r="86" customFormat="false" ht="17.15" hidden="false" customHeight="false" outlineLevel="0" collapsed="false">
      <c r="A86" s="0" t="s">
        <v>292</v>
      </c>
      <c r="B86" s="0" t="s">
        <v>293</v>
      </c>
      <c r="C86" s="0" t="s">
        <v>69</v>
      </c>
      <c r="E86" s="7" t="n">
        <v>25</v>
      </c>
      <c r="G86" s="8" t="s">
        <v>70</v>
      </c>
      <c r="H86" s="4" t="s">
        <v>294</v>
      </c>
      <c r="I86" s="4" t="s">
        <v>295</v>
      </c>
    </row>
    <row r="87" customFormat="false" ht="17.15" hidden="false" customHeight="false" outlineLevel="0" collapsed="false">
      <c r="A87" s="6" t="s">
        <v>296</v>
      </c>
    </row>
    <row r="88" customFormat="false" ht="17.15" hidden="false" customHeight="false" outlineLevel="0" collapsed="false">
      <c r="A88" s="0" t="s">
        <v>297</v>
      </c>
      <c r="B88" s="4" t="s">
        <v>298</v>
      </c>
      <c r="C88" s="0" t="s">
        <v>265</v>
      </c>
      <c r="E88" s="7" t="n">
        <v>1605</v>
      </c>
      <c r="G88" s="8" t="s">
        <v>54</v>
      </c>
      <c r="H88" s="8" t="s">
        <v>299</v>
      </c>
      <c r="I88" s="8" t="s">
        <v>300</v>
      </c>
    </row>
    <row r="89" customFormat="false" ht="17.15" hidden="false" customHeight="false" outlineLevel="0" collapsed="false">
      <c r="A89" s="0" t="s">
        <v>301</v>
      </c>
      <c r="B89" s="4" t="s">
        <v>302</v>
      </c>
      <c r="C89" s="0" t="s">
        <v>69</v>
      </c>
      <c r="E89" s="7" t="n">
        <v>49.65</v>
      </c>
      <c r="G89" s="8" t="s">
        <v>54</v>
      </c>
      <c r="H89" s="8" t="s">
        <v>303</v>
      </c>
      <c r="I89" s="8" t="s">
        <v>304</v>
      </c>
    </row>
    <row r="90" customFormat="false" ht="17.15" hidden="false" customHeight="false" outlineLevel="0" collapsed="false">
      <c r="A90" s="6" t="s">
        <v>305</v>
      </c>
    </row>
    <row r="91" customFormat="false" ht="17.15" hidden="false" customHeight="false" outlineLevel="0" collapsed="false">
      <c r="A91" s="0" t="s">
        <v>306</v>
      </c>
      <c r="B91" s="4" t="s">
        <v>307</v>
      </c>
      <c r="C91" s="4" t="s">
        <v>308</v>
      </c>
      <c r="E91" s="9" t="n">
        <v>0.3</v>
      </c>
      <c r="G91" s="8" t="s">
        <v>70</v>
      </c>
      <c r="H91" s="8" t="s">
        <v>309</v>
      </c>
      <c r="I91" s="4" t="s">
        <v>310</v>
      </c>
    </row>
    <row r="92" customFormat="false" ht="17.15" hidden="false" customHeight="false" outlineLevel="0" collapsed="false">
      <c r="A92" s="0" t="s">
        <v>311</v>
      </c>
      <c r="B92" s="4" t="s">
        <v>312</v>
      </c>
      <c r="C92" s="4" t="s">
        <v>308</v>
      </c>
      <c r="E92" s="9" t="n">
        <v>0.5</v>
      </c>
      <c r="G92" s="8" t="s">
        <v>70</v>
      </c>
      <c r="H92" s="8" t="s">
        <v>309</v>
      </c>
      <c r="I92" s="4" t="s">
        <v>310</v>
      </c>
    </row>
    <row r="93" customFormat="false" ht="17.15" hidden="false" customHeight="false" outlineLevel="0" collapsed="false">
      <c r="A93" s="0" t="s">
        <v>313</v>
      </c>
      <c r="B93" s="4" t="s">
        <v>314</v>
      </c>
      <c r="C93" s="4" t="s">
        <v>308</v>
      </c>
      <c r="E93" s="9" t="n">
        <v>0.2</v>
      </c>
      <c r="G93" s="8" t="s">
        <v>70</v>
      </c>
      <c r="H93" s="8" t="s">
        <v>309</v>
      </c>
      <c r="I93" s="4" t="s">
        <v>310</v>
      </c>
    </row>
    <row r="94" customFormat="false" ht="17.15" hidden="false" customHeight="false" outlineLevel="0" collapsed="false">
      <c r="A94" s="6" t="s">
        <v>315</v>
      </c>
    </row>
    <row r="95" customFormat="false" ht="17.15" hidden="false" customHeight="false" outlineLevel="0" collapsed="false">
      <c r="A95" s="0" t="s">
        <v>316</v>
      </c>
      <c r="B95" s="4" t="s">
        <v>317</v>
      </c>
      <c r="C95" s="0" t="s">
        <v>53</v>
      </c>
      <c r="E95" s="9" t="n">
        <v>0.1</v>
      </c>
      <c r="G95" s="8" t="s">
        <v>70</v>
      </c>
      <c r="H95" s="8" t="s">
        <v>318</v>
      </c>
      <c r="I95" s="8" t="s">
        <v>319</v>
      </c>
    </row>
    <row r="96" customFormat="false" ht="17.15" hidden="false" customHeight="false" outlineLevel="0" collapsed="false">
      <c r="A96" s="0" t="s">
        <v>320</v>
      </c>
      <c r="B96" s="4" t="s">
        <v>321</v>
      </c>
      <c r="C96" s="0" t="s">
        <v>53</v>
      </c>
      <c r="E96" s="9" t="n">
        <v>0.04</v>
      </c>
      <c r="G96" s="8" t="s">
        <v>70</v>
      </c>
      <c r="H96" s="8" t="s">
        <v>322</v>
      </c>
      <c r="I96" s="8" t="s">
        <v>323</v>
      </c>
    </row>
    <row r="97" customFormat="false" ht="17.15" hidden="false" customHeight="false" outlineLevel="0" collapsed="false">
      <c r="A97" s="0" t="s">
        <v>324</v>
      </c>
      <c r="B97" s="0" t="s">
        <v>325</v>
      </c>
      <c r="C97" s="0" t="s">
        <v>53</v>
      </c>
      <c r="E97" s="10" t="n">
        <f aca="false">AVERAGE(0.1661,0.1547,0.2246)</f>
        <v>0.1818</v>
      </c>
      <c r="G97" s="8" t="s">
        <v>34</v>
      </c>
      <c r="H97" s="8" t="s">
        <v>326</v>
      </c>
      <c r="I97" s="4" t="s">
        <v>327</v>
      </c>
    </row>
    <row r="98" customFormat="false" ht="17.15" hidden="false" customHeight="false" outlineLevel="0" collapsed="false">
      <c r="A98" s="0" t="s">
        <v>328</v>
      </c>
      <c r="B98" s="4" t="s">
        <v>329</v>
      </c>
      <c r="C98" s="0" t="s">
        <v>53</v>
      </c>
      <c r="E98" s="9" t="n">
        <v>0.5</v>
      </c>
      <c r="G98" s="8" t="s">
        <v>70</v>
      </c>
      <c r="H98" s="8" t="s">
        <v>330</v>
      </c>
      <c r="I98" s="8" t="s">
        <v>331</v>
      </c>
    </row>
    <row r="99" customFormat="false" ht="17.15" hidden="false" customHeight="false" outlineLevel="0" collapsed="false">
      <c r="A99" s="0" t="s">
        <v>332</v>
      </c>
      <c r="B99" s="4" t="s">
        <v>333</v>
      </c>
      <c r="C99" s="0" t="s">
        <v>53</v>
      </c>
      <c r="E99" s="10" t="n">
        <f aca="false">tp_g+0.02</f>
        <v>0.06</v>
      </c>
      <c r="G99" s="8" t="s">
        <v>70</v>
      </c>
      <c r="H99" s="4" t="s">
        <v>334</v>
      </c>
      <c r="I99" s="8" t="s">
        <v>335</v>
      </c>
    </row>
    <row r="100" customFormat="false" ht="17.15" hidden="false" customHeight="false" outlineLevel="0" collapsed="false">
      <c r="A100" s="0" t="s">
        <v>336</v>
      </c>
      <c r="B100" s="4" t="s">
        <v>337</v>
      </c>
      <c r="C100" s="0" t="s">
        <v>53</v>
      </c>
      <c r="E100" s="10" t="n">
        <f aca="false">tp_g</f>
        <v>0.04</v>
      </c>
      <c r="G100" s="8" t="s">
        <v>70</v>
      </c>
      <c r="H100" s="4" t="s">
        <v>39</v>
      </c>
      <c r="I100" s="8" t="s">
        <v>109</v>
      </c>
    </row>
    <row r="101" customFormat="false" ht="17.15" hidden="false" customHeight="false" outlineLevel="0" collapsed="false">
      <c r="A101" s="0" t="s">
        <v>338</v>
      </c>
      <c r="B101" s="4" t="s">
        <v>339</v>
      </c>
      <c r="C101" s="0" t="s">
        <v>53</v>
      </c>
      <c r="E101" s="10" t="n">
        <f aca="false">tp_g-0.02</f>
        <v>0.02</v>
      </c>
      <c r="G101" s="8" t="s">
        <v>70</v>
      </c>
      <c r="H101" s="4" t="s">
        <v>39</v>
      </c>
      <c r="I101" s="8" t="s">
        <v>109</v>
      </c>
    </row>
    <row r="102" customFormat="false" ht="17.15" hidden="false" customHeight="false" outlineLevel="0" collapsed="false">
      <c r="A102" s="0" t="s">
        <v>340</v>
      </c>
      <c r="B102" s="4" t="s">
        <v>341</v>
      </c>
      <c r="C102" s="0" t="s">
        <v>69</v>
      </c>
      <c r="E102" s="9" t="n">
        <v>0.8</v>
      </c>
      <c r="G102" s="8" t="s">
        <v>70</v>
      </c>
      <c r="H102" s="4" t="s">
        <v>342</v>
      </c>
      <c r="I102" s="4" t="s">
        <v>343</v>
      </c>
    </row>
    <row r="103" customFormat="false" ht="17.15" hidden="false" customHeight="false" outlineLevel="0" collapsed="false">
      <c r="A103" s="0" t="s">
        <v>344</v>
      </c>
      <c r="B103" s="4" t="s">
        <v>345</v>
      </c>
      <c r="C103" s="0" t="s">
        <v>265</v>
      </c>
      <c r="E103" s="7" t="n">
        <v>2502.36</v>
      </c>
      <c r="G103" s="8" t="s">
        <v>54</v>
      </c>
      <c r="H103" s="8" t="s">
        <v>346</v>
      </c>
      <c r="I103" s="4" t="s">
        <v>347</v>
      </c>
    </row>
    <row r="104" customFormat="false" ht="17.15" hidden="false" customHeight="false" outlineLevel="0" collapsed="false">
      <c r="A104" s="0" t="s">
        <v>348</v>
      </c>
      <c r="B104" s="4" t="s">
        <v>349</v>
      </c>
      <c r="C104" s="0" t="s">
        <v>265</v>
      </c>
      <c r="E104" s="0" t="n">
        <f aca="false">1560/30.51</f>
        <v>51.1307767944936</v>
      </c>
      <c r="G104" s="0" t="s">
        <v>54</v>
      </c>
      <c r="H104" s="0" t="s">
        <v>350</v>
      </c>
      <c r="I104" s="4" t="s">
        <v>351</v>
      </c>
    </row>
    <row r="106" customFormat="false" ht="17.15" hidden="false" customHeight="false" outlineLevel="0" collapsed="false">
      <c r="A106" s="6" t="s">
        <v>352</v>
      </c>
    </row>
    <row r="107" customFormat="false" ht="17.15" hidden="false" customHeight="false" outlineLevel="0" collapsed="false">
      <c r="A107" s="0" t="s">
        <v>353</v>
      </c>
      <c r="B107" s="4" t="s">
        <v>354</v>
      </c>
      <c r="C107" s="0" t="s">
        <v>53</v>
      </c>
      <c r="E107" s="11" t="n">
        <f aca="false">27.839/a25_rev</f>
        <v>0.0501707561026159</v>
      </c>
      <c r="G107" s="8" t="s">
        <v>355</v>
      </c>
      <c r="H107" s="8" t="s">
        <v>356</v>
      </c>
      <c r="I107" s="8" t="s">
        <v>357</v>
      </c>
    </row>
    <row r="108" customFormat="false" ht="17.15" hidden="false" customHeight="false" outlineLevel="0" collapsed="false">
      <c r="A108" s="0" t="s">
        <v>358</v>
      </c>
      <c r="B108" s="4" t="s">
        <v>359</v>
      </c>
      <c r="C108" s="0" t="s">
        <v>53</v>
      </c>
      <c r="E108" s="11" t="n">
        <f aca="false">46.091/a25_rev</f>
        <v>0.0830640583183903</v>
      </c>
      <c r="G108" s="8" t="s">
        <v>355</v>
      </c>
      <c r="H108" s="8" t="s">
        <v>360</v>
      </c>
      <c r="I108" s="8" t="s">
        <v>357</v>
      </c>
    </row>
    <row r="110" customFormat="false" ht="17.15" hidden="false" customHeight="false" outlineLevel="0" collapsed="false">
      <c r="A110" s="1" t="s">
        <v>361</v>
      </c>
    </row>
    <row r="111" customFormat="false" ht="17.15" hidden="false" customHeight="false" outlineLevel="0" collapsed="false">
      <c r="A111" s="1" t="s">
        <v>21</v>
      </c>
      <c r="B111" s="1" t="s">
        <v>22</v>
      </c>
      <c r="C111" s="1" t="s">
        <v>23</v>
      </c>
      <c r="D111" s="1" t="s">
        <v>362</v>
      </c>
      <c r="E111" s="1" t="s">
        <v>363</v>
      </c>
      <c r="F111" s="1" t="s">
        <v>364</v>
      </c>
      <c r="G111" s="1" t="s">
        <v>27</v>
      </c>
      <c r="H111" s="1" t="s">
        <v>365</v>
      </c>
    </row>
    <row r="112" customFormat="false" ht="17.15" hidden="false" customHeight="false" outlineLevel="0" collapsed="false">
      <c r="A112" s="0" t="s">
        <v>366</v>
      </c>
      <c r="B112" s="0" t="s">
        <v>367</v>
      </c>
      <c r="C112" s="0" t="s">
        <v>69</v>
      </c>
      <c r="D112" s="0" t="n">
        <f aca="false">E14</f>
        <v>1</v>
      </c>
      <c r="E112" s="0" t="n">
        <f aca="false">E16</f>
        <v>0.8</v>
      </c>
      <c r="F112" s="0" t="n">
        <f aca="false">E18</f>
        <v>0.6</v>
      </c>
      <c r="G112" s="0" t="s">
        <v>34</v>
      </c>
      <c r="H112" s="4" t="s">
        <v>368</v>
      </c>
    </row>
    <row r="113" customFormat="false" ht="17.15" hidden="false" customHeight="false" outlineLevel="0" collapsed="false">
      <c r="A113" s="0" t="s">
        <v>369</v>
      </c>
      <c r="B113" s="0" t="s">
        <v>370</v>
      </c>
      <c r="C113" s="0" t="s">
        <v>69</v>
      </c>
      <c r="D113" s="0" t="n">
        <f aca="false">E15</f>
        <v>1</v>
      </c>
      <c r="E113" s="0" t="n">
        <f aca="false">E17</f>
        <v>0.85</v>
      </c>
      <c r="F113" s="0" t="n">
        <f aca="false">E19</f>
        <v>0.6</v>
      </c>
      <c r="G113" s="0" t="s">
        <v>34</v>
      </c>
      <c r="H113" s="4" t="s">
        <v>371</v>
      </c>
    </row>
    <row r="114" customFormat="false" ht="17.15" hidden="false" customHeight="false" outlineLevel="0" collapsed="false">
      <c r="A114" s="0" t="s">
        <v>372</v>
      </c>
      <c r="B114" s="4" t="s">
        <v>373</v>
      </c>
      <c r="C114" s="0" t="s">
        <v>53</v>
      </c>
      <c r="D114" s="0" t="n">
        <f aca="false">E99</f>
        <v>0.06</v>
      </c>
      <c r="E114" s="0" t="n">
        <f aca="false">E100</f>
        <v>0.04</v>
      </c>
      <c r="F114" s="0" t="n">
        <f aca="false">E101</f>
        <v>0.02</v>
      </c>
      <c r="G114" s="0" t="s">
        <v>34</v>
      </c>
      <c r="H114" s="4" t="s">
        <v>374</v>
      </c>
    </row>
    <row r="115" customFormat="false" ht="17.15" hidden="false" customHeight="false" outlineLevel="0" collapsed="false">
      <c r="A115" s="0" t="s">
        <v>375</v>
      </c>
      <c r="B115" s="4" t="s">
        <v>376</v>
      </c>
      <c r="C115" s="4" t="s">
        <v>308</v>
      </c>
      <c r="D115" s="0" t="n">
        <f aca="false">E91</f>
        <v>0.3</v>
      </c>
      <c r="E115" s="0" t="n">
        <f aca="false">E92</f>
        <v>0.5</v>
      </c>
      <c r="F115" s="0" t="n">
        <f aca="false">E93</f>
        <v>0.2</v>
      </c>
      <c r="G115" s="0" t="s">
        <v>34</v>
      </c>
      <c r="H115" s="4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378</v>
      </c>
    </row>
    <row r="2" customFormat="false" ht="17.15" hidden="false" customHeight="false" outlineLevel="0" collapsed="false">
      <c r="A2" s="0" t="s">
        <v>379</v>
      </c>
    </row>
    <row r="3" customFormat="false" ht="17.15" hidden="false" customHeight="false" outlineLevel="0" collapsed="false">
      <c r="A3" s="5" t="s">
        <v>22</v>
      </c>
      <c r="B3" s="12" t="s">
        <v>380</v>
      </c>
      <c r="C3" s="12" t="s">
        <v>381</v>
      </c>
      <c r="D3" s="12" t="s">
        <v>382</v>
      </c>
      <c r="E3" s="12" t="s">
        <v>383</v>
      </c>
      <c r="F3" s="12" t="s">
        <v>384</v>
      </c>
      <c r="G3" s="5" t="s">
        <v>27</v>
      </c>
      <c r="H3" s="5" t="s">
        <v>385</v>
      </c>
      <c r="I3" s="5" t="s">
        <v>29</v>
      </c>
    </row>
    <row r="4" customFormat="false" ht="17.15" hidden="false" customHeight="false" outlineLevel="0" collapsed="false">
      <c r="A4" s="4" t="s">
        <v>386</v>
      </c>
      <c r="B4" s="13" t="n">
        <v>554.885</v>
      </c>
      <c r="C4" s="13" t="n">
        <v>342.6</v>
      </c>
      <c r="D4" s="14" t="n">
        <f aca="false">q3_rev</f>
        <v>197.059</v>
      </c>
      <c r="E4" s="14" t="n">
        <f aca="false">D4*(1+q4g)</f>
        <v>216.7649</v>
      </c>
      <c r="F4" s="14" t="n">
        <f aca="false">SUM(C4:E4)</f>
        <v>756.4239</v>
      </c>
      <c r="G4" s="8" t="s">
        <v>387</v>
      </c>
      <c r="H4" s="8" t="s">
        <v>388</v>
      </c>
      <c r="I4" s="8" t="s">
        <v>389</v>
      </c>
    </row>
    <row r="5" customFormat="false" ht="17.15" hidden="false" customHeight="false" outlineLevel="0" collapsed="false">
      <c r="A5" s="4" t="s">
        <v>390</v>
      </c>
      <c r="B5" s="13" t="n">
        <v>190.2</v>
      </c>
      <c r="C5" s="13" t="n">
        <v>124.3</v>
      </c>
      <c r="D5" s="14" t="n">
        <f aca="false">D4*q_gm</f>
        <v>70.94124</v>
      </c>
      <c r="E5" s="14" t="n">
        <f aca="false">E4*q_gm</f>
        <v>78.035364</v>
      </c>
      <c r="F5" s="14" t="n">
        <f aca="false">SUM(C5:E5)</f>
        <v>273.276604</v>
      </c>
      <c r="G5" s="8" t="s">
        <v>391</v>
      </c>
      <c r="H5" s="8" t="s">
        <v>388</v>
      </c>
      <c r="I5" s="8" t="s">
        <v>389</v>
      </c>
    </row>
    <row r="6" customFormat="false" ht="17.15" hidden="false" customHeight="false" outlineLevel="0" collapsed="false">
      <c r="A6" s="4" t="s">
        <v>392</v>
      </c>
      <c r="B6" s="15" t="n">
        <f aca="false">B5/B4</f>
        <v>0.342773727889563</v>
      </c>
      <c r="C6" s="15" t="n">
        <f aca="false">C5/C4</f>
        <v>0.362813776999416</v>
      </c>
      <c r="D6" s="15" t="n">
        <f aca="false">D5/D4</f>
        <v>0.36</v>
      </c>
      <c r="E6" s="15" t="n">
        <f aca="false">E5/E4</f>
        <v>0.36</v>
      </c>
      <c r="F6" s="15" t="n">
        <f aca="false">F5/F4</f>
        <v>0.361274417690927</v>
      </c>
      <c r="G6" s="8" t="s">
        <v>34</v>
      </c>
      <c r="H6" s="8" t="s">
        <v>109</v>
      </c>
      <c r="I6" s="8" t="s">
        <v>393</v>
      </c>
    </row>
    <row r="7" customFormat="false" ht="17.15" hidden="false" customHeight="false" outlineLevel="0" collapsed="false">
      <c r="A7" s="4" t="s">
        <v>394</v>
      </c>
      <c r="B7" s="14" t="n">
        <f aca="false">B5-B8</f>
        <v>106.3</v>
      </c>
      <c r="C7" s="14" t="n">
        <f aca="false">C5-C8</f>
        <v>65.3666666666667</v>
      </c>
      <c r="D7" s="14" t="n">
        <f aca="false">D4*q_opx</f>
        <v>36.455915</v>
      </c>
      <c r="E7" s="14" t="n">
        <f aca="false">E4*q_opx</f>
        <v>40.1015065</v>
      </c>
      <c r="F7" s="14" t="n">
        <f aca="false">SUM(C7:E7)</f>
        <v>141.924088166667</v>
      </c>
      <c r="G7" s="8" t="s">
        <v>395</v>
      </c>
      <c r="H7" s="8" t="s">
        <v>388</v>
      </c>
      <c r="I7" s="8" t="s">
        <v>389</v>
      </c>
    </row>
    <row r="8" customFormat="false" ht="17.15" hidden="false" customHeight="false" outlineLevel="0" collapsed="false">
      <c r="A8" s="4" t="s">
        <v>396</v>
      </c>
      <c r="B8" s="13" t="n">
        <v>83.9</v>
      </c>
      <c r="C8" s="14" t="n">
        <f aca="false">30.6+30.6/1.08</f>
        <v>58.9333333333333</v>
      </c>
      <c r="D8" s="14" t="n">
        <f aca="false">D5-D7</f>
        <v>34.485325</v>
      </c>
      <c r="E8" s="14" t="n">
        <f aca="false">E5-E7</f>
        <v>37.9338575</v>
      </c>
      <c r="F8" s="14" t="n">
        <f aca="false">SUM(C8:E8)</f>
        <v>131.352515833333</v>
      </c>
      <c r="G8" s="8" t="s">
        <v>397</v>
      </c>
      <c r="H8" s="8" t="s">
        <v>388</v>
      </c>
      <c r="I8" s="8" t="s">
        <v>389</v>
      </c>
    </row>
    <row r="9" customFormat="false" ht="17.15" hidden="false" customHeight="false" outlineLevel="0" collapsed="false">
      <c r="A9" s="4" t="s">
        <v>398</v>
      </c>
      <c r="B9" s="15" t="n">
        <f aca="false">B8/B4</f>
        <v>0.151202501419213</v>
      </c>
      <c r="C9" s="15" t="n">
        <f aca="false">C8/C4</f>
        <v>0.172017902315626</v>
      </c>
      <c r="D9" s="15" t="n">
        <f aca="false">D8/D4</f>
        <v>0.175</v>
      </c>
      <c r="E9" s="15" t="n">
        <f aca="false">E8/E4</f>
        <v>0.175</v>
      </c>
      <c r="F9" s="15" t="n">
        <f aca="false">F8/F4</f>
        <v>0.173649346396027</v>
      </c>
      <c r="G9" s="8" t="s">
        <v>34</v>
      </c>
      <c r="H9" s="8" t="s">
        <v>109</v>
      </c>
      <c r="I9" s="8" t="s">
        <v>399</v>
      </c>
    </row>
    <row r="10" customFormat="false" ht="17.15" hidden="false" customHeight="false" outlineLevel="0" collapsed="false">
      <c r="A10" s="4" t="s">
        <v>400</v>
      </c>
      <c r="B10" s="13" t="n">
        <v>3.934</v>
      </c>
      <c r="C10" s="14" t="n">
        <f aca="false">C11-C8</f>
        <v>7.16666666666666</v>
      </c>
      <c r="D10" s="14" t="n">
        <f aca="false">q_nop</f>
        <v>2</v>
      </c>
      <c r="E10" s="14" t="n">
        <f aca="false">q_nop</f>
        <v>2</v>
      </c>
      <c r="F10" s="14" t="n">
        <f aca="false">SUM(C10:E10)</f>
        <v>11.1666666666667</v>
      </c>
      <c r="G10" s="8" t="s">
        <v>397</v>
      </c>
      <c r="H10" s="8" t="s">
        <v>388</v>
      </c>
      <c r="I10" s="8" t="s">
        <v>389</v>
      </c>
    </row>
    <row r="11" customFormat="false" ht="17.15" hidden="false" customHeight="false" outlineLevel="0" collapsed="false">
      <c r="A11" s="4" t="s">
        <v>401</v>
      </c>
      <c r="B11" s="14" t="n">
        <f aca="false">B8+B10</f>
        <v>87.834</v>
      </c>
      <c r="C11" s="13" t="n">
        <v>66.1</v>
      </c>
      <c r="D11" s="14" t="n">
        <f aca="false">D8+D10</f>
        <v>36.485325</v>
      </c>
      <c r="E11" s="14" t="n">
        <f aca="false">E8+E10</f>
        <v>39.9338575</v>
      </c>
      <c r="F11" s="14" t="n">
        <f aca="false">SUM(C11:E11)</f>
        <v>142.5191825</v>
      </c>
      <c r="G11" s="8" t="s">
        <v>397</v>
      </c>
      <c r="H11" s="8" t="s">
        <v>388</v>
      </c>
      <c r="I11" s="8" t="s">
        <v>402</v>
      </c>
    </row>
    <row r="12" customFormat="false" ht="17.15" hidden="false" customHeight="false" outlineLevel="0" collapsed="false">
      <c r="A12" s="4" t="s">
        <v>403</v>
      </c>
      <c r="B12" s="13" t="n">
        <v>60.108</v>
      </c>
      <c r="C12" s="13" t="n">
        <v>45.7</v>
      </c>
      <c r="D12" s="14" t="n">
        <f aca="false">D11*q_nir</f>
        <v>25.17487425</v>
      </c>
      <c r="E12" s="14" t="n">
        <f aca="false">E11*q_nir</f>
        <v>27.554361675</v>
      </c>
      <c r="F12" s="14" t="n">
        <f aca="false">SUM(C12:E12)</f>
        <v>98.429235925</v>
      </c>
      <c r="G12" s="8" t="s">
        <v>404</v>
      </c>
      <c r="H12" s="8" t="s">
        <v>388</v>
      </c>
      <c r="I12" s="8" t="s">
        <v>389</v>
      </c>
    </row>
    <row r="13" customFormat="false" ht="17.15" hidden="false" customHeight="false" outlineLevel="0" collapsed="false">
      <c r="A13" s="4" t="s">
        <v>405</v>
      </c>
      <c r="B13" s="15" t="n">
        <f aca="false">B12/B11</f>
        <v>0.684336361773345</v>
      </c>
      <c r="C13" s="15" t="n">
        <f aca="false">C12/C11</f>
        <v>0.691376701966717</v>
      </c>
      <c r="D13" s="15" t="n">
        <f aca="false">D12/D11</f>
        <v>0.69</v>
      </c>
      <c r="E13" s="15" t="n">
        <f aca="false">E12/E11</f>
        <v>0.69</v>
      </c>
      <c r="F13" s="15" t="n">
        <f aca="false">F12/F11</f>
        <v>0.690638510538748</v>
      </c>
      <c r="G13" s="8" t="s">
        <v>34</v>
      </c>
      <c r="H13" s="8" t="s">
        <v>109</v>
      </c>
      <c r="I13" s="8" t="s">
        <v>109</v>
      </c>
    </row>
    <row r="14" customFormat="false" ht="17.15" hidden="false" customHeight="false" outlineLevel="0" collapsed="false">
      <c r="A14" s="4" t="s">
        <v>406</v>
      </c>
      <c r="B14" s="14" t="n">
        <f aca="false">60.108/23.14</f>
        <v>2.59757994814175</v>
      </c>
      <c r="C14" s="14" t="n">
        <f aca="false">q_sh</f>
        <v>2.59806708357021</v>
      </c>
      <c r="D14" s="14" t="n">
        <f aca="false">q_sh</f>
        <v>2.59806708357021</v>
      </c>
      <c r="E14" s="14" t="n">
        <f aca="false">q_sh</f>
        <v>2.59806708357021</v>
      </c>
      <c r="F14" s="14" t="n">
        <f aca="false">q_sh</f>
        <v>2.59806708357021</v>
      </c>
      <c r="G14" s="8" t="s">
        <v>34</v>
      </c>
      <c r="H14" s="8" t="s">
        <v>388</v>
      </c>
      <c r="I14" s="4" t="s">
        <v>407</v>
      </c>
    </row>
    <row r="15" customFormat="false" ht="17.15" hidden="false" customHeight="false" outlineLevel="0" collapsed="false">
      <c r="A15" s="0" t="s">
        <v>408</v>
      </c>
      <c r="B15" s="16" t="n">
        <f aca="false">B12/B14</f>
        <v>23.14</v>
      </c>
      <c r="C15" s="16" t="n">
        <f aca="false">C12/C14</f>
        <v>17.59</v>
      </c>
      <c r="D15" s="16" t="n">
        <f aca="false">D12/D14</f>
        <v>9.68984765990153</v>
      </c>
      <c r="E15" s="16" t="n">
        <f aca="false">E12/E14</f>
        <v>10.6057160145131</v>
      </c>
      <c r="F15" s="16" t="n">
        <f aca="false">F12/F14</f>
        <v>37.8855636744147</v>
      </c>
      <c r="G15" s="8" t="s">
        <v>34</v>
      </c>
      <c r="H15" s="4" t="s">
        <v>409</v>
      </c>
      <c r="I15" s="8" t="s">
        <v>109</v>
      </c>
    </row>
    <row r="16" customFormat="false" ht="17.15" hidden="false" customHeight="false" outlineLevel="0" collapsed="false">
      <c r="A16" s="4" t="s">
        <v>410</v>
      </c>
      <c r="B16" s="17" t="n">
        <v>23.14</v>
      </c>
      <c r="C16" s="17" t="n">
        <v>17.59</v>
      </c>
      <c r="G16" s="8" t="s">
        <v>146</v>
      </c>
      <c r="H16" s="8" t="s">
        <v>388</v>
      </c>
      <c r="I16" s="8" t="s">
        <v>411</v>
      </c>
    </row>
    <row r="17" customFormat="false" ht="17.15" hidden="false" customHeight="false" outlineLevel="0" collapsed="false">
      <c r="A17" s="0" t="s">
        <v>412</v>
      </c>
      <c r="B17" s="14" t="n">
        <f aca="false">B4*ai_25</f>
        <v>99.8793</v>
      </c>
      <c r="F17" s="14" t="n">
        <f aca="false">F4*ai_26</f>
        <v>196.670214</v>
      </c>
      <c r="G17" s="8" t="s">
        <v>413</v>
      </c>
      <c r="H17" s="4" t="s">
        <v>414</v>
      </c>
      <c r="I17" s="4" t="s">
        <v>415</v>
      </c>
    </row>
    <row r="18" customFormat="false" ht="17.15" hidden="false" customHeight="false" outlineLevel="0" collapsed="false">
      <c r="A18" s="4" t="s">
        <v>416</v>
      </c>
      <c r="B18" s="14" t="n">
        <f aca="false">B4*lc_25</f>
        <v>55.4885</v>
      </c>
      <c r="F18" s="14" t="n">
        <f aca="false">F4*lc_26</f>
        <v>94.5529875</v>
      </c>
      <c r="G18" s="8" t="s">
        <v>413</v>
      </c>
      <c r="H18" s="4" t="s">
        <v>417</v>
      </c>
      <c r="I18" s="8" t="s">
        <v>109</v>
      </c>
    </row>
    <row r="19" customFormat="false" ht="17.15" hidden="false" customHeight="false" outlineLevel="0" collapsed="false">
      <c r="A19" s="4" t="s">
        <v>418</v>
      </c>
      <c r="B19" s="14" t="n">
        <f aca="false">B4-B17-B18</f>
        <v>399.5172</v>
      </c>
      <c r="F19" s="14" t="n">
        <f aca="false">F4-F17-F18</f>
        <v>465.2006985</v>
      </c>
      <c r="G19" s="8" t="s">
        <v>34</v>
      </c>
      <c r="H19" s="8" t="s">
        <v>109</v>
      </c>
      <c r="I19" s="4" t="s">
        <v>419</v>
      </c>
    </row>
    <row r="20" customFormat="false" ht="17.15" hidden="false" customHeight="false" outlineLevel="0" collapsed="false">
      <c r="A20" s="0" t="s">
        <v>420</v>
      </c>
      <c r="B20" s="14" t="n">
        <f aca="false">B4*(ai_25-lc_25)</f>
        <v>44.3908</v>
      </c>
      <c r="F20" s="14" t="n">
        <f aca="false">F4*(ai_26-lc_26)</f>
        <v>102.1172265</v>
      </c>
      <c r="G20" s="8" t="s">
        <v>34</v>
      </c>
      <c r="H20" s="8" t="s">
        <v>421</v>
      </c>
      <c r="I20" s="8" t="s">
        <v>109</v>
      </c>
    </row>
    <row r="21" customFormat="false" ht="17.15" hidden="false" customHeight="false" outlineLevel="0" collapsed="false">
      <c r="A21" s="4" t="s">
        <v>422</v>
      </c>
      <c r="B21" s="14" t="n">
        <f aca="false">B4-B20-B18</f>
        <v>455.0057</v>
      </c>
      <c r="F21" s="14" t="n">
        <f aca="false">F4-F20-F18</f>
        <v>559.753686</v>
      </c>
      <c r="G21" s="8" t="s">
        <v>34</v>
      </c>
      <c r="H21" s="8" t="s">
        <v>421</v>
      </c>
      <c r="I21" s="8" t="s">
        <v>109</v>
      </c>
    </row>
    <row r="23" customFormat="false" ht="17.15" hidden="false" customHeight="false" outlineLevel="0" collapsed="false">
      <c r="A23" s="6" t="s">
        <v>423</v>
      </c>
    </row>
    <row r="24" customFormat="false" ht="17.15" hidden="false" customHeight="false" outlineLevel="0" collapsed="false">
      <c r="A24" s="0" t="s">
        <v>424</v>
      </c>
      <c r="B24" s="15" t="n">
        <f aca="false">F4/B4-1</f>
        <v>0.363208412553953</v>
      </c>
    </row>
    <row r="25" customFormat="false" ht="17.15" hidden="false" customHeight="false" outlineLevel="0" collapsed="false">
      <c r="A25" s="0" t="s">
        <v>425</v>
      </c>
      <c r="B25" s="15" t="n">
        <f aca="false">F7/B7-1</f>
        <v>0.335127828472876</v>
      </c>
    </row>
    <row r="26" customFormat="false" ht="17.15" hidden="false" customHeight="false" outlineLevel="0" collapsed="false">
      <c r="A26" s="4" t="s">
        <v>426</v>
      </c>
      <c r="B26" s="16" t="n">
        <f aca="false">B25/B24</f>
        <v>0.922687407255728</v>
      </c>
    </row>
    <row r="27" customFormat="false" ht="17.15" hidden="false" customHeight="false" outlineLevel="0" collapsed="false">
      <c r="A27" s="0" t="s">
        <v>427</v>
      </c>
      <c r="B27" s="15" t="n">
        <f aca="false">F4/b_rev26-1</f>
        <v>-0.0580026151930262</v>
      </c>
    </row>
    <row r="28" customFormat="false" ht="17.15" hidden="false" customHeight="false" outlineLevel="0" collapsed="false">
      <c r="A28" s="0" t="s">
        <v>428</v>
      </c>
      <c r="B28" s="15" t="n">
        <f aca="false">F15/b_eps26a-1</f>
        <v>-0.120984601521702</v>
      </c>
    </row>
    <row r="29" customFormat="false" ht="17.15" hidden="false" customHeight="false" outlineLevel="0" collapsed="false">
      <c r="A29" s="4" t="s">
        <v>429</v>
      </c>
      <c r="B29" s="15" t="n">
        <f aca="false">F19/B19-1</f>
        <v>0.164407185723168</v>
      </c>
    </row>
    <row r="31" customFormat="false" ht="17.15" hidden="false" customHeight="false" outlineLevel="0" collapsed="false">
      <c r="A31" s="1" t="s">
        <v>430</v>
      </c>
    </row>
    <row r="32" customFormat="false" ht="17.15" hidden="false" customHeight="false" outlineLevel="0" collapsed="false">
      <c r="A32" s="4" t="s">
        <v>431</v>
      </c>
      <c r="B32" s="14" t="n">
        <f aca="false">B4*s25_pe</f>
        <v>277.4425</v>
      </c>
      <c r="F32" s="14" t="n">
        <f aca="false">F4*s26_pe</f>
        <v>385.776189</v>
      </c>
      <c r="G32" s="8" t="s">
        <v>432</v>
      </c>
      <c r="H32" s="4" t="s">
        <v>433</v>
      </c>
      <c r="I32" s="8" t="s">
        <v>434</v>
      </c>
    </row>
    <row r="33" customFormat="false" ht="17.15" hidden="false" customHeight="false" outlineLevel="0" collapsed="false">
      <c r="A33" s="4" t="s">
        <v>435</v>
      </c>
      <c r="B33" s="14" t="n">
        <f aca="false">B4*s25_mo</f>
        <v>38.84195</v>
      </c>
      <c r="F33" s="14" t="n">
        <f aca="false">F4*s26_mo</f>
        <v>45.385434</v>
      </c>
      <c r="G33" s="8" t="s">
        <v>432</v>
      </c>
      <c r="H33" s="4" t="s">
        <v>433</v>
      </c>
      <c r="I33" s="8" t="s">
        <v>434</v>
      </c>
    </row>
    <row r="34" customFormat="false" ht="17.15" hidden="false" customHeight="false" outlineLevel="0" collapsed="false">
      <c r="A34" s="4" t="s">
        <v>436</v>
      </c>
      <c r="B34" s="14" t="n">
        <f aca="false">B4*s25_au</f>
        <v>55.4885</v>
      </c>
      <c r="F34" s="14" t="n">
        <f aca="false">F4*s26_au</f>
        <v>60.513912</v>
      </c>
      <c r="G34" s="8" t="s">
        <v>432</v>
      </c>
      <c r="H34" s="4" t="s">
        <v>433</v>
      </c>
      <c r="I34" s="8" t="s">
        <v>434</v>
      </c>
    </row>
    <row r="35" customFormat="false" ht="17.15" hidden="false" customHeight="false" outlineLevel="0" collapsed="false">
      <c r="A35" s="4" t="s">
        <v>437</v>
      </c>
      <c r="B35" s="14" t="n">
        <f aca="false">B4*s25_inf</f>
        <v>183.11205</v>
      </c>
      <c r="F35" s="14" t="n">
        <f aca="false">F4*s26_inf</f>
        <v>264.748365</v>
      </c>
      <c r="G35" s="8" t="s">
        <v>432</v>
      </c>
      <c r="H35" s="4" t="s">
        <v>433</v>
      </c>
      <c r="I35" s="8" t="s">
        <v>434</v>
      </c>
    </row>
    <row r="36" customFormat="false" ht="17.15" hidden="false" customHeight="false" outlineLevel="0" collapsed="false">
      <c r="A36" s="4" t="s">
        <v>438</v>
      </c>
      <c r="B36" s="14" t="n">
        <f aca="false">B32+B33+B34+B35-B4</f>
        <v>0</v>
      </c>
      <c r="F36" s="14" t="n">
        <f aca="false">F32+F33+F34+F35-F4</f>
        <v>0</v>
      </c>
      <c r="G36" s="8" t="s">
        <v>34</v>
      </c>
      <c r="H36" s="4" t="s">
        <v>439</v>
      </c>
      <c r="I36" s="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440</v>
      </c>
    </row>
    <row r="3" customFormat="false" ht="15" hidden="false" customHeight="false" outlineLevel="0" collapsed="false">
      <c r="A3" s="5" t="s">
        <v>22</v>
      </c>
      <c r="B3" s="5" t="s">
        <v>23</v>
      </c>
      <c r="C3" s="12" t="s">
        <v>441</v>
      </c>
      <c r="D3" s="12" t="s">
        <v>442</v>
      </c>
      <c r="E3" s="12" t="s">
        <v>443</v>
      </c>
      <c r="F3" s="12" t="s">
        <v>444</v>
      </c>
      <c r="G3" s="5" t="s">
        <v>365</v>
      </c>
    </row>
    <row r="4" customFormat="false" ht="17.15" hidden="false" customHeight="false" outlineLevel="0" collapsed="false">
      <c r="A4" s="4" t="s">
        <v>445</v>
      </c>
      <c r="B4" s="0" t="s">
        <v>446</v>
      </c>
      <c r="C4" s="18" t="n">
        <f aca="false">PL!D85</f>
        <v>23.3995380420639</v>
      </c>
      <c r="D4" s="18" t="n">
        <f aca="false">PL!E85</f>
        <v>41.6467658260637</v>
      </c>
      <c r="E4" s="18" t="n">
        <f aca="false">PL!F85</f>
        <v>52.792138191248</v>
      </c>
      <c r="F4" s="18" t="n">
        <f aca="false">PL!G85</f>
        <v>60.1385917361116</v>
      </c>
      <c r="G4" s="8" t="s">
        <v>447</v>
      </c>
    </row>
    <row r="5" customFormat="false" ht="17.15" hidden="false" customHeight="false" outlineLevel="0" collapsed="false">
      <c r="A5" s="0" t="s">
        <v>448</v>
      </c>
      <c r="B5" s="0" t="s">
        <v>96</v>
      </c>
      <c r="C5" s="19" t="n">
        <f aca="false">PL!D86</f>
        <v>450</v>
      </c>
      <c r="D5" s="19" t="n">
        <f aca="false">PL!E86</f>
        <v>600</v>
      </c>
      <c r="E5" s="19" t="n">
        <f aca="false">PL!F86</f>
        <v>680</v>
      </c>
      <c r="F5" s="19" t="n">
        <f aca="false">PL!G86</f>
        <v>720</v>
      </c>
      <c r="G5" s="8" t="s">
        <v>449</v>
      </c>
    </row>
    <row r="6" customFormat="false" ht="17.15" hidden="false" customHeight="false" outlineLevel="0" collapsed="false">
      <c r="A6" s="4" t="s">
        <v>450</v>
      </c>
      <c r="B6" s="0" t="s">
        <v>451</v>
      </c>
      <c r="C6" s="19" t="n">
        <f aca="false">PL!D86*1000000/racks_vr/1000</f>
        <v>111.056268509378</v>
      </c>
      <c r="D6" s="19" t="n">
        <f aca="false">PL!E86*1000000/racks_vr/1000</f>
        <v>148.075024679171</v>
      </c>
      <c r="E6" s="19" t="n">
        <f aca="false">PL!F86*1000000/racks_vr/1000</f>
        <v>167.81836130306</v>
      </c>
      <c r="F6" s="19" t="n">
        <f aca="false">PL!G86*1000000/racks_vr/1000</f>
        <v>177.690029615005</v>
      </c>
      <c r="G6" s="8" t="s">
        <v>452</v>
      </c>
    </row>
    <row r="7" customFormat="false" ht="17.15" hidden="false" customHeight="false" outlineLevel="0" collapsed="false">
      <c r="A7" s="0" t="s">
        <v>453</v>
      </c>
      <c r="B7" s="0" t="s">
        <v>33</v>
      </c>
      <c r="C7" s="20" t="n">
        <f aca="false">PL!D87</f>
        <v>10.5297921189287</v>
      </c>
      <c r="D7" s="20" t="n">
        <f aca="false">PL!E87</f>
        <v>24.9880594956382</v>
      </c>
      <c r="E7" s="20" t="n">
        <f aca="false">PL!F87</f>
        <v>35.8986539700486</v>
      </c>
      <c r="F7" s="20" t="n">
        <f aca="false">PL!G87</f>
        <v>43.2997860500003</v>
      </c>
      <c r="G7" s="4" t="s">
        <v>454</v>
      </c>
    </row>
    <row r="8" customFormat="false" ht="17.15" hidden="false" customHeight="false" outlineLevel="0" collapsed="false">
      <c r="A8" s="4" t="s">
        <v>455</v>
      </c>
      <c r="B8" s="0" t="s">
        <v>53</v>
      </c>
      <c r="C8" s="15" t="n">
        <f aca="false">PL!D91</f>
        <v>0.583671939396773</v>
      </c>
      <c r="D8" s="15" t="n">
        <f aca="false">PL!E91</f>
        <v>0.554488342426935</v>
      </c>
      <c r="E8" s="15" t="n">
        <f aca="false">PL!F91</f>
        <v>0.525304745457096</v>
      </c>
      <c r="F8" s="15" t="n">
        <f aca="false">PL!G91</f>
        <v>0.496121148487257</v>
      </c>
      <c r="G8" s="8" t="s">
        <v>456</v>
      </c>
    </row>
    <row r="9" customFormat="false" ht="17.15" hidden="false" customHeight="false" outlineLevel="0" collapsed="false">
      <c r="A9" s="4" t="s">
        <v>457</v>
      </c>
      <c r="B9" s="0" t="s">
        <v>33</v>
      </c>
      <c r="C9" s="21" t="n">
        <f aca="false">PL!D92/fx</f>
        <v>6.1459441875</v>
      </c>
      <c r="D9" s="21" t="n">
        <f aca="false">PL!E92/fx</f>
        <v>13.855587690202</v>
      </c>
      <c r="E9" s="21" t="n">
        <f aca="false">PL!F92/fx</f>
        <v>18.8577332859888</v>
      </c>
      <c r="F9" s="21" t="n">
        <f aca="false">PL!G92/fx</f>
        <v>21.4819395843787</v>
      </c>
    </row>
    <row r="10" customFormat="false" ht="17.15" hidden="false" customHeight="false" outlineLevel="0" collapsed="false">
      <c r="A10" s="4" t="s">
        <v>458</v>
      </c>
      <c r="B10" s="0" t="s">
        <v>33</v>
      </c>
      <c r="C10" s="21" t="n">
        <f aca="false">PL!D96/fx</f>
        <v>2.954780859375</v>
      </c>
      <c r="D10" s="21" t="n">
        <f aca="false">PL!E96/fx</f>
        <v>5.78484809940116</v>
      </c>
      <c r="E10" s="21" t="n">
        <f aca="false">PL!F96/fx</f>
        <v>7.66628721680114</v>
      </c>
      <c r="F10" s="21" t="n">
        <f aca="false">PL!G96/fx</f>
        <v>9.1128137377172</v>
      </c>
      <c r="G10" s="8" t="s">
        <v>459</v>
      </c>
    </row>
    <row r="11" customFormat="false" ht="17.15" hidden="false" customHeight="false" outlineLevel="0" collapsed="false">
      <c r="A11" s="4" t="s">
        <v>460</v>
      </c>
      <c r="B11" s="0" t="s">
        <v>451</v>
      </c>
      <c r="C11" s="19" t="n">
        <f aca="false">PL!D96/fx/PL!D85/racks_vr*1000000</f>
        <v>31.1636671264603</v>
      </c>
      <c r="D11" s="19" t="n">
        <f aca="false">PL!E96/fx/PL!E85/racks_vr*1000000</f>
        <v>34.2800338391064</v>
      </c>
      <c r="E11" s="19" t="n">
        <f aca="false">PL!F96/fx/PL!F85/racks_vr*1000000</f>
        <v>35.8382171954294</v>
      </c>
      <c r="F11" s="19" t="n">
        <f aca="false">PL!G96/fx/PL!G85/racks_vr*1000000</f>
        <v>37.3964005517524</v>
      </c>
      <c r="G11" s="4" t="s">
        <v>461</v>
      </c>
    </row>
    <row r="12" customFormat="false" ht="17.15" hidden="false" customHeight="false" outlineLevel="0" collapsed="false">
      <c r="A12" s="4" t="s">
        <v>462</v>
      </c>
      <c r="B12" s="0" t="s">
        <v>463</v>
      </c>
      <c r="C12" s="19" t="n">
        <f aca="false">PL!D109</f>
        <v>388.927551924965</v>
      </c>
      <c r="D12" s="19" t="n">
        <f aca="false">PL!E109</f>
        <v>471.59570257222</v>
      </c>
      <c r="E12" s="19" t="n">
        <f aca="false">PL!F109</f>
        <v>502.423682986705</v>
      </c>
      <c r="F12" s="19" t="n">
        <f aca="false">PL!G109</f>
        <v>508.737441946526</v>
      </c>
    </row>
    <row r="13" customFormat="false" ht="17.15" hidden="false" customHeight="false" outlineLevel="0" collapsed="false">
      <c r="A13" s="4" t="s">
        <v>464</v>
      </c>
      <c r="B13" s="0" t="s">
        <v>33</v>
      </c>
      <c r="C13" s="20" t="n">
        <f aca="false">PL!D87-PL!D92/fx</f>
        <v>4.38384793142875</v>
      </c>
      <c r="D13" s="20" t="n">
        <f aca="false">PL!E87-PL!E92/fx</f>
        <v>11.1324718054362</v>
      </c>
      <c r="E13" s="20" t="n">
        <f aca="false">PL!F87-PL!F92/fx</f>
        <v>17.0409206840599</v>
      </c>
      <c r="F13" s="20" t="n">
        <f aca="false">PL!G87-PL!G92/fx</f>
        <v>21.8178464656216</v>
      </c>
    </row>
    <row r="15" customFormat="false" ht="17.15" hidden="false" customHeight="false" outlineLevel="0" collapsed="false">
      <c r="A15" s="1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466</v>
      </c>
    </row>
    <row r="3" customFormat="false" ht="17.15" hidden="false" customHeight="false" outlineLevel="0" collapsed="false">
      <c r="A3" s="5" t="s">
        <v>467</v>
      </c>
      <c r="B3" s="5" t="s">
        <v>23</v>
      </c>
      <c r="C3" s="12" t="s">
        <v>380</v>
      </c>
      <c r="D3" s="12" t="s">
        <v>468</v>
      </c>
      <c r="E3" s="12" t="s">
        <v>469</v>
      </c>
      <c r="F3" s="12" t="s">
        <v>470</v>
      </c>
      <c r="G3" s="12" t="s">
        <v>471</v>
      </c>
      <c r="H3" s="5" t="s">
        <v>365</v>
      </c>
    </row>
    <row r="4" customFormat="false" ht="17.15" hidden="false" customHeight="false" outlineLevel="0" collapsed="false">
      <c r="A4" s="1" t="s">
        <v>472</v>
      </c>
    </row>
    <row r="5" customFormat="false" ht="15" hidden="false" customHeight="false" outlineLevel="0" collapsed="false">
      <c r="A5" s="4" t="s">
        <v>386</v>
      </c>
      <c r="B5" s="0" t="s">
        <v>209</v>
      </c>
      <c r="C5" s="20" t="n">
        <f aca="false">C104</f>
        <v>554.885</v>
      </c>
      <c r="D5" s="20" t="n">
        <f aca="false">D104</f>
        <v>756.4239</v>
      </c>
      <c r="E5" s="20" t="n">
        <f aca="false">E104</f>
        <v>1121.4932220923</v>
      </c>
      <c r="F5" s="20" t="n">
        <f aca="false">F104</f>
        <v>1366.78098022753</v>
      </c>
      <c r="G5" s="20" t="n">
        <f aca="false">G104</f>
        <v>1518.74400068581</v>
      </c>
    </row>
    <row r="6" customFormat="false" ht="15" hidden="false" customHeight="false" outlineLevel="0" collapsed="false">
      <c r="A6" s="4" t="s">
        <v>473</v>
      </c>
      <c r="B6" s="0" t="s">
        <v>53</v>
      </c>
      <c r="D6" s="15" t="n">
        <f aca="false">D106</f>
        <v>0.363208412553953</v>
      </c>
      <c r="E6" s="15" t="n">
        <f aca="false">E106</f>
        <v>0.482625313785435</v>
      </c>
      <c r="F6" s="15" t="n">
        <f aca="false">F106</f>
        <v>0.218715328192181</v>
      </c>
      <c r="G6" s="15" t="n">
        <f aca="false">G106</f>
        <v>0.111183154182456</v>
      </c>
    </row>
    <row r="7" customFormat="false" ht="17.15" hidden="false" customHeight="false" outlineLevel="0" collapsed="false">
      <c r="A7" s="0" t="s">
        <v>474</v>
      </c>
      <c r="B7" s="0" t="s">
        <v>209</v>
      </c>
      <c r="C7" s="20" t="n">
        <f aca="false">C92</f>
        <v>99.8793</v>
      </c>
      <c r="D7" s="20" t="n">
        <f aca="false">D92</f>
        <v>196.670214</v>
      </c>
      <c r="E7" s="20" t="n">
        <f aca="false">E92</f>
        <v>443.378806086466</v>
      </c>
      <c r="F7" s="20" t="n">
        <f aca="false">F92</f>
        <v>603.447465151641</v>
      </c>
      <c r="G7" s="20" t="n">
        <f aca="false">G92</f>
        <v>687.422066700118</v>
      </c>
    </row>
    <row r="8" customFormat="false" ht="15" hidden="false" customHeight="false" outlineLevel="0" collapsed="false">
      <c r="A8" s="4" t="s">
        <v>475</v>
      </c>
      <c r="B8" s="0" t="s">
        <v>209</v>
      </c>
      <c r="C8" s="20" t="n">
        <f aca="false">C96</f>
        <v>55.4885</v>
      </c>
      <c r="D8" s="20" t="n">
        <f aca="false">D96</f>
        <v>94.5529875</v>
      </c>
      <c r="E8" s="20" t="n">
        <f aca="false">E96</f>
        <v>185.115139180837</v>
      </c>
      <c r="F8" s="20" t="n">
        <f aca="false">F96</f>
        <v>245.321190937637</v>
      </c>
      <c r="G8" s="20" t="n">
        <f aca="false">G96</f>
        <v>291.61003960695</v>
      </c>
    </row>
    <row r="9" customFormat="false" ht="15" hidden="false" customHeight="false" outlineLevel="0" collapsed="false">
      <c r="A9" s="4" t="s">
        <v>476</v>
      </c>
      <c r="B9" s="0" t="s">
        <v>209</v>
      </c>
      <c r="C9" s="20" t="n">
        <f aca="false">C98</f>
        <v>277.4425</v>
      </c>
      <c r="D9" s="20" t="n">
        <f aca="false">D98</f>
        <v>385.776189</v>
      </c>
      <c r="E9" s="20" t="n">
        <f aca="false">E98</f>
        <v>641.940079836466</v>
      </c>
      <c r="F9" s="20" t="n">
        <f aca="false">F98</f>
        <v>809.951189851641</v>
      </c>
      <c r="G9" s="20" t="n">
        <f aca="false">G98</f>
        <v>900.120903141117</v>
      </c>
    </row>
    <row r="10" customFormat="false" ht="15" hidden="false" customHeight="false" outlineLevel="0" collapsed="false">
      <c r="A10" s="4" t="s">
        <v>477</v>
      </c>
      <c r="B10" s="0" t="s">
        <v>209</v>
      </c>
      <c r="C10" s="20" t="n">
        <f aca="false">C100</f>
        <v>183.11205</v>
      </c>
      <c r="D10" s="20" t="n">
        <f aca="false">D100</f>
        <v>264.748365</v>
      </c>
      <c r="E10" s="20" t="n">
        <f aca="false">E100</f>
        <v>370.628100655837</v>
      </c>
      <c r="F10" s="20" t="n">
        <f aca="false">F100</f>
        <v>443.820059715887</v>
      </c>
      <c r="G10" s="20" t="n">
        <f aca="false">G100</f>
        <v>502.018840511895</v>
      </c>
    </row>
    <row r="11" customFormat="false" ht="15" hidden="false" customHeight="false" outlineLevel="0" collapsed="false">
      <c r="A11" s="4" t="s">
        <v>478</v>
      </c>
      <c r="B11" s="0" t="s">
        <v>209</v>
      </c>
      <c r="C11" s="20" t="n">
        <f aca="false">C101</f>
        <v>55.4885</v>
      </c>
      <c r="D11" s="20" t="n">
        <f aca="false">D101</f>
        <v>60.513912</v>
      </c>
      <c r="E11" s="20" t="n">
        <f aca="false">E101</f>
        <v>63.5396076</v>
      </c>
      <c r="F11" s="20" t="n">
        <f aca="false">F101</f>
        <v>66.71658798</v>
      </c>
      <c r="G11" s="20" t="n">
        <f aca="false">G101</f>
        <v>69.3852514992</v>
      </c>
    </row>
    <row r="12" customFormat="false" ht="15" hidden="false" customHeight="false" outlineLevel="0" collapsed="false">
      <c r="A12" s="4" t="s">
        <v>479</v>
      </c>
      <c r="B12" s="0" t="s">
        <v>209</v>
      </c>
      <c r="C12" s="20" t="n">
        <f aca="false">C102</f>
        <v>38.84195</v>
      </c>
      <c r="D12" s="20" t="n">
        <f aca="false">D102</f>
        <v>45.385434</v>
      </c>
      <c r="E12" s="20" t="n">
        <f aca="false">E102</f>
        <v>45.385434</v>
      </c>
      <c r="F12" s="20" t="n">
        <f aca="false">F102</f>
        <v>46.29314268</v>
      </c>
      <c r="G12" s="20" t="n">
        <f aca="false">G102</f>
        <v>47.2190055336</v>
      </c>
    </row>
    <row r="13" customFormat="false" ht="17.15" hidden="false" customHeight="false" outlineLevel="0" collapsed="false">
      <c r="A13" s="4" t="s">
        <v>480</v>
      </c>
      <c r="B13" s="0" t="s">
        <v>209</v>
      </c>
      <c r="C13" s="20" t="n">
        <f aca="false">C103</f>
        <v>399.5172</v>
      </c>
      <c r="D13" s="20" t="n">
        <f aca="false">D103</f>
        <v>465.2006985</v>
      </c>
      <c r="E13" s="20" t="n">
        <f aca="false">E103</f>
        <v>492.999276825</v>
      </c>
      <c r="F13" s="20" t="n">
        <f aca="false">F103</f>
        <v>518.01232413825</v>
      </c>
      <c r="G13" s="20" t="n">
        <f aca="false">G103</f>
        <v>539.711894378745</v>
      </c>
    </row>
    <row r="14" customFormat="false" ht="17.15" hidden="false" customHeight="false" outlineLevel="0" collapsed="false">
      <c r="A14" s="0" t="s">
        <v>481</v>
      </c>
      <c r="B14" s="0" t="s">
        <v>53</v>
      </c>
      <c r="C14" s="15" t="n">
        <f aca="false">C108</f>
        <v>0.28</v>
      </c>
      <c r="D14" s="15" t="n">
        <f aca="false">D108</f>
        <v>0.385</v>
      </c>
      <c r="E14" s="15" t="n">
        <f aca="false">E108</f>
        <v>0.560408153064679</v>
      </c>
      <c r="F14" s="15" t="n">
        <f aca="false">F108</f>
        <v>0.620998293338837</v>
      </c>
      <c r="G14" s="15" t="n">
        <f aca="false">G108</f>
        <v>0.644632739859364</v>
      </c>
    </row>
    <row r="15" customFormat="false" ht="15" hidden="false" customHeight="false" outlineLevel="0" collapsed="false">
      <c r="A15" s="4" t="s">
        <v>392</v>
      </c>
      <c r="B15" s="0" t="s">
        <v>53</v>
      </c>
      <c r="C15" s="15" t="n">
        <f aca="false">C113</f>
        <v>0.342773727889563</v>
      </c>
      <c r="D15" s="15" t="n">
        <f aca="false">D113</f>
        <v>0.361274417690927</v>
      </c>
      <c r="E15" s="15" t="n">
        <f aca="false">E113</f>
        <v>0.372102165222689</v>
      </c>
      <c r="F15" s="15" t="n">
        <f aca="false">F113</f>
        <v>0.375795217373181</v>
      </c>
      <c r="G15" s="15" t="n">
        <f aca="false">G113</f>
        <v>0.376684447367539</v>
      </c>
    </row>
    <row r="16" customFormat="false" ht="15" hidden="false" customHeight="false" outlineLevel="0" collapsed="false">
      <c r="A16" s="4" t="s">
        <v>398</v>
      </c>
      <c r="B16" s="0" t="s">
        <v>53</v>
      </c>
      <c r="C16" s="15" t="n">
        <f aca="false">C117</f>
        <v>0.151202501419213</v>
      </c>
      <c r="D16" s="15" t="n">
        <f aca="false">D117</f>
        <v>0.173649346396027</v>
      </c>
      <c r="E16" s="15" t="n">
        <f aca="false">E117</f>
        <v>0.196692264957955</v>
      </c>
      <c r="F16" s="15" t="n">
        <f aca="false">F117</f>
        <v>0.20668126383482</v>
      </c>
      <c r="G16" s="15" t="n">
        <f aca="false">G117</f>
        <v>0.210954746497136</v>
      </c>
    </row>
    <row r="17" customFormat="false" ht="15" hidden="false" customHeight="false" outlineLevel="0" collapsed="false">
      <c r="A17" s="4" t="s">
        <v>403</v>
      </c>
      <c r="B17" s="0" t="s">
        <v>209</v>
      </c>
      <c r="C17" s="20" t="n">
        <f aca="false">C120</f>
        <v>60.108</v>
      </c>
      <c r="D17" s="20" t="n">
        <f aca="false">D120</f>
        <v>98.429235925</v>
      </c>
      <c r="E17" s="20" t="n">
        <f aca="false">E120</f>
        <v>157.726438971947</v>
      </c>
      <c r="F17" s="20" t="n">
        <f aca="false">F120</f>
        <v>200.436734061385</v>
      </c>
      <c r="G17" s="20" t="n">
        <f aca="false">G120</f>
        <v>226.586516404518</v>
      </c>
    </row>
    <row r="18" customFormat="false" ht="15" hidden="false" customHeight="false" outlineLevel="0" collapsed="false">
      <c r="A18" s="0" t="s">
        <v>408</v>
      </c>
      <c r="B18" s="0" t="s">
        <v>265</v>
      </c>
      <c r="C18" s="16" t="n">
        <f aca="false">C122</f>
        <v>23.14</v>
      </c>
      <c r="D18" s="16" t="n">
        <f aca="false">D122</f>
        <v>37.8855636744147</v>
      </c>
      <c r="E18" s="16" t="n">
        <f aca="false">E122</f>
        <v>60.7091479544104</v>
      </c>
      <c r="F18" s="16" t="n">
        <f aca="false">F122</f>
        <v>77.1484059549183</v>
      </c>
      <c r="G18" s="16" t="n">
        <f aca="false">G122</f>
        <v>87.2134972331611</v>
      </c>
    </row>
    <row r="19" customFormat="false" ht="17.15" hidden="false" customHeight="false" outlineLevel="0" collapsed="false">
      <c r="A19" s="0" t="s">
        <v>482</v>
      </c>
      <c r="B19" s="0" t="s">
        <v>53</v>
      </c>
      <c r="D19" s="15" t="n">
        <f aca="false">D123</f>
        <v>0.637232656629847</v>
      </c>
      <c r="E19" s="15" t="n">
        <f aca="false">E123</f>
        <v>0.602434860838806</v>
      </c>
      <c r="F19" s="15" t="n">
        <f aca="false">F123</f>
        <v>0.270787163951848</v>
      </c>
      <c r="G19" s="15" t="n">
        <f aca="false">G123</f>
        <v>0.130464021306213</v>
      </c>
    </row>
    <row r="21" customFormat="false" ht="17.15" hidden="false" customHeight="false" outlineLevel="0" collapsed="false">
      <c r="A21" s="1" t="s">
        <v>483</v>
      </c>
    </row>
    <row r="22" customFormat="false" ht="15" hidden="false" customHeight="false" outlineLevel="0" collapsed="false">
      <c r="A22" s="4" t="s">
        <v>386</v>
      </c>
      <c r="B22" s="0" t="s">
        <v>209</v>
      </c>
      <c r="C22" s="20" t="n">
        <f aca="false">C150</f>
        <v>554.885</v>
      </c>
      <c r="D22" s="20" t="n">
        <f aca="false">D150</f>
        <v>756.4239</v>
      </c>
      <c r="E22" s="20" t="n">
        <f aca="false">E150</f>
        <v>1121.4932220923</v>
      </c>
      <c r="F22" s="20" t="n">
        <f aca="false">F150</f>
        <v>1197.02724900967</v>
      </c>
      <c r="G22" s="20" t="n">
        <f aca="false">G150</f>
        <v>1371.88918473975</v>
      </c>
    </row>
    <row r="23" customFormat="false" ht="15" hidden="false" customHeight="false" outlineLevel="0" collapsed="false">
      <c r="A23" s="4" t="s">
        <v>473</v>
      </c>
      <c r="B23" s="0" t="s">
        <v>53</v>
      </c>
      <c r="D23" s="15" t="n">
        <f aca="false">D152</f>
        <v>0.363208412553953</v>
      </c>
      <c r="E23" s="15" t="n">
        <f aca="false">E152</f>
        <v>0.482625313785435</v>
      </c>
      <c r="F23" s="15" t="n">
        <f aca="false">F152</f>
        <v>0.0673513004175361</v>
      </c>
      <c r="G23" s="15" t="n">
        <f aca="false">G152</f>
        <v>0.146080163066253</v>
      </c>
    </row>
    <row r="24" customFormat="false" ht="17.15" hidden="false" customHeight="false" outlineLevel="0" collapsed="false">
      <c r="A24" s="0" t="s">
        <v>474</v>
      </c>
      <c r="B24" s="0" t="s">
        <v>209</v>
      </c>
      <c r="C24" s="20" t="n">
        <f aca="false">C138</f>
        <v>99.8793</v>
      </c>
      <c r="D24" s="20" t="n">
        <f aca="false">D138</f>
        <v>196.670214</v>
      </c>
      <c r="E24" s="20" t="n">
        <f aca="false">E138</f>
        <v>443.378806086466</v>
      </c>
      <c r="F24" s="20" t="n">
        <f aca="false">F138</f>
        <v>482.757972121312</v>
      </c>
      <c r="G24" s="20" t="n">
        <f aca="false">G138</f>
        <v>584.3087566951</v>
      </c>
    </row>
    <row r="25" customFormat="false" ht="15" hidden="false" customHeight="false" outlineLevel="0" collapsed="false">
      <c r="A25" s="4" t="s">
        <v>475</v>
      </c>
      <c r="B25" s="0" t="s">
        <v>209</v>
      </c>
      <c r="C25" s="20" t="n">
        <f aca="false">C142</f>
        <v>55.4885</v>
      </c>
      <c r="D25" s="20" t="n">
        <f aca="false">D142</f>
        <v>94.5529875</v>
      </c>
      <c r="E25" s="20" t="n">
        <f aca="false">E142</f>
        <v>185.115139180837</v>
      </c>
      <c r="F25" s="20" t="n">
        <f aca="false">F142</f>
        <v>196.256952750109</v>
      </c>
      <c r="G25" s="20" t="n">
        <f aca="false">G142</f>
        <v>247.868533665908</v>
      </c>
    </row>
    <row r="26" customFormat="false" ht="15" hidden="false" customHeight="false" outlineLevel="0" collapsed="false">
      <c r="A26" s="4" t="s">
        <v>476</v>
      </c>
      <c r="B26" s="0" t="s">
        <v>209</v>
      </c>
      <c r="C26" s="20" t="n">
        <f aca="false">C144</f>
        <v>277.4425</v>
      </c>
      <c r="D26" s="20" t="n">
        <f aca="false">D144</f>
        <v>385.776189</v>
      </c>
      <c r="E26" s="20" t="n">
        <f aca="false">E144</f>
        <v>641.940079836466</v>
      </c>
      <c r="F26" s="20" t="n">
        <f aca="false">F144</f>
        <v>689.261696821312</v>
      </c>
      <c r="G26" s="20" t="n">
        <f aca="false">G144</f>
        <v>797.0075931361</v>
      </c>
    </row>
    <row r="27" customFormat="false" ht="15" hidden="false" customHeight="false" outlineLevel="0" collapsed="false">
      <c r="A27" s="4" t="s">
        <v>477</v>
      </c>
      <c r="B27" s="0" t="s">
        <v>209</v>
      </c>
      <c r="C27" s="20" t="n">
        <f aca="false">C146</f>
        <v>183.11205</v>
      </c>
      <c r="D27" s="20" t="n">
        <f aca="false">D146</f>
        <v>264.748365</v>
      </c>
      <c r="E27" s="20" t="n">
        <f aca="false">E146</f>
        <v>370.628100655837</v>
      </c>
      <c r="F27" s="20" t="n">
        <f aca="false">F146</f>
        <v>394.755821528359</v>
      </c>
      <c r="G27" s="20" t="n">
        <f aca="false">G146</f>
        <v>458.277334570853</v>
      </c>
    </row>
    <row r="28" customFormat="false" ht="15" hidden="false" customHeight="false" outlineLevel="0" collapsed="false">
      <c r="A28" s="4" t="s">
        <v>478</v>
      </c>
      <c r="B28" s="0" t="s">
        <v>209</v>
      </c>
      <c r="C28" s="20" t="n">
        <f aca="false">C147</f>
        <v>55.4885</v>
      </c>
      <c r="D28" s="20" t="n">
        <f aca="false">D147</f>
        <v>60.513912</v>
      </c>
      <c r="E28" s="20" t="n">
        <f aca="false">E147</f>
        <v>63.5396076</v>
      </c>
      <c r="F28" s="20" t="n">
        <f aca="false">F147</f>
        <v>66.71658798</v>
      </c>
      <c r="G28" s="20" t="n">
        <f aca="false">G147</f>
        <v>69.3852514992</v>
      </c>
    </row>
    <row r="29" customFormat="false" ht="15" hidden="false" customHeight="false" outlineLevel="0" collapsed="false">
      <c r="A29" s="4" t="s">
        <v>479</v>
      </c>
      <c r="B29" s="0" t="s">
        <v>209</v>
      </c>
      <c r="C29" s="20" t="n">
        <f aca="false">C148</f>
        <v>38.84195</v>
      </c>
      <c r="D29" s="20" t="n">
        <f aca="false">D148</f>
        <v>45.385434</v>
      </c>
      <c r="E29" s="20" t="n">
        <f aca="false">E148</f>
        <v>45.385434</v>
      </c>
      <c r="F29" s="20" t="n">
        <f aca="false">F148</f>
        <v>46.29314268</v>
      </c>
      <c r="G29" s="20" t="n">
        <f aca="false">G148</f>
        <v>47.2190055336</v>
      </c>
    </row>
    <row r="30" customFormat="false" ht="17.15" hidden="false" customHeight="false" outlineLevel="0" collapsed="false">
      <c r="A30" s="4" t="s">
        <v>480</v>
      </c>
      <c r="B30" s="0" t="s">
        <v>209</v>
      </c>
      <c r="C30" s="20" t="n">
        <f aca="false">C149</f>
        <v>399.5172</v>
      </c>
      <c r="D30" s="20" t="n">
        <f aca="false">D149</f>
        <v>465.2006985</v>
      </c>
      <c r="E30" s="20" t="n">
        <f aca="false">E149</f>
        <v>492.999276825</v>
      </c>
      <c r="F30" s="20" t="n">
        <f aca="false">F149</f>
        <v>518.01232413825</v>
      </c>
      <c r="G30" s="20" t="n">
        <f aca="false">G149</f>
        <v>539.711894378745</v>
      </c>
    </row>
    <row r="31" customFormat="false" ht="17.15" hidden="false" customHeight="false" outlineLevel="0" collapsed="false">
      <c r="A31" s="0" t="s">
        <v>481</v>
      </c>
      <c r="B31" s="0" t="s">
        <v>53</v>
      </c>
      <c r="C31" s="15" t="n">
        <f aca="false">C154</f>
        <v>0.28</v>
      </c>
      <c r="D31" s="15" t="n">
        <f aca="false">D154</f>
        <v>0.385</v>
      </c>
      <c r="E31" s="15" t="n">
        <f aca="false">E154</f>
        <v>0.560408153064679</v>
      </c>
      <c r="F31" s="15" t="n">
        <f aca="false">F154</f>
        <v>0.567251017412667</v>
      </c>
      <c r="G31" s="15" t="n">
        <f aca="false">G154</f>
        <v>0.606592208479923</v>
      </c>
    </row>
    <row r="32" customFormat="false" ht="15" hidden="false" customHeight="false" outlineLevel="0" collapsed="false">
      <c r="A32" s="4" t="s">
        <v>392</v>
      </c>
      <c r="B32" s="0" t="s">
        <v>53</v>
      </c>
      <c r="C32" s="15" t="n">
        <f aca="false">C159</f>
        <v>0.342773727889563</v>
      </c>
      <c r="D32" s="15" t="n">
        <f aca="false">D159</f>
        <v>0.361274417690927</v>
      </c>
      <c r="E32" s="15" t="n">
        <f aca="false">E159</f>
        <v>0.372102165222689</v>
      </c>
      <c r="F32" s="15" t="n">
        <f aca="false">F159</f>
        <v>0.372738209347848</v>
      </c>
      <c r="G32" s="15" t="n">
        <f aca="false">G159</f>
        <v>0.374547651196646</v>
      </c>
    </row>
    <row r="33" customFormat="false" ht="15" hidden="false" customHeight="false" outlineLevel="0" collapsed="false">
      <c r="A33" s="4" t="s">
        <v>398</v>
      </c>
      <c r="B33" s="0" t="s">
        <v>53</v>
      </c>
      <c r="C33" s="15" t="n">
        <f aca="false">C163</f>
        <v>0.151202501419213</v>
      </c>
      <c r="D33" s="15" t="n">
        <f aca="false">D163</f>
        <v>0.173649346396027</v>
      </c>
      <c r="E33" s="15" t="n">
        <f aca="false">E163</f>
        <v>0.196692264957955</v>
      </c>
      <c r="F33" s="15" t="n">
        <f aca="false">F163</f>
        <v>0.199542029136543</v>
      </c>
      <c r="G33" s="15" t="n">
        <f aca="false">G163</f>
        <v>0.205766611751765</v>
      </c>
    </row>
    <row r="34" customFormat="false" ht="15" hidden="false" customHeight="false" outlineLevel="0" collapsed="false">
      <c r="A34" s="4" t="s">
        <v>403</v>
      </c>
      <c r="B34" s="0" t="s">
        <v>209</v>
      </c>
      <c r="C34" s="20" t="n">
        <f aca="false">C166</f>
        <v>60.108</v>
      </c>
      <c r="D34" s="20" t="n">
        <f aca="false">D166</f>
        <v>98.429235925</v>
      </c>
      <c r="E34" s="20" t="n">
        <f aca="false">E166</f>
        <v>157.726438971947</v>
      </c>
      <c r="F34" s="20" t="n">
        <f aca="false">F166</f>
        <v>170.331499877395</v>
      </c>
      <c r="G34" s="20" t="n">
        <f aca="false">G166</f>
        <v>200.299402577525</v>
      </c>
    </row>
    <row r="35" customFormat="false" ht="15" hidden="false" customHeight="false" outlineLevel="0" collapsed="false">
      <c r="A35" s="0" t="s">
        <v>408</v>
      </c>
      <c r="B35" s="0" t="s">
        <v>265</v>
      </c>
      <c r="C35" s="16" t="n">
        <f aca="false">C168</f>
        <v>23.14</v>
      </c>
      <c r="D35" s="16" t="n">
        <f aca="false">D168</f>
        <v>37.8855636744147</v>
      </c>
      <c r="E35" s="16" t="n">
        <f aca="false">E168</f>
        <v>60.7091479544104</v>
      </c>
      <c r="F35" s="16" t="n">
        <f aca="false">F168</f>
        <v>65.5608552044504</v>
      </c>
      <c r="G35" s="16" t="n">
        <f aca="false">G168</f>
        <v>77.0955468564261</v>
      </c>
    </row>
    <row r="36" customFormat="false" ht="17.15" hidden="false" customHeight="false" outlineLevel="0" collapsed="false">
      <c r="A36" s="0" t="s">
        <v>482</v>
      </c>
      <c r="B36" s="0" t="s">
        <v>53</v>
      </c>
      <c r="D36" s="15" t="n">
        <f aca="false">D169</f>
        <v>0.637232656629847</v>
      </c>
      <c r="E36" s="15" t="n">
        <f aca="false">E169</f>
        <v>0.602434860838806</v>
      </c>
      <c r="F36" s="15" t="n">
        <f aca="false">F169</f>
        <v>0.0799172351040645</v>
      </c>
      <c r="G36" s="15" t="n">
        <f aca="false">G169</f>
        <v>0.1759387002504</v>
      </c>
    </row>
    <row r="38" customFormat="false" ht="17.15" hidden="false" customHeight="false" outlineLevel="0" collapsed="false">
      <c r="A38" s="1" t="s">
        <v>484</v>
      </c>
    </row>
    <row r="39" customFormat="false" ht="15" hidden="false" customHeight="false" outlineLevel="0" collapsed="false">
      <c r="A39" s="4" t="s">
        <v>386</v>
      </c>
      <c r="B39" s="0" t="s">
        <v>209</v>
      </c>
      <c r="C39" s="20" t="n">
        <f aca="false">C196</f>
        <v>554.885</v>
      </c>
      <c r="D39" s="20" t="n">
        <f aca="false">D196</f>
        <v>756.4239</v>
      </c>
      <c r="E39" s="20" t="n">
        <f aca="false">E196</f>
        <v>1121.4932220923</v>
      </c>
      <c r="F39" s="20" t="n">
        <f aca="false">F196</f>
        <v>1027.27351779182</v>
      </c>
      <c r="G39" s="20" t="n">
        <f aca="false">G196</f>
        <v>1127.13115816299</v>
      </c>
    </row>
    <row r="40" customFormat="false" ht="15" hidden="false" customHeight="false" outlineLevel="0" collapsed="false">
      <c r="A40" s="4" t="s">
        <v>473</v>
      </c>
      <c r="B40" s="0" t="s">
        <v>53</v>
      </c>
      <c r="D40" s="15" t="n">
        <f aca="false">D198</f>
        <v>0.363208412553953</v>
      </c>
      <c r="E40" s="15" t="n">
        <f aca="false">E198</f>
        <v>0.482625313785435</v>
      </c>
      <c r="F40" s="15" t="n">
        <f aca="false">F198</f>
        <v>-0.0840127273571091</v>
      </c>
      <c r="G40" s="15" t="n">
        <f aca="false">G198</f>
        <v>0.0972064777702235</v>
      </c>
    </row>
    <row r="41" customFormat="false" ht="17.15" hidden="false" customHeight="false" outlineLevel="0" collapsed="false">
      <c r="A41" s="0" t="s">
        <v>474</v>
      </c>
      <c r="B41" s="0" t="s">
        <v>209</v>
      </c>
      <c r="C41" s="20" t="n">
        <f aca="false">C184</f>
        <v>99.8793</v>
      </c>
      <c r="D41" s="20" t="n">
        <f aca="false">D184</f>
        <v>196.670214</v>
      </c>
      <c r="E41" s="20" t="n">
        <f aca="false">E184</f>
        <v>443.378806086466</v>
      </c>
      <c r="F41" s="20" t="n">
        <f aca="false">F184</f>
        <v>362.068479090984</v>
      </c>
      <c r="G41" s="20" t="n">
        <f aca="false">G184</f>
        <v>412.453240020071</v>
      </c>
    </row>
    <row r="42" customFormat="false" ht="15" hidden="false" customHeight="false" outlineLevel="0" collapsed="false">
      <c r="A42" s="4" t="s">
        <v>475</v>
      </c>
      <c r="B42" s="0" t="s">
        <v>209</v>
      </c>
      <c r="C42" s="20" t="n">
        <f aca="false">C188</f>
        <v>55.4885</v>
      </c>
      <c r="D42" s="20" t="n">
        <f aca="false">D188</f>
        <v>94.5529875</v>
      </c>
      <c r="E42" s="20" t="n">
        <f aca="false">E188</f>
        <v>185.115139180837</v>
      </c>
      <c r="F42" s="20" t="n">
        <f aca="false">F188</f>
        <v>147.192714562582</v>
      </c>
      <c r="G42" s="20" t="n">
        <f aca="false">G188</f>
        <v>174.96602376417</v>
      </c>
    </row>
    <row r="43" customFormat="false" ht="15" hidden="false" customHeight="false" outlineLevel="0" collapsed="false">
      <c r="A43" s="4" t="s">
        <v>476</v>
      </c>
      <c r="B43" s="0" t="s">
        <v>209</v>
      </c>
      <c r="C43" s="20" t="n">
        <f aca="false">C190</f>
        <v>277.4425</v>
      </c>
      <c r="D43" s="20" t="n">
        <f aca="false">D190</f>
        <v>385.776189</v>
      </c>
      <c r="E43" s="20" t="n">
        <f aca="false">E190</f>
        <v>641.940079836466</v>
      </c>
      <c r="F43" s="20" t="n">
        <f aca="false">F190</f>
        <v>568.572203790984</v>
      </c>
      <c r="G43" s="20" t="n">
        <f aca="false">G190</f>
        <v>625.152076461071</v>
      </c>
    </row>
    <row r="44" customFormat="false" ht="15" hidden="false" customHeight="false" outlineLevel="0" collapsed="false">
      <c r="A44" s="4" t="s">
        <v>477</v>
      </c>
      <c r="B44" s="0" t="s">
        <v>209</v>
      </c>
      <c r="C44" s="20" t="n">
        <f aca="false">C192</f>
        <v>183.11205</v>
      </c>
      <c r="D44" s="20" t="n">
        <f aca="false">D192</f>
        <v>264.748365</v>
      </c>
      <c r="E44" s="20" t="n">
        <f aca="false">E192</f>
        <v>370.628100655837</v>
      </c>
      <c r="F44" s="20" t="n">
        <f aca="false">F192</f>
        <v>345.691583340832</v>
      </c>
      <c r="G44" s="20" t="n">
        <f aca="false">G192</f>
        <v>385.374824669115</v>
      </c>
    </row>
    <row r="45" customFormat="false" ht="15" hidden="false" customHeight="false" outlineLevel="0" collapsed="false">
      <c r="A45" s="4" t="s">
        <v>478</v>
      </c>
      <c r="B45" s="0" t="s">
        <v>209</v>
      </c>
      <c r="C45" s="20" t="n">
        <f aca="false">C193</f>
        <v>55.4885</v>
      </c>
      <c r="D45" s="20" t="n">
        <f aca="false">D193</f>
        <v>60.513912</v>
      </c>
      <c r="E45" s="20" t="n">
        <f aca="false">E193</f>
        <v>63.5396076</v>
      </c>
      <c r="F45" s="20" t="n">
        <f aca="false">F193</f>
        <v>66.71658798</v>
      </c>
      <c r="G45" s="20" t="n">
        <f aca="false">G193</f>
        <v>69.3852514992</v>
      </c>
    </row>
    <row r="46" customFormat="false" ht="15" hidden="false" customHeight="false" outlineLevel="0" collapsed="false">
      <c r="A46" s="4" t="s">
        <v>479</v>
      </c>
      <c r="B46" s="0" t="s">
        <v>209</v>
      </c>
      <c r="C46" s="20" t="n">
        <f aca="false">C194</f>
        <v>38.84195</v>
      </c>
      <c r="D46" s="20" t="n">
        <f aca="false">D194</f>
        <v>45.385434</v>
      </c>
      <c r="E46" s="20" t="n">
        <f aca="false">E194</f>
        <v>45.385434</v>
      </c>
      <c r="F46" s="20" t="n">
        <f aca="false">F194</f>
        <v>46.29314268</v>
      </c>
      <c r="G46" s="20" t="n">
        <f aca="false">G194</f>
        <v>47.2190055336</v>
      </c>
    </row>
    <row r="47" customFormat="false" ht="17.15" hidden="false" customHeight="false" outlineLevel="0" collapsed="false">
      <c r="A47" s="4" t="s">
        <v>480</v>
      </c>
      <c r="B47" s="0" t="s">
        <v>209</v>
      </c>
      <c r="C47" s="20" t="n">
        <f aca="false">C195</f>
        <v>399.5172</v>
      </c>
      <c r="D47" s="20" t="n">
        <f aca="false">D195</f>
        <v>465.2006985</v>
      </c>
      <c r="E47" s="20" t="n">
        <f aca="false">E195</f>
        <v>492.999276825</v>
      </c>
      <c r="F47" s="20" t="n">
        <f aca="false">F195</f>
        <v>518.01232413825</v>
      </c>
      <c r="G47" s="20" t="n">
        <f aca="false">G195</f>
        <v>539.711894378745</v>
      </c>
    </row>
    <row r="48" customFormat="false" ht="17.15" hidden="false" customHeight="false" outlineLevel="0" collapsed="false">
      <c r="A48" s="0" t="s">
        <v>481</v>
      </c>
      <c r="B48" s="0" t="s">
        <v>53</v>
      </c>
      <c r="C48" s="15" t="n">
        <f aca="false">C200</f>
        <v>0.28</v>
      </c>
      <c r="D48" s="15" t="n">
        <f aca="false">D200</f>
        <v>0.385</v>
      </c>
      <c r="E48" s="15" t="n">
        <f aca="false">E200</f>
        <v>0.560408153064679</v>
      </c>
      <c r="F48" s="15" t="n">
        <f aca="false">F200</f>
        <v>0.495740603484311</v>
      </c>
      <c r="G48" s="15" t="n">
        <f aca="false">G200</f>
        <v>0.521163184541562</v>
      </c>
    </row>
    <row r="49" customFormat="false" ht="15" hidden="false" customHeight="false" outlineLevel="0" collapsed="false">
      <c r="A49" s="4" t="s">
        <v>392</v>
      </c>
      <c r="B49" s="0" t="s">
        <v>53</v>
      </c>
      <c r="C49" s="15" t="n">
        <f aca="false">C205</f>
        <v>0.342773727889563</v>
      </c>
      <c r="D49" s="15" t="n">
        <f aca="false">D205</f>
        <v>0.361274417690927</v>
      </c>
      <c r="E49" s="15" t="n">
        <f aca="false">E205</f>
        <v>0.372102165222689</v>
      </c>
      <c r="F49" s="15" t="n">
        <f aca="false">F205</f>
        <v>0.368670879320291</v>
      </c>
      <c r="G49" s="15" t="n">
        <f aca="false">G205</f>
        <v>0.369748969248337</v>
      </c>
    </row>
    <row r="50" customFormat="false" ht="15" hidden="false" customHeight="false" outlineLevel="0" collapsed="false">
      <c r="A50" s="4" t="s">
        <v>398</v>
      </c>
      <c r="B50" s="0" t="s">
        <v>53</v>
      </c>
      <c r="C50" s="15" t="n">
        <f aca="false">C209</f>
        <v>0.151202501419213</v>
      </c>
      <c r="D50" s="15" t="n">
        <f aca="false">D209</f>
        <v>0.173649346396027</v>
      </c>
      <c r="E50" s="15" t="n">
        <f aca="false">E209</f>
        <v>0.196692264957955</v>
      </c>
      <c r="F50" s="15" t="n">
        <f aca="false">F209</f>
        <v>0.177172694243303</v>
      </c>
      <c r="G50" s="15" t="n">
        <f aca="false">G209</f>
        <v>0.181643922007821</v>
      </c>
    </row>
    <row r="51" customFormat="false" ht="15" hidden="false" customHeight="false" outlineLevel="0" collapsed="false">
      <c r="A51" s="4" t="s">
        <v>403</v>
      </c>
      <c r="B51" s="0" t="s">
        <v>209</v>
      </c>
      <c r="C51" s="20" t="n">
        <f aca="false">C212</f>
        <v>60.108</v>
      </c>
      <c r="D51" s="20" t="n">
        <f aca="false">D212</f>
        <v>98.429235925</v>
      </c>
      <c r="E51" s="20" t="n">
        <f aca="false">E212</f>
        <v>157.726438971947</v>
      </c>
      <c r="F51" s="20" t="n">
        <f aca="false">F212</f>
        <v>131.10332364166</v>
      </c>
      <c r="G51" s="20" t="n">
        <f aca="false">G212</f>
        <v>146.7882016883</v>
      </c>
    </row>
    <row r="52" customFormat="false" ht="15" hidden="false" customHeight="false" outlineLevel="0" collapsed="false">
      <c r="A52" s="0" t="s">
        <v>408</v>
      </c>
      <c r="B52" s="0" t="s">
        <v>265</v>
      </c>
      <c r="C52" s="16" t="n">
        <f aca="false">C214</f>
        <v>23.14</v>
      </c>
      <c r="D52" s="16" t="n">
        <f aca="false">D214</f>
        <v>37.8855636744147</v>
      </c>
      <c r="E52" s="16" t="n">
        <f aca="false">E214</f>
        <v>60.7091479544104</v>
      </c>
      <c r="F52" s="16" t="n">
        <f aca="false">F214</f>
        <v>50.461870084394</v>
      </c>
      <c r="G52" s="16" t="n">
        <f aca="false">G214</f>
        <v>56.4990036695231</v>
      </c>
    </row>
    <row r="53" customFormat="false" ht="17.15" hidden="false" customHeight="false" outlineLevel="0" collapsed="false">
      <c r="A53" s="0" t="s">
        <v>482</v>
      </c>
      <c r="B53" s="0" t="s">
        <v>53</v>
      </c>
      <c r="D53" s="15" t="n">
        <f aca="false">D215</f>
        <v>0.637232656629847</v>
      </c>
      <c r="E53" s="15" t="n">
        <f aca="false">E215</f>
        <v>0.602434860838806</v>
      </c>
      <c r="F53" s="15" t="n">
        <f aca="false">F215</f>
        <v>-0.168792977916798</v>
      </c>
      <c r="G53" s="15" t="n">
        <f aca="false">G215</f>
        <v>0.119637531764725</v>
      </c>
    </row>
    <row r="55" customFormat="false" ht="17.15" hidden="false" customHeight="false" outlineLevel="0" collapsed="false">
      <c r="A55" s="1" t="s">
        <v>485</v>
      </c>
    </row>
    <row r="56" customFormat="false" ht="17.15" hidden="false" customHeight="false" outlineLevel="0" collapsed="false">
      <c r="A56" s="4" t="s">
        <v>486</v>
      </c>
      <c r="D56" s="22" t="n">
        <f aca="false">D104-a26_rev</f>
        <v>0</v>
      </c>
    </row>
    <row r="57" customFormat="false" ht="17.15" hidden="false" customHeight="false" outlineLevel="0" collapsed="false">
      <c r="A57" s="4" t="s">
        <v>487</v>
      </c>
      <c r="D57" s="22" t="n">
        <f aca="false">D92-a26_aip</f>
        <v>0</v>
      </c>
    </row>
    <row r="58" customFormat="false" ht="17.15" hidden="false" customHeight="false" outlineLevel="0" collapsed="false">
      <c r="A58" s="4" t="s">
        <v>488</v>
      </c>
      <c r="D58" s="22" t="n">
        <f aca="false">D111*D104+d_ai*D92-a26_gp</f>
        <v>0</v>
      </c>
    </row>
    <row r="80" customFormat="false" ht="17.15" hidden="false" customHeight="false" outlineLevel="0" collapsed="false">
      <c r="A80" s="1" t="s">
        <v>489</v>
      </c>
    </row>
    <row r="81" customFormat="false" ht="17.15" hidden="false" customHeight="false" outlineLevel="0" collapsed="false">
      <c r="A81" s="5" t="s">
        <v>22</v>
      </c>
      <c r="B81" s="5" t="s">
        <v>23</v>
      </c>
      <c r="C81" s="12" t="s">
        <v>380</v>
      </c>
      <c r="D81" s="12" t="s">
        <v>468</v>
      </c>
      <c r="E81" s="12" t="s">
        <v>469</v>
      </c>
      <c r="F81" s="12" t="s">
        <v>470</v>
      </c>
      <c r="G81" s="12" t="s">
        <v>471</v>
      </c>
      <c r="H81" s="5" t="s">
        <v>365</v>
      </c>
    </row>
    <row r="82" customFormat="false" ht="17.15" hidden="false" customHeight="false" outlineLevel="0" collapsed="false">
      <c r="A82" s="6" t="s">
        <v>490</v>
      </c>
    </row>
    <row r="83" customFormat="false" ht="17.15" hidden="false" customHeight="false" outlineLevel="0" collapsed="false">
      <c r="A83" s="0" t="s">
        <v>491</v>
      </c>
      <c r="B83" s="0" t="s">
        <v>33</v>
      </c>
      <c r="D83" s="21" t="n">
        <f aca="false">itc_26*1</f>
        <v>781.872916666666</v>
      </c>
      <c r="E83" s="21" t="n">
        <f aca="false">itc_27*1*1</f>
        <v>1565.35</v>
      </c>
      <c r="F83" s="21" t="n">
        <f aca="false">itc_28*um28_A*1</f>
        <v>1984.26388888889</v>
      </c>
      <c r="G83" s="21" t="n">
        <f aca="false">itc_29*um29_A*1</f>
        <v>2260.39027777778</v>
      </c>
    </row>
    <row r="84" customFormat="false" ht="17.15" hidden="false" customHeight="false" outlineLevel="0" collapsed="false">
      <c r="A84" s="4" t="s">
        <v>492</v>
      </c>
      <c r="B84" s="0" t="s">
        <v>33</v>
      </c>
      <c r="D84" s="21" t="n">
        <f aca="false">itpg_gb*(1-vr26)+itpg_vr*vr26</f>
        <v>33.41403216</v>
      </c>
      <c r="E84" s="21" t="n">
        <f aca="false">itpg_vr</f>
        <v>37.586352</v>
      </c>
      <c r="F84" s="21" t="n">
        <f aca="false">itpg_vr</f>
        <v>37.586352</v>
      </c>
      <c r="G84" s="21" t="n">
        <f aca="false">itpg_vr</f>
        <v>37.586352</v>
      </c>
    </row>
    <row r="85" customFormat="false" ht="17.15" hidden="false" customHeight="false" outlineLevel="0" collapsed="false">
      <c r="A85" s="4" t="s">
        <v>493</v>
      </c>
      <c r="B85" s="0" t="s">
        <v>446</v>
      </c>
      <c r="D85" s="18" t="n">
        <f aca="false">D83/D84</f>
        <v>23.3995380420639</v>
      </c>
      <c r="E85" s="18" t="n">
        <f aca="false">E83/E84</f>
        <v>41.6467658260637</v>
      </c>
      <c r="F85" s="18" t="n">
        <f aca="false">F83/F84</f>
        <v>52.792138191248</v>
      </c>
      <c r="G85" s="18" t="n">
        <f aca="false">G83/G84</f>
        <v>60.1385917361116</v>
      </c>
    </row>
    <row r="86" customFormat="false" ht="17.15" hidden="false" customHeight="false" outlineLevel="0" collapsed="false">
      <c r="A86" s="0" t="s">
        <v>448</v>
      </c>
      <c r="B86" s="0" t="s">
        <v>96</v>
      </c>
      <c r="D86" s="19" t="n">
        <f aca="false">pkw_26</f>
        <v>450</v>
      </c>
      <c r="E86" s="19" t="n">
        <f aca="false">pkw_27</f>
        <v>600</v>
      </c>
      <c r="F86" s="19" t="n">
        <f aca="false">pkw_28</f>
        <v>680</v>
      </c>
      <c r="G86" s="19" t="n">
        <f aca="false">pkw_29</f>
        <v>720</v>
      </c>
    </row>
    <row r="87" customFormat="false" ht="17.15" hidden="false" customHeight="false" outlineLevel="0" collapsed="false">
      <c r="A87" s="0" t="s">
        <v>494</v>
      </c>
      <c r="B87" s="0" t="s">
        <v>33</v>
      </c>
      <c r="D87" s="21" t="n">
        <f aca="false">D85*D86/1000</f>
        <v>10.5297921189287</v>
      </c>
      <c r="E87" s="21" t="n">
        <f aca="false">E85*E86/1000</f>
        <v>24.9880594956382</v>
      </c>
      <c r="F87" s="21" t="n">
        <f aca="false">F85*F86/1000</f>
        <v>35.8986539700486</v>
      </c>
      <c r="G87" s="21" t="n">
        <f aca="false">G85*G86/1000</f>
        <v>43.2997860500003</v>
      </c>
    </row>
    <row r="88" customFormat="false" ht="17.15" hidden="false" customHeight="false" outlineLevel="0" collapsed="false">
      <c r="A88" s="0" t="s">
        <v>495</v>
      </c>
      <c r="B88" s="0" t="s">
        <v>209</v>
      </c>
      <c r="D88" s="20" t="n">
        <f aca="false">D87*fx</f>
        <v>336.95334780572</v>
      </c>
      <c r="E88" s="20" t="n">
        <f aca="false">E87*fx</f>
        <v>799.617903860422</v>
      </c>
      <c r="F88" s="20" t="n">
        <f aca="false">F87*fx</f>
        <v>1148.75692704156</v>
      </c>
      <c r="G88" s="20" t="n">
        <f aca="false">G87*fx</f>
        <v>1385.59315360001</v>
      </c>
    </row>
    <row r="89" customFormat="false" ht="17.15" hidden="false" customHeight="false" outlineLevel="0" collapsed="false">
      <c r="A89" s="4" t="s">
        <v>496</v>
      </c>
      <c r="B89" s="0" t="s">
        <v>53</v>
      </c>
      <c r="D89" s="15" t="n">
        <f aca="false">a26_aip/D88</f>
        <v>0.583671939396773</v>
      </c>
      <c r="H89" s="8" t="s">
        <v>497</v>
      </c>
    </row>
    <row r="90" customFormat="false" ht="17.15" hidden="false" customHeight="false" outlineLevel="0" collapsed="false">
      <c r="A90" s="4" t="s">
        <v>498</v>
      </c>
      <c r="B90" s="0" t="s">
        <v>69</v>
      </c>
      <c r="D90" s="16" t="n">
        <f aca="false">1</f>
        <v>1</v>
      </c>
      <c r="E90" s="16" t="n">
        <f aca="false">rel_27</f>
        <v>0.95</v>
      </c>
      <c r="F90" s="16" t="n">
        <f aca="false">rel_28</f>
        <v>0.9</v>
      </c>
      <c r="G90" s="16" t="n">
        <f aca="false">rel_29</f>
        <v>0.85</v>
      </c>
    </row>
    <row r="91" customFormat="false" ht="15" hidden="false" customHeight="false" outlineLevel="0" collapsed="false">
      <c r="A91" s="4" t="s">
        <v>455</v>
      </c>
      <c r="B91" s="0" t="s">
        <v>53</v>
      </c>
      <c r="D91" s="15" t="n">
        <f aca="false">$D$89*D90</f>
        <v>0.583671939396773</v>
      </c>
      <c r="E91" s="15" t="n">
        <f aca="false">$D$89*E90</f>
        <v>0.554488342426935</v>
      </c>
      <c r="F91" s="15" t="n">
        <f aca="false">$D$89*F90</f>
        <v>0.525304745457096</v>
      </c>
      <c r="G91" s="15" t="n">
        <f aca="false">$D$89*G90</f>
        <v>0.496121148487257</v>
      </c>
    </row>
    <row r="92" customFormat="false" ht="17.15" hidden="false" customHeight="false" outlineLevel="0" collapsed="false">
      <c r="A92" s="0" t="s">
        <v>499</v>
      </c>
      <c r="B92" s="0" t="s">
        <v>209</v>
      </c>
      <c r="C92" s="20" t="n">
        <f aca="false">a25_aip</f>
        <v>99.8793</v>
      </c>
      <c r="D92" s="20" t="n">
        <f aca="false">D88*D91</f>
        <v>196.670214</v>
      </c>
      <c r="E92" s="20" t="n">
        <f aca="false">E88*E91</f>
        <v>443.378806086466</v>
      </c>
      <c r="F92" s="20" t="n">
        <f aca="false">F88*F91</f>
        <v>603.447465151641</v>
      </c>
      <c r="G92" s="20" t="n">
        <f aca="false">G88*G91</f>
        <v>687.422066700118</v>
      </c>
    </row>
    <row r="93" customFormat="false" ht="17.15" hidden="false" customHeight="false" outlineLevel="0" collapsed="false">
      <c r="A93" s="6" t="s">
        <v>500</v>
      </c>
    </row>
    <row r="94" customFormat="false" ht="17.15" hidden="false" customHeight="false" outlineLevel="0" collapsed="false">
      <c r="A94" s="4" t="s">
        <v>501</v>
      </c>
      <c r="B94" s="0" t="s">
        <v>502</v>
      </c>
      <c r="D94" s="23" t="n">
        <f aca="false">a26_lc/D85</f>
        <v>4.04080573428535</v>
      </c>
    </row>
    <row r="95" customFormat="false" ht="17.15" hidden="false" customHeight="false" outlineLevel="0" collapsed="false">
      <c r="A95" s="4" t="s">
        <v>503</v>
      </c>
      <c r="B95" s="0" t="s">
        <v>69</v>
      </c>
      <c r="D95" s="16" t="n">
        <f aca="false">1</f>
        <v>1</v>
      </c>
      <c r="E95" s="16" t="n">
        <f aca="false">lcr_27</f>
        <v>1.1</v>
      </c>
      <c r="F95" s="16" t="n">
        <f aca="false">lcr_28</f>
        <v>1.15</v>
      </c>
      <c r="G95" s="16" t="n">
        <f aca="false">lcr_29</f>
        <v>1.2</v>
      </c>
    </row>
    <row r="96" customFormat="false" ht="15" hidden="false" customHeight="false" outlineLevel="0" collapsed="false">
      <c r="A96" s="4" t="s">
        <v>504</v>
      </c>
      <c r="B96" s="0" t="s">
        <v>209</v>
      </c>
      <c r="C96" s="20" t="n">
        <f aca="false">a25_lc</f>
        <v>55.4885</v>
      </c>
      <c r="D96" s="20" t="n">
        <f aca="false">D85*$D$94*D95</f>
        <v>94.5529875</v>
      </c>
      <c r="E96" s="20" t="n">
        <f aca="false">E85*$D$94*E95</f>
        <v>185.115139180837</v>
      </c>
      <c r="F96" s="20" t="n">
        <f aca="false">F85*$D$94*F95</f>
        <v>245.321190937637</v>
      </c>
      <c r="G96" s="20" t="n">
        <f aca="false">G85*$D$94*G95</f>
        <v>291.61003960695</v>
      </c>
    </row>
    <row r="97" customFormat="false" ht="17.15" hidden="false" customHeight="false" outlineLevel="0" collapsed="false">
      <c r="A97" s="4" t="s">
        <v>505</v>
      </c>
      <c r="B97" s="0" t="s">
        <v>209</v>
      </c>
      <c r="C97" s="20" t="n">
        <f aca="false">a25_pe-a25_aip</f>
        <v>177.5632</v>
      </c>
      <c r="D97" s="20" t="n">
        <f aca="false">a26_pe-a26_aip</f>
        <v>189.105975</v>
      </c>
      <c r="E97" s="20" t="n">
        <f aca="false">D97*(1+g_pe27)</f>
        <v>198.56127375</v>
      </c>
      <c r="F97" s="20" t="n">
        <f aca="false">E97*(1+g_pe28)</f>
        <v>206.5037247</v>
      </c>
      <c r="G97" s="20" t="n">
        <f aca="false">F97*(1+g_pe29)</f>
        <v>212.698836441</v>
      </c>
      <c r="H97" s="8" t="s">
        <v>506</v>
      </c>
    </row>
    <row r="98" customFormat="false" ht="17.15" hidden="false" customHeight="false" outlineLevel="0" collapsed="false">
      <c r="A98" s="4" t="s">
        <v>431</v>
      </c>
      <c r="B98" s="0" t="s">
        <v>209</v>
      </c>
      <c r="C98" s="20" t="n">
        <f aca="false">C92+C97</f>
        <v>277.4425</v>
      </c>
      <c r="D98" s="20" t="n">
        <f aca="false">D92+D97</f>
        <v>385.776189</v>
      </c>
      <c r="E98" s="20" t="n">
        <f aca="false">E92+E97</f>
        <v>641.940079836466</v>
      </c>
      <c r="F98" s="20" t="n">
        <f aca="false">F92+F97</f>
        <v>809.951189851641</v>
      </c>
      <c r="G98" s="20" t="n">
        <f aca="false">G92+G97</f>
        <v>900.120903141117</v>
      </c>
      <c r="H98" s="4" t="s">
        <v>507</v>
      </c>
    </row>
    <row r="99" customFormat="false" ht="17.15" hidden="false" customHeight="false" outlineLevel="0" collapsed="false">
      <c r="A99" s="4" t="s">
        <v>508</v>
      </c>
      <c r="B99" s="0" t="s">
        <v>209</v>
      </c>
      <c r="C99" s="20" t="n">
        <f aca="false">a25_inf-a25_lc</f>
        <v>127.62355</v>
      </c>
      <c r="D99" s="20" t="n">
        <f aca="false">a26_inf-a26_lc</f>
        <v>170.1953775</v>
      </c>
      <c r="E99" s="20" t="n">
        <f aca="false">D99*(1+g_inf27)</f>
        <v>185.512961475</v>
      </c>
      <c r="F99" s="20" t="n">
        <f aca="false">E99*(1+g_inf28)</f>
        <v>198.49886877825</v>
      </c>
      <c r="G99" s="20" t="n">
        <f aca="false">F99*(1+g_inf29)</f>
        <v>210.408800904945</v>
      </c>
      <c r="H99" s="4" t="s">
        <v>509</v>
      </c>
    </row>
    <row r="100" customFormat="false" ht="15" hidden="false" customHeight="false" outlineLevel="0" collapsed="false">
      <c r="A100" s="4" t="s">
        <v>437</v>
      </c>
      <c r="B100" s="0" t="s">
        <v>209</v>
      </c>
      <c r="C100" s="20" t="n">
        <f aca="false">C96+C99</f>
        <v>183.11205</v>
      </c>
      <c r="D100" s="20" t="n">
        <f aca="false">D96+D99</f>
        <v>264.748365</v>
      </c>
      <c r="E100" s="20" t="n">
        <f aca="false">E96+E99</f>
        <v>370.628100655837</v>
      </c>
      <c r="F100" s="20" t="n">
        <f aca="false">F96+F99</f>
        <v>443.820059715887</v>
      </c>
      <c r="G100" s="20" t="n">
        <f aca="false">G96+G99</f>
        <v>502.018840511895</v>
      </c>
      <c r="H100" s="4" t="s">
        <v>510</v>
      </c>
    </row>
    <row r="101" customFormat="false" ht="15" hidden="false" customHeight="false" outlineLevel="0" collapsed="false">
      <c r="A101" s="4" t="s">
        <v>436</v>
      </c>
      <c r="B101" s="0" t="s">
        <v>209</v>
      </c>
      <c r="C101" s="20" t="n">
        <f aca="false">a25_au</f>
        <v>55.4885</v>
      </c>
      <c r="D101" s="20" t="n">
        <f aca="false">a26_au</f>
        <v>60.513912</v>
      </c>
      <c r="E101" s="20" t="n">
        <f aca="false">D101*(1+g_au27)</f>
        <v>63.5396076</v>
      </c>
      <c r="F101" s="20" t="n">
        <f aca="false">E101*(1+g_au28)</f>
        <v>66.71658798</v>
      </c>
      <c r="G101" s="20" t="n">
        <f aca="false">F101*(1+g_au29)</f>
        <v>69.3852514992</v>
      </c>
    </row>
    <row r="102" customFormat="false" ht="15" hidden="false" customHeight="false" outlineLevel="0" collapsed="false">
      <c r="A102" s="4" t="s">
        <v>435</v>
      </c>
      <c r="B102" s="0" t="s">
        <v>209</v>
      </c>
      <c r="C102" s="20" t="n">
        <f aca="false">a25_mo</f>
        <v>38.84195</v>
      </c>
      <c r="D102" s="20" t="n">
        <f aca="false">a26_mo</f>
        <v>45.385434</v>
      </c>
      <c r="E102" s="20" t="n">
        <f aca="false">D102*(1+g_mo27)</f>
        <v>45.385434</v>
      </c>
      <c r="F102" s="20" t="n">
        <f aca="false">E102*(1+g_mo28)</f>
        <v>46.29314268</v>
      </c>
      <c r="G102" s="20" t="n">
        <f aca="false">F102*(1+g_mo29)</f>
        <v>47.2190055336</v>
      </c>
    </row>
    <row r="103" customFormat="false" ht="17.15" hidden="false" customHeight="false" outlineLevel="0" collapsed="false">
      <c r="A103" s="4" t="s">
        <v>511</v>
      </c>
      <c r="B103" s="0" t="s">
        <v>209</v>
      </c>
      <c r="C103" s="20" t="n">
        <f aca="false">C97+C99+C101+C102</f>
        <v>399.5172</v>
      </c>
      <c r="D103" s="20" t="n">
        <f aca="false">D97+D99+D101+D102</f>
        <v>465.2006985</v>
      </c>
      <c r="E103" s="20" t="n">
        <f aca="false">E97+E99+E101+E102</f>
        <v>492.999276825</v>
      </c>
      <c r="F103" s="20" t="n">
        <f aca="false">F97+F99+F101+F102</f>
        <v>518.01232413825</v>
      </c>
      <c r="G103" s="20" t="n">
        <f aca="false">G97+G99+G101+G102</f>
        <v>539.711894378745</v>
      </c>
    </row>
    <row r="104" customFormat="false" ht="15" hidden="false" customHeight="false" outlineLevel="0" collapsed="false">
      <c r="A104" s="4" t="s">
        <v>386</v>
      </c>
      <c r="B104" s="0" t="s">
        <v>209</v>
      </c>
      <c r="C104" s="20" t="n">
        <f aca="false">C98+C100+C101+C102</f>
        <v>554.885</v>
      </c>
      <c r="D104" s="20" t="n">
        <f aca="false">D98+D100+D101+D102</f>
        <v>756.4239</v>
      </c>
      <c r="E104" s="20" t="n">
        <f aca="false">E98+E100+E101+E102</f>
        <v>1121.4932220923</v>
      </c>
      <c r="F104" s="20" t="n">
        <f aca="false">F98+F100+F101+F102</f>
        <v>1366.78098022753</v>
      </c>
      <c r="G104" s="20" t="n">
        <f aca="false">G98+G100+G101+G102</f>
        <v>1518.74400068581</v>
      </c>
      <c r="H104" s="4" t="s">
        <v>512</v>
      </c>
    </row>
    <row r="105" customFormat="false" ht="17.15" hidden="false" customHeight="false" outlineLevel="0" collapsed="false">
      <c r="A105" s="4" t="s">
        <v>513</v>
      </c>
      <c r="B105" s="0" t="s">
        <v>209</v>
      </c>
      <c r="C105" s="23" t="n">
        <f aca="false">C104-a25_rev</f>
        <v>0</v>
      </c>
      <c r="D105" s="23" t="n">
        <f aca="false">D104-a26_rev</f>
        <v>0</v>
      </c>
    </row>
    <row r="106" customFormat="false" ht="15" hidden="false" customHeight="false" outlineLevel="0" collapsed="false">
      <c r="A106" s="4" t="s">
        <v>514</v>
      </c>
      <c r="B106" s="0" t="s">
        <v>53</v>
      </c>
      <c r="D106" s="15" t="n">
        <f aca="false">D104/C104-1</f>
        <v>0.363208412553953</v>
      </c>
      <c r="E106" s="15" t="n">
        <f aca="false">E104/D104-1</f>
        <v>0.482625313785435</v>
      </c>
      <c r="F106" s="15" t="n">
        <f aca="false">F104/E104-1</f>
        <v>0.218715328192181</v>
      </c>
      <c r="G106" s="15" t="n">
        <f aca="false">G104/F104-1</f>
        <v>0.111183154182456</v>
      </c>
    </row>
    <row r="107" customFormat="false" ht="17.15" hidden="false" customHeight="false" outlineLevel="0" collapsed="false">
      <c r="A107" s="0" t="s">
        <v>515</v>
      </c>
      <c r="B107" s="0" t="s">
        <v>53</v>
      </c>
      <c r="C107" s="15" t="n">
        <f aca="false">C92/C104</f>
        <v>0.18</v>
      </c>
      <c r="D107" s="15" t="n">
        <f aca="false">D92/D104</f>
        <v>0.26</v>
      </c>
      <c r="E107" s="15" t="n">
        <f aca="false">E92/E104</f>
        <v>0.395346844147021</v>
      </c>
      <c r="F107" s="15" t="n">
        <f aca="false">F92/F104</f>
        <v>0.441509996028175</v>
      </c>
      <c r="G107" s="15" t="n">
        <f aca="false">G92/G104</f>
        <v>0.452625370957647</v>
      </c>
    </row>
    <row r="108" customFormat="false" ht="17.15" hidden="false" customHeight="false" outlineLevel="0" collapsed="false">
      <c r="A108" s="0" t="s">
        <v>516</v>
      </c>
      <c r="B108" s="0" t="s">
        <v>53</v>
      </c>
      <c r="C108" s="15" t="n">
        <f aca="false">(C92+C96)/C104</f>
        <v>0.28</v>
      </c>
      <c r="D108" s="15" t="n">
        <f aca="false">(D92+D96)/D104</f>
        <v>0.385</v>
      </c>
      <c r="E108" s="15" t="n">
        <f aca="false">(E92+E96)/E104</f>
        <v>0.560408153064679</v>
      </c>
      <c r="F108" s="15" t="n">
        <f aca="false">(F92+F96)/F104</f>
        <v>0.620998293338837</v>
      </c>
      <c r="G108" s="15" t="n">
        <f aca="false">(G92+G96)/G104</f>
        <v>0.644632739859364</v>
      </c>
    </row>
    <row r="109" customFormat="false" ht="17.15" hidden="false" customHeight="false" outlineLevel="0" collapsed="false">
      <c r="A109" s="4" t="s">
        <v>462</v>
      </c>
      <c r="B109" s="0" t="s">
        <v>463</v>
      </c>
      <c r="D109" s="19" t="n">
        <f aca="false">(D92+D96)/fx/D85*1000</f>
        <v>388.927551924965</v>
      </c>
      <c r="E109" s="19" t="n">
        <f aca="false">(E92+E96)/fx/E85*1000</f>
        <v>471.59570257222</v>
      </c>
      <c r="F109" s="19" t="n">
        <f aca="false">(F92+F96)/fx/F85*1000</f>
        <v>502.423682986705</v>
      </c>
      <c r="G109" s="19" t="n">
        <f aca="false">(G92+G96)/fx/G85*1000</f>
        <v>508.737441946526</v>
      </c>
    </row>
    <row r="110" customFormat="false" ht="17.15" hidden="false" customHeight="false" outlineLevel="0" collapsed="false">
      <c r="A110" s="6" t="s">
        <v>517</v>
      </c>
    </row>
    <row r="111" customFormat="false" ht="17.15" hidden="false" customHeight="false" outlineLevel="0" collapsed="false">
      <c r="A111" s="4" t="s">
        <v>518</v>
      </c>
      <c r="B111" s="0" t="s">
        <v>53</v>
      </c>
      <c r="D111" s="15" t="n">
        <f aca="false">a26_gp/D104-d_ai*D107</f>
        <v>0.340474417690927</v>
      </c>
      <c r="H111" s="8" t="s">
        <v>519</v>
      </c>
    </row>
    <row r="112" customFormat="false" ht="15" hidden="false" customHeight="false" outlineLevel="0" collapsed="false">
      <c r="A112" s="4" t="s">
        <v>390</v>
      </c>
      <c r="B112" s="0" t="s">
        <v>209</v>
      </c>
      <c r="C112" s="20" t="n">
        <f aca="false">a25_gp</f>
        <v>190.2</v>
      </c>
      <c r="D112" s="20" t="n">
        <f aca="false">a26_gp</f>
        <v>273.276604</v>
      </c>
      <c r="E112" s="20" t="n">
        <f aca="false">$D$111*E104+d_ai*E92</f>
        <v>417.310056223116</v>
      </c>
      <c r="F112" s="20" t="n">
        <f aca="false">$D$111*F104+d_ai*F92</f>
        <v>513.629755566133</v>
      </c>
      <c r="G112" s="20" t="n">
        <f aca="false">$D$111*G104+d_ai*G92</f>
        <v>572.0872445911</v>
      </c>
    </row>
    <row r="113" customFormat="false" ht="15" hidden="false" customHeight="false" outlineLevel="0" collapsed="false">
      <c r="A113" s="4" t="s">
        <v>392</v>
      </c>
      <c r="B113" s="0" t="s">
        <v>53</v>
      </c>
      <c r="C113" s="15" t="n">
        <f aca="false">C112/C104</f>
        <v>0.342773727889563</v>
      </c>
      <c r="D113" s="15" t="n">
        <f aca="false">D112/D104</f>
        <v>0.361274417690927</v>
      </c>
      <c r="E113" s="15" t="n">
        <f aca="false">E112/E104</f>
        <v>0.372102165222689</v>
      </c>
      <c r="F113" s="15" t="n">
        <f aca="false">F112/F104</f>
        <v>0.375795217373181</v>
      </c>
      <c r="G113" s="15" t="n">
        <f aca="false">G112/G104</f>
        <v>0.376684447367539</v>
      </c>
    </row>
    <row r="114" customFormat="false" ht="15" hidden="false" customHeight="false" outlineLevel="0" collapsed="false">
      <c r="A114" s="4" t="s">
        <v>520</v>
      </c>
      <c r="B114" s="0" t="s">
        <v>209</v>
      </c>
      <c r="C114" s="20" t="n">
        <f aca="false">a25_opx</f>
        <v>106.3</v>
      </c>
      <c r="D114" s="20" t="n">
        <f aca="false">a26_opx</f>
        <v>141.924088166667</v>
      </c>
      <c r="E114" s="20" t="n">
        <f aca="false">D114*(1+MAX(0,phi*E106))</f>
        <v>196.721014234786</v>
      </c>
      <c r="F114" s="20" t="n">
        <f aca="false">E114*(1+MAX(0,phi*F106))</f>
        <v>231.141735187314</v>
      </c>
      <c r="G114" s="20" t="n">
        <f aca="false">F114*(1+MAX(0,phi*G106))</f>
        <v>251.700988932379</v>
      </c>
    </row>
    <row r="115" customFormat="false" ht="15" hidden="false" customHeight="false" outlineLevel="0" collapsed="false">
      <c r="A115" s="4" t="s">
        <v>394</v>
      </c>
      <c r="B115" s="0" t="s">
        <v>209</v>
      </c>
      <c r="C115" s="20" t="n">
        <f aca="false">C114</f>
        <v>106.3</v>
      </c>
      <c r="D115" s="20" t="n">
        <f aca="false">D114</f>
        <v>141.924088166667</v>
      </c>
      <c r="E115" s="20" t="n">
        <f aca="false">E114+0*E104</f>
        <v>196.721014234786</v>
      </c>
      <c r="F115" s="20" t="n">
        <f aca="false">F114+0*F104</f>
        <v>231.141735187314</v>
      </c>
      <c r="G115" s="20" t="n">
        <f aca="false">G114+0*G104</f>
        <v>251.700988932379</v>
      </c>
    </row>
    <row r="116" customFormat="false" ht="15" hidden="false" customHeight="false" outlineLevel="0" collapsed="false">
      <c r="A116" s="4" t="s">
        <v>396</v>
      </c>
      <c r="B116" s="0" t="s">
        <v>209</v>
      </c>
      <c r="C116" s="20" t="n">
        <f aca="false">C112-C115</f>
        <v>83.9</v>
      </c>
      <c r="D116" s="20" t="n">
        <f aca="false">D112-D115</f>
        <v>131.352515833333</v>
      </c>
      <c r="E116" s="20" t="n">
        <f aca="false">E112-E115</f>
        <v>220.58904198833</v>
      </c>
      <c r="F116" s="20" t="n">
        <f aca="false">F112-F115</f>
        <v>282.488020378819</v>
      </c>
      <c r="G116" s="20" t="n">
        <f aca="false">G112-G115</f>
        <v>320.386255658721</v>
      </c>
    </row>
    <row r="117" customFormat="false" ht="15" hidden="false" customHeight="false" outlineLevel="0" collapsed="false">
      <c r="A117" s="4" t="s">
        <v>398</v>
      </c>
      <c r="B117" s="0" t="s">
        <v>53</v>
      </c>
      <c r="C117" s="15" t="n">
        <f aca="false">C116/C104</f>
        <v>0.151202501419213</v>
      </c>
      <c r="D117" s="15" t="n">
        <f aca="false">D116/D104</f>
        <v>0.173649346396027</v>
      </c>
      <c r="E117" s="15" t="n">
        <f aca="false">E116/E104</f>
        <v>0.196692264957955</v>
      </c>
      <c r="F117" s="15" t="n">
        <f aca="false">F116/F104</f>
        <v>0.20668126383482</v>
      </c>
      <c r="G117" s="15" t="n">
        <f aca="false">G116/G104</f>
        <v>0.210954746497136</v>
      </c>
    </row>
    <row r="118" customFormat="false" ht="15" hidden="false" customHeight="false" outlineLevel="0" collapsed="false">
      <c r="A118" s="4" t="s">
        <v>400</v>
      </c>
      <c r="B118" s="0" t="s">
        <v>209</v>
      </c>
      <c r="C118" s="20" t="n">
        <f aca="false">a25_nop</f>
        <v>3.934</v>
      </c>
      <c r="D118" s="20" t="n">
        <f aca="false">a26_nop</f>
        <v>11.1666666666667</v>
      </c>
      <c r="E118" s="20" t="n">
        <f aca="false">nop_f</f>
        <v>8</v>
      </c>
      <c r="F118" s="20" t="n">
        <f aca="false">nop_f</f>
        <v>8</v>
      </c>
      <c r="G118" s="20" t="n">
        <f aca="false">nop_f</f>
        <v>8</v>
      </c>
    </row>
    <row r="119" customFormat="false" ht="17.15" hidden="false" customHeight="false" outlineLevel="0" collapsed="false">
      <c r="A119" s="4" t="s">
        <v>250</v>
      </c>
      <c r="B119" s="0" t="s">
        <v>53</v>
      </c>
      <c r="C119" s="15" t="n">
        <f aca="false">a25_ni/(a25_oi+a25_nop)</f>
        <v>0.684336361773345</v>
      </c>
      <c r="D119" s="15" t="n">
        <f aca="false">a26_ni/(a26_oi+a26_nop)</f>
        <v>0.690638510538748</v>
      </c>
      <c r="E119" s="15" t="n">
        <f aca="false">nir_f</f>
        <v>0.69</v>
      </c>
      <c r="F119" s="15" t="n">
        <f aca="false">nir_f</f>
        <v>0.69</v>
      </c>
      <c r="G119" s="15" t="n">
        <f aca="false">nir_f</f>
        <v>0.69</v>
      </c>
    </row>
    <row r="120" customFormat="false" ht="15" hidden="false" customHeight="false" outlineLevel="0" collapsed="false">
      <c r="A120" s="4" t="s">
        <v>403</v>
      </c>
      <c r="B120" s="0" t="s">
        <v>209</v>
      </c>
      <c r="C120" s="20" t="n">
        <f aca="false">a25_ni</f>
        <v>60.108</v>
      </c>
      <c r="D120" s="20" t="n">
        <f aca="false">a26_ni</f>
        <v>98.429235925</v>
      </c>
      <c r="E120" s="20" t="n">
        <f aca="false">(E116+E118)*E119</f>
        <v>157.726438971947</v>
      </c>
      <c r="F120" s="20" t="n">
        <f aca="false">(F116+F118)*F119</f>
        <v>200.436734061385</v>
      </c>
      <c r="G120" s="20" t="n">
        <f aca="false">(G116+G118)*G119</f>
        <v>226.586516404518</v>
      </c>
    </row>
    <row r="121" customFormat="false" ht="15" hidden="false" customHeight="false" outlineLevel="0" collapsed="false">
      <c r="A121" s="4" t="s">
        <v>521</v>
      </c>
      <c r="B121" s="4" t="s">
        <v>234</v>
      </c>
      <c r="C121" s="23" t="n">
        <f aca="false">a25_sh</f>
        <v>2.59757994814175</v>
      </c>
      <c r="D121" s="23" t="n">
        <f aca="false">a26_sh</f>
        <v>2.59806708357021</v>
      </c>
      <c r="E121" s="23" t="n">
        <f aca="false">D121*(1+sh_g)</f>
        <v>2.59806708357021</v>
      </c>
      <c r="F121" s="23" t="n">
        <f aca="false">E121*(1+sh_g)</f>
        <v>2.59806708357021</v>
      </c>
      <c r="G121" s="23" t="n">
        <f aca="false">F121*(1+sh_g)</f>
        <v>2.59806708357021</v>
      </c>
    </row>
    <row r="122" customFormat="false" ht="15" hidden="false" customHeight="false" outlineLevel="0" collapsed="false">
      <c r="A122" s="0" t="s">
        <v>408</v>
      </c>
      <c r="B122" s="0" t="s">
        <v>265</v>
      </c>
      <c r="C122" s="21" t="n">
        <f aca="false">C120/C121</f>
        <v>23.14</v>
      </c>
      <c r="D122" s="21" t="n">
        <f aca="false">D120/D121</f>
        <v>37.8855636744147</v>
      </c>
      <c r="E122" s="21" t="n">
        <f aca="false">E120/E121</f>
        <v>60.7091479544104</v>
      </c>
      <c r="F122" s="21" t="n">
        <f aca="false">F120/F121</f>
        <v>77.1484059549183</v>
      </c>
      <c r="G122" s="21" t="n">
        <f aca="false">G120/G121</f>
        <v>87.2134972331611</v>
      </c>
    </row>
    <row r="123" customFormat="false" ht="17.15" hidden="false" customHeight="false" outlineLevel="0" collapsed="false">
      <c r="A123" s="0" t="s">
        <v>522</v>
      </c>
      <c r="B123" s="0" t="s">
        <v>53</v>
      </c>
      <c r="D123" s="15" t="n">
        <f aca="false">D122/C122-1</f>
        <v>0.637232656629847</v>
      </c>
      <c r="E123" s="15" t="n">
        <f aca="false">E122/D122-1</f>
        <v>0.602434860838806</v>
      </c>
      <c r="F123" s="15" t="n">
        <f aca="false">F122/E122-1</f>
        <v>0.270787163951848</v>
      </c>
      <c r="G123" s="15" t="n">
        <f aca="false">G122/F122-1</f>
        <v>0.130464021306213</v>
      </c>
    </row>
    <row r="126" customFormat="false" ht="17.15" hidden="false" customHeight="false" outlineLevel="0" collapsed="false">
      <c r="A126" s="1" t="s">
        <v>523</v>
      </c>
    </row>
    <row r="127" customFormat="false" ht="17.15" hidden="false" customHeight="false" outlineLevel="0" collapsed="false">
      <c r="A127" s="5" t="s">
        <v>22</v>
      </c>
      <c r="B127" s="5" t="s">
        <v>23</v>
      </c>
      <c r="C127" s="12" t="s">
        <v>380</v>
      </c>
      <c r="D127" s="12" t="s">
        <v>468</v>
      </c>
      <c r="E127" s="12" t="s">
        <v>469</v>
      </c>
      <c r="F127" s="12" t="s">
        <v>470</v>
      </c>
      <c r="G127" s="12" t="s">
        <v>471</v>
      </c>
      <c r="H127" s="5" t="s">
        <v>365</v>
      </c>
    </row>
    <row r="128" customFormat="false" ht="17.15" hidden="false" customHeight="false" outlineLevel="0" collapsed="false">
      <c r="A128" s="6" t="s">
        <v>490</v>
      </c>
    </row>
    <row r="129" customFormat="false" ht="17.15" hidden="false" customHeight="false" outlineLevel="0" collapsed="false">
      <c r="A129" s="0" t="s">
        <v>491</v>
      </c>
      <c r="B129" s="0" t="s">
        <v>33</v>
      </c>
      <c r="D129" s="21" t="n">
        <f aca="false">itc_26*1</f>
        <v>781.872916666666</v>
      </c>
      <c r="E129" s="21" t="n">
        <f aca="false">itc_27*1*1</f>
        <v>1565.35</v>
      </c>
      <c r="F129" s="21" t="n">
        <f aca="false">itc_28*um28_B*1</f>
        <v>1587.41111111111</v>
      </c>
      <c r="G129" s="21" t="n">
        <f aca="false">itc_29*um29_B*1</f>
        <v>1921.33173611111</v>
      </c>
    </row>
    <row r="130" customFormat="false" ht="17.15" hidden="false" customHeight="false" outlineLevel="0" collapsed="false">
      <c r="A130" s="4" t="s">
        <v>492</v>
      </c>
      <c r="B130" s="0" t="s">
        <v>33</v>
      </c>
      <c r="D130" s="21" t="n">
        <f aca="false">itpg_gb*(1-vr26)+itpg_vr*vr26</f>
        <v>33.41403216</v>
      </c>
      <c r="E130" s="21" t="n">
        <f aca="false">itpg_vr</f>
        <v>37.586352</v>
      </c>
      <c r="F130" s="21" t="n">
        <f aca="false">itpg_vr</f>
        <v>37.586352</v>
      </c>
      <c r="G130" s="21" t="n">
        <f aca="false">itpg_vr</f>
        <v>37.586352</v>
      </c>
    </row>
    <row r="131" customFormat="false" ht="17.15" hidden="false" customHeight="false" outlineLevel="0" collapsed="false">
      <c r="A131" s="4" t="s">
        <v>493</v>
      </c>
      <c r="B131" s="0" t="s">
        <v>446</v>
      </c>
      <c r="D131" s="18" t="n">
        <f aca="false">D129/D130</f>
        <v>23.3995380420639</v>
      </c>
      <c r="E131" s="18" t="n">
        <f aca="false">E129/E130</f>
        <v>41.6467658260637</v>
      </c>
      <c r="F131" s="18" t="n">
        <f aca="false">F129/F130</f>
        <v>42.2337105529984</v>
      </c>
      <c r="G131" s="18" t="n">
        <f aca="false">G129/G130</f>
        <v>51.1178029756948</v>
      </c>
    </row>
    <row r="132" customFormat="false" ht="17.15" hidden="false" customHeight="false" outlineLevel="0" collapsed="false">
      <c r="A132" s="0" t="s">
        <v>448</v>
      </c>
      <c r="B132" s="0" t="s">
        <v>96</v>
      </c>
      <c r="D132" s="19" t="n">
        <f aca="false">pkw_26</f>
        <v>450</v>
      </c>
      <c r="E132" s="19" t="n">
        <f aca="false">pkw_27</f>
        <v>600</v>
      </c>
      <c r="F132" s="19" t="n">
        <f aca="false">pkw_28</f>
        <v>680</v>
      </c>
      <c r="G132" s="19" t="n">
        <f aca="false">pkw_29</f>
        <v>720</v>
      </c>
    </row>
    <row r="133" customFormat="false" ht="17.15" hidden="false" customHeight="false" outlineLevel="0" collapsed="false">
      <c r="A133" s="0" t="s">
        <v>494</v>
      </c>
      <c r="B133" s="0" t="s">
        <v>33</v>
      </c>
      <c r="D133" s="21" t="n">
        <f aca="false">D131*D132/1000</f>
        <v>10.5297921189287</v>
      </c>
      <c r="E133" s="21" t="n">
        <f aca="false">E131*E132/1000</f>
        <v>24.9880594956382</v>
      </c>
      <c r="F133" s="21" t="n">
        <f aca="false">F131*F132/1000</f>
        <v>28.7189231760389</v>
      </c>
      <c r="G133" s="21" t="n">
        <f aca="false">G131*G132/1000</f>
        <v>36.8048181425003</v>
      </c>
    </row>
    <row r="134" customFormat="false" ht="17.15" hidden="false" customHeight="false" outlineLevel="0" collapsed="false">
      <c r="A134" s="0" t="s">
        <v>495</v>
      </c>
      <c r="B134" s="0" t="s">
        <v>209</v>
      </c>
      <c r="D134" s="20" t="n">
        <f aca="false">D133*fx</f>
        <v>336.95334780572</v>
      </c>
      <c r="E134" s="20" t="n">
        <f aca="false">E133*fx</f>
        <v>799.617903860422</v>
      </c>
      <c r="F134" s="20" t="n">
        <f aca="false">F133*fx</f>
        <v>919.005541633245</v>
      </c>
      <c r="G134" s="20" t="n">
        <f aca="false">G133*fx</f>
        <v>1177.75418056001</v>
      </c>
    </row>
    <row r="135" customFormat="false" ht="17.15" hidden="false" customHeight="false" outlineLevel="0" collapsed="false">
      <c r="A135" s="4" t="s">
        <v>496</v>
      </c>
      <c r="B135" s="0" t="s">
        <v>53</v>
      </c>
      <c r="D135" s="15" t="n">
        <f aca="false">a26_aip/D134</f>
        <v>0.583671939396773</v>
      </c>
      <c r="H135" s="8" t="s">
        <v>497</v>
      </c>
    </row>
    <row r="136" customFormat="false" ht="17.15" hidden="false" customHeight="false" outlineLevel="0" collapsed="false">
      <c r="A136" s="4" t="s">
        <v>498</v>
      </c>
      <c r="B136" s="0" t="s">
        <v>69</v>
      </c>
      <c r="D136" s="16" t="n">
        <f aca="false">1</f>
        <v>1</v>
      </c>
      <c r="E136" s="16" t="n">
        <f aca="false">rel_27</f>
        <v>0.95</v>
      </c>
      <c r="F136" s="16" t="n">
        <f aca="false">rel_28</f>
        <v>0.9</v>
      </c>
      <c r="G136" s="16" t="n">
        <f aca="false">rel_29</f>
        <v>0.85</v>
      </c>
    </row>
    <row r="137" customFormat="false" ht="15" hidden="false" customHeight="false" outlineLevel="0" collapsed="false">
      <c r="A137" s="4" t="s">
        <v>455</v>
      </c>
      <c r="B137" s="0" t="s">
        <v>53</v>
      </c>
      <c r="D137" s="15" t="n">
        <f aca="false">$D$135*D136</f>
        <v>0.583671939396773</v>
      </c>
      <c r="E137" s="15" t="n">
        <f aca="false">$D$135*E136</f>
        <v>0.554488342426935</v>
      </c>
      <c r="F137" s="15" t="n">
        <f aca="false">$D$135*F136</f>
        <v>0.525304745457096</v>
      </c>
      <c r="G137" s="15" t="n">
        <f aca="false">$D$135*G136</f>
        <v>0.496121148487257</v>
      </c>
    </row>
    <row r="138" customFormat="false" ht="17.15" hidden="false" customHeight="false" outlineLevel="0" collapsed="false">
      <c r="A138" s="0" t="s">
        <v>499</v>
      </c>
      <c r="B138" s="0" t="s">
        <v>209</v>
      </c>
      <c r="C138" s="20" t="n">
        <f aca="false">a25_aip</f>
        <v>99.8793</v>
      </c>
      <c r="D138" s="20" t="n">
        <f aca="false">D134*D137</f>
        <v>196.670214</v>
      </c>
      <c r="E138" s="20" t="n">
        <f aca="false">E134*E137</f>
        <v>443.378806086466</v>
      </c>
      <c r="F138" s="20" t="n">
        <f aca="false">F134*F137</f>
        <v>482.757972121312</v>
      </c>
      <c r="G138" s="20" t="n">
        <f aca="false">G134*G137</f>
        <v>584.3087566951</v>
      </c>
    </row>
    <row r="139" customFormat="false" ht="17.15" hidden="false" customHeight="false" outlineLevel="0" collapsed="false">
      <c r="A139" s="6" t="s">
        <v>500</v>
      </c>
    </row>
    <row r="140" customFormat="false" ht="17.15" hidden="false" customHeight="false" outlineLevel="0" collapsed="false">
      <c r="A140" s="4" t="s">
        <v>501</v>
      </c>
      <c r="B140" s="0" t="s">
        <v>502</v>
      </c>
      <c r="D140" s="23" t="n">
        <f aca="false">a26_lc/D131</f>
        <v>4.04080573428535</v>
      </c>
    </row>
    <row r="141" customFormat="false" ht="17.15" hidden="false" customHeight="false" outlineLevel="0" collapsed="false">
      <c r="A141" s="4" t="s">
        <v>503</v>
      </c>
      <c r="B141" s="0" t="s">
        <v>69</v>
      </c>
      <c r="D141" s="16" t="n">
        <f aca="false">1</f>
        <v>1</v>
      </c>
      <c r="E141" s="16" t="n">
        <f aca="false">lcr_27</f>
        <v>1.1</v>
      </c>
      <c r="F141" s="16" t="n">
        <f aca="false">lcr_28</f>
        <v>1.15</v>
      </c>
      <c r="G141" s="16" t="n">
        <f aca="false">lcr_29</f>
        <v>1.2</v>
      </c>
    </row>
    <row r="142" customFormat="false" ht="15" hidden="false" customHeight="false" outlineLevel="0" collapsed="false">
      <c r="A142" s="4" t="s">
        <v>504</v>
      </c>
      <c r="B142" s="0" t="s">
        <v>209</v>
      </c>
      <c r="C142" s="20" t="n">
        <f aca="false">a25_lc</f>
        <v>55.4885</v>
      </c>
      <c r="D142" s="20" t="n">
        <f aca="false">D131*$D$140*D141</f>
        <v>94.5529875</v>
      </c>
      <c r="E142" s="20" t="n">
        <f aca="false">E131*$D$140*E141</f>
        <v>185.115139180837</v>
      </c>
      <c r="F142" s="20" t="n">
        <f aca="false">F131*$D$140*F141</f>
        <v>196.256952750109</v>
      </c>
      <c r="G142" s="20" t="n">
        <f aca="false">G131*$D$140*G141</f>
        <v>247.868533665908</v>
      </c>
    </row>
    <row r="143" customFormat="false" ht="17.15" hidden="false" customHeight="false" outlineLevel="0" collapsed="false">
      <c r="A143" s="4" t="s">
        <v>505</v>
      </c>
      <c r="B143" s="0" t="s">
        <v>209</v>
      </c>
      <c r="C143" s="20" t="n">
        <f aca="false">a25_pe-a25_aip</f>
        <v>177.5632</v>
      </c>
      <c r="D143" s="20" t="n">
        <f aca="false">a26_pe-a26_aip</f>
        <v>189.105975</v>
      </c>
      <c r="E143" s="20" t="n">
        <f aca="false">D143*(1+g_pe27)</f>
        <v>198.56127375</v>
      </c>
      <c r="F143" s="20" t="n">
        <f aca="false">E143*(1+g_pe28)</f>
        <v>206.5037247</v>
      </c>
      <c r="G143" s="20" t="n">
        <f aca="false">F143*(1+g_pe29)</f>
        <v>212.698836441</v>
      </c>
      <c r="H143" s="8" t="s">
        <v>506</v>
      </c>
    </row>
    <row r="144" customFormat="false" ht="17.15" hidden="false" customHeight="false" outlineLevel="0" collapsed="false">
      <c r="A144" s="4" t="s">
        <v>431</v>
      </c>
      <c r="B144" s="0" t="s">
        <v>209</v>
      </c>
      <c r="C144" s="20" t="n">
        <f aca="false">C138+C143</f>
        <v>277.4425</v>
      </c>
      <c r="D144" s="20" t="n">
        <f aca="false">D138+D143</f>
        <v>385.776189</v>
      </c>
      <c r="E144" s="20" t="n">
        <f aca="false">E138+E143</f>
        <v>641.940079836466</v>
      </c>
      <c r="F144" s="20" t="n">
        <f aca="false">F138+F143</f>
        <v>689.261696821312</v>
      </c>
      <c r="G144" s="20" t="n">
        <f aca="false">G138+G143</f>
        <v>797.0075931361</v>
      </c>
      <c r="H144" s="4" t="s">
        <v>507</v>
      </c>
    </row>
    <row r="145" customFormat="false" ht="17.15" hidden="false" customHeight="false" outlineLevel="0" collapsed="false">
      <c r="A145" s="4" t="s">
        <v>508</v>
      </c>
      <c r="B145" s="0" t="s">
        <v>209</v>
      </c>
      <c r="C145" s="20" t="n">
        <f aca="false">a25_inf-a25_lc</f>
        <v>127.62355</v>
      </c>
      <c r="D145" s="20" t="n">
        <f aca="false">a26_inf-a26_lc</f>
        <v>170.1953775</v>
      </c>
      <c r="E145" s="20" t="n">
        <f aca="false">D145*(1+g_inf27)</f>
        <v>185.512961475</v>
      </c>
      <c r="F145" s="20" t="n">
        <f aca="false">E145*(1+g_inf28)</f>
        <v>198.49886877825</v>
      </c>
      <c r="G145" s="20" t="n">
        <f aca="false">F145*(1+g_inf29)</f>
        <v>210.408800904945</v>
      </c>
      <c r="H145" s="4" t="s">
        <v>509</v>
      </c>
    </row>
    <row r="146" customFormat="false" ht="15" hidden="false" customHeight="false" outlineLevel="0" collapsed="false">
      <c r="A146" s="4" t="s">
        <v>437</v>
      </c>
      <c r="B146" s="0" t="s">
        <v>209</v>
      </c>
      <c r="C146" s="20" t="n">
        <f aca="false">C142+C145</f>
        <v>183.11205</v>
      </c>
      <c r="D146" s="20" t="n">
        <f aca="false">D142+D145</f>
        <v>264.748365</v>
      </c>
      <c r="E146" s="20" t="n">
        <f aca="false">E142+E145</f>
        <v>370.628100655837</v>
      </c>
      <c r="F146" s="20" t="n">
        <f aca="false">F142+F145</f>
        <v>394.755821528359</v>
      </c>
      <c r="G146" s="20" t="n">
        <f aca="false">G142+G145</f>
        <v>458.277334570853</v>
      </c>
      <c r="H146" s="4" t="s">
        <v>510</v>
      </c>
    </row>
    <row r="147" customFormat="false" ht="15" hidden="false" customHeight="false" outlineLevel="0" collapsed="false">
      <c r="A147" s="4" t="s">
        <v>436</v>
      </c>
      <c r="B147" s="0" t="s">
        <v>209</v>
      </c>
      <c r="C147" s="20" t="n">
        <f aca="false">a25_au</f>
        <v>55.4885</v>
      </c>
      <c r="D147" s="20" t="n">
        <f aca="false">a26_au</f>
        <v>60.513912</v>
      </c>
      <c r="E147" s="20" t="n">
        <f aca="false">D147*(1+g_au27)</f>
        <v>63.5396076</v>
      </c>
      <c r="F147" s="20" t="n">
        <f aca="false">E147*(1+g_au28)</f>
        <v>66.71658798</v>
      </c>
      <c r="G147" s="20" t="n">
        <f aca="false">F147*(1+g_au29)</f>
        <v>69.3852514992</v>
      </c>
    </row>
    <row r="148" customFormat="false" ht="15" hidden="false" customHeight="false" outlineLevel="0" collapsed="false">
      <c r="A148" s="4" t="s">
        <v>435</v>
      </c>
      <c r="B148" s="0" t="s">
        <v>209</v>
      </c>
      <c r="C148" s="20" t="n">
        <f aca="false">a25_mo</f>
        <v>38.84195</v>
      </c>
      <c r="D148" s="20" t="n">
        <f aca="false">a26_mo</f>
        <v>45.385434</v>
      </c>
      <c r="E148" s="20" t="n">
        <f aca="false">D148*(1+g_mo27)</f>
        <v>45.385434</v>
      </c>
      <c r="F148" s="20" t="n">
        <f aca="false">E148*(1+g_mo28)</f>
        <v>46.29314268</v>
      </c>
      <c r="G148" s="20" t="n">
        <f aca="false">F148*(1+g_mo29)</f>
        <v>47.2190055336</v>
      </c>
    </row>
    <row r="149" customFormat="false" ht="17.15" hidden="false" customHeight="false" outlineLevel="0" collapsed="false">
      <c r="A149" s="4" t="s">
        <v>511</v>
      </c>
      <c r="B149" s="0" t="s">
        <v>209</v>
      </c>
      <c r="C149" s="20" t="n">
        <f aca="false">C143+C145+C147+C148</f>
        <v>399.5172</v>
      </c>
      <c r="D149" s="20" t="n">
        <f aca="false">D143+D145+D147+D148</f>
        <v>465.2006985</v>
      </c>
      <c r="E149" s="20" t="n">
        <f aca="false">E143+E145+E147+E148</f>
        <v>492.999276825</v>
      </c>
      <c r="F149" s="20" t="n">
        <f aca="false">F143+F145+F147+F148</f>
        <v>518.01232413825</v>
      </c>
      <c r="G149" s="20" t="n">
        <f aca="false">G143+G145+G147+G148</f>
        <v>539.711894378745</v>
      </c>
    </row>
    <row r="150" customFormat="false" ht="15" hidden="false" customHeight="false" outlineLevel="0" collapsed="false">
      <c r="A150" s="4" t="s">
        <v>386</v>
      </c>
      <c r="B150" s="0" t="s">
        <v>209</v>
      </c>
      <c r="C150" s="20" t="n">
        <f aca="false">C144+C146+C147+C148</f>
        <v>554.885</v>
      </c>
      <c r="D150" s="20" t="n">
        <f aca="false">D144+D146+D147+D148</f>
        <v>756.4239</v>
      </c>
      <c r="E150" s="20" t="n">
        <f aca="false">E144+E146+E147+E148</f>
        <v>1121.4932220923</v>
      </c>
      <c r="F150" s="20" t="n">
        <f aca="false">F144+F146+F147+F148</f>
        <v>1197.02724900967</v>
      </c>
      <c r="G150" s="20" t="n">
        <f aca="false">G144+G146+G147+G148</f>
        <v>1371.88918473975</v>
      </c>
      <c r="H150" s="4" t="s">
        <v>512</v>
      </c>
    </row>
    <row r="151" customFormat="false" ht="17.15" hidden="false" customHeight="false" outlineLevel="0" collapsed="false">
      <c r="A151" s="4" t="s">
        <v>513</v>
      </c>
      <c r="B151" s="0" t="s">
        <v>209</v>
      </c>
      <c r="C151" s="23" t="n">
        <f aca="false">C150-a25_rev</f>
        <v>0</v>
      </c>
      <c r="D151" s="23" t="n">
        <f aca="false">D150-a26_rev</f>
        <v>0</v>
      </c>
    </row>
    <row r="152" customFormat="false" ht="15" hidden="false" customHeight="false" outlineLevel="0" collapsed="false">
      <c r="A152" s="4" t="s">
        <v>514</v>
      </c>
      <c r="B152" s="0" t="s">
        <v>53</v>
      </c>
      <c r="D152" s="15" t="n">
        <f aca="false">D150/C150-1</f>
        <v>0.363208412553953</v>
      </c>
      <c r="E152" s="15" t="n">
        <f aca="false">E150/D150-1</f>
        <v>0.482625313785435</v>
      </c>
      <c r="F152" s="15" t="n">
        <f aca="false">F150/E150-1</f>
        <v>0.0673513004175361</v>
      </c>
      <c r="G152" s="15" t="n">
        <f aca="false">G150/F150-1</f>
        <v>0.146080163066253</v>
      </c>
    </row>
    <row r="153" customFormat="false" ht="17.15" hidden="false" customHeight="false" outlineLevel="0" collapsed="false">
      <c r="A153" s="0" t="s">
        <v>515</v>
      </c>
      <c r="B153" s="0" t="s">
        <v>53</v>
      </c>
      <c r="C153" s="15" t="n">
        <f aca="false">C138/C150</f>
        <v>0.18</v>
      </c>
      <c r="D153" s="15" t="n">
        <f aca="false">D138/D150</f>
        <v>0.26</v>
      </c>
      <c r="E153" s="15" t="n">
        <f aca="false">E138/E150</f>
        <v>0.395346844147021</v>
      </c>
      <c r="F153" s="15" t="n">
        <f aca="false">F138/F150</f>
        <v>0.403297395711509</v>
      </c>
      <c r="G153" s="15" t="n">
        <f aca="false">G138/G150</f>
        <v>0.425915418821487</v>
      </c>
    </row>
    <row r="154" customFormat="false" ht="17.15" hidden="false" customHeight="false" outlineLevel="0" collapsed="false">
      <c r="A154" s="0" t="s">
        <v>516</v>
      </c>
      <c r="B154" s="0" t="s">
        <v>53</v>
      </c>
      <c r="C154" s="15" t="n">
        <f aca="false">(C138+C142)/C150</f>
        <v>0.28</v>
      </c>
      <c r="D154" s="15" t="n">
        <f aca="false">(D138+D142)/D150</f>
        <v>0.385</v>
      </c>
      <c r="E154" s="15" t="n">
        <f aca="false">(E138+E142)/E150</f>
        <v>0.560408153064679</v>
      </c>
      <c r="F154" s="15" t="n">
        <f aca="false">(F138+F142)/F150</f>
        <v>0.567251017412667</v>
      </c>
      <c r="G154" s="15" t="n">
        <f aca="false">(G138+G142)/G150</f>
        <v>0.606592208479923</v>
      </c>
    </row>
    <row r="155" customFormat="false" ht="17.15" hidden="false" customHeight="false" outlineLevel="0" collapsed="false">
      <c r="A155" s="4" t="s">
        <v>462</v>
      </c>
      <c r="B155" s="0" t="s">
        <v>463</v>
      </c>
      <c r="D155" s="19" t="n">
        <f aca="false">(D138+D142)/fx/D131*1000</f>
        <v>388.927551924965</v>
      </c>
      <c r="E155" s="19" t="n">
        <f aca="false">(E138+E142)/fx/E131*1000</f>
        <v>471.59570257222</v>
      </c>
      <c r="F155" s="19" t="n">
        <f aca="false">(F138+F142)/fx/F131*1000</f>
        <v>502.423682986705</v>
      </c>
      <c r="G155" s="19" t="n">
        <f aca="false">(G138+G142)/fx/G131*1000</f>
        <v>508.737441946526</v>
      </c>
    </row>
    <row r="156" customFormat="false" ht="17.15" hidden="false" customHeight="false" outlineLevel="0" collapsed="false">
      <c r="A156" s="6" t="s">
        <v>517</v>
      </c>
    </row>
    <row r="157" customFormat="false" ht="17.15" hidden="false" customHeight="false" outlineLevel="0" collapsed="false">
      <c r="A157" s="4" t="s">
        <v>518</v>
      </c>
      <c r="B157" s="0" t="s">
        <v>53</v>
      </c>
      <c r="D157" s="15" t="n">
        <f aca="false">a26_gp/D150-d_ai*D153</f>
        <v>0.340474417690927</v>
      </c>
      <c r="H157" s="8" t="s">
        <v>519</v>
      </c>
    </row>
    <row r="158" customFormat="false" ht="15" hidden="false" customHeight="false" outlineLevel="0" collapsed="false">
      <c r="A158" s="4" t="s">
        <v>390</v>
      </c>
      <c r="B158" s="0" t="s">
        <v>209</v>
      </c>
      <c r="C158" s="20" t="n">
        <f aca="false">a25_gp</f>
        <v>190.2</v>
      </c>
      <c r="D158" s="20" t="n">
        <f aca="false">a26_gp</f>
        <v>273.276604</v>
      </c>
      <c r="E158" s="20" t="n">
        <f aca="false">$D$157*E150+d_ai*E138</f>
        <v>417.310056223116</v>
      </c>
      <c r="F158" s="20" t="n">
        <f aca="false">$D$157*F150+d_ai*F138</f>
        <v>446.177793336445</v>
      </c>
      <c r="G158" s="20" t="n">
        <f aca="false">$D$157*G150+d_ai*G138</f>
        <v>513.837871846356</v>
      </c>
    </row>
    <row r="159" customFormat="false" ht="15" hidden="false" customHeight="false" outlineLevel="0" collapsed="false">
      <c r="A159" s="4" t="s">
        <v>392</v>
      </c>
      <c r="B159" s="0" t="s">
        <v>53</v>
      </c>
      <c r="C159" s="15" t="n">
        <f aca="false">C158/C150</f>
        <v>0.342773727889563</v>
      </c>
      <c r="D159" s="15" t="n">
        <f aca="false">D158/D150</f>
        <v>0.361274417690927</v>
      </c>
      <c r="E159" s="15" t="n">
        <f aca="false">E158/E150</f>
        <v>0.372102165222689</v>
      </c>
      <c r="F159" s="15" t="n">
        <f aca="false">F158/F150</f>
        <v>0.372738209347848</v>
      </c>
      <c r="G159" s="15" t="n">
        <f aca="false">G158/G150</f>
        <v>0.374547651196646</v>
      </c>
    </row>
    <row r="160" customFormat="false" ht="15" hidden="false" customHeight="false" outlineLevel="0" collapsed="false">
      <c r="A160" s="4" t="s">
        <v>520</v>
      </c>
      <c r="B160" s="0" t="s">
        <v>209</v>
      </c>
      <c r="C160" s="20" t="n">
        <f aca="false">a25_opx</f>
        <v>106.3</v>
      </c>
      <c r="D160" s="20" t="n">
        <f aca="false">a26_opx</f>
        <v>141.924088166667</v>
      </c>
      <c r="E160" s="20" t="n">
        <f aca="false">D160*(1+MAX(0,phi*E152))</f>
        <v>196.721014234786</v>
      </c>
      <c r="F160" s="20" t="n">
        <f aca="false">E160*(1+MAX(0,phi*F152))</f>
        <v>207.320547137322</v>
      </c>
      <c r="G160" s="20" t="n">
        <f aca="false">F160*(1+MAX(0,phi*G152))</f>
        <v>231.548882603565</v>
      </c>
    </row>
    <row r="161" customFormat="false" ht="15" hidden="false" customHeight="false" outlineLevel="0" collapsed="false">
      <c r="A161" s="4" t="s">
        <v>394</v>
      </c>
      <c r="B161" s="0" t="s">
        <v>209</v>
      </c>
      <c r="C161" s="20" t="n">
        <f aca="false">C160</f>
        <v>106.3</v>
      </c>
      <c r="D161" s="20" t="n">
        <f aca="false">D160</f>
        <v>141.924088166667</v>
      </c>
      <c r="E161" s="20" t="n">
        <f aca="false">E160+0*E150</f>
        <v>196.721014234786</v>
      </c>
      <c r="F161" s="20" t="n">
        <f aca="false">F160+0*F150</f>
        <v>207.320547137322</v>
      </c>
      <c r="G161" s="20" t="n">
        <f aca="false">G160+0*G150</f>
        <v>231.548882603565</v>
      </c>
    </row>
    <row r="162" customFormat="false" ht="15" hidden="false" customHeight="false" outlineLevel="0" collapsed="false">
      <c r="A162" s="4" t="s">
        <v>396</v>
      </c>
      <c r="B162" s="0" t="s">
        <v>209</v>
      </c>
      <c r="C162" s="20" t="n">
        <f aca="false">C158-C161</f>
        <v>83.9</v>
      </c>
      <c r="D162" s="20" t="n">
        <f aca="false">D158-D161</f>
        <v>131.352515833333</v>
      </c>
      <c r="E162" s="20" t="n">
        <f aca="false">E158-E161</f>
        <v>220.58904198833</v>
      </c>
      <c r="F162" s="20" t="n">
        <f aca="false">F158-F161</f>
        <v>238.857246199124</v>
      </c>
      <c r="G162" s="20" t="n">
        <f aca="false">G158-G161</f>
        <v>282.288989242791</v>
      </c>
    </row>
    <row r="163" customFormat="false" ht="15" hidden="false" customHeight="false" outlineLevel="0" collapsed="false">
      <c r="A163" s="4" t="s">
        <v>398</v>
      </c>
      <c r="B163" s="0" t="s">
        <v>53</v>
      </c>
      <c r="C163" s="15" t="n">
        <f aca="false">C162/C150</f>
        <v>0.151202501419213</v>
      </c>
      <c r="D163" s="15" t="n">
        <f aca="false">D162/D150</f>
        <v>0.173649346396027</v>
      </c>
      <c r="E163" s="15" t="n">
        <f aca="false">E162/E150</f>
        <v>0.196692264957955</v>
      </c>
      <c r="F163" s="15" t="n">
        <f aca="false">F162/F150</f>
        <v>0.199542029136543</v>
      </c>
      <c r="G163" s="15" t="n">
        <f aca="false">G162/G150</f>
        <v>0.205766611751765</v>
      </c>
    </row>
    <row r="164" customFormat="false" ht="15" hidden="false" customHeight="false" outlineLevel="0" collapsed="false">
      <c r="A164" s="4" t="s">
        <v>400</v>
      </c>
      <c r="B164" s="0" t="s">
        <v>209</v>
      </c>
      <c r="C164" s="20" t="n">
        <f aca="false">a25_nop</f>
        <v>3.934</v>
      </c>
      <c r="D164" s="20" t="n">
        <f aca="false">a26_nop</f>
        <v>11.1666666666667</v>
      </c>
      <c r="E164" s="20" t="n">
        <f aca="false">nop_f</f>
        <v>8</v>
      </c>
      <c r="F164" s="20" t="n">
        <f aca="false">nop_f</f>
        <v>8</v>
      </c>
      <c r="G164" s="20" t="n">
        <f aca="false">nop_f</f>
        <v>8</v>
      </c>
    </row>
    <row r="165" customFormat="false" ht="17.15" hidden="false" customHeight="false" outlineLevel="0" collapsed="false">
      <c r="A165" s="4" t="s">
        <v>250</v>
      </c>
      <c r="B165" s="0" t="s">
        <v>53</v>
      </c>
      <c r="C165" s="15" t="n">
        <f aca="false">a25_ni/(a25_oi+a25_nop)</f>
        <v>0.684336361773345</v>
      </c>
      <c r="D165" s="15" t="n">
        <f aca="false">a26_ni/(a26_oi+a26_nop)</f>
        <v>0.690638510538748</v>
      </c>
      <c r="E165" s="15" t="n">
        <f aca="false">nir_f</f>
        <v>0.69</v>
      </c>
      <c r="F165" s="15" t="n">
        <f aca="false">nir_f</f>
        <v>0.69</v>
      </c>
      <c r="G165" s="15" t="n">
        <f aca="false">nir_f</f>
        <v>0.69</v>
      </c>
    </row>
    <row r="166" customFormat="false" ht="15" hidden="false" customHeight="false" outlineLevel="0" collapsed="false">
      <c r="A166" s="4" t="s">
        <v>403</v>
      </c>
      <c r="B166" s="0" t="s">
        <v>209</v>
      </c>
      <c r="C166" s="20" t="n">
        <f aca="false">a25_ni</f>
        <v>60.108</v>
      </c>
      <c r="D166" s="20" t="n">
        <f aca="false">a26_ni</f>
        <v>98.429235925</v>
      </c>
      <c r="E166" s="20" t="n">
        <f aca="false">(E162+E164)*E165</f>
        <v>157.726438971947</v>
      </c>
      <c r="F166" s="20" t="n">
        <f aca="false">(F162+F164)*F165</f>
        <v>170.331499877395</v>
      </c>
      <c r="G166" s="20" t="n">
        <f aca="false">(G162+G164)*G165</f>
        <v>200.299402577525</v>
      </c>
    </row>
    <row r="167" customFormat="false" ht="15" hidden="false" customHeight="false" outlineLevel="0" collapsed="false">
      <c r="A167" s="4" t="s">
        <v>521</v>
      </c>
      <c r="B167" s="4" t="s">
        <v>234</v>
      </c>
      <c r="C167" s="23" t="n">
        <f aca="false">a25_sh</f>
        <v>2.59757994814175</v>
      </c>
      <c r="D167" s="23" t="n">
        <f aca="false">a26_sh</f>
        <v>2.59806708357021</v>
      </c>
      <c r="E167" s="23" t="n">
        <f aca="false">D167*(1+sh_g)</f>
        <v>2.59806708357021</v>
      </c>
      <c r="F167" s="23" t="n">
        <f aca="false">E167*(1+sh_g)</f>
        <v>2.59806708357021</v>
      </c>
      <c r="G167" s="23" t="n">
        <f aca="false">F167*(1+sh_g)</f>
        <v>2.59806708357021</v>
      </c>
    </row>
    <row r="168" customFormat="false" ht="15" hidden="false" customHeight="false" outlineLevel="0" collapsed="false">
      <c r="A168" s="0" t="s">
        <v>408</v>
      </c>
      <c r="B168" s="0" t="s">
        <v>265</v>
      </c>
      <c r="C168" s="21" t="n">
        <f aca="false">C166/C167</f>
        <v>23.14</v>
      </c>
      <c r="D168" s="21" t="n">
        <f aca="false">D166/D167</f>
        <v>37.8855636744147</v>
      </c>
      <c r="E168" s="21" t="n">
        <f aca="false">E166/E167</f>
        <v>60.7091479544104</v>
      </c>
      <c r="F168" s="21" t="n">
        <f aca="false">F166/F167</f>
        <v>65.5608552044504</v>
      </c>
      <c r="G168" s="21" t="n">
        <f aca="false">G166/G167</f>
        <v>77.0955468564261</v>
      </c>
    </row>
    <row r="169" customFormat="false" ht="17.15" hidden="false" customHeight="false" outlineLevel="0" collapsed="false">
      <c r="A169" s="0" t="s">
        <v>522</v>
      </c>
      <c r="B169" s="0" t="s">
        <v>53</v>
      </c>
      <c r="D169" s="15" t="n">
        <f aca="false">D168/C168-1</f>
        <v>0.637232656629847</v>
      </c>
      <c r="E169" s="15" t="n">
        <f aca="false">E168/D168-1</f>
        <v>0.602434860838806</v>
      </c>
      <c r="F169" s="15" t="n">
        <f aca="false">F168/E168-1</f>
        <v>0.0799172351040645</v>
      </c>
      <c r="G169" s="15" t="n">
        <f aca="false">G168/F168-1</f>
        <v>0.1759387002504</v>
      </c>
    </row>
    <row r="172" customFormat="false" ht="17.15" hidden="false" customHeight="false" outlineLevel="0" collapsed="false">
      <c r="A172" s="1" t="s">
        <v>524</v>
      </c>
    </row>
    <row r="173" customFormat="false" ht="17.15" hidden="false" customHeight="false" outlineLevel="0" collapsed="false">
      <c r="A173" s="5" t="s">
        <v>22</v>
      </c>
      <c r="B173" s="5" t="s">
        <v>23</v>
      </c>
      <c r="C173" s="12" t="s">
        <v>380</v>
      </c>
      <c r="D173" s="12" t="s">
        <v>468</v>
      </c>
      <c r="E173" s="12" t="s">
        <v>469</v>
      </c>
      <c r="F173" s="12" t="s">
        <v>470</v>
      </c>
      <c r="G173" s="12" t="s">
        <v>471</v>
      </c>
      <c r="H173" s="5" t="s">
        <v>365</v>
      </c>
    </row>
    <row r="174" customFormat="false" ht="17.15" hidden="false" customHeight="false" outlineLevel="0" collapsed="false">
      <c r="A174" s="6" t="s">
        <v>490</v>
      </c>
    </row>
    <row r="175" customFormat="false" ht="17.15" hidden="false" customHeight="false" outlineLevel="0" collapsed="false">
      <c r="A175" s="0" t="s">
        <v>491</v>
      </c>
      <c r="B175" s="0" t="s">
        <v>33</v>
      </c>
      <c r="D175" s="21" t="n">
        <f aca="false">itc_26*1</f>
        <v>781.872916666666</v>
      </c>
      <c r="E175" s="21" t="n">
        <f aca="false">itc_27*1*1</f>
        <v>1565.35</v>
      </c>
      <c r="F175" s="21" t="n">
        <f aca="false">itc_28*um28_C*1</f>
        <v>1190.55833333333</v>
      </c>
      <c r="G175" s="21" t="n">
        <f aca="false">itc_29*um29_C*1</f>
        <v>1356.23416666667</v>
      </c>
    </row>
    <row r="176" customFormat="false" ht="17.15" hidden="false" customHeight="false" outlineLevel="0" collapsed="false">
      <c r="A176" s="4" t="s">
        <v>492</v>
      </c>
      <c r="B176" s="0" t="s">
        <v>33</v>
      </c>
      <c r="D176" s="21" t="n">
        <f aca="false">itpg_gb*(1-vr26)+itpg_vr*vr26</f>
        <v>33.41403216</v>
      </c>
      <c r="E176" s="21" t="n">
        <f aca="false">itpg_vr</f>
        <v>37.586352</v>
      </c>
      <c r="F176" s="21" t="n">
        <f aca="false">itpg_vr</f>
        <v>37.586352</v>
      </c>
      <c r="G176" s="21" t="n">
        <f aca="false">itpg_vr</f>
        <v>37.586352</v>
      </c>
    </row>
    <row r="177" customFormat="false" ht="17.15" hidden="false" customHeight="false" outlineLevel="0" collapsed="false">
      <c r="A177" s="4" t="s">
        <v>493</v>
      </c>
      <c r="B177" s="0" t="s">
        <v>446</v>
      </c>
      <c r="D177" s="18" t="n">
        <f aca="false">D175/D176</f>
        <v>23.3995380420639</v>
      </c>
      <c r="E177" s="18" t="n">
        <f aca="false">E175/E176</f>
        <v>41.6467658260637</v>
      </c>
      <c r="F177" s="18" t="n">
        <f aca="false">F175/F176</f>
        <v>31.6752829147488</v>
      </c>
      <c r="G177" s="18" t="n">
        <f aca="false">G175/G176</f>
        <v>36.0831550416669</v>
      </c>
    </row>
    <row r="178" customFormat="false" ht="17.15" hidden="false" customHeight="false" outlineLevel="0" collapsed="false">
      <c r="A178" s="0" t="s">
        <v>448</v>
      </c>
      <c r="B178" s="0" t="s">
        <v>96</v>
      </c>
      <c r="D178" s="19" t="n">
        <f aca="false">pkw_26</f>
        <v>450</v>
      </c>
      <c r="E178" s="19" t="n">
        <f aca="false">pkw_27</f>
        <v>600</v>
      </c>
      <c r="F178" s="19" t="n">
        <f aca="false">pkw_28</f>
        <v>680</v>
      </c>
      <c r="G178" s="19" t="n">
        <f aca="false">pkw_29</f>
        <v>720</v>
      </c>
    </row>
    <row r="179" customFormat="false" ht="17.15" hidden="false" customHeight="false" outlineLevel="0" collapsed="false">
      <c r="A179" s="0" t="s">
        <v>494</v>
      </c>
      <c r="B179" s="0" t="s">
        <v>33</v>
      </c>
      <c r="D179" s="21" t="n">
        <f aca="false">D177*D178/1000</f>
        <v>10.5297921189287</v>
      </c>
      <c r="E179" s="21" t="n">
        <f aca="false">E177*E178/1000</f>
        <v>24.9880594956382</v>
      </c>
      <c r="F179" s="21" t="n">
        <f aca="false">F177*F178/1000</f>
        <v>21.5391923820292</v>
      </c>
      <c r="G179" s="21" t="n">
        <f aca="false">G177*G178/1000</f>
        <v>25.9798716300002</v>
      </c>
    </row>
    <row r="180" customFormat="false" ht="17.15" hidden="false" customHeight="false" outlineLevel="0" collapsed="false">
      <c r="A180" s="0" t="s">
        <v>495</v>
      </c>
      <c r="B180" s="0" t="s">
        <v>209</v>
      </c>
      <c r="D180" s="20" t="n">
        <f aca="false">D179*fx</f>
        <v>336.95334780572</v>
      </c>
      <c r="E180" s="20" t="n">
        <f aca="false">E179*fx</f>
        <v>799.617903860422</v>
      </c>
      <c r="F180" s="20" t="n">
        <f aca="false">F179*fx</f>
        <v>689.254156224934</v>
      </c>
      <c r="G180" s="20" t="n">
        <f aca="false">G179*fx</f>
        <v>831.355892160006</v>
      </c>
    </row>
    <row r="181" customFormat="false" ht="17.15" hidden="false" customHeight="false" outlineLevel="0" collapsed="false">
      <c r="A181" s="4" t="s">
        <v>496</v>
      </c>
      <c r="B181" s="0" t="s">
        <v>53</v>
      </c>
      <c r="D181" s="15" t="n">
        <f aca="false">a26_aip/D180</f>
        <v>0.583671939396773</v>
      </c>
      <c r="H181" s="8" t="s">
        <v>497</v>
      </c>
    </row>
    <row r="182" customFormat="false" ht="17.15" hidden="false" customHeight="false" outlineLevel="0" collapsed="false">
      <c r="A182" s="4" t="s">
        <v>498</v>
      </c>
      <c r="B182" s="0" t="s">
        <v>69</v>
      </c>
      <c r="D182" s="16" t="n">
        <f aca="false">1</f>
        <v>1</v>
      </c>
      <c r="E182" s="16" t="n">
        <f aca="false">rel_27</f>
        <v>0.95</v>
      </c>
      <c r="F182" s="16" t="n">
        <f aca="false">rel_28</f>
        <v>0.9</v>
      </c>
      <c r="G182" s="16" t="n">
        <f aca="false">rel_29</f>
        <v>0.85</v>
      </c>
    </row>
    <row r="183" customFormat="false" ht="15" hidden="false" customHeight="false" outlineLevel="0" collapsed="false">
      <c r="A183" s="4" t="s">
        <v>455</v>
      </c>
      <c r="B183" s="0" t="s">
        <v>53</v>
      </c>
      <c r="D183" s="15" t="n">
        <f aca="false">$D$181*D182</f>
        <v>0.583671939396773</v>
      </c>
      <c r="E183" s="15" t="n">
        <f aca="false">$D$181*E182</f>
        <v>0.554488342426935</v>
      </c>
      <c r="F183" s="15" t="n">
        <f aca="false">$D$181*F182</f>
        <v>0.525304745457096</v>
      </c>
      <c r="G183" s="15" t="n">
        <f aca="false">$D$181*G182</f>
        <v>0.496121148487257</v>
      </c>
    </row>
    <row r="184" customFormat="false" ht="17.15" hidden="false" customHeight="false" outlineLevel="0" collapsed="false">
      <c r="A184" s="0" t="s">
        <v>499</v>
      </c>
      <c r="B184" s="0" t="s">
        <v>209</v>
      </c>
      <c r="C184" s="20" t="n">
        <f aca="false">a25_aip</f>
        <v>99.8793</v>
      </c>
      <c r="D184" s="20" t="n">
        <f aca="false">D180*D183</f>
        <v>196.670214</v>
      </c>
      <c r="E184" s="20" t="n">
        <f aca="false">E180*E183</f>
        <v>443.378806086466</v>
      </c>
      <c r="F184" s="20" t="n">
        <f aca="false">F180*F183</f>
        <v>362.068479090984</v>
      </c>
      <c r="G184" s="20" t="n">
        <f aca="false">G180*G183</f>
        <v>412.453240020071</v>
      </c>
    </row>
    <row r="185" customFormat="false" ht="17.15" hidden="false" customHeight="false" outlineLevel="0" collapsed="false">
      <c r="A185" s="6" t="s">
        <v>500</v>
      </c>
    </row>
    <row r="186" customFormat="false" ht="17.15" hidden="false" customHeight="false" outlineLevel="0" collapsed="false">
      <c r="A186" s="4" t="s">
        <v>501</v>
      </c>
      <c r="B186" s="0" t="s">
        <v>502</v>
      </c>
      <c r="D186" s="23" t="n">
        <f aca="false">a26_lc/D177</f>
        <v>4.04080573428535</v>
      </c>
    </row>
    <row r="187" customFormat="false" ht="17.15" hidden="false" customHeight="false" outlineLevel="0" collapsed="false">
      <c r="A187" s="4" t="s">
        <v>503</v>
      </c>
      <c r="B187" s="0" t="s">
        <v>69</v>
      </c>
      <c r="D187" s="16" t="n">
        <f aca="false">1</f>
        <v>1</v>
      </c>
      <c r="E187" s="16" t="n">
        <f aca="false">lcr_27</f>
        <v>1.1</v>
      </c>
      <c r="F187" s="16" t="n">
        <f aca="false">lcr_28</f>
        <v>1.15</v>
      </c>
      <c r="G187" s="16" t="n">
        <f aca="false">lcr_29</f>
        <v>1.2</v>
      </c>
    </row>
    <row r="188" customFormat="false" ht="15" hidden="false" customHeight="false" outlineLevel="0" collapsed="false">
      <c r="A188" s="4" t="s">
        <v>504</v>
      </c>
      <c r="B188" s="0" t="s">
        <v>209</v>
      </c>
      <c r="C188" s="20" t="n">
        <f aca="false">a25_lc</f>
        <v>55.4885</v>
      </c>
      <c r="D188" s="20" t="n">
        <f aca="false">D177*$D$186*D187</f>
        <v>94.5529875</v>
      </c>
      <c r="E188" s="20" t="n">
        <f aca="false">E177*$D$186*E187</f>
        <v>185.115139180837</v>
      </c>
      <c r="F188" s="20" t="n">
        <f aca="false">F177*$D$186*F187</f>
        <v>147.192714562582</v>
      </c>
      <c r="G188" s="20" t="n">
        <f aca="false">G177*$D$186*G187</f>
        <v>174.96602376417</v>
      </c>
    </row>
    <row r="189" customFormat="false" ht="17.15" hidden="false" customHeight="false" outlineLevel="0" collapsed="false">
      <c r="A189" s="4" t="s">
        <v>505</v>
      </c>
      <c r="B189" s="0" t="s">
        <v>209</v>
      </c>
      <c r="C189" s="20" t="n">
        <f aca="false">a25_pe-a25_aip</f>
        <v>177.5632</v>
      </c>
      <c r="D189" s="20" t="n">
        <f aca="false">a26_pe-a26_aip</f>
        <v>189.105975</v>
      </c>
      <c r="E189" s="20" t="n">
        <f aca="false">D189*(1+g_pe27)</f>
        <v>198.56127375</v>
      </c>
      <c r="F189" s="20" t="n">
        <f aca="false">E189*(1+g_pe28)</f>
        <v>206.5037247</v>
      </c>
      <c r="G189" s="20" t="n">
        <f aca="false">F189*(1+g_pe29)</f>
        <v>212.698836441</v>
      </c>
      <c r="H189" s="8" t="s">
        <v>506</v>
      </c>
    </row>
    <row r="190" customFormat="false" ht="17.15" hidden="false" customHeight="false" outlineLevel="0" collapsed="false">
      <c r="A190" s="4" t="s">
        <v>431</v>
      </c>
      <c r="B190" s="0" t="s">
        <v>209</v>
      </c>
      <c r="C190" s="20" t="n">
        <f aca="false">C184+C189</f>
        <v>277.4425</v>
      </c>
      <c r="D190" s="20" t="n">
        <f aca="false">D184+D189</f>
        <v>385.776189</v>
      </c>
      <c r="E190" s="20" t="n">
        <f aca="false">E184+E189</f>
        <v>641.940079836466</v>
      </c>
      <c r="F190" s="20" t="n">
        <f aca="false">F184+F189</f>
        <v>568.572203790984</v>
      </c>
      <c r="G190" s="20" t="n">
        <f aca="false">G184+G189</f>
        <v>625.152076461071</v>
      </c>
      <c r="H190" s="4" t="s">
        <v>507</v>
      </c>
    </row>
    <row r="191" customFormat="false" ht="17.15" hidden="false" customHeight="false" outlineLevel="0" collapsed="false">
      <c r="A191" s="4" t="s">
        <v>508</v>
      </c>
      <c r="B191" s="0" t="s">
        <v>209</v>
      </c>
      <c r="C191" s="20" t="n">
        <f aca="false">a25_inf-a25_lc</f>
        <v>127.62355</v>
      </c>
      <c r="D191" s="20" t="n">
        <f aca="false">a26_inf-a26_lc</f>
        <v>170.1953775</v>
      </c>
      <c r="E191" s="20" t="n">
        <f aca="false">D191*(1+g_inf27)</f>
        <v>185.512961475</v>
      </c>
      <c r="F191" s="20" t="n">
        <f aca="false">E191*(1+g_inf28)</f>
        <v>198.49886877825</v>
      </c>
      <c r="G191" s="20" t="n">
        <f aca="false">F191*(1+g_inf29)</f>
        <v>210.408800904945</v>
      </c>
      <c r="H191" s="4" t="s">
        <v>509</v>
      </c>
    </row>
    <row r="192" customFormat="false" ht="15" hidden="false" customHeight="false" outlineLevel="0" collapsed="false">
      <c r="A192" s="4" t="s">
        <v>437</v>
      </c>
      <c r="B192" s="0" t="s">
        <v>209</v>
      </c>
      <c r="C192" s="20" t="n">
        <f aca="false">C188+C191</f>
        <v>183.11205</v>
      </c>
      <c r="D192" s="20" t="n">
        <f aca="false">D188+D191</f>
        <v>264.748365</v>
      </c>
      <c r="E192" s="20" t="n">
        <f aca="false">E188+E191</f>
        <v>370.628100655837</v>
      </c>
      <c r="F192" s="20" t="n">
        <f aca="false">F188+F191</f>
        <v>345.691583340832</v>
      </c>
      <c r="G192" s="20" t="n">
        <f aca="false">G188+G191</f>
        <v>385.374824669115</v>
      </c>
      <c r="H192" s="4" t="s">
        <v>510</v>
      </c>
    </row>
    <row r="193" customFormat="false" ht="15" hidden="false" customHeight="false" outlineLevel="0" collapsed="false">
      <c r="A193" s="4" t="s">
        <v>436</v>
      </c>
      <c r="B193" s="0" t="s">
        <v>209</v>
      </c>
      <c r="C193" s="20" t="n">
        <f aca="false">a25_au</f>
        <v>55.4885</v>
      </c>
      <c r="D193" s="20" t="n">
        <f aca="false">a26_au</f>
        <v>60.513912</v>
      </c>
      <c r="E193" s="20" t="n">
        <f aca="false">D193*(1+g_au27)</f>
        <v>63.5396076</v>
      </c>
      <c r="F193" s="20" t="n">
        <f aca="false">E193*(1+g_au28)</f>
        <v>66.71658798</v>
      </c>
      <c r="G193" s="20" t="n">
        <f aca="false">F193*(1+g_au29)</f>
        <v>69.3852514992</v>
      </c>
    </row>
    <row r="194" customFormat="false" ht="15" hidden="false" customHeight="false" outlineLevel="0" collapsed="false">
      <c r="A194" s="4" t="s">
        <v>435</v>
      </c>
      <c r="B194" s="0" t="s">
        <v>209</v>
      </c>
      <c r="C194" s="20" t="n">
        <f aca="false">a25_mo</f>
        <v>38.84195</v>
      </c>
      <c r="D194" s="20" t="n">
        <f aca="false">a26_mo</f>
        <v>45.385434</v>
      </c>
      <c r="E194" s="20" t="n">
        <f aca="false">D194*(1+g_mo27)</f>
        <v>45.385434</v>
      </c>
      <c r="F194" s="20" t="n">
        <f aca="false">E194*(1+g_mo28)</f>
        <v>46.29314268</v>
      </c>
      <c r="G194" s="20" t="n">
        <f aca="false">F194*(1+g_mo29)</f>
        <v>47.2190055336</v>
      </c>
    </row>
    <row r="195" customFormat="false" ht="17.15" hidden="false" customHeight="false" outlineLevel="0" collapsed="false">
      <c r="A195" s="4" t="s">
        <v>511</v>
      </c>
      <c r="B195" s="0" t="s">
        <v>209</v>
      </c>
      <c r="C195" s="20" t="n">
        <f aca="false">C189+C191+C193+C194</f>
        <v>399.5172</v>
      </c>
      <c r="D195" s="20" t="n">
        <f aca="false">D189+D191+D193+D194</f>
        <v>465.2006985</v>
      </c>
      <c r="E195" s="20" t="n">
        <f aca="false">E189+E191+E193+E194</f>
        <v>492.999276825</v>
      </c>
      <c r="F195" s="20" t="n">
        <f aca="false">F189+F191+F193+F194</f>
        <v>518.01232413825</v>
      </c>
      <c r="G195" s="20" t="n">
        <f aca="false">G189+G191+G193+G194</f>
        <v>539.711894378745</v>
      </c>
    </row>
    <row r="196" customFormat="false" ht="15" hidden="false" customHeight="false" outlineLevel="0" collapsed="false">
      <c r="A196" s="4" t="s">
        <v>386</v>
      </c>
      <c r="B196" s="0" t="s">
        <v>209</v>
      </c>
      <c r="C196" s="20" t="n">
        <f aca="false">C190+C192+C193+C194</f>
        <v>554.885</v>
      </c>
      <c r="D196" s="20" t="n">
        <f aca="false">D190+D192+D193+D194</f>
        <v>756.4239</v>
      </c>
      <c r="E196" s="20" t="n">
        <f aca="false">E190+E192+E193+E194</f>
        <v>1121.4932220923</v>
      </c>
      <c r="F196" s="20" t="n">
        <f aca="false">F190+F192+F193+F194</f>
        <v>1027.27351779182</v>
      </c>
      <c r="G196" s="20" t="n">
        <f aca="false">G190+G192+G193+G194</f>
        <v>1127.13115816299</v>
      </c>
      <c r="H196" s="4" t="s">
        <v>512</v>
      </c>
    </row>
    <row r="197" customFormat="false" ht="17.15" hidden="false" customHeight="false" outlineLevel="0" collapsed="false">
      <c r="A197" s="4" t="s">
        <v>513</v>
      </c>
      <c r="B197" s="0" t="s">
        <v>209</v>
      </c>
      <c r="C197" s="23" t="n">
        <f aca="false">C196-a25_rev</f>
        <v>0</v>
      </c>
      <c r="D197" s="23" t="n">
        <f aca="false">D196-a26_rev</f>
        <v>0</v>
      </c>
    </row>
    <row r="198" customFormat="false" ht="15" hidden="false" customHeight="false" outlineLevel="0" collapsed="false">
      <c r="A198" s="4" t="s">
        <v>514</v>
      </c>
      <c r="B198" s="0" t="s">
        <v>53</v>
      </c>
      <c r="D198" s="15" t="n">
        <f aca="false">D196/C196-1</f>
        <v>0.363208412553953</v>
      </c>
      <c r="E198" s="15" t="n">
        <f aca="false">E196/D196-1</f>
        <v>0.482625313785435</v>
      </c>
      <c r="F198" s="15" t="n">
        <f aca="false">F196/E196-1</f>
        <v>-0.0840127273571091</v>
      </c>
      <c r="G198" s="15" t="n">
        <f aca="false">G196/F196-1</f>
        <v>0.0972064777702235</v>
      </c>
    </row>
    <row r="199" customFormat="false" ht="17.15" hidden="false" customHeight="false" outlineLevel="0" collapsed="false">
      <c r="A199" s="0" t="s">
        <v>515</v>
      </c>
      <c r="B199" s="0" t="s">
        <v>53</v>
      </c>
      <c r="C199" s="15" t="n">
        <f aca="false">C184/C196</f>
        <v>0.18</v>
      </c>
      <c r="D199" s="15" t="n">
        <f aca="false">D184/D196</f>
        <v>0.26</v>
      </c>
      <c r="E199" s="15" t="n">
        <f aca="false">E184/E196</f>
        <v>0.395346844147021</v>
      </c>
      <c r="F199" s="15" t="n">
        <f aca="false">F184/F196</f>
        <v>0.35245577036705</v>
      </c>
      <c r="G199" s="15" t="n">
        <f aca="false">G184/G196</f>
        <v>0.365931894467626</v>
      </c>
    </row>
    <row r="200" customFormat="false" ht="17.15" hidden="false" customHeight="false" outlineLevel="0" collapsed="false">
      <c r="A200" s="0" t="s">
        <v>516</v>
      </c>
      <c r="B200" s="0" t="s">
        <v>53</v>
      </c>
      <c r="C200" s="15" t="n">
        <f aca="false">(C184+C188)/C196</f>
        <v>0.28</v>
      </c>
      <c r="D200" s="15" t="n">
        <f aca="false">(D184+D188)/D196</f>
        <v>0.385</v>
      </c>
      <c r="E200" s="15" t="n">
        <f aca="false">(E184+E188)/E196</f>
        <v>0.560408153064679</v>
      </c>
      <c r="F200" s="15" t="n">
        <f aca="false">(F184+F188)/F196</f>
        <v>0.495740603484311</v>
      </c>
      <c r="G200" s="15" t="n">
        <f aca="false">(G184+G188)/G196</f>
        <v>0.521163184541562</v>
      </c>
    </row>
    <row r="201" customFormat="false" ht="17.15" hidden="false" customHeight="false" outlineLevel="0" collapsed="false">
      <c r="A201" s="4" t="s">
        <v>462</v>
      </c>
      <c r="B201" s="0" t="s">
        <v>463</v>
      </c>
      <c r="D201" s="19" t="n">
        <f aca="false">(D184+D188)/fx/D177*1000</f>
        <v>388.927551924965</v>
      </c>
      <c r="E201" s="19" t="n">
        <f aca="false">(E184+E188)/fx/E177*1000</f>
        <v>471.59570257222</v>
      </c>
      <c r="F201" s="19" t="n">
        <f aca="false">(F184+F188)/fx/F177*1000</f>
        <v>502.423682986705</v>
      </c>
      <c r="G201" s="19" t="n">
        <f aca="false">(G184+G188)/fx/G177*1000</f>
        <v>508.737441946526</v>
      </c>
    </row>
    <row r="202" customFormat="false" ht="17.15" hidden="false" customHeight="false" outlineLevel="0" collapsed="false">
      <c r="A202" s="6" t="s">
        <v>517</v>
      </c>
    </row>
    <row r="203" customFormat="false" ht="17.15" hidden="false" customHeight="false" outlineLevel="0" collapsed="false">
      <c r="A203" s="4" t="s">
        <v>518</v>
      </c>
      <c r="B203" s="0" t="s">
        <v>53</v>
      </c>
      <c r="D203" s="15" t="n">
        <f aca="false">a26_gp/D196-d_ai*D199</f>
        <v>0.340474417690927</v>
      </c>
      <c r="H203" s="8" t="s">
        <v>519</v>
      </c>
    </row>
    <row r="204" customFormat="false" ht="15" hidden="false" customHeight="false" outlineLevel="0" collapsed="false">
      <c r="A204" s="4" t="s">
        <v>390</v>
      </c>
      <c r="B204" s="0" t="s">
        <v>209</v>
      </c>
      <c r="C204" s="20" t="n">
        <f aca="false">a25_gp</f>
        <v>190.2</v>
      </c>
      <c r="D204" s="20" t="n">
        <f aca="false">a26_gp</f>
        <v>273.276604</v>
      </c>
      <c r="E204" s="20" t="n">
        <f aca="false">$D$203*E196+d_ai*E184</f>
        <v>417.310056223116</v>
      </c>
      <c r="F204" s="20" t="n">
        <f aca="false">$D$203*F196+d_ai*F184</f>
        <v>378.725831106758</v>
      </c>
      <c r="G204" s="20" t="n">
        <f aca="false">$D$203*G196+d_ai*G184</f>
        <v>416.755583938448</v>
      </c>
    </row>
    <row r="205" customFormat="false" ht="15" hidden="false" customHeight="false" outlineLevel="0" collapsed="false">
      <c r="A205" s="4" t="s">
        <v>392</v>
      </c>
      <c r="B205" s="0" t="s">
        <v>53</v>
      </c>
      <c r="C205" s="15" t="n">
        <f aca="false">C204/C196</f>
        <v>0.342773727889563</v>
      </c>
      <c r="D205" s="15" t="n">
        <f aca="false">D204/D196</f>
        <v>0.361274417690927</v>
      </c>
      <c r="E205" s="15" t="n">
        <f aca="false">E204/E196</f>
        <v>0.372102165222689</v>
      </c>
      <c r="F205" s="15" t="n">
        <f aca="false">F204/F196</f>
        <v>0.368670879320291</v>
      </c>
      <c r="G205" s="15" t="n">
        <f aca="false">G204/G196</f>
        <v>0.369748969248337</v>
      </c>
    </row>
    <row r="206" customFormat="false" ht="15" hidden="false" customHeight="false" outlineLevel="0" collapsed="false">
      <c r="A206" s="4" t="s">
        <v>520</v>
      </c>
      <c r="B206" s="0" t="s">
        <v>209</v>
      </c>
      <c r="C206" s="20" t="n">
        <f aca="false">a25_opx</f>
        <v>106.3</v>
      </c>
      <c r="D206" s="20" t="n">
        <f aca="false">a26_opx</f>
        <v>141.924088166667</v>
      </c>
      <c r="E206" s="20" t="n">
        <f aca="false">D206*(1+MAX(0,phi*E198))</f>
        <v>196.721014234786</v>
      </c>
      <c r="F206" s="20" t="n">
        <f aca="false">E206*(1+MAX(0,phi*F198))</f>
        <v>196.721014234786</v>
      </c>
      <c r="G206" s="20" t="n">
        <f aca="false">F206*(1+MAX(0,phi*G198))</f>
        <v>212.019059752506</v>
      </c>
    </row>
    <row r="207" customFormat="false" ht="15" hidden="false" customHeight="false" outlineLevel="0" collapsed="false">
      <c r="A207" s="4" t="s">
        <v>394</v>
      </c>
      <c r="B207" s="0" t="s">
        <v>209</v>
      </c>
      <c r="C207" s="20" t="n">
        <f aca="false">C206</f>
        <v>106.3</v>
      </c>
      <c r="D207" s="20" t="n">
        <f aca="false">D206</f>
        <v>141.924088166667</v>
      </c>
      <c r="E207" s="20" t="n">
        <f aca="false">E206+0*E196</f>
        <v>196.721014234786</v>
      </c>
      <c r="F207" s="20" t="n">
        <f aca="false">F206+0*F196</f>
        <v>196.721014234786</v>
      </c>
      <c r="G207" s="20" t="n">
        <f aca="false">G206+0*G196</f>
        <v>212.019059752506</v>
      </c>
    </row>
    <row r="208" customFormat="false" ht="15" hidden="false" customHeight="false" outlineLevel="0" collapsed="false">
      <c r="A208" s="4" t="s">
        <v>396</v>
      </c>
      <c r="B208" s="0" t="s">
        <v>209</v>
      </c>
      <c r="C208" s="20" t="n">
        <f aca="false">C204-C207</f>
        <v>83.9</v>
      </c>
      <c r="D208" s="20" t="n">
        <f aca="false">D204-D207</f>
        <v>131.352515833333</v>
      </c>
      <c r="E208" s="20" t="n">
        <f aca="false">E204-E207</f>
        <v>220.58904198833</v>
      </c>
      <c r="F208" s="20" t="n">
        <f aca="false">F204-F207</f>
        <v>182.004816871972</v>
      </c>
      <c r="G208" s="20" t="n">
        <f aca="false">G204-G207</f>
        <v>204.736524185943</v>
      </c>
    </row>
    <row r="209" customFormat="false" ht="15" hidden="false" customHeight="false" outlineLevel="0" collapsed="false">
      <c r="A209" s="4" t="s">
        <v>398</v>
      </c>
      <c r="B209" s="0" t="s">
        <v>53</v>
      </c>
      <c r="C209" s="15" t="n">
        <f aca="false">C208/C196</f>
        <v>0.151202501419213</v>
      </c>
      <c r="D209" s="15" t="n">
        <f aca="false">D208/D196</f>
        <v>0.173649346396027</v>
      </c>
      <c r="E209" s="15" t="n">
        <f aca="false">E208/E196</f>
        <v>0.196692264957955</v>
      </c>
      <c r="F209" s="15" t="n">
        <f aca="false">F208/F196</f>
        <v>0.177172694243303</v>
      </c>
      <c r="G209" s="15" t="n">
        <f aca="false">G208/G196</f>
        <v>0.181643922007821</v>
      </c>
    </row>
    <row r="210" customFormat="false" ht="15" hidden="false" customHeight="false" outlineLevel="0" collapsed="false">
      <c r="A210" s="4" t="s">
        <v>400</v>
      </c>
      <c r="B210" s="0" t="s">
        <v>209</v>
      </c>
      <c r="C210" s="20" t="n">
        <f aca="false">a25_nop</f>
        <v>3.934</v>
      </c>
      <c r="D210" s="20" t="n">
        <f aca="false">a26_nop</f>
        <v>11.1666666666667</v>
      </c>
      <c r="E210" s="20" t="n">
        <f aca="false">nop_f</f>
        <v>8</v>
      </c>
      <c r="F210" s="20" t="n">
        <f aca="false">nop_f</f>
        <v>8</v>
      </c>
      <c r="G210" s="20" t="n">
        <f aca="false">nop_f</f>
        <v>8</v>
      </c>
    </row>
    <row r="211" customFormat="false" ht="17.15" hidden="false" customHeight="false" outlineLevel="0" collapsed="false">
      <c r="A211" s="4" t="s">
        <v>250</v>
      </c>
      <c r="B211" s="0" t="s">
        <v>53</v>
      </c>
      <c r="C211" s="15" t="n">
        <f aca="false">a25_ni/(a25_oi+a25_nop)</f>
        <v>0.684336361773345</v>
      </c>
      <c r="D211" s="15" t="n">
        <f aca="false">a26_ni/(a26_oi+a26_nop)</f>
        <v>0.690638510538748</v>
      </c>
      <c r="E211" s="15" t="n">
        <f aca="false">nir_f</f>
        <v>0.69</v>
      </c>
      <c r="F211" s="15" t="n">
        <f aca="false">nir_f</f>
        <v>0.69</v>
      </c>
      <c r="G211" s="15" t="n">
        <f aca="false">nir_f</f>
        <v>0.69</v>
      </c>
    </row>
    <row r="212" customFormat="false" ht="15" hidden="false" customHeight="false" outlineLevel="0" collapsed="false">
      <c r="A212" s="4" t="s">
        <v>403</v>
      </c>
      <c r="B212" s="0" t="s">
        <v>209</v>
      </c>
      <c r="C212" s="20" t="n">
        <f aca="false">a25_ni</f>
        <v>60.108</v>
      </c>
      <c r="D212" s="20" t="n">
        <f aca="false">a26_ni</f>
        <v>98.429235925</v>
      </c>
      <c r="E212" s="20" t="n">
        <f aca="false">(E208+E210)*E211</f>
        <v>157.726438971947</v>
      </c>
      <c r="F212" s="20" t="n">
        <f aca="false">(F208+F210)*F211</f>
        <v>131.10332364166</v>
      </c>
      <c r="G212" s="20" t="n">
        <f aca="false">(G208+G210)*G211</f>
        <v>146.7882016883</v>
      </c>
    </row>
    <row r="213" customFormat="false" ht="15" hidden="false" customHeight="false" outlineLevel="0" collapsed="false">
      <c r="A213" s="4" t="s">
        <v>521</v>
      </c>
      <c r="B213" s="4" t="s">
        <v>234</v>
      </c>
      <c r="C213" s="23" t="n">
        <f aca="false">a25_sh</f>
        <v>2.59757994814175</v>
      </c>
      <c r="D213" s="23" t="n">
        <f aca="false">a26_sh</f>
        <v>2.59806708357021</v>
      </c>
      <c r="E213" s="23" t="n">
        <f aca="false">D213*(1+sh_g)</f>
        <v>2.59806708357021</v>
      </c>
      <c r="F213" s="23" t="n">
        <f aca="false">E213*(1+sh_g)</f>
        <v>2.59806708357021</v>
      </c>
      <c r="G213" s="23" t="n">
        <f aca="false">F213*(1+sh_g)</f>
        <v>2.59806708357021</v>
      </c>
    </row>
    <row r="214" customFormat="false" ht="15" hidden="false" customHeight="false" outlineLevel="0" collapsed="false">
      <c r="A214" s="0" t="s">
        <v>408</v>
      </c>
      <c r="B214" s="0" t="s">
        <v>265</v>
      </c>
      <c r="C214" s="21" t="n">
        <f aca="false">C212/C213</f>
        <v>23.14</v>
      </c>
      <c r="D214" s="21" t="n">
        <f aca="false">D212/D213</f>
        <v>37.8855636744147</v>
      </c>
      <c r="E214" s="21" t="n">
        <f aca="false">E212/E213</f>
        <v>60.7091479544104</v>
      </c>
      <c r="F214" s="21" t="n">
        <f aca="false">F212/F213</f>
        <v>50.461870084394</v>
      </c>
      <c r="G214" s="21" t="n">
        <f aca="false">G212/G213</f>
        <v>56.4990036695231</v>
      </c>
    </row>
    <row r="215" customFormat="false" ht="17.15" hidden="false" customHeight="false" outlineLevel="0" collapsed="false">
      <c r="A215" s="0" t="s">
        <v>522</v>
      </c>
      <c r="B215" s="0" t="s">
        <v>53</v>
      </c>
      <c r="D215" s="15" t="n">
        <f aca="false">D214/C214-1</f>
        <v>0.637232656629847</v>
      </c>
      <c r="E215" s="15" t="n">
        <f aca="false">E214/D214-1</f>
        <v>0.602434860838806</v>
      </c>
      <c r="F215" s="15" t="n">
        <f aca="false">F214/E214-1</f>
        <v>-0.168792977916798</v>
      </c>
      <c r="G215" s="15" t="n">
        <f aca="false">G214/F214-1</f>
        <v>0.119637531764725</v>
      </c>
    </row>
    <row r="218" customFormat="false" ht="17.15" hidden="false" customHeight="false" outlineLevel="0" collapsed="false">
      <c r="A218" s="1" t="s">
        <v>525</v>
      </c>
    </row>
    <row r="219" customFormat="false" ht="17.15" hidden="false" customHeight="false" outlineLevel="0" collapsed="false">
      <c r="A219" s="1" t="s">
        <v>526</v>
      </c>
    </row>
    <row r="220" customFormat="false" ht="17.15" hidden="false" customHeight="false" outlineLevel="0" collapsed="false">
      <c r="A220" s="5" t="s">
        <v>22</v>
      </c>
      <c r="B220" s="5" t="s">
        <v>23</v>
      </c>
      <c r="C220" s="12" t="s">
        <v>380</v>
      </c>
      <c r="D220" s="12" t="s">
        <v>468</v>
      </c>
      <c r="E220" s="12" t="s">
        <v>469</v>
      </c>
      <c r="F220" s="12" t="s">
        <v>470</v>
      </c>
      <c r="G220" s="12" t="s">
        <v>471</v>
      </c>
      <c r="H220" s="12" t="s">
        <v>527</v>
      </c>
      <c r="I220" s="12" t="s">
        <v>528</v>
      </c>
      <c r="J220" s="12" t="s">
        <v>529</v>
      </c>
      <c r="K220" s="5" t="s">
        <v>365</v>
      </c>
    </row>
    <row r="221" customFormat="false" ht="17.15" hidden="false" customHeight="false" outlineLevel="0" collapsed="false">
      <c r="A221" s="4" t="s">
        <v>530</v>
      </c>
      <c r="B221" s="0" t="s">
        <v>209</v>
      </c>
      <c r="C221" s="20" t="n">
        <f aca="false">C104</f>
        <v>554.885</v>
      </c>
      <c r="D221" s="20" t="n">
        <f aca="false">D104</f>
        <v>756.4239</v>
      </c>
      <c r="E221" s="20" t="n">
        <f aca="false">E104</f>
        <v>1121.4932220923</v>
      </c>
      <c r="F221" s="20" t="n">
        <f aca="false">F104</f>
        <v>1366.78098022753</v>
      </c>
      <c r="G221" s="20" t="n">
        <f aca="false">G104</f>
        <v>1518.74400068581</v>
      </c>
      <c r="H221" s="24" t="n">
        <f aca="false">G221*(1+H222)</f>
        <v>1661.69137962748</v>
      </c>
      <c r="I221" s="24" t="n">
        <f aca="false">H221*(1+I222)</f>
        <v>1789.74306443418</v>
      </c>
      <c r="J221" s="24" t="n">
        <f aca="false">I221*(1+J222)</f>
        <v>1897.12764830023</v>
      </c>
      <c r="K221" s="8" t="s">
        <v>531</v>
      </c>
    </row>
    <row r="222" customFormat="false" ht="15" hidden="false" customHeight="false" outlineLevel="0" collapsed="false">
      <c r="A222" s="4" t="s">
        <v>473</v>
      </c>
      <c r="B222" s="0" t="s">
        <v>53</v>
      </c>
      <c r="C222" s="15"/>
      <c r="D222" s="15" t="n">
        <f aca="false">D221/C221-1</f>
        <v>0.363208412553953</v>
      </c>
      <c r="E222" s="15" t="n">
        <f aca="false">E221/D221-1</f>
        <v>0.482625313785435</v>
      </c>
      <c r="F222" s="15" t="n">
        <f aca="false">F221/E221-1</f>
        <v>0.218715328192181</v>
      </c>
      <c r="G222" s="15" t="n">
        <f aca="false">G221/F221-1</f>
        <v>0.111183154182456</v>
      </c>
      <c r="H222" s="25" t="n">
        <f aca="false">$G$222+($C$228-$G$222)*1/3</f>
        <v>0.0941221027883041</v>
      </c>
      <c r="I222" s="25" t="n">
        <f aca="false">$G$222+($C$228-$G$222)*2/3</f>
        <v>0.0770610513941521</v>
      </c>
      <c r="J222" s="25" t="n">
        <f aca="false">$G$222+($C$228-$G$222)*3/3</f>
        <v>0.06</v>
      </c>
    </row>
    <row r="223" customFormat="false" ht="15" hidden="false" customHeight="false" outlineLevel="0" collapsed="false">
      <c r="A223" s="4" t="s">
        <v>532</v>
      </c>
      <c r="B223" s="0" t="s">
        <v>209</v>
      </c>
      <c r="C223" s="20" t="n">
        <f aca="false">C120</f>
        <v>60.108</v>
      </c>
      <c r="D223" s="20" t="n">
        <f aca="false">D120</f>
        <v>98.429235925</v>
      </c>
      <c r="E223" s="20" t="n">
        <f aca="false">E120</f>
        <v>157.726438971947</v>
      </c>
      <c r="F223" s="20" t="n">
        <f aca="false">F120</f>
        <v>200.436734061385</v>
      </c>
      <c r="G223" s="20" t="n">
        <f aca="false">G120</f>
        <v>226.586516404518</v>
      </c>
      <c r="H223" s="24" t="n">
        <f aca="false">H221*H224</f>
        <v>247.913315791987</v>
      </c>
      <c r="I223" s="24" t="n">
        <f aca="false">I221*I224</f>
        <v>267.017776561528</v>
      </c>
      <c r="J223" s="24" t="n">
        <f aca="false">J221*J224</f>
        <v>283.03884315522</v>
      </c>
    </row>
    <row r="224" customFormat="false" ht="15" hidden="false" customHeight="false" outlineLevel="0" collapsed="false">
      <c r="A224" s="4" t="s">
        <v>533</v>
      </c>
      <c r="B224" s="0" t="s">
        <v>53</v>
      </c>
      <c r="C224" s="15" t="n">
        <f aca="false">C223/C221</f>
        <v>0.108325148454184</v>
      </c>
      <c r="D224" s="15" t="n">
        <f aca="false">D223/D221</f>
        <v>0.130124439385112</v>
      </c>
      <c r="E224" s="15" t="n">
        <f aca="false">E223/E221</f>
        <v>0.140639672059441</v>
      </c>
      <c r="F224" s="15" t="n">
        <f aca="false">F223/F221</f>
        <v>0.146648758624091</v>
      </c>
      <c r="G224" s="15" t="n">
        <f aca="false">G223/G221</f>
        <v>0.14919335734146</v>
      </c>
      <c r="H224" s="25" t="n">
        <f aca="false">$G$224+($C$229-$G$224)*1/3</f>
        <v>0.14919335734146</v>
      </c>
      <c r="I224" s="25" t="n">
        <f aca="false">$G$224+($C$229-$G$224)*2/3</f>
        <v>0.14919335734146</v>
      </c>
      <c r="J224" s="25" t="n">
        <f aca="false">$G$224+($C$229-$G$224)*3/3</f>
        <v>0.14919335734146</v>
      </c>
    </row>
    <row r="225" customFormat="false" ht="17.15" hidden="false" customHeight="false" outlineLevel="0" collapsed="false">
      <c r="A225" s="4" t="s">
        <v>534</v>
      </c>
      <c r="B225" s="4" t="s">
        <v>234</v>
      </c>
      <c r="C225" s="22" t="n">
        <f aca="false">C121</f>
        <v>2.59757994814175</v>
      </c>
      <c r="D225" s="22" t="n">
        <f aca="false">D121</f>
        <v>2.59806708357021</v>
      </c>
      <c r="E225" s="22" t="n">
        <f aca="false">E121</f>
        <v>2.59806708357021</v>
      </c>
      <c r="F225" s="22" t="n">
        <f aca="false">F121</f>
        <v>2.59806708357021</v>
      </c>
      <c r="G225" s="22" t="n">
        <f aca="false">G121</f>
        <v>2.59806708357021</v>
      </c>
      <c r="H225" s="26" t="n">
        <f aca="false">G225*(1+sh_g)</f>
        <v>2.59806708357021</v>
      </c>
      <c r="I225" s="26" t="n">
        <f aca="false">H225*(1+sh_g)</f>
        <v>2.59806708357021</v>
      </c>
      <c r="J225" s="26" t="n">
        <f aca="false">I225*(1+sh_g)</f>
        <v>2.59806708357021</v>
      </c>
      <c r="K225" s="8" t="s">
        <v>535</v>
      </c>
    </row>
    <row r="226" customFormat="false" ht="17.15" hidden="false" customHeight="false" outlineLevel="0" collapsed="false">
      <c r="A226" s="0" t="s">
        <v>536</v>
      </c>
      <c r="B226" s="0" t="s">
        <v>265</v>
      </c>
      <c r="C226" s="16" t="n">
        <f aca="false">C122</f>
        <v>23.14</v>
      </c>
      <c r="D226" s="16" t="n">
        <f aca="false">D122</f>
        <v>37.8855636744147</v>
      </c>
      <c r="E226" s="16" t="n">
        <f aca="false">E122</f>
        <v>60.7091479544104</v>
      </c>
      <c r="F226" s="16" t="n">
        <f aca="false">F122</f>
        <v>77.1484059549183</v>
      </c>
      <c r="G226" s="16" t="n">
        <f aca="false">G122</f>
        <v>87.2134972331611</v>
      </c>
      <c r="H226" s="27" t="n">
        <f aca="false">H223/H225</f>
        <v>95.4222149842682</v>
      </c>
      <c r="I226" s="27" t="n">
        <f aca="false">I223/I225</f>
        <v>102.775551197315</v>
      </c>
      <c r="J226" s="27" t="n">
        <f aca="false">J223/J225</f>
        <v>108.942084269154</v>
      </c>
    </row>
    <row r="227" customFormat="false" ht="17.15" hidden="false" customHeight="false" outlineLevel="0" collapsed="false">
      <c r="A227" s="0" t="s">
        <v>482</v>
      </c>
      <c r="B227" s="0" t="s">
        <v>53</v>
      </c>
      <c r="C227" s="15"/>
      <c r="D227" s="15" t="n">
        <f aca="false">D226/C226-1</f>
        <v>0.637232656629847</v>
      </c>
      <c r="E227" s="15" t="n">
        <f aca="false">E226/D226-1</f>
        <v>0.602434860838806</v>
      </c>
      <c r="F227" s="15" t="n">
        <f aca="false">F226/E226-1</f>
        <v>0.270787163951848</v>
      </c>
      <c r="G227" s="15" t="n">
        <f aca="false">G226/F226-1</f>
        <v>0.130464021306213</v>
      </c>
      <c r="H227" s="25" t="n">
        <f aca="false">H226/G226-1</f>
        <v>0.0941221027883044</v>
      </c>
      <c r="I227" s="25" t="n">
        <f aca="false">I226/H226-1</f>
        <v>0.0770610513941521</v>
      </c>
      <c r="J227" s="25" t="n">
        <f aca="false">J226/I226-1</f>
        <v>0.0600000000000001</v>
      </c>
    </row>
    <row r="228" customFormat="false" ht="17.15" hidden="false" customHeight="false" outlineLevel="0" collapsed="false">
      <c r="A228" s="4" t="s">
        <v>537</v>
      </c>
      <c r="B228" s="0" t="s">
        <v>53</v>
      </c>
      <c r="C228" s="15" t="n">
        <f aca="false">fade_gA</f>
        <v>0.06</v>
      </c>
      <c r="K228" s="8" t="s">
        <v>538</v>
      </c>
    </row>
    <row r="229" customFormat="false" ht="17.15" hidden="false" customHeight="false" outlineLevel="0" collapsed="false">
      <c r="A229" s="4" t="s">
        <v>539</v>
      </c>
      <c r="B229" s="0" t="s">
        <v>53</v>
      </c>
      <c r="C229" s="15" t="n">
        <f aca="false">G224</f>
        <v>0.14919335734146</v>
      </c>
      <c r="K229" s="4" t="s">
        <v>540</v>
      </c>
    </row>
    <row r="231" customFormat="false" ht="17.15" hidden="false" customHeight="false" outlineLevel="0" collapsed="false">
      <c r="A231" s="1" t="s">
        <v>541</v>
      </c>
    </row>
    <row r="232" customFormat="false" ht="17.15" hidden="false" customHeight="false" outlineLevel="0" collapsed="false">
      <c r="A232" s="5" t="s">
        <v>22</v>
      </c>
      <c r="B232" s="5" t="s">
        <v>23</v>
      </c>
      <c r="C232" s="12" t="s">
        <v>380</v>
      </c>
      <c r="D232" s="12" t="s">
        <v>468</v>
      </c>
      <c r="E232" s="12" t="s">
        <v>469</v>
      </c>
      <c r="F232" s="12" t="s">
        <v>470</v>
      </c>
      <c r="G232" s="12" t="s">
        <v>471</v>
      </c>
      <c r="H232" s="12" t="s">
        <v>527</v>
      </c>
      <c r="I232" s="12" t="s">
        <v>528</v>
      </c>
      <c r="J232" s="12" t="s">
        <v>529</v>
      </c>
      <c r="K232" s="5" t="s">
        <v>365</v>
      </c>
    </row>
    <row r="233" customFormat="false" ht="17.15" hidden="false" customHeight="false" outlineLevel="0" collapsed="false">
      <c r="A233" s="4" t="s">
        <v>530</v>
      </c>
      <c r="B233" s="0" t="s">
        <v>209</v>
      </c>
      <c r="C233" s="20" t="n">
        <f aca="false">C150</f>
        <v>554.885</v>
      </c>
      <c r="D233" s="20" t="n">
        <f aca="false">D150</f>
        <v>756.4239</v>
      </c>
      <c r="E233" s="20" t="n">
        <f aca="false">E150</f>
        <v>1121.4932220923</v>
      </c>
      <c r="F233" s="20" t="n">
        <f aca="false">F150</f>
        <v>1197.02724900967</v>
      </c>
      <c r="G233" s="20" t="n">
        <f aca="false">G150</f>
        <v>1371.88918473975</v>
      </c>
      <c r="H233" s="24" t="n">
        <f aca="false">G233*(1+H234)</f>
        <v>1523.78490441336</v>
      </c>
      <c r="I233" s="24" t="n">
        <f aca="false">H233*(1+I234)</f>
        <v>1638.61741763591</v>
      </c>
      <c r="J233" s="24" t="n">
        <f aca="false">I233*(1+J234)</f>
        <v>1704.16211434135</v>
      </c>
      <c r="K233" s="8" t="s">
        <v>531</v>
      </c>
    </row>
    <row r="234" customFormat="false" ht="15" hidden="false" customHeight="false" outlineLevel="0" collapsed="false">
      <c r="A234" s="4" t="s">
        <v>473</v>
      </c>
      <c r="B234" s="0" t="s">
        <v>53</v>
      </c>
      <c r="C234" s="15"/>
      <c r="D234" s="15" t="n">
        <f aca="false">D233/C233-1</f>
        <v>0.363208412553953</v>
      </c>
      <c r="E234" s="15" t="n">
        <f aca="false">E233/D233-1</f>
        <v>0.482625313785435</v>
      </c>
      <c r="F234" s="15" t="n">
        <f aca="false">F233/E233-1</f>
        <v>0.0673513004175361</v>
      </c>
      <c r="G234" s="15" t="n">
        <f aca="false">G233/F233-1</f>
        <v>0.146080163066253</v>
      </c>
      <c r="H234" s="25" t="n">
        <f aca="false">$G$234+($C$240-$G$234)*1/3</f>
        <v>0.110720108710835</v>
      </c>
      <c r="I234" s="25" t="n">
        <f aca="false">$G$234+($C$240-$G$234)*2/3</f>
        <v>0.0753600543554176</v>
      </c>
      <c r="J234" s="25" t="n">
        <f aca="false">$G$234+($C$240-$G$234)*3/3</f>
        <v>0.04</v>
      </c>
    </row>
    <row r="235" customFormat="false" ht="15" hidden="false" customHeight="false" outlineLevel="0" collapsed="false">
      <c r="A235" s="4" t="s">
        <v>532</v>
      </c>
      <c r="B235" s="0" t="s">
        <v>209</v>
      </c>
      <c r="C235" s="20" t="n">
        <f aca="false">C166</f>
        <v>60.108</v>
      </c>
      <c r="D235" s="20" t="n">
        <f aca="false">D166</f>
        <v>98.429235925</v>
      </c>
      <c r="E235" s="20" t="n">
        <f aca="false">E166</f>
        <v>157.726438971947</v>
      </c>
      <c r="F235" s="20" t="n">
        <f aca="false">F166</f>
        <v>170.331499877395</v>
      </c>
      <c r="G235" s="20" t="n">
        <f aca="false">G166</f>
        <v>200.299402577525</v>
      </c>
      <c r="H235" s="24" t="n">
        <f aca="false">H233*H236</f>
        <v>215.06068839877</v>
      </c>
      <c r="I235" s="24" t="n">
        <f aca="false">I233*I236</f>
        <v>223.292926201863</v>
      </c>
      <c r="J235" s="24" t="n">
        <f aca="false">J233*J236</f>
        <v>223.930905991011</v>
      </c>
    </row>
    <row r="236" customFormat="false" ht="15" hidden="false" customHeight="false" outlineLevel="0" collapsed="false">
      <c r="A236" s="4" t="s">
        <v>533</v>
      </c>
      <c r="B236" s="0" t="s">
        <v>53</v>
      </c>
      <c r="C236" s="15" t="n">
        <f aca="false">C235/C233</f>
        <v>0.108325148454184</v>
      </c>
      <c r="D236" s="15" t="n">
        <f aca="false">D235/D233</f>
        <v>0.130124439385112</v>
      </c>
      <c r="E236" s="15" t="n">
        <f aca="false">E235/E233</f>
        <v>0.140639672059441</v>
      </c>
      <c r="F236" s="15" t="n">
        <f aca="false">F235/F233</f>
        <v>0.142295423949885</v>
      </c>
      <c r="G236" s="15" t="n">
        <f aca="false">G235/G233</f>
        <v>0.146002610710516</v>
      </c>
      <c r="H236" s="25" t="n">
        <f aca="false">$G$236+($C$241-$G$236)*1/3</f>
        <v>0.141135857020166</v>
      </c>
      <c r="I236" s="25" t="n">
        <f aca="false">$G$236+($C$241-$G$236)*2/3</f>
        <v>0.136269103329815</v>
      </c>
      <c r="J236" s="25" t="n">
        <f aca="false">$G$236+($C$241-$G$236)*3/3</f>
        <v>0.131402349639465</v>
      </c>
    </row>
    <row r="237" customFormat="false" ht="17.15" hidden="false" customHeight="false" outlineLevel="0" collapsed="false">
      <c r="A237" s="4" t="s">
        <v>534</v>
      </c>
      <c r="B237" s="4" t="s">
        <v>234</v>
      </c>
      <c r="C237" s="22" t="n">
        <f aca="false">C167</f>
        <v>2.59757994814175</v>
      </c>
      <c r="D237" s="22" t="n">
        <f aca="false">D167</f>
        <v>2.59806708357021</v>
      </c>
      <c r="E237" s="22" t="n">
        <f aca="false">E167</f>
        <v>2.59806708357021</v>
      </c>
      <c r="F237" s="22" t="n">
        <f aca="false">F167</f>
        <v>2.59806708357021</v>
      </c>
      <c r="G237" s="22" t="n">
        <f aca="false">G167</f>
        <v>2.59806708357021</v>
      </c>
      <c r="H237" s="26" t="n">
        <f aca="false">G237*(1+sh_g)</f>
        <v>2.59806708357021</v>
      </c>
      <c r="I237" s="26" t="n">
        <f aca="false">H237*(1+sh_g)</f>
        <v>2.59806708357021</v>
      </c>
      <c r="J237" s="26" t="n">
        <f aca="false">I237*(1+sh_g)</f>
        <v>2.59806708357021</v>
      </c>
      <c r="K237" s="8" t="s">
        <v>535</v>
      </c>
    </row>
    <row r="238" customFormat="false" ht="17.15" hidden="false" customHeight="false" outlineLevel="0" collapsed="false">
      <c r="A238" s="0" t="s">
        <v>536</v>
      </c>
      <c r="B238" s="0" t="s">
        <v>265</v>
      </c>
      <c r="C238" s="16" t="n">
        <f aca="false">C168</f>
        <v>23.14</v>
      </c>
      <c r="D238" s="16" t="n">
        <f aca="false">D168</f>
        <v>37.8855636744147</v>
      </c>
      <c r="E238" s="16" t="n">
        <f aca="false">E168</f>
        <v>60.7091479544104</v>
      </c>
      <c r="F238" s="16" t="n">
        <f aca="false">F168</f>
        <v>65.5608552044504</v>
      </c>
      <c r="G238" s="16" t="n">
        <f aca="false">G168</f>
        <v>77.0955468564261</v>
      </c>
      <c r="H238" s="27" t="n">
        <f aca="false">H235/H237</f>
        <v>82.7771883793079</v>
      </c>
      <c r="I238" s="27" t="n">
        <f aca="false">I235/I237</f>
        <v>85.9457893192728</v>
      </c>
      <c r="J238" s="27" t="n">
        <f aca="false">J235/J237</f>
        <v>86.1913487173279</v>
      </c>
    </row>
    <row r="239" customFormat="false" ht="17.15" hidden="false" customHeight="false" outlineLevel="0" collapsed="false">
      <c r="A239" s="0" t="s">
        <v>482</v>
      </c>
      <c r="B239" s="0" t="s">
        <v>53</v>
      </c>
      <c r="C239" s="15"/>
      <c r="D239" s="15" t="n">
        <f aca="false">D238/C238-1</f>
        <v>0.637232656629847</v>
      </c>
      <c r="E239" s="15" t="n">
        <f aca="false">E238/D238-1</f>
        <v>0.602434860838806</v>
      </c>
      <c r="F239" s="15" t="n">
        <f aca="false">F238/E238-1</f>
        <v>0.0799172351040645</v>
      </c>
      <c r="G239" s="15" t="n">
        <f aca="false">G238/F238-1</f>
        <v>0.1759387002504</v>
      </c>
      <c r="H239" s="25" t="n">
        <f aca="false">H238/G238-1</f>
        <v>0.0736961050871408</v>
      </c>
      <c r="I239" s="25" t="n">
        <f aca="false">I238/H238-1</f>
        <v>0.0382786731707478</v>
      </c>
      <c r="J239" s="25" t="n">
        <f aca="false">J238/I238-1</f>
        <v>0.00285714285714289</v>
      </c>
    </row>
    <row r="240" customFormat="false" ht="17.15" hidden="false" customHeight="false" outlineLevel="0" collapsed="false">
      <c r="A240" s="4" t="s">
        <v>537</v>
      </c>
      <c r="B240" s="0" t="s">
        <v>53</v>
      </c>
      <c r="C240" s="15" t="n">
        <f aca="false">fade_gB</f>
        <v>0.04</v>
      </c>
      <c r="K240" s="8" t="s">
        <v>542</v>
      </c>
    </row>
    <row r="241" customFormat="false" ht="17.15" hidden="false" customHeight="false" outlineLevel="0" collapsed="false">
      <c r="A241" s="4" t="s">
        <v>539</v>
      </c>
      <c r="B241" s="0" t="s">
        <v>53</v>
      </c>
      <c r="C241" s="15" t="n">
        <f aca="false">G236*(1+nim10_f)/2</f>
        <v>0.131402349639465</v>
      </c>
      <c r="K241" s="4" t="s">
        <v>543</v>
      </c>
    </row>
    <row r="243" customFormat="false" ht="17.15" hidden="false" customHeight="false" outlineLevel="0" collapsed="false">
      <c r="A243" s="1" t="s">
        <v>544</v>
      </c>
    </row>
    <row r="244" customFormat="false" ht="17.15" hidden="false" customHeight="false" outlineLevel="0" collapsed="false">
      <c r="A244" s="5" t="s">
        <v>22</v>
      </c>
      <c r="B244" s="5" t="s">
        <v>23</v>
      </c>
      <c r="C244" s="12" t="s">
        <v>380</v>
      </c>
      <c r="D244" s="12" t="s">
        <v>468</v>
      </c>
      <c r="E244" s="12" t="s">
        <v>469</v>
      </c>
      <c r="F244" s="12" t="s">
        <v>470</v>
      </c>
      <c r="G244" s="12" t="s">
        <v>471</v>
      </c>
      <c r="H244" s="12" t="s">
        <v>527</v>
      </c>
      <c r="I244" s="12" t="s">
        <v>528</v>
      </c>
      <c r="J244" s="12" t="s">
        <v>529</v>
      </c>
      <c r="K244" s="5" t="s">
        <v>365</v>
      </c>
    </row>
    <row r="245" customFormat="false" ht="17.15" hidden="false" customHeight="false" outlineLevel="0" collapsed="false">
      <c r="A245" s="4" t="s">
        <v>530</v>
      </c>
      <c r="B245" s="0" t="s">
        <v>209</v>
      </c>
      <c r="C245" s="20" t="n">
        <f aca="false">C196</f>
        <v>554.885</v>
      </c>
      <c r="D245" s="20" t="n">
        <f aca="false">D196</f>
        <v>756.4239</v>
      </c>
      <c r="E245" s="20" t="n">
        <f aca="false">E196</f>
        <v>1121.4932220923</v>
      </c>
      <c r="F245" s="20" t="n">
        <f aca="false">F196</f>
        <v>1027.27351779182</v>
      </c>
      <c r="G245" s="20" t="n">
        <f aca="false">G196</f>
        <v>1127.13115816299</v>
      </c>
      <c r="H245" s="24" t="n">
        <f aca="false">G245*(1+H246)</f>
        <v>1207.68833246414</v>
      </c>
      <c r="I245" s="24" t="n">
        <f aca="false">H245*(1+I246)</f>
        <v>1262.92255324467</v>
      </c>
      <c r="J245" s="24" t="n">
        <f aca="false">I245*(1+J246)</f>
        <v>1288.18100430956</v>
      </c>
      <c r="K245" s="8" t="s">
        <v>531</v>
      </c>
    </row>
    <row r="246" customFormat="false" ht="15" hidden="false" customHeight="false" outlineLevel="0" collapsed="false">
      <c r="A246" s="4" t="s">
        <v>473</v>
      </c>
      <c r="B246" s="0" t="s">
        <v>53</v>
      </c>
      <c r="C246" s="15"/>
      <c r="D246" s="15" t="n">
        <f aca="false">D245/C245-1</f>
        <v>0.363208412553953</v>
      </c>
      <c r="E246" s="15" t="n">
        <f aca="false">E245/D245-1</f>
        <v>0.482625313785435</v>
      </c>
      <c r="F246" s="15" t="n">
        <f aca="false">F245/E245-1</f>
        <v>-0.0840127273571091</v>
      </c>
      <c r="G246" s="15" t="n">
        <f aca="false">G245/F245-1</f>
        <v>0.0972064777702235</v>
      </c>
      <c r="H246" s="25" t="n">
        <f aca="false">$G$246+($C$252-$G$246)*1/3</f>
        <v>0.071470985180149</v>
      </c>
      <c r="I246" s="25" t="n">
        <f aca="false">$G$246+($C$252-$G$246)*2/3</f>
        <v>0.0457354925900745</v>
      </c>
      <c r="J246" s="25" t="n">
        <f aca="false">$G$246+($C$252-$G$246)*3/3</f>
        <v>0.02</v>
      </c>
    </row>
    <row r="247" customFormat="false" ht="15" hidden="false" customHeight="false" outlineLevel="0" collapsed="false">
      <c r="A247" s="4" t="s">
        <v>532</v>
      </c>
      <c r="B247" s="0" t="s">
        <v>209</v>
      </c>
      <c r="C247" s="20" t="n">
        <f aca="false">C212</f>
        <v>60.108</v>
      </c>
      <c r="D247" s="20" t="n">
        <f aca="false">D212</f>
        <v>98.429235925</v>
      </c>
      <c r="E247" s="20" t="n">
        <f aca="false">E212</f>
        <v>157.726438971947</v>
      </c>
      <c r="F247" s="20" t="n">
        <f aca="false">F212</f>
        <v>131.10332364166</v>
      </c>
      <c r="G247" s="20" t="n">
        <f aca="false">G212</f>
        <v>146.7882016883</v>
      </c>
      <c r="H247" s="24" t="n">
        <f aca="false">H245*H248</f>
        <v>146.794012470733</v>
      </c>
      <c r="I247" s="24" t="n">
        <f aca="false">I245*I248</f>
        <v>142.542872587473</v>
      </c>
      <c r="J247" s="24" t="n">
        <f aca="false">J245*J248</f>
        <v>134.209596959283</v>
      </c>
    </row>
    <row r="248" customFormat="false" ht="15" hidden="false" customHeight="false" outlineLevel="0" collapsed="false">
      <c r="A248" s="4" t="s">
        <v>533</v>
      </c>
      <c r="B248" s="0" t="s">
        <v>53</v>
      </c>
      <c r="C248" s="15" t="n">
        <f aca="false">C247/C245</f>
        <v>0.108325148454184</v>
      </c>
      <c r="D248" s="15" t="n">
        <f aca="false">D247/D245</f>
        <v>0.130124439385112</v>
      </c>
      <c r="E248" s="15" t="n">
        <f aca="false">E247/E245</f>
        <v>0.140639672059441</v>
      </c>
      <c r="F248" s="15" t="n">
        <f aca="false">F247/F245</f>
        <v>0.127622606220274</v>
      </c>
      <c r="G248" s="15" t="n">
        <f aca="false">G247/G245</f>
        <v>0.130231695420024</v>
      </c>
      <c r="H248" s="25" t="n">
        <f aca="false">$G$248+($C$253-$G$248)*1/3</f>
        <v>0.121549582392022</v>
      </c>
      <c r="I248" s="25" t="n">
        <f aca="false">$G$248+($C$253-$G$248)*2/3</f>
        <v>0.112867469364021</v>
      </c>
      <c r="J248" s="25" t="n">
        <f aca="false">$G$248+($C$253-$G$248)*3/3</f>
        <v>0.104185356336019</v>
      </c>
    </row>
    <row r="249" customFormat="false" ht="17.15" hidden="false" customHeight="false" outlineLevel="0" collapsed="false">
      <c r="A249" s="4" t="s">
        <v>534</v>
      </c>
      <c r="B249" s="4" t="s">
        <v>234</v>
      </c>
      <c r="C249" s="22" t="n">
        <f aca="false">C213</f>
        <v>2.59757994814175</v>
      </c>
      <c r="D249" s="22" t="n">
        <f aca="false">D213</f>
        <v>2.59806708357021</v>
      </c>
      <c r="E249" s="22" t="n">
        <f aca="false">E213</f>
        <v>2.59806708357021</v>
      </c>
      <c r="F249" s="22" t="n">
        <f aca="false">F213</f>
        <v>2.59806708357021</v>
      </c>
      <c r="G249" s="22" t="n">
        <f aca="false">G213</f>
        <v>2.59806708357021</v>
      </c>
      <c r="H249" s="26" t="n">
        <f aca="false">G249*(1+sh_g)</f>
        <v>2.59806708357021</v>
      </c>
      <c r="I249" s="26" t="n">
        <f aca="false">H249*(1+sh_g)</f>
        <v>2.59806708357021</v>
      </c>
      <c r="J249" s="26" t="n">
        <f aca="false">I249*(1+sh_g)</f>
        <v>2.59806708357021</v>
      </c>
      <c r="K249" s="8" t="s">
        <v>535</v>
      </c>
    </row>
    <row r="250" customFormat="false" ht="17.15" hidden="false" customHeight="false" outlineLevel="0" collapsed="false">
      <c r="A250" s="0" t="s">
        <v>536</v>
      </c>
      <c r="B250" s="0" t="s">
        <v>265</v>
      </c>
      <c r="C250" s="16" t="n">
        <f aca="false">C214</f>
        <v>23.14</v>
      </c>
      <c r="D250" s="16" t="n">
        <f aca="false">D214</f>
        <v>37.8855636744147</v>
      </c>
      <c r="E250" s="16" t="n">
        <f aca="false">E214</f>
        <v>60.7091479544104</v>
      </c>
      <c r="F250" s="16" t="n">
        <f aca="false">F214</f>
        <v>50.461870084394</v>
      </c>
      <c r="G250" s="16" t="n">
        <f aca="false">G214</f>
        <v>56.4990036695231</v>
      </c>
      <c r="H250" s="27" t="n">
        <f aca="false">H247/H249</f>
        <v>56.501240248582</v>
      </c>
      <c r="I250" s="27" t="n">
        <f aca="false">I247/I249</f>
        <v>54.8649699959224</v>
      </c>
      <c r="J250" s="27" t="n">
        <f aca="false">J247/J249</f>
        <v>51.6574794423147</v>
      </c>
    </row>
    <row r="251" customFormat="false" ht="17.15" hidden="false" customHeight="false" outlineLevel="0" collapsed="false">
      <c r="A251" s="0" t="s">
        <v>482</v>
      </c>
      <c r="B251" s="0" t="s">
        <v>53</v>
      </c>
      <c r="C251" s="15"/>
      <c r="D251" s="15" t="n">
        <f aca="false">D250/C250-1</f>
        <v>0.637232656629847</v>
      </c>
      <c r="E251" s="15" t="n">
        <f aca="false">E250/D250-1</f>
        <v>0.602434860838806</v>
      </c>
      <c r="F251" s="15" t="n">
        <f aca="false">F250/E250-1</f>
        <v>-0.168792977916798</v>
      </c>
      <c r="G251" s="15" t="n">
        <f aca="false">G250/F250-1</f>
        <v>0.119637531764725</v>
      </c>
      <c r="H251" s="25" t="n">
        <f aca="false">H250/G250-1</f>
        <v>3.95861681390386E-005</v>
      </c>
      <c r="I251" s="25" t="n">
        <f aca="false">I250/H250-1</f>
        <v>-0.0289598997377878</v>
      </c>
      <c r="J251" s="25" t="n">
        <f aca="false">J250/I250-1</f>
        <v>-0.0584615384615383</v>
      </c>
    </row>
    <row r="252" customFormat="false" ht="17.15" hidden="false" customHeight="false" outlineLevel="0" collapsed="false">
      <c r="A252" s="4" t="s">
        <v>537</v>
      </c>
      <c r="B252" s="0" t="s">
        <v>53</v>
      </c>
      <c r="C252" s="15" t="n">
        <f aca="false">fade_gC</f>
        <v>0.02</v>
      </c>
      <c r="K252" s="8" t="s">
        <v>545</v>
      </c>
    </row>
    <row r="253" customFormat="false" ht="17.15" hidden="false" customHeight="false" outlineLevel="0" collapsed="false">
      <c r="A253" s="4" t="s">
        <v>539</v>
      </c>
      <c r="B253" s="0" t="s">
        <v>53</v>
      </c>
      <c r="C253" s="15" t="n">
        <f aca="false">G248*nim10_f</f>
        <v>0.104185356336019</v>
      </c>
      <c r="K253" s="4" t="s">
        <v>546</v>
      </c>
    </row>
    <row r="256" customFormat="false" ht="17.15" hidden="false" customHeight="false" outlineLevel="0" collapsed="false">
      <c r="A256" s="1" t="s">
        <v>547</v>
      </c>
    </row>
    <row r="257" customFormat="false" ht="17.15" hidden="false" customHeight="false" outlineLevel="0" collapsed="false">
      <c r="A257" s="5" t="s">
        <v>22</v>
      </c>
      <c r="B257" s="5" t="s">
        <v>23</v>
      </c>
      <c r="C257" s="12" t="s">
        <v>380</v>
      </c>
      <c r="D257" s="12" t="s">
        <v>468</v>
      </c>
      <c r="E257" s="12" t="s">
        <v>469</v>
      </c>
      <c r="F257" s="12" t="s">
        <v>470</v>
      </c>
      <c r="G257" s="12" t="s">
        <v>471</v>
      </c>
      <c r="H257" s="12" t="s">
        <v>527</v>
      </c>
      <c r="I257" s="12" t="s">
        <v>528</v>
      </c>
      <c r="J257" s="12" t="s">
        <v>529</v>
      </c>
      <c r="K257" s="5" t="s">
        <v>365</v>
      </c>
    </row>
    <row r="258" customFormat="false" ht="17.15" hidden="false" customHeight="false" outlineLevel="0" collapsed="false">
      <c r="A258" s="4" t="s">
        <v>548</v>
      </c>
      <c r="B258" s="0" t="s">
        <v>209</v>
      </c>
      <c r="D258" s="20" t="n">
        <f aca="false">D223+D221*da_r-D221*cx_r</f>
        <v>73.5479559790653</v>
      </c>
      <c r="E258" s="20" t="n">
        <f aca="false">E223+E221*da_r-E221*cx_r</f>
        <v>120.836823484723</v>
      </c>
      <c r="F258" s="20" t="n">
        <f aca="false">F223+F221*da_r-F221*cx_r</f>
        <v>155.478794215989</v>
      </c>
      <c r="G258" s="20" t="n">
        <f aca="false">G223+G221*da_r-G221*cx_r</f>
        <v>176.630011001565</v>
      </c>
      <c r="H258" s="24" t="n">
        <f aca="false">H223+H221*da_r-H221*cx_r</f>
        <v>193.254799052553</v>
      </c>
      <c r="I258" s="24" t="n">
        <f aca="false">I223+I221*da_r-I221*cx_r</f>
        <v>208.147217054509</v>
      </c>
      <c r="J258" s="24" t="n">
        <f aca="false">J223+J221*da_r-J221*cx_r</f>
        <v>220.636050077779</v>
      </c>
      <c r="K258" s="4" t="s">
        <v>549</v>
      </c>
    </row>
    <row r="259" customFormat="false" ht="17.15" hidden="false" customHeight="false" outlineLevel="0" collapsed="false">
      <c r="A259" s="4" t="s">
        <v>550</v>
      </c>
      <c r="B259" s="0" t="s">
        <v>209</v>
      </c>
      <c r="D259" s="20" t="n">
        <f aca="false">D235+D233*da_r-D233*cx_r</f>
        <v>73.5479559790653</v>
      </c>
      <c r="E259" s="20" t="n">
        <f aca="false">E235+E233*da_r-E233*cx_r</f>
        <v>120.836823484723</v>
      </c>
      <c r="F259" s="20" t="n">
        <f aca="false">F235+F233*da_r-F233*cx_r</f>
        <v>130.957320815203</v>
      </c>
      <c r="G259" s="20" t="n">
        <f aca="false">G235+G233*da_r-G233*cx_r</f>
        <v>155.173437017328</v>
      </c>
      <c r="H259" s="24" t="n">
        <f aca="false">H235+H233*da_r-H233*cx_r</f>
        <v>164.938371026067</v>
      </c>
      <c r="I259" s="24" t="n">
        <f aca="false">I235+I233*da_r-I233*cx_r</f>
        <v>169.393388267533</v>
      </c>
      <c r="J259" s="24" t="n">
        <f aca="false">J235+J233*da_r-J233*cx_r</f>
        <v>167.875386539308</v>
      </c>
      <c r="K259" s="4" t="s">
        <v>549</v>
      </c>
    </row>
    <row r="260" customFormat="false" ht="17.15" hidden="false" customHeight="false" outlineLevel="0" collapsed="false">
      <c r="A260" s="4" t="s">
        <v>551</v>
      </c>
      <c r="B260" s="0" t="s">
        <v>209</v>
      </c>
      <c r="D260" s="20" t="n">
        <f aca="false">D247+D245*da_r-D245*cx_r</f>
        <v>73.5479559790653</v>
      </c>
      <c r="E260" s="20" t="n">
        <f aca="false">E247+E245*da_r-E245*cx_r</f>
        <v>120.836823484723</v>
      </c>
      <c r="F260" s="20" t="n">
        <f aca="false">F247+F245*da_r-F245*cx_r</f>
        <v>97.3129053626724</v>
      </c>
      <c r="G260" s="20" t="n">
        <f aca="false">G247+G245*da_r-G245*cx_r</f>
        <v>109.71313586603</v>
      </c>
      <c r="H260" s="24" t="n">
        <f aca="false">H247+H245*da_r-H245*cx_r</f>
        <v>107.069155168526</v>
      </c>
      <c r="I260" s="24" t="n">
        <f aca="false">I247+I245*da_r-I245*cx_r</f>
        <v>101.001179368479</v>
      </c>
      <c r="J260" s="24" t="n">
        <f aca="false">J247+J245*da_r-J245*cx_r</f>
        <v>91.8370698759083</v>
      </c>
      <c r="K260" s="4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552</v>
      </c>
    </row>
    <row r="2" customFormat="false" ht="17.15" hidden="false" customHeight="false" outlineLevel="0" collapsed="false">
      <c r="A2" s="4" t="s">
        <v>553</v>
      </c>
    </row>
    <row r="3" customFormat="false" ht="17.15" hidden="false" customHeight="false" outlineLevel="0" collapsed="false">
      <c r="A3" s="4" t="s">
        <v>554</v>
      </c>
    </row>
    <row r="4" customFormat="false" ht="17.15" hidden="false" customHeight="false" outlineLevel="0" collapsed="false">
      <c r="A4" s="6" t="s">
        <v>555</v>
      </c>
    </row>
    <row r="5" customFormat="false" ht="15" hidden="false" customHeight="false" outlineLevel="0" collapsed="false">
      <c r="A5" s="5" t="s">
        <v>22</v>
      </c>
      <c r="B5" s="12" t="s">
        <v>556</v>
      </c>
      <c r="C5" s="12" t="s">
        <v>557</v>
      </c>
      <c r="D5" s="12" t="s">
        <v>558</v>
      </c>
      <c r="E5" s="5" t="s">
        <v>365</v>
      </c>
    </row>
    <row r="6" customFormat="false" ht="17.15" hidden="false" customHeight="false" outlineLevel="0" collapsed="false">
      <c r="A6" s="4" t="s">
        <v>559</v>
      </c>
      <c r="B6" s="19" t="n">
        <f aca="false">px</f>
        <v>1605</v>
      </c>
    </row>
    <row r="7" customFormat="false" ht="17.15" hidden="false" customHeight="false" outlineLevel="0" collapsed="false">
      <c r="A7" s="4" t="s">
        <v>560</v>
      </c>
      <c r="B7" s="18" t="n">
        <f aca="false">px/PL!D18</f>
        <v>42.3644218096696</v>
      </c>
      <c r="C7" s="18" t="n">
        <f aca="false">px/PL!D35</f>
        <v>42.3644218096696</v>
      </c>
      <c r="D7" s="18" t="n">
        <f aca="false">px/PL!D52</f>
        <v>42.3644218096696</v>
      </c>
    </row>
    <row r="8" customFormat="false" ht="17.15" hidden="false" customHeight="false" outlineLevel="0" collapsed="false">
      <c r="A8" s="4" t="s">
        <v>561</v>
      </c>
      <c r="B8" s="18" t="n">
        <f aca="false">px/PL!E18</f>
        <v>26.4375313125013</v>
      </c>
      <c r="C8" s="18" t="n">
        <f aca="false">px/PL!E35</f>
        <v>26.4375313125013</v>
      </c>
      <c r="D8" s="18" t="n">
        <f aca="false">px/PL!E52</f>
        <v>26.4375313125013</v>
      </c>
      <c r="E8" s="8" t="s">
        <v>562</v>
      </c>
    </row>
    <row r="9" customFormat="false" ht="17.15" hidden="false" customHeight="false" outlineLevel="0" collapsed="false">
      <c r="A9" s="4" t="s">
        <v>563</v>
      </c>
      <c r="B9" s="18" t="n">
        <f aca="false">px/PL!F18</f>
        <v>20.8040591394446</v>
      </c>
      <c r="C9" s="18" t="n">
        <f aca="false">px/PL!F35</f>
        <v>24.4810717461637</v>
      </c>
      <c r="D9" s="18" t="n">
        <f aca="false">px/PL!F52</f>
        <v>31.8061934152608</v>
      </c>
    </row>
    <row r="10" customFormat="false" ht="17.15" hidden="false" customHeight="false" outlineLevel="0" collapsed="false">
      <c r="A10" s="4" t="s">
        <v>564</v>
      </c>
      <c r="B10" s="18" t="n">
        <f aca="false">px/PL!G18</f>
        <v>18.4031147806068</v>
      </c>
      <c r="C10" s="18" t="n">
        <f aca="false">px/PL!G35</f>
        <v>20.8183230477497</v>
      </c>
      <c r="D10" s="18" t="n">
        <f aca="false">px/PL!G52</f>
        <v>28.4075805900587</v>
      </c>
    </row>
    <row r="11" customFormat="false" ht="17.15" hidden="false" customHeight="false" outlineLevel="0" collapsed="false">
      <c r="A11" s="4" t="s">
        <v>565</v>
      </c>
      <c r="B11" s="16" t="n">
        <f aca="false">0.25*PL!D18+0.75*PL!E18</f>
        <v>55.0032518844114</v>
      </c>
    </row>
    <row r="12" customFormat="false" ht="17.15" hidden="false" customHeight="false" outlineLevel="0" collapsed="false">
      <c r="A12" s="4" t="s">
        <v>566</v>
      </c>
      <c r="B12" s="18" t="n">
        <f aca="false">px/B11</f>
        <v>29.180092903832</v>
      </c>
      <c r="E12" s="8" t="s">
        <v>567</v>
      </c>
    </row>
    <row r="13" customFormat="false" ht="17.15" hidden="false" customHeight="false" outlineLevel="0" collapsed="false">
      <c r="A13" s="4" t="s">
        <v>568</v>
      </c>
      <c r="B13" s="18" t="n">
        <f aca="false">pe_ttm</f>
        <v>49.65</v>
      </c>
    </row>
    <row r="15" customFormat="false" ht="17.15" hidden="false" customHeight="false" outlineLevel="0" collapsed="false">
      <c r="A15" s="6" t="s">
        <v>569</v>
      </c>
    </row>
    <row r="16" customFormat="false" ht="17.15" hidden="false" customHeight="false" outlineLevel="0" collapsed="false">
      <c r="A16" s="5" t="s">
        <v>570</v>
      </c>
      <c r="B16" s="5" t="s">
        <v>571</v>
      </c>
      <c r="C16" s="12" t="s">
        <v>572</v>
      </c>
      <c r="D16" s="5" t="s">
        <v>573</v>
      </c>
      <c r="E16" s="5" t="s">
        <v>574</v>
      </c>
      <c r="F16" s="5" t="s">
        <v>365</v>
      </c>
    </row>
    <row r="17" customFormat="false" ht="17.15" hidden="false" customHeight="false" outlineLevel="0" collapsed="false">
      <c r="A17" s="0" t="s">
        <v>556</v>
      </c>
      <c r="B17" s="0" t="n">
        <f aca="false">INDEX({2026,2027,2028,2029},MATCH(MAX(PL!D104:G104),PL!D104:G104,0))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22.4</v>
      </c>
      <c r="E17" s="0" t="str">
        <f aca="false">IF(B17=2029,"是：營收到觀測期末仍在增加","否")</f>
        <v>是：營收到觀測期末仍在增加</v>
      </c>
      <c r="F17" s="8" t="s">
        <v>575</v>
      </c>
    </row>
    <row r="18" customFormat="false" ht="15" hidden="false" customHeight="false" outlineLevel="0" collapsed="false">
      <c r="A18" s="0" t="s">
        <v>557</v>
      </c>
      <c r="B18" s="0" t="n">
        <f aca="false">INDEX({2026,2027,2028,2029},MATCH(MAX(PL!D150:G150),PL!D150:G150,0))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22.4</v>
      </c>
      <c r="E18" s="0" t="str">
        <f aca="false">IF(B18=2029,"是：營收到觀測期末仍在增加","否")</f>
        <v>是：營收到觀測期末仍在增加</v>
      </c>
      <c r="F18" s="4" t="s">
        <v>39</v>
      </c>
    </row>
    <row r="19" customFormat="false" ht="15" hidden="false" customHeight="false" outlineLevel="0" collapsed="false">
      <c r="A19" s="0" t="s">
        <v>558</v>
      </c>
      <c r="B19" s="0" t="n">
        <f aca="false">INDEX({2026,2027,2028,2029},MATCH(MAX(PL!D196:G196),PL!D196:G196,0))</f>
        <v>2029</v>
      </c>
      <c r="C19" s="0" t="str">
        <f aca="false">IF(B19=2029,"中段",IF(2027&lt;B19,"中段",IF(2027=B19,"見頂","谷底")))</f>
        <v>中段</v>
      </c>
      <c r="D19" s="18" t="n">
        <f aca="false">IF(C19="見頂",pe_peak,IF(C19="谷底",pe_trough,pe_mid))</f>
        <v>22.4</v>
      </c>
      <c r="E19" s="0" t="str">
        <f aca="false">IF(B19=2029,"是：營收到觀測期末仍在增加","否")</f>
        <v>是：營收到觀測期末仍在增加</v>
      </c>
      <c r="F19" s="4" t="s">
        <v>39</v>
      </c>
    </row>
    <row r="21" customFormat="false" ht="17.15" hidden="false" customHeight="false" outlineLevel="0" collapsed="false">
      <c r="A21" s="6" t="s">
        <v>576</v>
      </c>
    </row>
    <row r="22" customFormat="false" ht="17.15" hidden="false" customHeight="false" outlineLevel="0" collapsed="false">
      <c r="A22" s="5" t="s">
        <v>570</v>
      </c>
      <c r="B22" s="12" t="s">
        <v>577</v>
      </c>
      <c r="C22" s="5" t="s">
        <v>578</v>
      </c>
      <c r="D22" s="5" t="s">
        <v>579</v>
      </c>
      <c r="E22" s="5" t="s">
        <v>580</v>
      </c>
      <c r="F22" s="5" t="s">
        <v>581</v>
      </c>
      <c r="G22" s="5" t="s">
        <v>582</v>
      </c>
    </row>
    <row r="23" customFormat="false" ht="15" hidden="false" customHeight="false" outlineLevel="0" collapsed="false">
      <c r="A23" s="10" t="s">
        <v>556</v>
      </c>
      <c r="B23" s="28" t="n">
        <f aca="false">PL!E18</f>
        <v>60.7091479544104</v>
      </c>
      <c r="C23" s="28" t="n">
        <f aca="false">B23</f>
        <v>60.7091479544104</v>
      </c>
      <c r="D23" s="29" t="n">
        <f aca="false">D17</f>
        <v>22.4</v>
      </c>
      <c r="E23" s="30" t="n">
        <f aca="false">C23*D23</f>
        <v>1359.88491417879</v>
      </c>
      <c r="F23" s="31" t="n">
        <f aca="false">E23/px-1</f>
        <v>-0.152719679639382</v>
      </c>
      <c r="G23" s="29" t="n">
        <f aca="false">px/C23</f>
        <v>26.4375313125013</v>
      </c>
    </row>
    <row r="24" customFormat="false" ht="15" hidden="false" customHeight="false" outlineLevel="0" collapsed="false">
      <c r="A24" s="10" t="s">
        <v>557</v>
      </c>
      <c r="B24" s="28" t="n">
        <f aca="false">PL!E35</f>
        <v>60.7091479544104</v>
      </c>
      <c r="C24" s="28" t="n">
        <f aca="false">B24</f>
        <v>60.7091479544104</v>
      </c>
      <c r="D24" s="29" t="n">
        <f aca="false">D18</f>
        <v>22.4</v>
      </c>
      <c r="E24" s="30" t="n">
        <f aca="false">C24*D24</f>
        <v>1359.88491417879</v>
      </c>
      <c r="F24" s="31" t="n">
        <f aca="false">E24/px-1</f>
        <v>-0.152719679639382</v>
      </c>
      <c r="G24" s="29" t="n">
        <f aca="false">px/C24</f>
        <v>26.4375313125013</v>
      </c>
    </row>
    <row r="25" customFormat="false" ht="15" hidden="false" customHeight="false" outlineLevel="0" collapsed="false">
      <c r="A25" s="10" t="s">
        <v>558</v>
      </c>
      <c r="B25" s="28" t="n">
        <f aca="false">PL!E52</f>
        <v>60.7091479544104</v>
      </c>
      <c r="C25" s="28" t="n">
        <f aca="false">B25</f>
        <v>60.7091479544104</v>
      </c>
      <c r="D25" s="29" t="n">
        <f aca="false">D19</f>
        <v>22.4</v>
      </c>
      <c r="E25" s="30" t="n">
        <f aca="false">C25*D25</f>
        <v>1359.88491417879</v>
      </c>
      <c r="F25" s="31" t="n">
        <f aca="false">E25/px-1</f>
        <v>-0.152719679639382</v>
      </c>
      <c r="G25" s="29" t="n">
        <f aca="false">px/C25</f>
        <v>26.4375313125013</v>
      </c>
    </row>
    <row r="26" customFormat="false" ht="17.15" hidden="false" customHeight="false" outlineLevel="0" collapsed="false">
      <c r="A26" s="6" t="s">
        <v>583</v>
      </c>
    </row>
    <row r="27" customFormat="false" ht="17.15" hidden="false" customHeight="false" outlineLevel="0" collapsed="false">
      <c r="A27" s="12" t="s">
        <v>584</v>
      </c>
      <c r="B27" s="5" t="s">
        <v>585</v>
      </c>
      <c r="C27" s="5" t="s">
        <v>586</v>
      </c>
      <c r="D27" s="5" t="s">
        <v>587</v>
      </c>
      <c r="E27" s="5" t="s">
        <v>588</v>
      </c>
    </row>
    <row r="28" customFormat="false" ht="15" hidden="false" customHeight="false" outlineLevel="0" collapsed="false">
      <c r="A28" s="17" t="n">
        <v>1</v>
      </c>
      <c r="B28" s="18" t="n">
        <f aca="false">px*A28/PL!F18</f>
        <v>20.8040591394446</v>
      </c>
      <c r="C28" s="18" t="n">
        <f aca="false">px*A28/PL!F52</f>
        <v>31.8061934152608</v>
      </c>
      <c r="D28" s="18" t="n">
        <f aca="false">pe_fair_andy</f>
        <v>25</v>
      </c>
      <c r="E28" s="18" t="n">
        <f aca="false">pe_mid</f>
        <v>22.4</v>
      </c>
    </row>
    <row r="29" customFormat="false" ht="15" hidden="false" customHeight="false" outlineLevel="0" collapsed="false">
      <c r="A29" s="17" t="n">
        <v>1.1</v>
      </c>
      <c r="B29" s="18" t="n">
        <f aca="false">px*A29/PL!F18</f>
        <v>22.8844650533891</v>
      </c>
      <c r="C29" s="18" t="n">
        <f aca="false">px*A29/PL!F52</f>
        <v>34.9868127567869</v>
      </c>
      <c r="D29" s="18" t="n">
        <f aca="false">pe_fair_andy</f>
        <v>25</v>
      </c>
      <c r="E29" s="18" t="n">
        <f aca="false">pe_mid</f>
        <v>22.4</v>
      </c>
    </row>
    <row r="30" customFormat="false" ht="15" hidden="false" customHeight="false" outlineLevel="0" collapsed="false">
      <c r="A30" s="17" t="n">
        <v>1.21</v>
      </c>
      <c r="B30" s="18" t="n">
        <f aca="false">px*A30/PL!F18</f>
        <v>25.172911558728</v>
      </c>
      <c r="C30" s="18" t="n">
        <f aca="false">px*A30/PL!F52</f>
        <v>38.4854940324656</v>
      </c>
      <c r="D30" s="18" t="n">
        <f aca="false">pe_fair_andy</f>
        <v>25</v>
      </c>
      <c r="E30" s="18" t="n">
        <f aca="false">pe_mid</f>
        <v>22.4</v>
      </c>
    </row>
    <row r="31" customFormat="false" ht="15" hidden="false" customHeight="false" outlineLevel="0" collapsed="false">
      <c r="A31" s="17" t="n">
        <v>1.5</v>
      </c>
      <c r="B31" s="18" t="n">
        <f aca="false">px*A31/PL!F18</f>
        <v>31.2060887091669</v>
      </c>
      <c r="C31" s="18" t="n">
        <f aca="false">px*A31/PL!F52</f>
        <v>47.7092901228913</v>
      </c>
      <c r="D31" s="18" t="n">
        <f aca="false">pe_fair_andy</f>
        <v>25</v>
      </c>
      <c r="E31" s="18" t="n">
        <f aca="false">pe_mid</f>
        <v>22.4</v>
      </c>
    </row>
    <row r="32" customFormat="false" ht="15" hidden="false" customHeight="false" outlineLevel="0" collapsed="false">
      <c r="A32" s="17" t="n">
        <v>2</v>
      </c>
      <c r="B32" s="18" t="n">
        <f aca="false">px*A32/PL!F18</f>
        <v>41.6081182788892</v>
      </c>
      <c r="C32" s="18" t="n">
        <f aca="false">px*A32/PL!F52</f>
        <v>63.6123868305217</v>
      </c>
      <c r="D32" s="18" t="n">
        <f aca="false">pe_fair_andy</f>
        <v>25</v>
      </c>
      <c r="E32" s="18" t="n">
        <f aca="false">pe_mid</f>
        <v>22.4</v>
      </c>
    </row>
    <row r="33" customFormat="false" ht="17.15" hidden="false" customHeight="false" outlineLevel="0" collapsed="false">
      <c r="A33" s="4" t="s">
        <v>589</v>
      </c>
    </row>
    <row r="35" customFormat="false" ht="17.15" hidden="false" customHeight="false" outlineLevel="0" collapsed="false">
      <c r="A35" s="6" t="s">
        <v>590</v>
      </c>
    </row>
    <row r="36" customFormat="false" ht="15" hidden="false" customHeight="false" outlineLevel="0" collapsed="false">
      <c r="A36" s="5" t="s">
        <v>570</v>
      </c>
      <c r="B36" s="12" t="s">
        <v>577</v>
      </c>
      <c r="C36" s="12" t="s">
        <v>591</v>
      </c>
      <c r="D36" s="5" t="s">
        <v>581</v>
      </c>
      <c r="E36" s="12" t="s">
        <v>592</v>
      </c>
      <c r="F36" s="12" t="s">
        <v>591</v>
      </c>
      <c r="G36" s="5" t="s">
        <v>581</v>
      </c>
    </row>
    <row r="37" customFormat="false" ht="15" hidden="false" customHeight="false" outlineLevel="0" collapsed="false">
      <c r="A37" s="0" t="s">
        <v>556</v>
      </c>
      <c r="B37" s="16" t="n">
        <f aca="false">PL!E18</f>
        <v>60.7091479544104</v>
      </c>
      <c r="C37" s="19" t="n">
        <f aca="false">B37*pe_fair_andy</f>
        <v>1517.72869886026</v>
      </c>
      <c r="D37" s="32" t="n">
        <f aca="false">C37/px-1</f>
        <v>-0.0543746424546671</v>
      </c>
      <c r="E37" s="16" t="n">
        <f aca="false">PL!F18</f>
        <v>77.1484059549183</v>
      </c>
      <c r="F37" s="19" t="n">
        <f aca="false">E37*pe_fair_andy</f>
        <v>1928.71014887296</v>
      </c>
      <c r="G37" s="32" t="n">
        <f aca="false">F37/px-1</f>
        <v>0.201688566275985</v>
      </c>
    </row>
    <row r="38" customFormat="false" ht="15" hidden="false" customHeight="false" outlineLevel="0" collapsed="false">
      <c r="A38" s="0" t="s">
        <v>557</v>
      </c>
      <c r="B38" s="16" t="n">
        <f aca="false">PL!E35</f>
        <v>60.7091479544104</v>
      </c>
      <c r="C38" s="19" t="n">
        <f aca="false">B38*pe_fair_andy</f>
        <v>1517.72869886026</v>
      </c>
      <c r="D38" s="32" t="n">
        <f aca="false">C38/px-1</f>
        <v>-0.0543746424546671</v>
      </c>
      <c r="E38" s="16" t="n">
        <f aca="false">PL!F35</f>
        <v>65.5608552044504</v>
      </c>
      <c r="F38" s="19" t="n">
        <f aca="false">E38*pe_fair_andy</f>
        <v>1639.02138011126</v>
      </c>
      <c r="G38" s="32" t="n">
        <f aca="false">F38/px-1</f>
        <v>0.0211971215646483</v>
      </c>
    </row>
    <row r="39" customFormat="false" ht="15" hidden="false" customHeight="false" outlineLevel="0" collapsed="false">
      <c r="A39" s="0" t="s">
        <v>558</v>
      </c>
      <c r="B39" s="16" t="n">
        <f aca="false">PL!E52</f>
        <v>60.7091479544104</v>
      </c>
      <c r="C39" s="19" t="n">
        <f aca="false">B39*pe_fair_andy</f>
        <v>1517.72869886026</v>
      </c>
      <c r="D39" s="32" t="n">
        <f aca="false">C39/px-1</f>
        <v>-0.0543746424546671</v>
      </c>
      <c r="E39" s="16" t="n">
        <f aca="false">PL!F52</f>
        <v>50.461870084394</v>
      </c>
      <c r="F39" s="19" t="n">
        <f aca="false">E39*pe_fair_andy</f>
        <v>1261.54675210985</v>
      </c>
      <c r="G39" s="32" t="n">
        <f aca="false">F39/px-1</f>
        <v>-0.21398956254838</v>
      </c>
    </row>
    <row r="41" customFormat="false" ht="17.15" hidden="false" customHeight="false" outlineLevel="0" collapsed="false">
      <c r="A41" s="1" t="s">
        <v>593</v>
      </c>
    </row>
    <row r="42" customFormat="false" ht="17.15" hidden="false" customHeight="false" outlineLevel="0" collapsed="false">
      <c r="A42" s="33" t="s">
        <v>594</v>
      </c>
      <c r="B42" s="30" t="n">
        <f aca="false">tp_wA*B44+tp_wB*B45+tp_wC*B46</f>
        <v>1359.88491417879</v>
      </c>
      <c r="C42" s="10"/>
      <c r="D42" s="10"/>
      <c r="E42" s="34" t="s">
        <v>595</v>
      </c>
    </row>
    <row r="43" customFormat="false" ht="17.15" hidden="false" customHeight="false" outlineLevel="0" collapsed="false">
      <c r="A43" s="34" t="s">
        <v>596</v>
      </c>
      <c r="B43" s="35" t="n">
        <f aca="false">B42/px-1</f>
        <v>-0.152719679639382</v>
      </c>
      <c r="C43" s="34"/>
      <c r="D43" s="34"/>
      <c r="E43" s="34" t="s">
        <v>597</v>
      </c>
    </row>
    <row r="44" customFormat="false" ht="17.15" hidden="false" customHeight="false" outlineLevel="0" collapsed="false">
      <c r="A44" s="4" t="s">
        <v>598</v>
      </c>
      <c r="B44" s="19" t="n">
        <f aca="false">E23</f>
        <v>1359.88491417879</v>
      </c>
      <c r="E44" s="4" t="s">
        <v>599</v>
      </c>
    </row>
    <row r="45" customFormat="false" ht="17.15" hidden="false" customHeight="false" outlineLevel="0" collapsed="false">
      <c r="A45" s="4" t="s">
        <v>600</v>
      </c>
      <c r="B45" s="19" t="n">
        <f aca="false">E24</f>
        <v>1359.88491417879</v>
      </c>
      <c r="E45" s="4" t="s">
        <v>601</v>
      </c>
    </row>
    <row r="46" customFormat="false" ht="17.15" hidden="false" customHeight="false" outlineLevel="0" collapsed="false">
      <c r="A46" s="4" t="s">
        <v>602</v>
      </c>
      <c r="B46" s="19" t="n">
        <f aca="false">E25</f>
        <v>1359.88491417879</v>
      </c>
      <c r="E46" s="4" t="s">
        <v>603</v>
      </c>
    </row>
    <row r="47" customFormat="false" ht="17.15" hidden="false" customHeight="false" outlineLevel="0" collapsed="false">
      <c r="A47" s="4" t="s">
        <v>604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605</v>
      </c>
    </row>
    <row r="48" customFormat="false" ht="17.15" hidden="false" customHeight="false" outlineLevel="0" collapsed="false">
      <c r="A48" s="4" t="s">
        <v>606</v>
      </c>
      <c r="B48" s="0" t="s">
        <v>607</v>
      </c>
    </row>
    <row r="50" customFormat="false" ht="17.15" hidden="false" customHeight="false" outlineLevel="0" collapsed="false">
      <c r="A50" s="6" t="s">
        <v>608</v>
      </c>
    </row>
    <row r="51" customFormat="false" ht="17.15" hidden="false" customHeight="false" outlineLevel="0" collapsed="false">
      <c r="A51" s="4" t="s">
        <v>609</v>
      </c>
    </row>
    <row r="53" customFormat="false" ht="17.15" hidden="false" customHeight="false" outlineLevel="0" collapsed="false">
      <c r="A53" s="6" t="s">
        <v>610</v>
      </c>
    </row>
    <row r="54" customFormat="false" ht="17.15" hidden="false" customHeight="false" outlineLevel="0" collapsed="false">
      <c r="A54" s="5" t="s">
        <v>611</v>
      </c>
      <c r="B54" s="12" t="s">
        <v>612</v>
      </c>
      <c r="C54" s="5" t="s">
        <v>613</v>
      </c>
    </row>
    <row r="55" customFormat="false" ht="17.15" hidden="false" customHeight="false" outlineLevel="0" collapsed="false">
      <c r="A55" s="0" t="s">
        <v>614</v>
      </c>
      <c r="B55" s="17" t="n">
        <v>17.2</v>
      </c>
      <c r="C55" s="8" t="s">
        <v>615</v>
      </c>
    </row>
    <row r="56" customFormat="false" ht="15" hidden="false" customHeight="false" outlineLevel="0" collapsed="false">
      <c r="A56" s="0" t="s">
        <v>616</v>
      </c>
      <c r="B56" s="17" t="n">
        <v>16.4</v>
      </c>
    </row>
    <row r="57" customFormat="false" ht="15" hidden="false" customHeight="false" outlineLevel="0" collapsed="false">
      <c r="A57" s="0" t="s">
        <v>617</v>
      </c>
      <c r="B57" s="17" t="n">
        <v>15.3</v>
      </c>
    </row>
    <row r="58" customFormat="false" ht="15" hidden="false" customHeight="false" outlineLevel="0" collapsed="false">
      <c r="A58" s="0" t="s">
        <v>618</v>
      </c>
      <c r="B58" s="17" t="n">
        <v>14.9</v>
      </c>
    </row>
    <row r="59" customFormat="false" ht="15" hidden="false" customHeight="false" outlineLevel="0" collapsed="false">
      <c r="A59" s="0" t="s">
        <v>619</v>
      </c>
      <c r="B59" s="17" t="n">
        <v>23.8</v>
      </c>
    </row>
    <row r="60" customFormat="false" ht="15" hidden="false" customHeight="false" outlineLevel="0" collapsed="false">
      <c r="A60" s="0" t="s">
        <v>620</v>
      </c>
      <c r="B60" s="17" t="n">
        <v>24.4</v>
      </c>
    </row>
    <row r="61" customFormat="false" ht="15" hidden="false" customHeight="false" outlineLevel="0" collapsed="false">
      <c r="A61" s="0" t="s">
        <v>621</v>
      </c>
      <c r="B61" s="17" t="n">
        <v>21.3</v>
      </c>
    </row>
    <row r="62" customFormat="false" ht="15" hidden="false" customHeight="false" outlineLevel="0" collapsed="false">
      <c r="A62" s="0" t="s">
        <v>622</v>
      </c>
      <c r="B62" s="17" t="n">
        <v>23.5</v>
      </c>
    </row>
    <row r="63" customFormat="false" ht="15" hidden="false" customHeight="false" outlineLevel="0" collapsed="false">
      <c r="A63" s="0" t="s">
        <v>623</v>
      </c>
      <c r="B63" s="17" t="n">
        <v>31.5</v>
      </c>
    </row>
    <row r="64" customFormat="false" ht="15" hidden="false" customHeight="false" outlineLevel="0" collapsed="false">
      <c r="A64" s="0" t="s">
        <v>624</v>
      </c>
      <c r="B64" s="17" t="n">
        <v>41.5</v>
      </c>
    </row>
    <row r="65" customFormat="false" ht="17.15" hidden="false" customHeight="false" outlineLevel="0" collapsed="false">
      <c r="A65" s="0" t="s">
        <v>625</v>
      </c>
      <c r="B65" s="16" t="n">
        <f aca="false">PERCENTILE(B55:B64,0.25)</f>
        <v>16.6</v>
      </c>
    </row>
    <row r="66" customFormat="false" ht="15" hidden="false" customHeight="false" outlineLevel="0" collapsed="false">
      <c r="A66" s="4" t="s">
        <v>626</v>
      </c>
      <c r="B66" s="16" t="n">
        <f aca="false">MEDIAN(B55:B64)</f>
        <v>22.4</v>
      </c>
    </row>
    <row r="67" customFormat="false" ht="17.15" hidden="false" customHeight="false" outlineLevel="0" collapsed="false">
      <c r="A67" s="0" t="s">
        <v>627</v>
      </c>
      <c r="B67" s="16" t="n">
        <f aca="false">PERCENTILE(B55:B64,0.75)</f>
        <v>24.25</v>
      </c>
    </row>
    <row r="68" customFormat="false" ht="15" hidden="false" customHeight="false" outlineLevel="0" collapsed="false">
      <c r="A68" s="4" t="s">
        <v>628</v>
      </c>
      <c r="B68" s="16" t="n">
        <f aca="false">MIN(B55:B64)</f>
        <v>14.9</v>
      </c>
    </row>
    <row r="69" customFormat="false" ht="15" hidden="false" customHeight="false" outlineLevel="0" collapsed="false">
      <c r="A69" s="4" t="s">
        <v>629</v>
      </c>
      <c r="B69" s="16" t="n">
        <f aca="false">MAX(B55:B64)</f>
        <v>41.5</v>
      </c>
    </row>
    <row r="70" customFormat="false" ht="17.15" hidden="false" customHeight="false" outlineLevel="0" collapsed="false">
      <c r="A70" s="1" t="s">
        <v>630</v>
      </c>
      <c r="B70" s="16" t="n">
        <f aca="false">ROUND(AVERAGE(B65),2)</f>
        <v>16.6</v>
      </c>
    </row>
    <row r="71" customFormat="false" ht="17.15" hidden="false" customHeight="false" outlineLevel="0" collapsed="false">
      <c r="A71" s="1" t="s">
        <v>631</v>
      </c>
      <c r="B71" s="16" t="n">
        <f aca="false">ROUND(AVERAGE(B66),2)</f>
        <v>22.4</v>
      </c>
    </row>
    <row r="72" customFormat="false" ht="17.15" hidden="false" customHeight="false" outlineLevel="0" collapsed="false">
      <c r="A72" s="1" t="s">
        <v>632</v>
      </c>
      <c r="B72" s="16" t="n">
        <f aca="false">ROUND(AVERAGE(B67),2)</f>
        <v>24.25</v>
      </c>
    </row>
    <row r="73" customFormat="false" ht="17.15" hidden="false" customHeight="false" outlineLevel="0" collapsed="false">
      <c r="A73" s="1" t="s">
        <v>633</v>
      </c>
      <c r="B73" s="16" t="n">
        <f aca="false">ROUND(MIN(B68),2)</f>
        <v>14.9</v>
      </c>
    </row>
    <row r="74" customFormat="false" ht="17.15" hidden="false" customHeight="false" outlineLevel="0" collapsed="false">
      <c r="A74" s="1" t="s">
        <v>634</v>
      </c>
      <c r="B74" s="16" t="n">
        <f aca="false">ROUND(MAX(B69),2)</f>
        <v>41.5</v>
      </c>
    </row>
    <row r="76" customFormat="false" ht="17.15" hidden="false" customHeight="false" outlineLevel="0" collapsed="false">
      <c r="A76" s="6" t="s">
        <v>635</v>
      </c>
    </row>
    <row r="77" customFormat="false" ht="17.15" hidden="false" customHeight="false" outlineLevel="0" collapsed="false">
      <c r="A77" s="5" t="s">
        <v>636</v>
      </c>
      <c r="B77" s="5" t="s">
        <v>637</v>
      </c>
      <c r="C77" s="5" t="s">
        <v>638</v>
      </c>
      <c r="D77" s="5" t="s">
        <v>25</v>
      </c>
      <c r="E77" s="5" t="s">
        <v>639</v>
      </c>
      <c r="F77" s="5" t="s">
        <v>580</v>
      </c>
      <c r="G77" s="5" t="s">
        <v>640</v>
      </c>
      <c r="H77" s="5" t="s">
        <v>641</v>
      </c>
    </row>
    <row r="78" customFormat="false" ht="17.15" hidden="false" customHeight="false" outlineLevel="0" collapsed="false">
      <c r="A78" s="4" t="s">
        <v>642</v>
      </c>
      <c r="B78" s="0" t="s">
        <v>643</v>
      </c>
      <c r="C78" s="16" t="n">
        <f aca="false">B70</f>
        <v>16.6</v>
      </c>
      <c r="D78" s="8" t="s">
        <v>644</v>
      </c>
      <c r="E78" s="21" t="n">
        <f aca="false">C23</f>
        <v>60.7091479544104</v>
      </c>
      <c r="F78" s="20" t="n">
        <f aca="false">C78*E78</f>
        <v>1007.77185604321</v>
      </c>
      <c r="G78" s="15" t="n">
        <f aca="false">F78/px-1</f>
        <v>-0.372104762589899</v>
      </c>
      <c r="H78" s="16" t="n">
        <f aca="false">px/E78</f>
        <v>26.4375313125013</v>
      </c>
    </row>
    <row r="79" customFormat="false" ht="17.15" hidden="false" customHeight="false" outlineLevel="0" collapsed="false">
      <c r="A79" s="4" t="s">
        <v>645</v>
      </c>
      <c r="B79" s="4" t="s">
        <v>646</v>
      </c>
      <c r="C79" s="16" t="n">
        <f aca="false">B71</f>
        <v>22.4</v>
      </c>
      <c r="D79" s="8" t="s">
        <v>644</v>
      </c>
      <c r="E79" s="21" t="n">
        <f aca="false">C23</f>
        <v>60.7091479544104</v>
      </c>
      <c r="F79" s="20" t="n">
        <f aca="false">C79*E79</f>
        <v>1359.88491417879</v>
      </c>
      <c r="G79" s="15" t="n">
        <f aca="false">F79/px-1</f>
        <v>-0.152719679639382</v>
      </c>
      <c r="H79" s="16" t="n">
        <f aca="false">px/E79</f>
        <v>26.4375313125013</v>
      </c>
    </row>
    <row r="80" customFormat="false" ht="17.15" hidden="false" customHeight="false" outlineLevel="0" collapsed="false">
      <c r="A80" s="4" t="s">
        <v>647</v>
      </c>
      <c r="B80" s="0" t="s">
        <v>648</v>
      </c>
      <c r="C80" s="16" t="n">
        <f aca="false">B72</f>
        <v>24.25</v>
      </c>
      <c r="D80" s="8" t="s">
        <v>644</v>
      </c>
      <c r="E80" s="21" t="n">
        <f aca="false">C23</f>
        <v>60.7091479544104</v>
      </c>
      <c r="F80" s="20" t="n">
        <f aca="false">C80*E80</f>
        <v>1472.19683789445</v>
      </c>
      <c r="G80" s="15" t="n">
        <f aca="false">F80/px-1</f>
        <v>-0.0827434031810271</v>
      </c>
      <c r="H80" s="16" t="n">
        <f aca="false">px/E80</f>
        <v>26.4375313125013</v>
      </c>
    </row>
    <row r="85" customFormat="false" ht="17.15" hidden="false" customHeight="false" outlineLevel="0" collapsed="false">
      <c r="A85" s="6" t="s">
        <v>649</v>
      </c>
    </row>
    <row r="86" customFormat="false" ht="17.15" hidden="false" customHeight="false" outlineLevel="0" collapsed="false">
      <c r="A86" s="6" t="s">
        <v>650</v>
      </c>
    </row>
    <row r="87" customFormat="false" ht="17.15" hidden="false" customHeight="false" outlineLevel="0" collapsed="false">
      <c r="A87" s="5" t="s">
        <v>22</v>
      </c>
      <c r="B87" s="12" t="s">
        <v>651</v>
      </c>
      <c r="C87" s="12" t="s">
        <v>652</v>
      </c>
      <c r="D87" s="12" t="s">
        <v>653</v>
      </c>
      <c r="E87" s="5" t="s">
        <v>365</v>
      </c>
    </row>
    <row r="88" customFormat="false" ht="17.15" hidden="false" customHeight="false" outlineLevel="0" collapsed="false">
      <c r="A88" s="4" t="s">
        <v>654</v>
      </c>
      <c r="E88" s="0" t="s">
        <v>655</v>
      </c>
    </row>
    <row r="89" customFormat="false" ht="15" hidden="false" customHeight="false" outlineLevel="0" collapsed="false">
      <c r="A89" s="0" t="s">
        <v>656</v>
      </c>
      <c r="B89" s="16" t="n">
        <f aca="false">PL!E226</f>
        <v>60.7091479544104</v>
      </c>
      <c r="C89" s="16" t="n">
        <f aca="false">PL!E238</f>
        <v>60.7091479544104</v>
      </c>
      <c r="D89" s="16" t="n">
        <f aca="false">PL!E250</f>
        <v>60.7091479544104</v>
      </c>
    </row>
    <row r="90" customFormat="false" ht="15" hidden="false" customHeight="false" outlineLevel="0" collapsed="false">
      <c r="A90" s="0" t="s">
        <v>657</v>
      </c>
      <c r="B90" s="16" t="n">
        <f aca="false">PL!F226</f>
        <v>77.1484059549183</v>
      </c>
      <c r="C90" s="16" t="n">
        <f aca="false">PL!F238</f>
        <v>65.5608552044504</v>
      </c>
      <c r="D90" s="16" t="n">
        <f aca="false">PL!F250</f>
        <v>50.461870084394</v>
      </c>
    </row>
    <row r="91" customFormat="false" ht="15" hidden="false" customHeight="false" outlineLevel="0" collapsed="false">
      <c r="A91" s="0" t="s">
        <v>658</v>
      </c>
      <c r="B91" s="16" t="n">
        <f aca="false">PL!G226</f>
        <v>87.2134972331611</v>
      </c>
      <c r="C91" s="16" t="n">
        <f aca="false">PL!G238</f>
        <v>77.0955468564261</v>
      </c>
      <c r="D91" s="16" t="n">
        <f aca="false">PL!G250</f>
        <v>56.4990036695231</v>
      </c>
    </row>
    <row r="92" customFormat="false" ht="15" hidden="false" customHeight="false" outlineLevel="0" collapsed="false">
      <c r="A92" s="0" t="s">
        <v>659</v>
      </c>
      <c r="B92" s="16" t="n">
        <f aca="false">PL!H226</f>
        <v>95.4222149842682</v>
      </c>
      <c r="C92" s="16" t="n">
        <f aca="false">PL!H238</f>
        <v>82.7771883793079</v>
      </c>
      <c r="D92" s="16" t="n">
        <f aca="false">PL!H250</f>
        <v>56.501240248582</v>
      </c>
    </row>
    <row r="93" customFormat="false" ht="15" hidden="false" customHeight="false" outlineLevel="0" collapsed="false">
      <c r="A93" s="0" t="s">
        <v>660</v>
      </c>
      <c r="B93" s="16" t="n">
        <f aca="false">PL!I226</f>
        <v>102.775551197315</v>
      </c>
      <c r="C93" s="16" t="n">
        <f aca="false">PL!I238</f>
        <v>85.9457893192728</v>
      </c>
      <c r="D93" s="16" t="n">
        <f aca="false">PL!I250</f>
        <v>54.8649699959224</v>
      </c>
    </row>
    <row r="94" customFormat="false" ht="15" hidden="false" customHeight="false" outlineLevel="0" collapsed="false">
      <c r="A94" s="0" t="s">
        <v>661</v>
      </c>
      <c r="B94" s="16" t="n">
        <f aca="false">PL!J226</f>
        <v>108.942084269154</v>
      </c>
      <c r="C94" s="16" t="n">
        <f aca="false">PL!J238</f>
        <v>86.1913487173279</v>
      </c>
      <c r="D94" s="16" t="n">
        <f aca="false">PL!J250</f>
        <v>51.6574794423147</v>
      </c>
    </row>
    <row r="95" customFormat="false" ht="17.15" hidden="false" customHeight="false" outlineLevel="0" collapsed="false">
      <c r="A95" s="4" t="s">
        <v>662</v>
      </c>
    </row>
    <row r="96" customFormat="false" ht="17.15" hidden="false" customHeight="false" outlineLevel="0" collapsed="false">
      <c r="A96" s="4" t="s">
        <v>663</v>
      </c>
      <c r="B96" s="15" t="n">
        <f aca="false">MIN(tp_g/tp_roe,0.8)</f>
        <v>0.22002200220022</v>
      </c>
      <c r="E96" s="8" t="s">
        <v>664</v>
      </c>
    </row>
    <row r="97" customFormat="false" ht="15" hidden="false" customHeight="false" outlineLevel="0" collapsed="false">
      <c r="A97" s="0" t="s">
        <v>656</v>
      </c>
      <c r="B97" s="16" t="n">
        <f aca="false">B89*(1-$B$96)</f>
        <v>47.3517996696116</v>
      </c>
      <c r="C97" s="16" t="n">
        <f aca="false">C89*(1-$B$96)</f>
        <v>47.3517996696116</v>
      </c>
      <c r="D97" s="16" t="n">
        <f aca="false">D89*(1-$B$96)</f>
        <v>47.3517996696116</v>
      </c>
    </row>
    <row r="98" customFormat="false" ht="15" hidden="false" customHeight="false" outlineLevel="0" collapsed="false">
      <c r="A98" s="0" t="s">
        <v>657</v>
      </c>
      <c r="B98" s="16" t="n">
        <f aca="false">B90*(1-$B$96)</f>
        <v>60.1740592101618</v>
      </c>
      <c r="C98" s="16" t="n">
        <f aca="false">C90*(1-$B$96)</f>
        <v>51.1360245764085</v>
      </c>
      <c r="D98" s="16" t="n">
        <f aca="false">D90*(1-$B$96)</f>
        <v>39.3591483936582</v>
      </c>
    </row>
    <row r="99" customFormat="false" ht="15" hidden="false" customHeight="false" outlineLevel="0" collapsed="false">
      <c r="A99" s="0" t="s">
        <v>658</v>
      </c>
      <c r="B99" s="16" t="n">
        <f aca="false">B91*(1-$B$96)</f>
        <v>68.0246089530377</v>
      </c>
      <c r="C99" s="16" t="n">
        <f aca="false">C91*(1-$B$96)</f>
        <v>60.1328302763544</v>
      </c>
      <c r="D99" s="16" t="n">
        <f aca="false">D91*(1-$B$96)</f>
        <v>44.067979759837</v>
      </c>
    </row>
    <row r="100" customFormat="false" ht="15" hidden="false" customHeight="false" outlineLevel="0" collapsed="false">
      <c r="A100" s="0" t="s">
        <v>659</v>
      </c>
      <c r="B100" s="16" t="n">
        <f aca="false">B92*(1-$B$96)</f>
        <v>74.4272281890497</v>
      </c>
      <c r="C100" s="16" t="n">
        <f aca="false">C92*(1-$B$96)</f>
        <v>64.5643856555878</v>
      </c>
      <c r="D100" s="16" t="n">
        <f aca="false">D92*(1-$B$96)</f>
        <v>44.0697242422934</v>
      </c>
    </row>
    <row r="101" customFormat="false" ht="15" hidden="false" customHeight="false" outlineLevel="0" collapsed="false">
      <c r="A101" s="0" t="s">
        <v>660</v>
      </c>
      <c r="B101" s="16" t="n">
        <f aca="false">B93*(1-$B$96)</f>
        <v>80.1626686456503</v>
      </c>
      <c r="C101" s="16" t="n">
        <f aca="false">C93*(1-$B$96)</f>
        <v>67.0358246725681</v>
      </c>
      <c r="D101" s="16" t="n">
        <f aca="false">D93*(1-$B$96)</f>
        <v>42.7934694467646</v>
      </c>
    </row>
    <row r="102" customFormat="false" ht="15" hidden="false" customHeight="false" outlineLevel="0" collapsed="false">
      <c r="A102" s="0" t="s">
        <v>661</v>
      </c>
      <c r="B102" s="16" t="n">
        <f aca="false">B94*(1-$B$96)</f>
        <v>84.9724287643894</v>
      </c>
      <c r="C102" s="16" t="n">
        <f aca="false">C94*(1-$B$96)</f>
        <v>67.227355600204</v>
      </c>
      <c r="D102" s="16" t="n">
        <f aca="false">D94*(1-$B$96)</f>
        <v>40.2916973867999</v>
      </c>
    </row>
    <row r="103" customFormat="false" ht="17.15" hidden="false" customHeight="false" outlineLevel="0" collapsed="false">
      <c r="A103" s="0" t="s">
        <v>665</v>
      </c>
      <c r="B103" s="19" t="n">
        <f aca="false">SUMPRODUCT(B97:B102,1/(1+tp_r)^{1;2;3;4;5;6})+B102*(1+tp_g)/(tp_r-tp_g)/(1+tp_r)^6</f>
        <v>1123.84833702674</v>
      </c>
      <c r="C103" s="19" t="n">
        <f aca="false">SUMPRODUCT(C97:C102,1/(1+tp_r)^{1;2;3;4;5;6})+C102*(1+tp_g)/(tp_r-tp_g)/(1+tp_r)^6</f>
        <v>911.924246856988</v>
      </c>
      <c r="D103" s="19" t="n">
        <f aca="false">SUMPRODUCT(D97:D102,1/(1+tp_r)^{1;2;3;4;5;6})+D102*(1+tp_g)/(tp_r-tp_g)/(1+tp_r)^6</f>
        <v>582.322064321814</v>
      </c>
      <c r="E103" s="8" t="s">
        <v>666</v>
      </c>
    </row>
    <row r="104" customFormat="false" ht="17.15" hidden="false" customHeight="false" outlineLevel="0" collapsed="false">
      <c r="A104" s="0" t="s">
        <v>667</v>
      </c>
      <c r="B104" s="19" t="n">
        <f aca="false">B103*(1+tp_r)</f>
        <v>1236.23317072942</v>
      </c>
      <c r="C104" s="19" t="n">
        <f aca="false">C103*(1+tp_r)</f>
        <v>1003.11667154269</v>
      </c>
      <c r="D104" s="19" t="n">
        <f aca="false">D103*(1+tp_r)</f>
        <v>640.554270753996</v>
      </c>
    </row>
    <row r="105" customFormat="false" ht="17.15" hidden="false" customHeight="false" outlineLevel="0" collapsed="false">
      <c r="A105" s="0" t="s">
        <v>668</v>
      </c>
      <c r="B105" s="30" t="n">
        <f aca="false">tp_wA*B104+tp_wB*C104+tp_wC*D104</f>
        <v>1000.53914114097</v>
      </c>
      <c r="E105" s="8" t="s">
        <v>669</v>
      </c>
    </row>
    <row r="107" customFormat="false" ht="17.15" hidden="false" customHeight="false" outlineLevel="0" collapsed="false">
      <c r="A107" s="6" t="s">
        <v>670</v>
      </c>
    </row>
    <row r="108" customFormat="false" ht="17.15" hidden="false" customHeight="false" outlineLevel="0" collapsed="false">
      <c r="A108" s="5" t="s">
        <v>671</v>
      </c>
      <c r="B108" s="5" t="s">
        <v>672</v>
      </c>
      <c r="C108" s="5" t="s">
        <v>673</v>
      </c>
      <c r="D108" s="5" t="s">
        <v>674</v>
      </c>
      <c r="E108" s="5" t="s">
        <v>675</v>
      </c>
      <c r="F108" s="5" t="s">
        <v>27</v>
      </c>
    </row>
    <row r="109" customFormat="false" ht="17.15" hidden="false" customHeight="false" outlineLevel="0" collapsed="false">
      <c r="A109" s="0" t="s">
        <v>676</v>
      </c>
      <c r="B109" s="0" t="s">
        <v>677</v>
      </c>
      <c r="C109" s="36" t="n">
        <v>24.53</v>
      </c>
      <c r="D109" s="8" t="s">
        <v>678</v>
      </c>
      <c r="E109" s="8" t="s">
        <v>679</v>
      </c>
      <c r="F109" s="8" t="s">
        <v>680</v>
      </c>
    </row>
    <row r="110" customFormat="false" ht="17.15" hidden="false" customHeight="false" outlineLevel="0" collapsed="false">
      <c r="A110" s="0" t="s">
        <v>681</v>
      </c>
      <c r="B110" s="0" t="s">
        <v>682</v>
      </c>
      <c r="C110" s="36" t="n">
        <v>24.17</v>
      </c>
      <c r="D110" s="8" t="s">
        <v>678</v>
      </c>
      <c r="E110" s="8" t="s">
        <v>679</v>
      </c>
      <c r="F110" s="8" t="s">
        <v>680</v>
      </c>
    </row>
    <row r="111" customFormat="false" ht="17.15" hidden="false" customHeight="false" outlineLevel="0" collapsed="false">
      <c r="A111" s="0" t="s">
        <v>683</v>
      </c>
      <c r="B111" s="0" t="s">
        <v>684</v>
      </c>
      <c r="C111" s="36" t="n">
        <v>19.13</v>
      </c>
      <c r="D111" s="8" t="s">
        <v>678</v>
      </c>
      <c r="E111" s="8" t="s">
        <v>679</v>
      </c>
      <c r="F111" s="8" t="s">
        <v>680</v>
      </c>
    </row>
    <row r="112" customFormat="false" ht="17.15" hidden="false" customHeight="false" outlineLevel="0" collapsed="false">
      <c r="A112" s="4" t="s">
        <v>685</v>
      </c>
      <c r="B112" s="0" t="s">
        <v>686</v>
      </c>
      <c r="C112" s="36" t="n">
        <v>19.7</v>
      </c>
      <c r="D112" s="8" t="s">
        <v>687</v>
      </c>
      <c r="E112" s="8" t="s">
        <v>679</v>
      </c>
      <c r="F112" s="8" t="s">
        <v>680</v>
      </c>
    </row>
    <row r="113" customFormat="false" ht="17.15" hidden="false" customHeight="false" outlineLevel="0" collapsed="false">
      <c r="A113" s="4" t="s">
        <v>688</v>
      </c>
      <c r="B113" s="18" t="n">
        <f aca="false">MEDIAN(C109:C112)</f>
        <v>21.935</v>
      </c>
      <c r="E113" s="8" t="s">
        <v>689</v>
      </c>
    </row>
    <row r="114" customFormat="false" ht="17.15" hidden="false" customHeight="false" outlineLevel="0" collapsed="false">
      <c r="A114" s="0" t="s">
        <v>690</v>
      </c>
      <c r="B114" s="16" t="n">
        <f aca="false">tp_wA*(0.166666666666667*B89+0.833333333333333*B90)+tp_wB*(0.166666666666667*C89+0.833333333333333*C90)+tp_wC*(0.166666666666667*D89+0.833333333333333*D90)</f>
        <v>65.1326274970513</v>
      </c>
      <c r="E114" s="4" t="s">
        <v>691</v>
      </c>
    </row>
    <row r="115" customFormat="false" ht="17.15" hidden="false" customHeight="false" outlineLevel="0" collapsed="false">
      <c r="A115" s="0" t="s">
        <v>692</v>
      </c>
      <c r="B115" s="30" t="n">
        <f aca="false">B113*B114</f>
        <v>1428.68418414782</v>
      </c>
      <c r="E115" s="4" t="s">
        <v>693</v>
      </c>
    </row>
    <row r="117" customFormat="false" ht="17.15" hidden="false" customHeight="false" outlineLevel="0" collapsed="false">
      <c r="A117" s="6" t="s">
        <v>694</v>
      </c>
    </row>
    <row r="118" customFormat="false" ht="15" hidden="false" customHeight="false" outlineLevel="0" collapsed="false">
      <c r="A118" s="5" t="s">
        <v>22</v>
      </c>
      <c r="B118" s="5" t="s">
        <v>695</v>
      </c>
      <c r="C118" s="5"/>
      <c r="D118" s="5"/>
      <c r="E118" s="5" t="s">
        <v>365</v>
      </c>
    </row>
    <row r="119" customFormat="false" ht="17.15" hidden="false" customHeight="false" outlineLevel="0" collapsed="false">
      <c r="A119" s="1" t="s">
        <v>696</v>
      </c>
      <c r="B119" s="30" t="n">
        <f aca="false">tp_w_dcf*B105+(1-tp_w_dcf)*tp_comp_adj</f>
        <v>1236.84767309145</v>
      </c>
      <c r="E119" s="8" t="s">
        <v>697</v>
      </c>
    </row>
    <row r="120" customFormat="false" ht="17.15" hidden="false" customHeight="false" outlineLevel="0" collapsed="false">
      <c r="A120" s="0" t="s">
        <v>698</v>
      </c>
      <c r="B120" s="19" t="n">
        <f aca="false">B115</f>
        <v>1428.68418414782</v>
      </c>
      <c r="E120" s="4" t="s">
        <v>699</v>
      </c>
    </row>
    <row r="121" customFormat="false" ht="17.15" hidden="false" customHeight="false" outlineLevel="0" collapsed="false">
      <c r="A121" s="4" t="s">
        <v>700</v>
      </c>
      <c r="B121" s="19" t="n">
        <f aca="false">cons_tp</f>
        <v>2502.36</v>
      </c>
      <c r="E121" s="8" t="s">
        <v>346</v>
      </c>
    </row>
    <row r="122" customFormat="false" ht="17.15" hidden="false" customHeight="false" outlineLevel="0" collapsed="false">
      <c r="A122" s="4" t="s">
        <v>701</v>
      </c>
      <c r="B122" s="15" t="n">
        <f aca="false">B119/px-1</f>
        <v>-0.22937839682776</v>
      </c>
      <c r="E122" s="4" t="s">
        <v>702</v>
      </c>
    </row>
    <row r="123" customFormat="false" ht="17.15" hidden="false" customHeight="false" outlineLevel="0" collapsed="false">
      <c r="A123" s="4" t="s">
        <v>703</v>
      </c>
      <c r="B123" s="15" t="n">
        <f aca="false">B120/px-1</f>
        <v>-0.109854090873632</v>
      </c>
    </row>
    <row r="124" customFormat="false" ht="17.15" hidden="false" customHeight="false" outlineLevel="0" collapsed="false">
      <c r="A124" s="4" t="s">
        <v>704</v>
      </c>
      <c r="B124" s="15" t="n">
        <f aca="false">B114/cons_feps-1</f>
        <v>0.273843887778869</v>
      </c>
      <c r="E124" s="4" t="s">
        <v>705</v>
      </c>
    </row>
    <row r="125" customFormat="false" ht="17.15" hidden="false" customHeight="false" outlineLevel="0" collapsed="false">
      <c r="A125" s="4" t="s">
        <v>706</v>
      </c>
      <c r="B125" s="15" t="n">
        <f aca="false">(cons_tp/cons_feps)/B113-1</f>
        <v>1.23115509109081</v>
      </c>
      <c r="E125" s="0" t="str">
        <f aca="false">"共識目標價 ÷ 共識前瞻 EPS 隱含 "&amp;TEXT(cons_tp/cons_feps,"0.0")&amp;"x，同業中位數 "&amp;TEXT(B113,"0.0")&amp;"x"</f>
        <v>共識目標價 ÷ 共識前瞻 EPS 隱含 48.9x，同業中位數 21.9x</v>
      </c>
    </row>
    <row r="126" customFormat="false" ht="17.15" hidden="false" customHeight="false" outlineLevel="0" collapsed="false">
      <c r="A126" s="4" t="s">
        <v>707</v>
      </c>
      <c r="B126" s="37" t="str">
        <f aca="false">TEXT(D104,"#,##0")&amp;"～"&amp;TEXT(B104,"#,##0")</f>
        <v>641～1,236</v>
      </c>
      <c r="E126" s="8" t="s">
        <v>708</v>
      </c>
    </row>
    <row r="127" customFormat="false" ht="17.15" hidden="false" customHeight="false" outlineLevel="0" collapsed="false">
      <c r="A127" s="4" t="s">
        <v>709</v>
      </c>
      <c r="B127" s="32" t="n">
        <f aca="false">IF(px/B90&lt;=MIN($B$131:$K$131),0,IF(px/B90&gt;=MAX($B$131:$K$131),1,PERCENTRANK($B$131:$K$131,px/B90)))</f>
        <v>0.431</v>
      </c>
      <c r="C127" s="32" t="n">
        <f aca="false">IF(px/C90&lt;=MIN($B$131:$K$131),0,IF(px/C90&gt;=MAX($B$131:$K$131),1,PERCENTRANK($B$131:$K$131,px/C90)))</f>
        <v>0.779</v>
      </c>
      <c r="D127" s="32" t="n">
        <f aca="false">IF(px/D90&lt;=MIN($B$131:$K$131),0,IF(px/D90&gt;=MAX($B$131:$K$131),1,PERCENTRANK($B$131:$K$131,px/D90)))</f>
        <v>0.892</v>
      </c>
      <c r="E127" s="4" t="s">
        <v>710</v>
      </c>
    </row>
    <row r="128" customFormat="false" ht="17.15" hidden="false" customHeight="false" outlineLevel="0" collapsed="false">
      <c r="A128" s="4" t="s">
        <v>711</v>
      </c>
      <c r="B128" s="0" t="s">
        <v>712</v>
      </c>
    </row>
    <row r="130" customFormat="false" ht="17.15" hidden="false" customHeight="false" outlineLevel="0" collapsed="false">
      <c r="A130" s="1" t="s">
        <v>713</v>
      </c>
      <c r="B130" s="8" t="s">
        <v>614</v>
      </c>
      <c r="C130" s="8" t="s">
        <v>616</v>
      </c>
      <c r="D130" s="8" t="s">
        <v>617</v>
      </c>
      <c r="E130" s="8" t="s">
        <v>618</v>
      </c>
      <c r="F130" s="8" t="s">
        <v>619</v>
      </c>
      <c r="G130" s="8" t="s">
        <v>620</v>
      </c>
      <c r="H130" s="8" t="s">
        <v>621</v>
      </c>
      <c r="I130" s="8" t="s">
        <v>622</v>
      </c>
      <c r="J130" s="8" t="s">
        <v>623</v>
      </c>
      <c r="K130" s="8" t="s">
        <v>624</v>
      </c>
    </row>
    <row r="131" customFormat="false" ht="17.15" hidden="false" customHeight="false" outlineLevel="0" collapsed="false">
      <c r="A131" s="4" t="s">
        <v>714</v>
      </c>
      <c r="B131" s="36" t="n">
        <v>17.2</v>
      </c>
      <c r="C131" s="36" t="n">
        <v>16.4</v>
      </c>
      <c r="D131" s="36" t="n">
        <v>15.3</v>
      </c>
      <c r="E131" s="36" t="n">
        <v>14.9</v>
      </c>
      <c r="F131" s="36" t="n">
        <v>23.8</v>
      </c>
      <c r="G131" s="36" t="n">
        <v>24.4</v>
      </c>
      <c r="H131" s="36" t="n">
        <v>21.3</v>
      </c>
      <c r="I131" s="36" t="n">
        <v>23.5</v>
      </c>
      <c r="J131" s="36" t="n">
        <v>31.5</v>
      </c>
      <c r="K131" s="36" t="n">
        <v>41.5</v>
      </c>
    </row>
    <row r="133" customFormat="false" ht="17.15" hidden="false" customHeight="false" outlineLevel="0" collapsed="false">
      <c r="A133" s="6" t="s">
        <v>715</v>
      </c>
    </row>
    <row r="134" customFormat="false" ht="17.15" hidden="false" customHeight="false" outlineLevel="0" collapsed="false">
      <c r="A134" s="4" t="s">
        <v>716</v>
      </c>
      <c r="B134" s="0" t="str">
        <f aca="false">IF(B122&gt;0.5,"大於 50%",IF(B122&gt;0.25,"25%–50%",IF(B122&gt;=0,"0%–25%",IF(B122&gt;=-0.25,"0%～−25%",IF(B122&gt;=-0.5,"−25%～−50%","小於 −50%")))))</f>
        <v>0%～−25%</v>
      </c>
      <c r="E134" s="4" t="s">
        <v>717</v>
      </c>
    </row>
    <row r="135" customFormat="false" ht="17.15" hidden="false" customHeight="false" outlineLevel="0" collapsed="false">
      <c r="A135" s="4" t="s">
        <v>718</v>
      </c>
      <c r="B135" s="0" t="str">
        <f aca="false">IF(B122&gt;0.5,"強力買進",IF(B122&gt;0.25,"買進",IF(B122&gt;=-0.25,"中立",IF(B122&gt;=-0.5,"放空","強力放空"))))</f>
        <v>中立</v>
      </c>
      <c r="E135" s="4" t="s">
        <v>719</v>
      </c>
    </row>
    <row r="138" customFormat="false" ht="17.15" hidden="false" customHeight="false" outlineLevel="0" collapsed="false">
      <c r="A138" s="6" t="s">
        <v>720</v>
      </c>
    </row>
    <row r="139" customFormat="false" ht="17.15" hidden="false" customHeight="false" outlineLevel="0" collapsed="false">
      <c r="A139" s="4" t="s">
        <v>721</v>
      </c>
    </row>
    <row r="140" customFormat="false" ht="17.15" hidden="false" customHeight="false" outlineLevel="0" collapsed="false">
      <c r="A140" s="5" t="s">
        <v>722</v>
      </c>
      <c r="B140" s="5" t="s">
        <v>672</v>
      </c>
      <c r="C140" s="5" t="s">
        <v>723</v>
      </c>
      <c r="D140" s="12" t="s">
        <v>724</v>
      </c>
      <c r="E140" s="12" t="s">
        <v>725</v>
      </c>
      <c r="F140" s="12" t="s">
        <v>726</v>
      </c>
      <c r="G140" s="12" t="s">
        <v>727</v>
      </c>
      <c r="H140" s="12" t="s">
        <v>728</v>
      </c>
      <c r="I140" s="12" t="s">
        <v>729</v>
      </c>
      <c r="J140" s="12" t="s">
        <v>730</v>
      </c>
      <c r="K140" s="12" t="s">
        <v>731</v>
      </c>
      <c r="L140" s="12" t="s">
        <v>732</v>
      </c>
      <c r="M140" s="12" t="s">
        <v>733</v>
      </c>
      <c r="N140" s="5" t="s">
        <v>734</v>
      </c>
      <c r="O140" s="12" t="s">
        <v>735</v>
      </c>
      <c r="P140" s="5" t="s">
        <v>736</v>
      </c>
      <c r="Q140" s="5" t="s">
        <v>675</v>
      </c>
    </row>
    <row r="141" customFormat="false" ht="17.15" hidden="false" customHeight="false" outlineLevel="0" collapsed="false">
      <c r="A141" s="4" t="s">
        <v>737</v>
      </c>
      <c r="B141" s="0" t="s">
        <v>738</v>
      </c>
      <c r="C141" s="4" t="s">
        <v>739</v>
      </c>
      <c r="D141" s="17" t="n">
        <v>19.0835</v>
      </c>
      <c r="E141" s="17" t="n">
        <v>16.964</v>
      </c>
      <c r="F141" s="17" t="n">
        <v>17.317</v>
      </c>
      <c r="G141" s="17" t="n">
        <v>17.4535</v>
      </c>
      <c r="H141" s="17" t="n">
        <v>22.492</v>
      </c>
      <c r="I141" s="17" t="n">
        <v>20.004</v>
      </c>
      <c r="J141" s="17" t="n">
        <v>20.3925</v>
      </c>
      <c r="K141" s="17" t="n">
        <v>22.412</v>
      </c>
      <c r="L141" s="17" t="n">
        <v>22.3245</v>
      </c>
      <c r="M141" s="17" t="n">
        <v>32.9855</v>
      </c>
      <c r="N141" s="8" t="n">
        <f aca="false">COUNT(D141:M141)</f>
        <v>10</v>
      </c>
      <c r="O141" s="16" t="n">
        <f aca="false">IF(N141&gt;0,MEDIAN(D141:M141),"")</f>
        <v>20.19825</v>
      </c>
      <c r="P141" s="16" t="n">
        <f aca="false">IF(N141&gt;=7,O141,"")</f>
        <v>20.19825</v>
      </c>
      <c r="Q141" s="8" t="s">
        <v>740</v>
      </c>
    </row>
    <row r="142" customFormat="false" ht="17.15" hidden="false" customHeight="false" outlineLevel="0" collapsed="false">
      <c r="A142" s="0" t="s">
        <v>676</v>
      </c>
      <c r="B142" s="0" t="s">
        <v>677</v>
      </c>
      <c r="C142" s="4" t="s">
        <v>741</v>
      </c>
      <c r="G142" s="17" t="n">
        <v>15.7025</v>
      </c>
      <c r="H142" s="17" t="n">
        <v>19.634</v>
      </c>
      <c r="I142" s="17" t="n">
        <v>14.244</v>
      </c>
      <c r="J142" s="17" t="n">
        <v>13.886</v>
      </c>
      <c r="K142" s="17" t="n">
        <v>29.9615</v>
      </c>
      <c r="L142" s="17" t="n">
        <v>32.341</v>
      </c>
      <c r="M142" s="17" t="n">
        <v>34.732</v>
      </c>
      <c r="N142" s="8" t="n">
        <f aca="false">COUNT(D142:M142)</f>
        <v>7</v>
      </c>
      <c r="O142" s="16" t="n">
        <f aca="false">IF(N142&gt;0,MEDIAN(D142:M142),"")</f>
        <v>19.634</v>
      </c>
      <c r="P142" s="16" t="n">
        <f aca="false">IF(N142&gt;=7,O142,"")</f>
        <v>19.634</v>
      </c>
      <c r="Q142" s="8" t="s">
        <v>742</v>
      </c>
    </row>
    <row r="143" customFormat="false" ht="17.15" hidden="false" customHeight="false" outlineLevel="0" collapsed="false">
      <c r="A143" s="0" t="s">
        <v>681</v>
      </c>
      <c r="B143" s="0" t="s">
        <v>682</v>
      </c>
      <c r="C143" s="4" t="s">
        <v>741</v>
      </c>
      <c r="D143" s="17" t="n">
        <v>15.911</v>
      </c>
      <c r="E143" s="17" t="n">
        <v>14.952</v>
      </c>
      <c r="F143" s="17" t="n">
        <v>13.501</v>
      </c>
      <c r="G143" s="17" t="n">
        <v>20.2975</v>
      </c>
      <c r="H143" s="17" t="n">
        <v>23.5035</v>
      </c>
      <c r="I143" s="17" t="n">
        <v>18.7095</v>
      </c>
      <c r="J143" s="17" t="n">
        <v>20.514</v>
      </c>
      <c r="K143" s="17" t="n">
        <v>28.108</v>
      </c>
      <c r="L143" s="17" t="n">
        <v>27.2845</v>
      </c>
      <c r="M143" s="17" t="n">
        <v>27.122</v>
      </c>
      <c r="N143" s="8" t="n">
        <f aca="false">COUNT(D143:M143)</f>
        <v>10</v>
      </c>
      <c r="O143" s="16" t="n">
        <f aca="false">IF(N143&gt;0,MEDIAN(D143:M143),"")</f>
        <v>20.40575</v>
      </c>
      <c r="P143" s="16" t="n">
        <f aca="false">IF(N143&gt;=7,O143,"")</f>
        <v>20.40575</v>
      </c>
      <c r="Q143" s="8" t="s">
        <v>743</v>
      </c>
    </row>
    <row r="144" customFormat="false" ht="17.15" hidden="false" customHeight="false" outlineLevel="0" collapsed="false">
      <c r="A144" s="0" t="s">
        <v>683</v>
      </c>
      <c r="B144" s="0" t="s">
        <v>684</v>
      </c>
      <c r="C144" s="4" t="s">
        <v>741</v>
      </c>
      <c r="D144" s="17" t="n">
        <v>16.505</v>
      </c>
      <c r="E144" s="17" t="n">
        <v>15.756</v>
      </c>
      <c r="F144" s="17" t="n">
        <v>14.5685</v>
      </c>
      <c r="G144" s="17" t="n">
        <v>19.869</v>
      </c>
      <c r="H144" s="17" t="n">
        <v>23.3</v>
      </c>
      <c r="I144" s="17" t="n">
        <v>18.7765</v>
      </c>
      <c r="J144" s="17" t="n">
        <v>19.217</v>
      </c>
      <c r="K144" s="17" t="n">
        <v>24.807</v>
      </c>
      <c r="L144" s="17" t="n">
        <v>24.1705</v>
      </c>
      <c r="M144" s="17" t="n">
        <v>25.431</v>
      </c>
      <c r="N144" s="8" t="n">
        <f aca="false">COUNT(D144:M144)</f>
        <v>10</v>
      </c>
      <c r="O144" s="16" t="n">
        <f aca="false">IF(N144&gt;0,MEDIAN(D144:M144),"")</f>
        <v>19.543</v>
      </c>
      <c r="P144" s="16" t="n">
        <f aca="false">IF(N144&gt;=7,O144,"")</f>
        <v>19.543</v>
      </c>
      <c r="Q144" s="8" t="s">
        <v>744</v>
      </c>
    </row>
    <row r="145" customFormat="false" ht="17.15" hidden="false" customHeight="false" outlineLevel="0" collapsed="false">
      <c r="A145" s="4" t="s">
        <v>685</v>
      </c>
      <c r="B145" s="0" t="s">
        <v>686</v>
      </c>
      <c r="C145" s="4" t="s">
        <v>741</v>
      </c>
      <c r="D145" s="17" t="n">
        <v>11.2945</v>
      </c>
      <c r="E145" s="17" t="n">
        <v>10.6035</v>
      </c>
      <c r="F145" s="17" t="n">
        <v>12.641</v>
      </c>
      <c r="G145" s="17" t="n">
        <v>11.5225</v>
      </c>
      <c r="H145" s="17" t="n">
        <v>10.776</v>
      </c>
      <c r="I145" s="17" t="n">
        <v>10.3025</v>
      </c>
      <c r="J145" s="17" t="n">
        <v>12.576</v>
      </c>
      <c r="K145" s="17" t="n">
        <v>15.254</v>
      </c>
      <c r="L145" s="17" t="n">
        <v>15.88</v>
      </c>
      <c r="M145" s="17" t="n">
        <v>18.911</v>
      </c>
      <c r="N145" s="8" t="n">
        <f aca="false">COUNT(D145:M145)</f>
        <v>10</v>
      </c>
      <c r="O145" s="16" t="n">
        <f aca="false">IF(N145&gt;0,MEDIAN(D145:M145),"")</f>
        <v>12.04925</v>
      </c>
      <c r="P145" s="16" t="n">
        <f aca="false">IF(N145&gt;=7,O145,"")</f>
        <v>12.04925</v>
      </c>
      <c r="Q145" s="8" t="s">
        <v>745</v>
      </c>
    </row>
    <row r="147" customFormat="false" ht="17.15" hidden="false" customHeight="false" outlineLevel="0" collapsed="false">
      <c r="A147" s="4" t="s">
        <v>746</v>
      </c>
      <c r="B147" s="16" t="n">
        <f aca="false">P141</f>
        <v>20.19825</v>
      </c>
      <c r="E147" s="4" t="s">
        <v>747</v>
      </c>
    </row>
    <row r="148" customFormat="false" ht="15" hidden="false" customHeight="false" outlineLevel="0" collapsed="false">
      <c r="A148" s="4" t="s">
        <v>748</v>
      </c>
      <c r="B148" s="38" t="n">
        <f aca="false">COUNT(P142:P145)</f>
        <v>4</v>
      </c>
    </row>
    <row r="149" customFormat="false" ht="17.15" hidden="false" customHeight="false" outlineLevel="0" collapsed="false">
      <c r="A149" s="4" t="s">
        <v>749</v>
      </c>
      <c r="B149" s="16" t="n">
        <f aca="false">IF(B148&gt;0,MEDIAN(P142:P145),"")</f>
        <v>19.5885</v>
      </c>
    </row>
    <row r="150" customFormat="false" ht="17.15" hidden="false" customHeight="false" outlineLevel="0" collapsed="false">
      <c r="A150" s="4" t="s">
        <v>750</v>
      </c>
      <c r="B150" s="16" t="n">
        <f aca="false">IF(AND(ISNUMBER(B147),B148&gt;=2),B147/B149,"")</f>
        <v>1.0311279577303</v>
      </c>
      <c r="E150" s="4" t="s">
        <v>751</v>
      </c>
    </row>
    <row r="151" customFormat="false" ht="17.15" hidden="false" customHeight="false" outlineLevel="0" collapsed="false">
      <c r="A151" s="4" t="s">
        <v>752</v>
      </c>
      <c r="B151" s="17" t="n">
        <v>0.5</v>
      </c>
      <c r="E151" s="8" t="s">
        <v>753</v>
      </c>
    </row>
    <row r="152" customFormat="false" ht="17.15" hidden="false" customHeight="false" outlineLevel="0" collapsed="false">
      <c r="A152" s="4" t="s">
        <v>754</v>
      </c>
      <c r="B152" s="17" t="n">
        <v>2</v>
      </c>
      <c r="E152" s="8" t="s">
        <v>755</v>
      </c>
    </row>
    <row r="153" customFormat="false" ht="17.15" hidden="false" customHeight="false" outlineLevel="0" collapsed="false">
      <c r="A153" s="1" t="s">
        <v>756</v>
      </c>
      <c r="B153" s="28" t="n">
        <f aca="false">IF(ISNUMBER(B150),MIN(MAX(B150,B151),B152),1)</f>
        <v>1.0311279577303</v>
      </c>
      <c r="E153" s="4" t="s">
        <v>757</v>
      </c>
    </row>
    <row r="154" customFormat="false" ht="17.15" hidden="false" customHeight="false" outlineLevel="0" collapsed="false">
      <c r="A154" s="6" t="s">
        <v>758</v>
      </c>
      <c r="B154" s="30" t="n">
        <f aca="false">Val!$B$115*B153</f>
        <v>1473.15620504192</v>
      </c>
      <c r="E154" s="4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760</v>
      </c>
    </row>
    <row r="3" customFormat="false" ht="17.15" hidden="false" customHeight="false" outlineLevel="0" collapsed="false">
      <c r="A3" s="5" t="s">
        <v>22</v>
      </c>
      <c r="B3" s="5" t="s">
        <v>761</v>
      </c>
      <c r="C3" s="5" t="s">
        <v>762</v>
      </c>
      <c r="D3" s="5" t="s">
        <v>763</v>
      </c>
      <c r="E3" s="5" t="s">
        <v>764</v>
      </c>
      <c r="F3" s="5" t="s">
        <v>765</v>
      </c>
      <c r="G3" s="5" t="s">
        <v>766</v>
      </c>
      <c r="H3" s="5" t="s">
        <v>767</v>
      </c>
      <c r="I3" s="5" t="s">
        <v>768</v>
      </c>
      <c r="J3" s="5" t="s">
        <v>365</v>
      </c>
    </row>
    <row r="4" customFormat="false" ht="17.15" hidden="false" customHeight="false" outlineLevel="0" collapsed="false">
      <c r="A4" s="6" t="s">
        <v>769</v>
      </c>
    </row>
    <row r="5" customFormat="false" ht="17.15" hidden="false" customHeight="false" outlineLevel="0" collapsed="false">
      <c r="A5" s="0" t="s">
        <v>770</v>
      </c>
      <c r="B5" s="20" t="n">
        <f aca="false">b_rev26</f>
        <v>803</v>
      </c>
      <c r="C5" s="20" t="n">
        <f aca="false">PL!D104</f>
        <v>756.4239</v>
      </c>
      <c r="D5" s="15" t="n">
        <f aca="false">C5/B5-1</f>
        <v>-0.0580026151930262</v>
      </c>
      <c r="E5" s="20" t="n">
        <f aca="false">PL!D150</f>
        <v>756.4239</v>
      </c>
      <c r="F5" s="15" t="n">
        <f aca="false">E5/B5-1</f>
        <v>-0.0580026151930262</v>
      </c>
      <c r="G5" s="20" t="n">
        <f aca="false">PL!D196</f>
        <v>756.4239</v>
      </c>
      <c r="H5" s="15" t="n">
        <f aca="false">G5/B5-1</f>
        <v>-0.0580026151930262</v>
      </c>
      <c r="I5" s="4" t="s">
        <v>266</v>
      </c>
      <c r="J5" s="4" t="s">
        <v>771</v>
      </c>
    </row>
    <row r="6" customFormat="false" ht="17.15" hidden="false" customHeight="false" outlineLevel="0" collapsed="false">
      <c r="A6" s="0" t="s">
        <v>772</v>
      </c>
      <c r="B6" s="21" t="n">
        <f aca="false">b_eps26a</f>
        <v>43.1</v>
      </c>
      <c r="C6" s="21" t="n">
        <f aca="false">PL!D122</f>
        <v>37.8855636744147</v>
      </c>
      <c r="D6" s="15" t="n">
        <f aca="false">C6/B6-1</f>
        <v>-0.120984601521702</v>
      </c>
      <c r="E6" s="21" t="n">
        <f aca="false">PL!D168</f>
        <v>37.8855636744147</v>
      </c>
      <c r="F6" s="15" t="n">
        <f aca="false">E6/B6-1</f>
        <v>-0.120984601521702</v>
      </c>
      <c r="G6" s="21" t="n">
        <f aca="false">PL!D214</f>
        <v>37.8855636744147</v>
      </c>
      <c r="H6" s="15" t="n">
        <f aca="false">G6/B6-1</f>
        <v>-0.120984601521702</v>
      </c>
      <c r="I6" s="4" t="s">
        <v>266</v>
      </c>
    </row>
    <row r="7" customFormat="false" ht="17.15" hidden="false" customHeight="false" outlineLevel="0" collapsed="false">
      <c r="A7" s="0" t="s">
        <v>773</v>
      </c>
      <c r="B7" s="21" t="n">
        <f aca="false">b_eps26b</f>
        <v>41.5</v>
      </c>
      <c r="C7" s="21" t="n">
        <f aca="false">PL!D122</f>
        <v>37.8855636744147</v>
      </c>
      <c r="D7" s="15" t="n">
        <f aca="false">C7/B7-1</f>
        <v>-0.087094851218924</v>
      </c>
      <c r="E7" s="21" t="n">
        <f aca="false">PL!D168</f>
        <v>37.8855636744147</v>
      </c>
      <c r="F7" s="15" t="n">
        <f aca="false">E7/B7-1</f>
        <v>-0.087094851218924</v>
      </c>
      <c r="G7" s="21" t="n">
        <f aca="false">PL!D214</f>
        <v>37.8855636744147</v>
      </c>
      <c r="H7" s="15" t="n">
        <f aca="false">G7/B7-1</f>
        <v>-0.087094851218924</v>
      </c>
      <c r="I7" s="8" t="s">
        <v>774</v>
      </c>
    </row>
    <row r="8" customFormat="false" ht="17.15" hidden="false" customHeight="false" outlineLevel="0" collapsed="false">
      <c r="A8" s="0" t="s">
        <v>775</v>
      </c>
      <c r="B8" s="20" t="n">
        <f aca="false">b_rev27</f>
        <v>1050</v>
      </c>
      <c r="C8" s="20" t="n">
        <f aca="false">PL!E104</f>
        <v>1121.4932220923</v>
      </c>
      <c r="D8" s="15" t="n">
        <f aca="false">C8/B8-1</f>
        <v>0.0680887829450501</v>
      </c>
      <c r="E8" s="20" t="n">
        <f aca="false">PL!E150</f>
        <v>1121.4932220923</v>
      </c>
      <c r="F8" s="15" t="n">
        <f aca="false">E8/B8-1</f>
        <v>0.0680887829450501</v>
      </c>
      <c r="G8" s="20" t="n">
        <f aca="false">PL!E196</f>
        <v>1121.4932220923</v>
      </c>
      <c r="H8" s="15" t="n">
        <f aca="false">G8/B8-1</f>
        <v>0.0680887829450501</v>
      </c>
      <c r="I8" s="8" t="s">
        <v>776</v>
      </c>
    </row>
    <row r="9" customFormat="false" ht="17.15" hidden="false" customHeight="false" outlineLevel="0" collapsed="false">
      <c r="A9" s="0" t="s">
        <v>777</v>
      </c>
      <c r="B9" s="21" t="n">
        <f aca="false">b_eps27c</f>
        <v>62.68</v>
      </c>
      <c r="C9" s="21" t="n">
        <f aca="false">PL!E122</f>
        <v>60.7091479544104</v>
      </c>
      <c r="D9" s="15" t="n">
        <f aca="false">C9/B9-1</f>
        <v>-0.0314430766686284</v>
      </c>
      <c r="E9" s="21" t="n">
        <f aca="false">PL!E168</f>
        <v>60.7091479544104</v>
      </c>
      <c r="F9" s="15" t="n">
        <f aca="false">E9/B9-1</f>
        <v>-0.0314430766686284</v>
      </c>
      <c r="G9" s="21" t="n">
        <f aca="false">PL!E214</f>
        <v>60.7091479544104</v>
      </c>
      <c r="H9" s="15" t="n">
        <f aca="false">G9/B9-1</f>
        <v>-0.0314430766686284</v>
      </c>
      <c r="I9" s="8" t="s">
        <v>776</v>
      </c>
    </row>
    <row r="10" customFormat="false" ht="17.15" hidden="false" customHeight="false" outlineLevel="0" collapsed="false">
      <c r="A10" s="0" t="s">
        <v>778</v>
      </c>
      <c r="B10" s="21" t="n">
        <f aca="false">b_eps27b</f>
        <v>65.1</v>
      </c>
      <c r="C10" s="21" t="n">
        <f aca="false">PL!E122</f>
        <v>60.7091479544104</v>
      </c>
      <c r="D10" s="15" t="n">
        <f aca="false">C10/B10-1</f>
        <v>-0.0674478040797177</v>
      </c>
      <c r="E10" s="21" t="n">
        <f aca="false">PL!E168</f>
        <v>60.7091479544104</v>
      </c>
      <c r="F10" s="15" t="n">
        <f aca="false">E10/B10-1</f>
        <v>-0.0674478040797177</v>
      </c>
      <c r="G10" s="21" t="n">
        <f aca="false">PL!E214</f>
        <v>60.7091479544104</v>
      </c>
      <c r="H10" s="15" t="n">
        <f aca="false">G10/B10-1</f>
        <v>-0.0674478040797177</v>
      </c>
      <c r="I10" s="8" t="s">
        <v>774</v>
      </c>
    </row>
    <row r="11" customFormat="false" ht="17.15" hidden="false" customHeight="false" outlineLevel="0" collapsed="false">
      <c r="A11" s="0" t="s">
        <v>779</v>
      </c>
      <c r="B11" s="21" t="n">
        <f aca="false">b_eps27a</f>
        <v>80.8</v>
      </c>
      <c r="C11" s="21" t="n">
        <f aca="false">PL!E122</f>
        <v>60.7091479544104</v>
      </c>
      <c r="D11" s="15" t="n">
        <f aca="false">C11/B11-1</f>
        <v>-0.24864915898007</v>
      </c>
      <c r="E11" s="21" t="n">
        <f aca="false">PL!E168</f>
        <v>60.7091479544104</v>
      </c>
      <c r="F11" s="15" t="n">
        <f aca="false">E11/B11-1</f>
        <v>-0.24864915898007</v>
      </c>
      <c r="G11" s="21" t="n">
        <f aca="false">PL!E214</f>
        <v>60.7091479544104</v>
      </c>
      <c r="H11" s="15" t="n">
        <f aca="false">G11/B11-1</f>
        <v>-0.24864915898007</v>
      </c>
      <c r="I11" s="4" t="s">
        <v>266</v>
      </c>
      <c r="J11" s="4" t="s">
        <v>780</v>
      </c>
    </row>
    <row r="12" customFormat="false" ht="17.15" hidden="false" customHeight="false" outlineLevel="0" collapsed="false">
      <c r="A12" s="0" t="s">
        <v>781</v>
      </c>
      <c r="C12" s="15" t="n">
        <f aca="false">PL!E106</f>
        <v>0.482625313785435</v>
      </c>
      <c r="E12" s="15" t="n">
        <f aca="false">PL!E152</f>
        <v>0.482625313785435</v>
      </c>
      <c r="G12" s="15" t="n">
        <f aca="false">PL!E198</f>
        <v>0.482625313785435</v>
      </c>
      <c r="I12" s="8" t="s">
        <v>109</v>
      </c>
    </row>
    <row r="13" customFormat="false" ht="17.15" hidden="false" customHeight="false" outlineLevel="0" collapsed="false">
      <c r="A13" s="6" t="s">
        <v>782</v>
      </c>
    </row>
    <row r="14" customFormat="false" ht="17.15" hidden="false" customHeight="false" outlineLevel="0" collapsed="false">
      <c r="A14" s="0" t="s">
        <v>783</v>
      </c>
      <c r="B14" s="20" t="n">
        <f aca="false">ubs_26</f>
        <v>17.7</v>
      </c>
      <c r="C14" s="20" t="n">
        <f aca="false">PL!D87</f>
        <v>10.5297921189287</v>
      </c>
      <c r="D14" s="15" t="n">
        <f aca="false">C14/B14-1</f>
        <v>-0.405096490456003</v>
      </c>
      <c r="E14" s="20" t="n">
        <f aca="false">PL!D133</f>
        <v>10.5297921189287</v>
      </c>
      <c r="F14" s="15" t="n">
        <f aca="false">E14/B14-1</f>
        <v>-0.405096490456003</v>
      </c>
      <c r="G14" s="20" t="n">
        <f aca="false">PL!D179</f>
        <v>10.5297921189287</v>
      </c>
      <c r="H14" s="15" t="n">
        <f aca="false">G14/B14-1</f>
        <v>-0.405096490456003</v>
      </c>
      <c r="I14" s="8" t="s">
        <v>784</v>
      </c>
      <c r="J14" s="4" t="s">
        <v>785</v>
      </c>
    </row>
    <row r="15" customFormat="false" ht="17.15" hidden="false" customHeight="false" outlineLevel="0" collapsed="false">
      <c r="A15" s="0" t="s">
        <v>786</v>
      </c>
      <c r="B15" s="20" t="n">
        <f aca="false">ubs_27</f>
        <v>38.2</v>
      </c>
      <c r="C15" s="20" t="n">
        <f aca="false">PL!E87</f>
        <v>24.9880594956382</v>
      </c>
      <c r="D15" s="15" t="n">
        <f aca="false">C15/B15-1</f>
        <v>-0.34586231686811</v>
      </c>
      <c r="E15" s="20" t="n">
        <f aca="false">PL!E133</f>
        <v>24.9880594956382</v>
      </c>
      <c r="F15" s="15" t="n">
        <f aca="false">E15/B15-1</f>
        <v>-0.34586231686811</v>
      </c>
      <c r="G15" s="20" t="n">
        <f aca="false">PL!E179</f>
        <v>24.9880594956382</v>
      </c>
      <c r="H15" s="15" t="n">
        <f aca="false">G15/B15-1</f>
        <v>-0.34586231686811</v>
      </c>
      <c r="I15" s="4" t="s">
        <v>39</v>
      </c>
    </row>
    <row r="16" customFormat="false" ht="17.15" hidden="false" customHeight="false" outlineLevel="0" collapsed="false">
      <c r="A16" s="0" t="s">
        <v>787</v>
      </c>
      <c r="B16" s="15" t="n">
        <f aca="false">kgi_sh</f>
        <v>0.7</v>
      </c>
      <c r="C16" s="15" t="n">
        <f aca="false">PL!D89</f>
        <v>0.583671939396773</v>
      </c>
      <c r="D16" s="15" t="n">
        <f aca="false">C16-B16</f>
        <v>-0.116328060603227</v>
      </c>
      <c r="E16" s="15" t="n">
        <f aca="false">PL!D135</f>
        <v>0.583671939396773</v>
      </c>
      <c r="F16" s="15" t="n">
        <f aca="false">E16-B16</f>
        <v>-0.116328060603227</v>
      </c>
      <c r="G16" s="15" t="n">
        <f aca="false">PL!D181</f>
        <v>0.583671939396773</v>
      </c>
      <c r="H16" s="15" t="n">
        <f aca="false">G16-B16</f>
        <v>-0.116328060603227</v>
      </c>
      <c r="I16" s="4" t="s">
        <v>788</v>
      </c>
      <c r="J16" s="4" t="s">
        <v>789</v>
      </c>
    </row>
    <row r="17" customFormat="false" ht="17.15" hidden="false" customHeight="false" outlineLevel="0" collapsed="false">
      <c r="A17" s="0" t="s">
        <v>790</v>
      </c>
      <c r="C17" s="19" t="n">
        <f aca="false">PL!E109</f>
        <v>471.59570257222</v>
      </c>
      <c r="E17" s="19" t="n">
        <f aca="false">PL!E155</f>
        <v>471.59570257222</v>
      </c>
      <c r="G17" s="19" t="n">
        <f aca="false">PL!E201</f>
        <v>471.59570257222</v>
      </c>
      <c r="I17" s="8" t="s">
        <v>109</v>
      </c>
      <c r="J17" s="4" t="s">
        <v>791</v>
      </c>
    </row>
    <row r="18" customFormat="false" ht="17.15" hidden="false" customHeight="false" outlineLevel="0" collapsed="false">
      <c r="A18" s="0" t="s">
        <v>792</v>
      </c>
      <c r="B18" s="19" t="n">
        <f aca="false">cool_vr</f>
        <v>56</v>
      </c>
      <c r="C18" s="19" t="n">
        <f aca="false">Units!D11</f>
        <v>34.2800338391064</v>
      </c>
      <c r="D18" s="15" t="n">
        <f aca="false">C18/B18-1</f>
        <v>-0.387856538587386</v>
      </c>
      <c r="E18" s="19" t="n">
        <f aca="false">Units!D11</f>
        <v>34.2800338391064</v>
      </c>
      <c r="F18" s="15" t="n">
        <f aca="false">E18/B18-1</f>
        <v>-0.387856538587386</v>
      </c>
      <c r="G18" s="19" t="n">
        <f aca="false">Units!D11</f>
        <v>34.2800338391064</v>
      </c>
      <c r="H18" s="15" t="n">
        <f aca="false">G18/B18-1</f>
        <v>-0.387856538587386</v>
      </c>
      <c r="I18" s="4" t="s">
        <v>793</v>
      </c>
      <c r="J18" s="4" t="s">
        <v>794</v>
      </c>
    </row>
    <row r="19" customFormat="false" ht="17.15" hidden="false" customHeight="false" outlineLevel="0" collapsed="false">
      <c r="A19" s="0" t="s">
        <v>795</v>
      </c>
      <c r="C19" s="15" t="n">
        <f aca="false">PL!E108</f>
        <v>0.560408153064679</v>
      </c>
      <c r="E19" s="15" t="n">
        <f aca="false">PL!E154</f>
        <v>0.560408153064679</v>
      </c>
      <c r="G19" s="15" t="n">
        <f aca="false">PL!E200</f>
        <v>0.560408153064679</v>
      </c>
      <c r="I19" s="8" t="s">
        <v>109</v>
      </c>
    </row>
    <row r="20" customFormat="false" ht="17.15" hidden="false" customHeight="false" outlineLevel="0" collapsed="false">
      <c r="A20" s="6" t="s">
        <v>796</v>
      </c>
    </row>
    <row r="21" customFormat="false" ht="17.15" hidden="false" customHeight="false" outlineLevel="0" collapsed="false">
      <c r="A21" s="4" t="s">
        <v>797</v>
      </c>
      <c r="C21" s="15" t="n">
        <f aca="false">PL!D111</f>
        <v>0.340474417690927</v>
      </c>
      <c r="E21" s="15" t="n">
        <f aca="false">PL!D157</f>
        <v>0.340474417690927</v>
      </c>
      <c r="G21" s="15" t="n">
        <f aca="false">PL!D203</f>
        <v>0.340474417690927</v>
      </c>
      <c r="I21" s="8" t="s">
        <v>798</v>
      </c>
      <c r="J21" s="8" t="s">
        <v>799</v>
      </c>
    </row>
    <row r="22" customFormat="false" ht="17.15" hidden="false" customHeight="false" outlineLevel="0" collapsed="false">
      <c r="A22" s="0" t="s">
        <v>800</v>
      </c>
      <c r="B22" s="15" t="n">
        <f aca="false">a26_gp/a26_rev</f>
        <v>0.361274417690927</v>
      </c>
      <c r="C22" s="15" t="n">
        <f aca="false">PL!E113</f>
        <v>0.372102165222689</v>
      </c>
      <c r="D22" s="15" t="n">
        <f aca="false">C22-B22</f>
        <v>0.0108277475317617</v>
      </c>
      <c r="E22" s="15" t="n">
        <f aca="false">PL!E159</f>
        <v>0.372102165222689</v>
      </c>
      <c r="F22" s="15" t="n">
        <f aca="false">E22-B22</f>
        <v>0.0108277475317617</v>
      </c>
      <c r="G22" s="15" t="n">
        <f aca="false">PL!E205</f>
        <v>0.372102165222689</v>
      </c>
      <c r="H22" s="15" t="n">
        <f aca="false">G22-B22</f>
        <v>0.0108277475317617</v>
      </c>
      <c r="I22" s="4" t="s">
        <v>801</v>
      </c>
      <c r="J22" s="8" t="s">
        <v>802</v>
      </c>
    </row>
    <row r="23" customFormat="false" ht="17.15" hidden="false" customHeight="false" outlineLevel="0" collapsed="false">
      <c r="A23" s="0" t="s">
        <v>803</v>
      </c>
      <c r="C23" s="16" t="n">
        <f aca="false">Q!E15</f>
        <v>10.6057160145131</v>
      </c>
      <c r="E23" s="16" t="n">
        <f aca="false">Q!E15</f>
        <v>10.6057160145131</v>
      </c>
      <c r="G23" s="16" t="n">
        <f aca="false">Q!E15</f>
        <v>10.6057160145131</v>
      </c>
      <c r="I23" s="8" t="s">
        <v>109</v>
      </c>
      <c r="J23" s="4" t="s">
        <v>804</v>
      </c>
    </row>
    <row r="24" customFormat="false" ht="17.15" hidden="false" customHeight="false" outlineLevel="0" collapsed="false">
      <c r="A24" s="6" t="s">
        <v>805</v>
      </c>
    </row>
    <row r="25" customFormat="false" ht="17.15" hidden="false" customHeight="false" outlineLevel="0" collapsed="false">
      <c r="A25" s="0" t="s">
        <v>806</v>
      </c>
      <c r="J25" s="4" t="s">
        <v>807</v>
      </c>
    </row>
    <row r="27" customFormat="false" ht="17.15" hidden="false" customHeight="false" outlineLevel="0" collapsed="false">
      <c r="A27" s="6" t="s">
        <v>808</v>
      </c>
    </row>
    <row r="28" customFormat="false" ht="17.15" hidden="false" customHeight="false" outlineLevel="0" collapsed="false">
      <c r="A28" s="0" t="s">
        <v>809</v>
      </c>
      <c r="B28" s="16" t="n">
        <f aca="false">cons_feps</f>
        <v>51.1307767944936</v>
      </c>
      <c r="C28" s="16" t="n">
        <f aca="false">Val!B114</f>
        <v>65.1326274970513</v>
      </c>
      <c r="D28" s="15" t="n">
        <f aca="false">C28/B28-1</f>
        <v>0.273843887778869</v>
      </c>
      <c r="I28" s="8" t="s">
        <v>350</v>
      </c>
      <c r="J28" s="4" t="s">
        <v>810</v>
      </c>
    </row>
    <row r="29" customFormat="false" ht="17.15" hidden="false" customHeight="false" outlineLevel="0" collapsed="false">
      <c r="A29" s="4" t="s">
        <v>811</v>
      </c>
      <c r="B29" s="16" t="n">
        <f aca="false">cons_tp</f>
        <v>2502.36</v>
      </c>
      <c r="C29" s="16" t="n">
        <f aca="false">Val!B119</f>
        <v>1236.84767309145</v>
      </c>
      <c r="D29" s="15" t="n">
        <f aca="false">C29/B29-1</f>
        <v>-0.505727523980784</v>
      </c>
      <c r="I29" s="8" t="s">
        <v>346</v>
      </c>
      <c r="J29" s="4" t="s">
        <v>810</v>
      </c>
    </row>
    <row r="30" customFormat="false" ht="17.15" hidden="false" customHeight="false" outlineLevel="0" collapsed="false">
      <c r="A30" s="0" t="s">
        <v>812</v>
      </c>
      <c r="B30" s="16" t="n">
        <f aca="false">cons_tp</f>
        <v>2502.36</v>
      </c>
      <c r="C30" s="16" t="n">
        <f aca="false">Val!B115</f>
        <v>1428.68418414782</v>
      </c>
      <c r="D30" s="15" t="n">
        <f aca="false">C30/B30-1</f>
        <v>-0.429065288708331</v>
      </c>
      <c r="I30" s="4" t="s">
        <v>39</v>
      </c>
      <c r="J30" s="4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813</v>
      </c>
    </row>
    <row r="3" customFormat="false" ht="17.15" hidden="false" customHeight="false" outlineLevel="0" collapsed="false">
      <c r="A3" s="5" t="s">
        <v>814</v>
      </c>
      <c r="B3" s="5" t="s">
        <v>815</v>
      </c>
      <c r="C3" s="12" t="s">
        <v>816</v>
      </c>
      <c r="D3" s="12" t="s">
        <v>817</v>
      </c>
      <c r="E3" s="12" t="s">
        <v>818</v>
      </c>
      <c r="F3" s="12" t="s">
        <v>577</v>
      </c>
      <c r="G3" s="12" t="s">
        <v>819</v>
      </c>
      <c r="H3" s="12" t="s">
        <v>820</v>
      </c>
      <c r="I3" s="12" t="s">
        <v>821</v>
      </c>
      <c r="J3" s="12" t="s">
        <v>822</v>
      </c>
      <c r="K3" s="12" t="s">
        <v>592</v>
      </c>
      <c r="L3" s="12" t="s">
        <v>823</v>
      </c>
    </row>
    <row r="4" customFormat="false" ht="17.15" hidden="false" customHeight="false" outlineLevel="0" collapsed="false">
      <c r="A4" s="4" t="s">
        <v>824</v>
      </c>
      <c r="B4" s="0" t="s">
        <v>825</v>
      </c>
      <c r="C4" s="20" t="n">
        <f aca="false">PL!E104</f>
        <v>1121.4932220923</v>
      </c>
      <c r="D4" s="20" t="n">
        <f aca="false">PL!E92</f>
        <v>443.378806086466</v>
      </c>
      <c r="E4" s="15" t="n">
        <f aca="false">PL!E113</f>
        <v>0.372102165222689</v>
      </c>
      <c r="F4" s="16" t="n">
        <f aca="false">PL!E122</f>
        <v>60.7091479544104</v>
      </c>
      <c r="G4" s="15" t="n">
        <f aca="false">F4/F$4-1</f>
        <v>0</v>
      </c>
      <c r="H4" s="20" t="n">
        <f aca="false">PL!F104</f>
        <v>1366.78098022753</v>
      </c>
      <c r="I4" s="20" t="n">
        <f aca="false">PL!F92</f>
        <v>603.447465151641</v>
      </c>
      <c r="J4" s="15" t="n">
        <f aca="false">PL!F113</f>
        <v>0.375795217373181</v>
      </c>
      <c r="K4" s="16" t="n">
        <f aca="false">PL!F122</f>
        <v>77.1484059549183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826</v>
      </c>
      <c r="B5" s="4" t="s">
        <v>827</v>
      </c>
      <c r="C5" s="20" t="n">
        <f aca="false">E64</f>
        <v>1074.82176882004</v>
      </c>
      <c r="D5" s="20" t="n">
        <f aca="false">E52</f>
        <v>396.707352814206</v>
      </c>
      <c r="E5" s="15" t="n">
        <f aca="false">E73</f>
        <v>0.370001720864157</v>
      </c>
      <c r="F5" s="16" t="n">
        <f aca="false">E82</f>
        <v>57.3578305657266</v>
      </c>
      <c r="G5" s="15" t="n">
        <f aca="false">F5/F$4-1</f>
        <v>-0.0552028401255187</v>
      </c>
      <c r="H5" s="20" t="n">
        <f aca="false">F64</f>
        <v>1232.68154352716</v>
      </c>
      <c r="I5" s="20" t="n">
        <f aca="false">F52</f>
        <v>469.348028451276</v>
      </c>
      <c r="J5" s="15" t="n">
        <f aca="false">F73</f>
        <v>0.370934711733023</v>
      </c>
      <c r="K5" s="16" t="n">
        <f aca="false">F82</f>
        <v>67.2554211894715</v>
      </c>
      <c r="L5" s="15" t="n">
        <f aca="false">K5/K$4-1</f>
        <v>-0.128233171418055</v>
      </c>
    </row>
    <row r="6" customFormat="false" ht="17.15" hidden="false" customHeight="false" outlineLevel="0" collapsed="false">
      <c r="A6" s="4" t="s">
        <v>828</v>
      </c>
      <c r="B6" s="4" t="s">
        <v>829</v>
      </c>
      <c r="C6" s="20" t="n">
        <f aca="false">E110</f>
        <v>1144.82894872843</v>
      </c>
      <c r="D6" s="20" t="n">
        <f aca="false">E98</f>
        <v>466.714532722595</v>
      </c>
      <c r="E6" s="15" t="n">
        <f aca="false">E119</f>
        <v>0.373088165499522</v>
      </c>
      <c r="F6" s="16" t="n">
        <f aca="false">E128</f>
        <v>62.3848066487522</v>
      </c>
      <c r="G6" s="15" t="n">
        <f aca="false">F6/F$4-1</f>
        <v>0.0276014200627588</v>
      </c>
      <c r="H6" s="20" t="n">
        <f aca="false">F110</f>
        <v>1433.83069857771</v>
      </c>
      <c r="I6" s="20" t="n">
        <f aca="false">F98</f>
        <v>670.497183501823</v>
      </c>
      <c r="J6" s="15" t="n">
        <f aca="false">F119</f>
        <v>0.377884535031387</v>
      </c>
      <c r="K6" s="16" t="n">
        <f aca="false">F128</f>
        <v>82.1081460655003</v>
      </c>
      <c r="L6" s="15" t="n">
        <f aca="false">K6/K$4-1</f>
        <v>0.0642883031631305</v>
      </c>
    </row>
    <row r="7" customFormat="false" ht="17.15" hidden="false" customHeight="false" outlineLevel="0" collapsed="false">
      <c r="A7" s="4" t="s">
        <v>830</v>
      </c>
      <c r="B7" s="4" t="s">
        <v>831</v>
      </c>
      <c r="C7" s="20" t="n">
        <f aca="false">E156</f>
        <v>1115.65929043327</v>
      </c>
      <c r="D7" s="20" t="n">
        <f aca="false">E144</f>
        <v>437.544874427433</v>
      </c>
      <c r="E7" s="15" t="n">
        <f aca="false">E165</f>
        <v>0.371849220244313</v>
      </c>
      <c r="F7" s="16" t="n">
        <f aca="false">E174</f>
        <v>60.2902332808249</v>
      </c>
      <c r="G7" s="15" t="n">
        <f aca="false">F7/F$4-1</f>
        <v>-0.0069003550156902</v>
      </c>
      <c r="H7" s="20" t="n">
        <f aca="false">F156</f>
        <v>1341.3259594452</v>
      </c>
      <c r="I7" s="20" t="n">
        <f aca="false">F144</f>
        <v>577.992444369315</v>
      </c>
      <c r="J7" s="15" t="n">
        <f aca="false">F165</f>
        <v>0.374947317603094</v>
      </c>
      <c r="K7" s="16" t="n">
        <f aca="false">F174</f>
        <v>75.2632996647161</v>
      </c>
      <c r="L7" s="15" t="n">
        <f aca="false">K7/K$4-1</f>
        <v>-0.0244348054489123</v>
      </c>
    </row>
    <row r="8" customFormat="false" ht="17.15" hidden="false" customHeight="false" outlineLevel="0" collapsed="false">
      <c r="A8" s="4" t="s">
        <v>832</v>
      </c>
      <c r="B8" s="4" t="s">
        <v>833</v>
      </c>
      <c r="C8" s="20" t="n">
        <f aca="false">E202</f>
        <v>1125.75647984313</v>
      </c>
      <c r="D8" s="20" t="n">
        <f aca="false">E190</f>
        <v>447.642063837297</v>
      </c>
      <c r="E8" s="15" t="n">
        <f aca="false">E211</f>
        <v>0.372285351714575</v>
      </c>
      <c r="F8" s="16" t="n">
        <f aca="false">E220</f>
        <v>61.0152779081844</v>
      </c>
      <c r="G8" s="15" t="n">
        <f aca="false">F8/F$4-1</f>
        <v>0.00504256712684992</v>
      </c>
      <c r="H8" s="20" t="n">
        <f aca="false">F202</f>
        <v>1377.70310629362</v>
      </c>
      <c r="I8" s="20" t="n">
        <f aca="false">F190</f>
        <v>614.369591217733</v>
      </c>
      <c r="J8" s="15" t="n">
        <f aca="false">F211</f>
        <v>0.376149424209308</v>
      </c>
      <c r="K8" s="16" t="n">
        <f aca="false">F220</f>
        <v>77.9550990356605</v>
      </c>
      <c r="L8" s="15" t="n">
        <f aca="false">K8/K$4-1</f>
        <v>0.010456380410681</v>
      </c>
    </row>
    <row r="9" customFormat="false" ht="17.15" hidden="false" customHeight="false" outlineLevel="0" collapsed="false">
      <c r="A9" s="4" t="s">
        <v>834</v>
      </c>
      <c r="B9" s="4" t="s">
        <v>835</v>
      </c>
      <c r="C9" s="20" t="n">
        <f aca="false">E248</f>
        <v>1087.83592405942</v>
      </c>
      <c r="D9" s="20" t="n">
        <f aca="false">E236</f>
        <v>443.378806086466</v>
      </c>
      <c r="E9" s="15" t="n">
        <f aca="false">E257</f>
        <v>0.373080717687488</v>
      </c>
      <c r="F9" s="16" t="n">
        <f aca="false">E266</f>
        <v>59.0074344851608</v>
      </c>
      <c r="G9" s="15" t="n">
        <f aca="false">F9/F$4-1</f>
        <v>-0.0280305938493396</v>
      </c>
      <c r="H9" s="20" t="n">
        <f aca="false">F248</f>
        <v>1302.78414780901</v>
      </c>
      <c r="I9" s="20" t="n">
        <f aca="false">F236</f>
        <v>603.447465151641</v>
      </c>
      <c r="J9" s="15" t="n">
        <f aca="false">F257</f>
        <v>0.377530285536203</v>
      </c>
      <c r="K9" s="16" t="n">
        <f aca="false">F266</f>
        <v>73.7982223717138</v>
      </c>
      <c r="L9" s="15" t="n">
        <f aca="false">K9/K$4-1</f>
        <v>-0.0434251821763129</v>
      </c>
    </row>
    <row r="10" customFormat="false" ht="17.15" hidden="false" customHeight="false" outlineLevel="0" collapsed="false">
      <c r="A10" s="4" t="s">
        <v>836</v>
      </c>
      <c r="B10" s="4" t="s">
        <v>837</v>
      </c>
      <c r="C10" s="20" t="n">
        <f aca="false">E294</f>
        <v>1155.15052012518</v>
      </c>
      <c r="D10" s="20" t="n">
        <f aca="false">E282</f>
        <v>443.378806086466</v>
      </c>
      <c r="E10" s="15" t="n">
        <f aca="false">E303</f>
        <v>0.371180636377539</v>
      </c>
      <c r="F10" s="16" t="n">
        <f aca="false">E312</f>
        <v>62.4108614236599</v>
      </c>
      <c r="G10" s="15" t="n">
        <f aca="false">F10/F$4-1</f>
        <v>0.028030593849339</v>
      </c>
      <c r="H10" s="20" t="n">
        <f aca="false">F294</f>
        <v>1420.11167390962</v>
      </c>
      <c r="I10" s="20" t="n">
        <f aca="false">F282</f>
        <v>603.447465151641</v>
      </c>
      <c r="J10" s="15" t="n">
        <f aca="false">F303</f>
        <v>0.374468784541828</v>
      </c>
      <c r="K10" s="16" t="n">
        <f aca="false">F312</f>
        <v>79.937379653762</v>
      </c>
      <c r="L10" s="15" t="n">
        <f aca="false">K10/K$4-1</f>
        <v>0.0361507624729596</v>
      </c>
    </row>
    <row r="11" customFormat="false" ht="17.15" hidden="false" customHeight="false" outlineLevel="0" collapsed="false">
      <c r="A11" s="0" t="s">
        <v>838</v>
      </c>
      <c r="B11" s="0" t="s">
        <v>839</v>
      </c>
      <c r="C11" s="20" t="n">
        <f aca="false">E340</f>
        <v>995.794433038842</v>
      </c>
      <c r="D11" s="20" t="n">
        <f aca="false">E328</f>
        <v>354.703044869173</v>
      </c>
      <c r="E11" s="15" t="n">
        <f aca="false">E349</f>
        <v>0.368970503477367</v>
      </c>
      <c r="F11" s="16" t="n">
        <f aca="false">E358</f>
        <v>52.4697600997367</v>
      </c>
      <c r="G11" s="15" t="n">
        <f aca="false">F11/F$4-1</f>
        <v>-0.135719049472759</v>
      </c>
      <c r="H11" s="20" t="n">
        <f aca="false">F340</f>
        <v>1197.02724900967</v>
      </c>
      <c r="I11" s="20" t="n">
        <f aca="false">F328</f>
        <v>482.757972121312</v>
      </c>
      <c r="J11" s="15" t="n">
        <f aca="false">F349</f>
        <v>0.372738209347848</v>
      </c>
      <c r="K11" s="16" t="n">
        <f aca="false">F358</f>
        <v>65.750485675217</v>
      </c>
      <c r="L11" s="15" t="n">
        <f aca="false">K11/K$4-1</f>
        <v>-0.147740191629645</v>
      </c>
    </row>
    <row r="12" customFormat="false" ht="17.15" hidden="false" customHeight="false" outlineLevel="0" collapsed="false">
      <c r="A12" s="0" t="s">
        <v>840</v>
      </c>
      <c r="B12" s="0" t="s">
        <v>841</v>
      </c>
      <c r="C12" s="20" t="n">
        <f aca="false">E386</f>
        <v>1247.19201114576</v>
      </c>
      <c r="D12" s="20" t="n">
        <f aca="false">E374</f>
        <v>532.054567303759</v>
      </c>
      <c r="E12" s="15" t="n">
        <f aca="false">E395</f>
        <v>0.374602575187059</v>
      </c>
      <c r="F12" s="16" t="n">
        <f aca="false">E404</f>
        <v>68.948535809084</v>
      </c>
      <c r="G12" s="15" t="n">
        <f aca="false">F12/F$4-1</f>
        <v>0.135719049472758</v>
      </c>
      <c r="H12" s="20" t="n">
        <f aca="false">F386</f>
        <v>1536.53471144538</v>
      </c>
      <c r="I12" s="20" t="n">
        <f aca="false">F374</f>
        <v>724.136958181969</v>
      </c>
      <c r="J12" s="15" t="n">
        <f aca="false">F395</f>
        <v>0.378176759345196</v>
      </c>
      <c r="K12" s="16" t="n">
        <f aca="false">F404</f>
        <v>88.5665454258982</v>
      </c>
      <c r="L12" s="15" t="n">
        <f aca="false">K12/K$4-1</f>
        <v>0.14800227340604</v>
      </c>
    </row>
    <row r="13" customFormat="false" ht="17.15" hidden="false" customHeight="false" outlineLevel="0" collapsed="false">
      <c r="A13" s="4" t="s">
        <v>842</v>
      </c>
      <c r="B13" s="4" t="s">
        <v>843</v>
      </c>
      <c r="C13" s="20" t="n">
        <f aca="false">E432</f>
        <v>1094.2619616923</v>
      </c>
      <c r="D13" s="20" t="n">
        <f aca="false">E420</f>
        <v>443.378806086466</v>
      </c>
      <c r="E13" s="15" t="n">
        <f aca="false">E441</f>
        <v>0.372889237659686</v>
      </c>
      <c r="F13" s="16" t="n">
        <f aca="false">E450</f>
        <v>59.3323350396585</v>
      </c>
      <c r="G13" s="15" t="n">
        <f aca="false">F13/F$4-1</f>
        <v>-0.0226788377228719</v>
      </c>
      <c r="H13" s="20" t="n">
        <f aca="false">F432</f>
        <v>1312.49432798428</v>
      </c>
      <c r="I13" s="20" t="n">
        <f aca="false">F420</f>
        <v>603.447465151641</v>
      </c>
      <c r="J13" s="15" t="n">
        <f aca="false">F441</f>
        <v>0.377256136425112</v>
      </c>
      <c r="K13" s="16" t="n">
        <f aca="false">F450</f>
        <v>74.3042509736548</v>
      </c>
      <c r="L13" s="15" t="n">
        <f aca="false">K13/K$4-1</f>
        <v>-0.0368660239451412</v>
      </c>
    </row>
    <row r="14" customFormat="false" ht="17.15" hidden="false" customHeight="false" outlineLevel="0" collapsed="false">
      <c r="A14" s="4" t="s">
        <v>844</v>
      </c>
      <c r="B14" s="4" t="s">
        <v>845</v>
      </c>
      <c r="C14" s="20" t="n">
        <f aca="false">E478</f>
        <v>1148.7244824923</v>
      </c>
      <c r="D14" s="20" t="n">
        <f aca="false">E466</f>
        <v>443.378806086466</v>
      </c>
      <c r="E14" s="15" t="n">
        <f aca="false">E487</f>
        <v>0.371352408912948</v>
      </c>
      <c r="F14" s="16" t="n">
        <f aca="false">E496</f>
        <v>62.0859608691622</v>
      </c>
      <c r="G14" s="15" t="n">
        <f aca="false">F14/F$4-1</f>
        <v>0.0226788377228713</v>
      </c>
      <c r="H14" s="20" t="n">
        <f aca="false">F478</f>
        <v>1420.77640926928</v>
      </c>
      <c r="I14" s="20" t="n">
        <f aca="false">F466</f>
        <v>603.447465151641</v>
      </c>
      <c r="J14" s="15" t="n">
        <f aca="false">F487</f>
        <v>0.374452879676343</v>
      </c>
      <c r="K14" s="16" t="n">
        <f aca="false">F496</f>
        <v>79.9825569977212</v>
      </c>
      <c r="L14" s="15" t="n">
        <f aca="false">K14/K$4-1</f>
        <v>0.0367363525885303</v>
      </c>
    </row>
    <row r="15" customFormat="false" ht="17.15" hidden="false" customHeight="false" outlineLevel="0" collapsed="false">
      <c r="A15" s="0" t="s">
        <v>846</v>
      </c>
      <c r="B15" s="0" t="s">
        <v>847</v>
      </c>
      <c r="C15" s="20" t="n">
        <f aca="false">E524</f>
        <v>1121.4932220923</v>
      </c>
      <c r="D15" s="20" t="n">
        <f aca="false">E512</f>
        <v>443.378806086466</v>
      </c>
      <c r="E15" s="15" t="n">
        <f aca="false">E533</f>
        <v>0.366688291456808</v>
      </c>
      <c r="F15" s="16" t="n">
        <f aca="false">E542</f>
        <v>59.0966339001177</v>
      </c>
      <c r="G15" s="15" t="n">
        <f aca="false">F15/F$4-1</f>
        <v>-0.0265613026805052</v>
      </c>
      <c r="H15" s="20" t="n">
        <f aca="false">F524</f>
        <v>1366.78098022753</v>
      </c>
      <c r="I15" s="20" t="n">
        <f aca="false">F512</f>
        <v>603.447465151641</v>
      </c>
      <c r="J15" s="15" t="n">
        <f aca="false">F533</f>
        <v>0.368534817532054</v>
      </c>
      <c r="K15" s="16" t="n">
        <f aca="false">F542</f>
        <v>74.5129352361778</v>
      </c>
      <c r="L15" s="15" t="n">
        <f aca="false">K15/K$4-1</f>
        <v>-0.0341610521451404</v>
      </c>
    </row>
    <row r="16" customFormat="false" ht="17.15" hidden="false" customHeight="false" outlineLevel="0" collapsed="false">
      <c r="A16" s="0" t="s">
        <v>848</v>
      </c>
      <c r="B16" s="4" t="s">
        <v>849</v>
      </c>
      <c r="C16" s="20" t="n">
        <f aca="false">E570</f>
        <v>1121.4932220923</v>
      </c>
      <c r="D16" s="20" t="n">
        <f aca="false">E558</f>
        <v>443.378806086466</v>
      </c>
      <c r="E16" s="15" t="n">
        <f aca="false">E579</f>
        <v>0.37751603898857</v>
      </c>
      <c r="F16" s="16" t="n">
        <f aca="false">E588</f>
        <v>62.321662008703</v>
      </c>
      <c r="G16" s="15" t="n">
        <f aca="false">F16/F$4-1</f>
        <v>0.0265613026805047</v>
      </c>
      <c r="H16" s="20" t="n">
        <f aca="false">F570</f>
        <v>1366.78098022753</v>
      </c>
      <c r="I16" s="20" t="n">
        <f aca="false">F558</f>
        <v>603.447465151641</v>
      </c>
      <c r="J16" s="15" t="n">
        <f aca="false">F579</f>
        <v>0.383055617214308</v>
      </c>
      <c r="K16" s="16" t="n">
        <f aca="false">F588</f>
        <v>79.7838766736587</v>
      </c>
      <c r="L16" s="15" t="n">
        <f aca="false">K16/K$4-1</f>
        <v>0.0341610521451401</v>
      </c>
    </row>
    <row r="17" customFormat="false" ht="17.15" hidden="false" customHeight="false" outlineLevel="0" collapsed="false">
      <c r="A17" s="4" t="s">
        <v>850</v>
      </c>
      <c r="B17" s="4" t="s">
        <v>851</v>
      </c>
      <c r="C17" s="20" t="n">
        <f aca="false">E616</f>
        <v>1121.4932220923</v>
      </c>
      <c r="D17" s="20" t="n">
        <f aca="false">E604</f>
        <v>443.378806086466</v>
      </c>
      <c r="E17" s="15" t="n">
        <f aca="false">E625</f>
        <v>0.372102165222689</v>
      </c>
      <c r="F17" s="16" t="n">
        <f aca="false">E634</f>
        <v>54.7521784201187</v>
      </c>
      <c r="G17" s="15" t="n">
        <f aca="false">F17/F$4-1</f>
        <v>-0.0981230956949861</v>
      </c>
      <c r="H17" s="20" t="n">
        <f aca="false">F616</f>
        <v>1366.78098022753</v>
      </c>
      <c r="I17" s="20" t="n">
        <f aca="false">F604</f>
        <v>603.447465151641</v>
      </c>
      <c r="J17" s="15" t="n">
        <f aca="false">F625</f>
        <v>0.375795217373181</v>
      </c>
      <c r="K17" s="16" t="n">
        <f aca="false">F634</f>
        <v>69.8885558739032</v>
      </c>
      <c r="L17" s="15" t="n">
        <f aca="false">K17/K$4-1</f>
        <v>-0.0941023990211464</v>
      </c>
    </row>
    <row r="18" customFormat="false" ht="17.15" hidden="false" customHeight="false" outlineLevel="0" collapsed="false">
      <c r="A18" s="0" t="s">
        <v>852</v>
      </c>
      <c r="B18" s="0" t="s">
        <v>853</v>
      </c>
      <c r="C18" s="20" t="n">
        <f aca="false">E662</f>
        <v>1007.61097142573</v>
      </c>
      <c r="D18" s="20" t="n">
        <f aca="false">E650</f>
        <v>230.215918544896</v>
      </c>
      <c r="E18" s="15" t="n">
        <f aca="false">E671</f>
        <v>0.368752576629125</v>
      </c>
      <c r="F18" s="16" t="n">
        <f aca="false">E680</f>
        <v>53.0983146274665</v>
      </c>
      <c r="G18" s="15" t="n">
        <f aca="false">F18/F$4-1</f>
        <v>-0.125365510526672</v>
      </c>
      <c r="H18" s="20" t="n">
        <f aca="false">F662</f>
        <v>1179.91386894693</v>
      </c>
      <c r="I18" s="20" t="n">
        <f aca="false">F650</f>
        <v>313.328491521044</v>
      </c>
      <c r="J18" s="15" t="n">
        <f aca="false">F671</f>
        <v>0.371718577948197</v>
      </c>
      <c r="K18" s="16" t="n">
        <f aca="false">F680</f>
        <v>64.3758712159701</v>
      </c>
      <c r="L18" s="15" t="n">
        <f aca="false">K18/K$4-1</f>
        <v>-0.165557986336255</v>
      </c>
    </row>
    <row r="19" customFormat="false" ht="17.15" hidden="false" customHeight="false" outlineLevel="0" collapsed="false">
      <c r="A19" s="4" t="s">
        <v>854</v>
      </c>
      <c r="B19" s="0" t="s">
        <v>855</v>
      </c>
      <c r="C19" s="20" t="n">
        <f aca="false">PL!E150</f>
        <v>1121.4932220923</v>
      </c>
      <c r="D19" s="20" t="n">
        <f aca="false">PL!E138</f>
        <v>443.378806086466</v>
      </c>
      <c r="E19" s="15" t="n">
        <f aca="false">PL!E159</f>
        <v>0.372102165222689</v>
      </c>
      <c r="F19" s="16" t="n">
        <f aca="false">PL!E168</f>
        <v>60.7091479544104</v>
      </c>
      <c r="G19" s="15" t="n">
        <f aca="false">F19/F$4-1</f>
        <v>0</v>
      </c>
      <c r="H19" s="20" t="n">
        <f aca="false">PL!F150</f>
        <v>1197.02724900967</v>
      </c>
      <c r="I19" s="20" t="n">
        <f aca="false">PL!F138</f>
        <v>482.757972121312</v>
      </c>
      <c r="J19" s="15" t="n">
        <f aca="false">PL!F159</f>
        <v>0.372738209347848</v>
      </c>
      <c r="K19" s="16" t="n">
        <f aca="false">PL!F168</f>
        <v>65.5608552044504</v>
      </c>
      <c r="L19" s="15" t="n">
        <f aca="false">K19/K$4-1</f>
        <v>-0.150198187597538</v>
      </c>
    </row>
    <row r="20" customFormat="false" ht="17.15" hidden="false" customHeight="false" outlineLevel="0" collapsed="false">
      <c r="A20" s="4" t="s">
        <v>856</v>
      </c>
      <c r="B20" s="0" t="s">
        <v>857</v>
      </c>
      <c r="C20" s="20" t="n">
        <f aca="false">PL!E196</f>
        <v>1121.4932220923</v>
      </c>
      <c r="D20" s="20" t="n">
        <f aca="false">PL!E184</f>
        <v>443.378806086466</v>
      </c>
      <c r="E20" s="15" t="n">
        <f aca="false">PL!E205</f>
        <v>0.372102165222689</v>
      </c>
      <c r="F20" s="16" t="n">
        <f aca="false">PL!E214</f>
        <v>60.7091479544104</v>
      </c>
      <c r="G20" s="15" t="n">
        <f aca="false">F20/F$4-1</f>
        <v>0</v>
      </c>
      <c r="H20" s="20" t="n">
        <f aca="false">PL!F196</f>
        <v>1027.27351779182</v>
      </c>
      <c r="I20" s="20" t="n">
        <f aca="false">PL!F184</f>
        <v>362.068479090984</v>
      </c>
      <c r="J20" s="15" t="n">
        <f aca="false">PL!F205</f>
        <v>0.368670879320291</v>
      </c>
      <c r="K20" s="16" t="n">
        <f aca="false">PL!F214</f>
        <v>50.461870084394</v>
      </c>
      <c r="L20" s="15" t="n">
        <f aca="false">K20/K$4-1</f>
        <v>-0.345911695001431</v>
      </c>
    </row>
    <row r="22" customFormat="false" ht="17.15" hidden="false" customHeight="false" outlineLevel="0" collapsed="false">
      <c r="A22" s="4" t="s">
        <v>858</v>
      </c>
    </row>
    <row r="40" customFormat="false" ht="17.15" hidden="false" customHeight="false" outlineLevel="0" collapsed="false">
      <c r="A40" s="1" t="s">
        <v>859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2" t="s">
        <v>380</v>
      </c>
      <c r="D41" s="12" t="s">
        <v>468</v>
      </c>
      <c r="E41" s="12" t="s">
        <v>469</v>
      </c>
      <c r="F41" s="12" t="s">
        <v>470</v>
      </c>
      <c r="G41" s="12" t="s">
        <v>471</v>
      </c>
      <c r="H41" s="5" t="s">
        <v>365</v>
      </c>
    </row>
    <row r="42" customFormat="false" ht="17.15" hidden="false" customHeight="false" outlineLevel="0" collapsed="false">
      <c r="A42" s="6" t="s">
        <v>490</v>
      </c>
    </row>
    <row r="43" customFormat="false" ht="17.15" hidden="false" customHeight="false" outlineLevel="0" collapsed="false">
      <c r="A43" s="0" t="s">
        <v>491</v>
      </c>
      <c r="B43" s="0" t="s">
        <v>33</v>
      </c>
      <c r="D43" s="21" t="n">
        <f aca="false">itc_26*1</f>
        <v>781.872916666666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492</v>
      </c>
      <c r="B44" s="0" t="s">
        <v>33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493</v>
      </c>
      <c r="B45" s="0" t="s">
        <v>446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0" t="s">
        <v>448</v>
      </c>
      <c r="B46" s="0" t="s">
        <v>96</v>
      </c>
      <c r="D46" s="19" t="n">
        <f aca="false">pkw_26</f>
        <v>450</v>
      </c>
      <c r="E46" s="19" t="n">
        <f aca="false">pkw_27</f>
        <v>600</v>
      </c>
      <c r="F46" s="19" t="n">
        <f aca="false">pkw_28</f>
        <v>680</v>
      </c>
      <c r="G46" s="19" t="n">
        <f aca="false">pkw_29</f>
        <v>720</v>
      </c>
    </row>
    <row r="47" customFormat="false" ht="17.15" hidden="false" customHeight="false" outlineLevel="0" collapsed="false">
      <c r="A47" s="0" t="s">
        <v>494</v>
      </c>
      <c r="B47" s="0" t="s">
        <v>33</v>
      </c>
      <c r="D47" s="21" t="n">
        <f aca="false">D45*D46/1000</f>
        <v>10.5297921189287</v>
      </c>
      <c r="E47" s="21" t="n">
        <f aca="false">E45*E46/1000</f>
        <v>24.9880594956382</v>
      </c>
      <c r="F47" s="21" t="n">
        <f aca="false">F45*F46/1000</f>
        <v>35.8986539700486</v>
      </c>
      <c r="G47" s="21" t="n">
        <f aca="false">G45*G46/1000</f>
        <v>43.2997860500003</v>
      </c>
    </row>
    <row r="48" customFormat="false" ht="17.15" hidden="false" customHeight="false" outlineLevel="0" collapsed="false">
      <c r="A48" s="0" t="s">
        <v>495</v>
      </c>
      <c r="B48" s="0" t="s">
        <v>209</v>
      </c>
      <c r="D48" s="20" t="n">
        <f aca="false">D47*fx</f>
        <v>336.95334780572</v>
      </c>
      <c r="E48" s="20" t="n">
        <f aca="false">E47*fx</f>
        <v>799.617903860422</v>
      </c>
      <c r="F48" s="20" t="n">
        <f aca="false">F47*fx</f>
        <v>1148.75692704156</v>
      </c>
      <c r="G48" s="20" t="n">
        <f aca="false">G47*fx</f>
        <v>1385.59315360001</v>
      </c>
    </row>
    <row r="49" customFormat="false" ht="17.15" hidden="false" customHeight="false" outlineLevel="0" collapsed="false">
      <c r="A49" s="4" t="s">
        <v>496</v>
      </c>
      <c r="B49" s="0" t="s">
        <v>53</v>
      </c>
      <c r="D49" s="15" t="n">
        <f aca="false">a26_aip/D48</f>
        <v>0.583671939396773</v>
      </c>
      <c r="H49" s="8" t="s">
        <v>497</v>
      </c>
    </row>
    <row r="50" customFormat="false" ht="17.15" hidden="false" customHeight="false" outlineLevel="0" collapsed="false">
      <c r="A50" s="4" t="s">
        <v>498</v>
      </c>
      <c r="B50" s="0" t="s">
        <v>69</v>
      </c>
      <c r="D50" s="16" t="n">
        <f aca="false">1</f>
        <v>1</v>
      </c>
      <c r="E50" s="16" t="n">
        <f aca="false">RLO_27</f>
        <v>0.85</v>
      </c>
      <c r="F50" s="16" t="n">
        <f aca="false">RLO_28</f>
        <v>0.7</v>
      </c>
      <c r="G50" s="16" t="n">
        <f aca="false">RLO_29</f>
        <v>0.65</v>
      </c>
    </row>
    <row r="51" customFormat="false" ht="15" hidden="false" customHeight="false" outlineLevel="0" collapsed="false">
      <c r="A51" s="4" t="s">
        <v>455</v>
      </c>
      <c r="B51" s="0" t="s">
        <v>53</v>
      </c>
      <c r="D51" s="15" t="n">
        <f aca="false">$D$49*D50</f>
        <v>0.583671939396773</v>
      </c>
      <c r="E51" s="15" t="n">
        <f aca="false">$D$49*E50</f>
        <v>0.496121148487257</v>
      </c>
      <c r="F51" s="15" t="n">
        <f aca="false">$D$49*F50</f>
        <v>0.408570357577741</v>
      </c>
      <c r="G51" s="15" t="n">
        <f aca="false">$D$49*G50</f>
        <v>0.379386760607903</v>
      </c>
    </row>
    <row r="52" customFormat="false" ht="17.15" hidden="false" customHeight="false" outlineLevel="0" collapsed="false">
      <c r="A52" s="0" t="s">
        <v>499</v>
      </c>
      <c r="B52" s="0" t="s">
        <v>209</v>
      </c>
      <c r="C52" s="20" t="n">
        <f aca="false">a25_aip</f>
        <v>99.8793</v>
      </c>
      <c r="D52" s="20" t="n">
        <f aca="false">D48*D51</f>
        <v>196.670214</v>
      </c>
      <c r="E52" s="20" t="n">
        <f aca="false">E48*E51</f>
        <v>396.707352814206</v>
      </c>
      <c r="F52" s="20" t="n">
        <f aca="false">F48*F51</f>
        <v>469.348028451276</v>
      </c>
      <c r="G52" s="20" t="n">
        <f aca="false">G48*G51</f>
        <v>525.675698064796</v>
      </c>
    </row>
    <row r="53" customFormat="false" ht="17.15" hidden="false" customHeight="false" outlineLevel="0" collapsed="false">
      <c r="A53" s="6" t="s">
        <v>500</v>
      </c>
    </row>
    <row r="54" customFormat="false" ht="17.15" hidden="false" customHeight="false" outlineLevel="0" collapsed="false">
      <c r="A54" s="4" t="s">
        <v>501</v>
      </c>
      <c r="B54" s="0" t="s">
        <v>502</v>
      </c>
      <c r="D54" s="23" t="n">
        <f aca="false">a26_lc/D45</f>
        <v>4.04080573428535</v>
      </c>
    </row>
    <row r="55" customFormat="false" ht="17.15" hidden="false" customHeight="false" outlineLevel="0" collapsed="false">
      <c r="A55" s="4" t="s">
        <v>503</v>
      </c>
      <c r="B55" s="0" t="s">
        <v>69</v>
      </c>
      <c r="D55" s="16" t="n">
        <f aca="false">1</f>
        <v>1</v>
      </c>
      <c r="E55" s="16" t="n">
        <f aca="false">lcr_27</f>
        <v>1.1</v>
      </c>
      <c r="F55" s="16" t="n">
        <f aca="false">lcr_28</f>
        <v>1.15</v>
      </c>
      <c r="G55" s="16" t="n">
        <f aca="false">lcr_29</f>
        <v>1.2</v>
      </c>
    </row>
    <row r="56" customFormat="false" ht="15" hidden="false" customHeight="false" outlineLevel="0" collapsed="false">
      <c r="A56" s="4" t="s">
        <v>504</v>
      </c>
      <c r="B56" s="0" t="s">
        <v>209</v>
      </c>
      <c r="C56" s="20" t="n">
        <f aca="false">a25_lc</f>
        <v>55.4885</v>
      </c>
      <c r="D56" s="20" t="n">
        <f aca="false">D45*$D$54*D55</f>
        <v>94.5529875</v>
      </c>
      <c r="E56" s="20" t="n">
        <f aca="false">E45*$D$54*E55</f>
        <v>185.115139180837</v>
      </c>
      <c r="F56" s="20" t="n">
        <f aca="false">F45*$D$54*F55</f>
        <v>245.321190937637</v>
      </c>
      <c r="G56" s="20" t="n">
        <f aca="false">G45*$D$54*G55</f>
        <v>291.61003960695</v>
      </c>
    </row>
    <row r="57" customFormat="false" ht="17.15" hidden="false" customHeight="false" outlineLevel="0" collapsed="false">
      <c r="A57" s="4" t="s">
        <v>505</v>
      </c>
      <c r="B57" s="0" t="s">
        <v>209</v>
      </c>
      <c r="C57" s="20" t="n">
        <f aca="false">a25_pe-a25_aip</f>
        <v>177.5632</v>
      </c>
      <c r="D57" s="20" t="n">
        <f aca="false">a26_pe-a26_aip</f>
        <v>189.105975</v>
      </c>
      <c r="E57" s="20" t="n">
        <f aca="false">D57*(1+g_pe27)</f>
        <v>198.56127375</v>
      </c>
      <c r="F57" s="20" t="n">
        <f aca="false">E57*(1+g_pe28)</f>
        <v>206.5037247</v>
      </c>
      <c r="G57" s="20" t="n">
        <f aca="false">F57*(1+g_pe29)</f>
        <v>212.698836441</v>
      </c>
      <c r="H57" s="8" t="s">
        <v>506</v>
      </c>
    </row>
    <row r="58" customFormat="false" ht="17.15" hidden="false" customHeight="false" outlineLevel="0" collapsed="false">
      <c r="A58" s="4" t="s">
        <v>431</v>
      </c>
      <c r="B58" s="0" t="s">
        <v>209</v>
      </c>
      <c r="C58" s="20" t="n">
        <f aca="false">C52+C57</f>
        <v>277.4425</v>
      </c>
      <c r="D58" s="20" t="n">
        <f aca="false">D52+D57</f>
        <v>385.776189</v>
      </c>
      <c r="E58" s="20" t="n">
        <f aca="false">E52+E57</f>
        <v>595.268626564206</v>
      </c>
      <c r="F58" s="20" t="n">
        <f aca="false">F52+F57</f>
        <v>675.851753151276</v>
      </c>
      <c r="G58" s="20" t="n">
        <f aca="false">G52+G57</f>
        <v>738.374534505796</v>
      </c>
      <c r="H58" s="4" t="s">
        <v>507</v>
      </c>
    </row>
    <row r="59" customFormat="false" ht="17.15" hidden="false" customHeight="false" outlineLevel="0" collapsed="false">
      <c r="A59" s="4" t="s">
        <v>508</v>
      </c>
      <c r="B59" s="0" t="s">
        <v>209</v>
      </c>
      <c r="C59" s="20" t="n">
        <f aca="false">a25_inf-a25_lc</f>
        <v>127.62355</v>
      </c>
      <c r="D59" s="20" t="n">
        <f aca="false">a26_inf-a26_lc</f>
        <v>170.1953775</v>
      </c>
      <c r="E59" s="20" t="n">
        <f aca="false">D59*(1+g_inf27)</f>
        <v>185.512961475</v>
      </c>
      <c r="F59" s="20" t="n">
        <f aca="false">E59*(1+g_inf28)</f>
        <v>198.49886877825</v>
      </c>
      <c r="G59" s="20" t="n">
        <f aca="false">F59*(1+g_inf29)</f>
        <v>210.408800904945</v>
      </c>
      <c r="H59" s="4" t="s">
        <v>509</v>
      </c>
    </row>
    <row r="60" customFormat="false" ht="15" hidden="false" customHeight="false" outlineLevel="0" collapsed="false">
      <c r="A60" s="4" t="s">
        <v>437</v>
      </c>
      <c r="B60" s="0" t="s">
        <v>209</v>
      </c>
      <c r="C60" s="20" t="n">
        <f aca="false">C56+C59</f>
        <v>183.11205</v>
      </c>
      <c r="D60" s="20" t="n">
        <f aca="false">D56+D59</f>
        <v>264.748365</v>
      </c>
      <c r="E60" s="20" t="n">
        <f aca="false">E56+E59</f>
        <v>370.628100655837</v>
      </c>
      <c r="F60" s="20" t="n">
        <f aca="false">F56+F59</f>
        <v>443.820059715887</v>
      </c>
      <c r="G60" s="20" t="n">
        <f aca="false">G56+G59</f>
        <v>502.018840511895</v>
      </c>
      <c r="H60" s="4" t="s">
        <v>510</v>
      </c>
    </row>
    <row r="61" customFormat="false" ht="15" hidden="false" customHeight="false" outlineLevel="0" collapsed="false">
      <c r="A61" s="4" t="s">
        <v>436</v>
      </c>
      <c r="B61" s="0" t="s">
        <v>209</v>
      </c>
      <c r="C61" s="20" t="n">
        <f aca="false">a25_au</f>
        <v>55.4885</v>
      </c>
      <c r="D61" s="20" t="n">
        <f aca="false">a26_au</f>
        <v>60.513912</v>
      </c>
      <c r="E61" s="20" t="n">
        <f aca="false">D61*(1+g_au27)</f>
        <v>63.5396076</v>
      </c>
      <c r="F61" s="20" t="n">
        <f aca="false">E61*(1+g_au28)</f>
        <v>66.71658798</v>
      </c>
      <c r="G61" s="20" t="n">
        <f aca="false">F61*(1+g_au29)</f>
        <v>69.3852514992</v>
      </c>
    </row>
    <row r="62" customFormat="false" ht="15" hidden="false" customHeight="false" outlineLevel="0" collapsed="false">
      <c r="A62" s="4" t="s">
        <v>435</v>
      </c>
      <c r="B62" s="0" t="s">
        <v>209</v>
      </c>
      <c r="C62" s="20" t="n">
        <f aca="false">a25_mo</f>
        <v>38.84195</v>
      </c>
      <c r="D62" s="20" t="n">
        <f aca="false">a26_mo</f>
        <v>45.385434</v>
      </c>
      <c r="E62" s="20" t="n">
        <f aca="false">D62*(1+g_mo27)</f>
        <v>45.385434</v>
      </c>
      <c r="F62" s="20" t="n">
        <f aca="false">E62*(1+g_mo28)</f>
        <v>46.29314268</v>
      </c>
      <c r="G62" s="20" t="n">
        <f aca="false">F62*(1+g_mo29)</f>
        <v>47.2190055336</v>
      </c>
    </row>
    <row r="63" customFormat="false" ht="17.15" hidden="false" customHeight="false" outlineLevel="0" collapsed="false">
      <c r="A63" s="4" t="s">
        <v>511</v>
      </c>
      <c r="B63" s="0" t="s">
        <v>209</v>
      </c>
      <c r="C63" s="20" t="n">
        <f aca="false">C57+C59+C61+C62</f>
        <v>399.5172</v>
      </c>
      <c r="D63" s="20" t="n">
        <f aca="false">D57+D59+D61+D62</f>
        <v>465.2006985</v>
      </c>
      <c r="E63" s="20" t="n">
        <f aca="false">E57+E59+E61+E62</f>
        <v>492.999276825</v>
      </c>
      <c r="F63" s="20" t="n">
        <f aca="false">F57+F59+F61+F62</f>
        <v>518.01232413825</v>
      </c>
      <c r="G63" s="20" t="n">
        <f aca="false">G57+G59+G61+G62</f>
        <v>539.711894378745</v>
      </c>
    </row>
    <row r="64" customFormat="false" ht="15" hidden="false" customHeight="false" outlineLevel="0" collapsed="false">
      <c r="A64" s="4" t="s">
        <v>386</v>
      </c>
      <c r="B64" s="0" t="s">
        <v>209</v>
      </c>
      <c r="C64" s="20" t="n">
        <f aca="false">C58+C60+C61+C62</f>
        <v>554.885</v>
      </c>
      <c r="D64" s="20" t="n">
        <f aca="false">D58+D60+D61+D62</f>
        <v>756.4239</v>
      </c>
      <c r="E64" s="20" t="n">
        <f aca="false">E58+E60+E61+E62</f>
        <v>1074.82176882004</v>
      </c>
      <c r="F64" s="20" t="n">
        <f aca="false">F58+F60+F61+F62</f>
        <v>1232.68154352716</v>
      </c>
      <c r="G64" s="20" t="n">
        <f aca="false">G58+G60+G61+G62</f>
        <v>1356.99763205049</v>
      </c>
      <c r="H64" s="4" t="s">
        <v>512</v>
      </c>
    </row>
    <row r="65" customFormat="false" ht="17.15" hidden="false" customHeight="false" outlineLevel="0" collapsed="false">
      <c r="A65" s="4" t="s">
        <v>513</v>
      </c>
      <c r="B65" s="0" t="s">
        <v>209</v>
      </c>
      <c r="C65" s="23" t="n">
        <f aca="false">C64-a25_rev</f>
        <v>0</v>
      </c>
      <c r="D65" s="23" t="n">
        <f aca="false">D64-a26_rev</f>
        <v>0</v>
      </c>
    </row>
    <row r="66" customFormat="false" ht="15" hidden="false" customHeight="false" outlineLevel="0" collapsed="false">
      <c r="A66" s="4" t="s">
        <v>514</v>
      </c>
      <c r="B66" s="0" t="s">
        <v>53</v>
      </c>
      <c r="D66" s="15" t="n">
        <f aca="false">D64/C64-1</f>
        <v>0.363208412553953</v>
      </c>
      <c r="E66" s="15" t="n">
        <f aca="false">E64/D64-1</f>
        <v>0.420925183379377</v>
      </c>
      <c r="F66" s="15" t="n">
        <f aca="false">F64/E64-1</f>
        <v>0.14687065268544</v>
      </c>
      <c r="G66" s="15" t="n">
        <f aca="false">G64/F64-1</f>
        <v>0.10085012562743</v>
      </c>
    </row>
    <row r="67" customFormat="false" ht="17.15" hidden="false" customHeight="false" outlineLevel="0" collapsed="false">
      <c r="A67" s="0" t="s">
        <v>515</v>
      </c>
      <c r="B67" s="0" t="s">
        <v>53</v>
      </c>
      <c r="C67" s="15" t="n">
        <f aca="false">C52/C64</f>
        <v>0.18</v>
      </c>
      <c r="D67" s="15" t="n">
        <f aca="false">D52/D64</f>
        <v>0.26</v>
      </c>
      <c r="E67" s="15" t="n">
        <f aca="false">E52/E64</f>
        <v>0.369091289665372</v>
      </c>
      <c r="F67" s="15" t="n">
        <f aca="false">F52/F64</f>
        <v>0.380753675526199</v>
      </c>
      <c r="G67" s="15" t="n">
        <f aca="false">G52/G64</f>
        <v>0.387381440946565</v>
      </c>
    </row>
    <row r="68" customFormat="false" ht="17.15" hidden="false" customHeight="false" outlineLevel="0" collapsed="false">
      <c r="A68" s="0" t="s">
        <v>516</v>
      </c>
      <c r="B68" s="0" t="s">
        <v>53</v>
      </c>
      <c r="C68" s="15" t="n">
        <f aca="false">(C52+C56)/C64</f>
        <v>0.28</v>
      </c>
      <c r="D68" s="15" t="n">
        <f aca="false">(D52+D56)/D64</f>
        <v>0.385</v>
      </c>
      <c r="E68" s="15" t="n">
        <f aca="false">(E52+E56)/E64</f>
        <v>0.541319974039768</v>
      </c>
      <c r="F68" s="15" t="n">
        <f aca="false">(F52+F56)/F64</f>
        <v>0.579767923955426</v>
      </c>
      <c r="G68" s="15" t="n">
        <f aca="false">(G52+G56)/G64</f>
        <v>0.602274991767514</v>
      </c>
    </row>
    <row r="69" customFormat="false" ht="17.15" hidden="false" customHeight="false" outlineLevel="0" collapsed="false">
      <c r="A69" s="4" t="s">
        <v>462</v>
      </c>
      <c r="B69" s="0" t="s">
        <v>463</v>
      </c>
      <c r="D69" s="19" t="n">
        <f aca="false">(D52+D56)/fx/D45*1000</f>
        <v>388.927551924965</v>
      </c>
      <c r="E69" s="19" t="n">
        <f aca="false">(E52+E56)/fx/E45*1000</f>
        <v>436.575386208413</v>
      </c>
      <c r="F69" s="19" t="n">
        <f aca="false">(F52+F56)/fx/F45*1000</f>
        <v>423.044299228744</v>
      </c>
      <c r="G69" s="19" t="n">
        <f aca="false">(G52+G56)/fx/G45*1000</f>
        <v>424.688682673391</v>
      </c>
    </row>
    <row r="70" customFormat="false" ht="17.15" hidden="false" customHeight="false" outlineLevel="0" collapsed="false">
      <c r="A70" s="6" t="s">
        <v>517</v>
      </c>
    </row>
    <row r="71" customFormat="false" ht="17.15" hidden="false" customHeight="false" outlineLevel="0" collapsed="false">
      <c r="A71" s="4" t="s">
        <v>518</v>
      </c>
      <c r="B71" s="0" t="s">
        <v>53</v>
      </c>
      <c r="D71" s="15" t="n">
        <f aca="false">a26_gp/D64-d_ai*D67</f>
        <v>0.340474417690927</v>
      </c>
      <c r="H71" s="8" t="s">
        <v>519</v>
      </c>
    </row>
    <row r="72" customFormat="false" ht="15" hidden="false" customHeight="false" outlineLevel="0" collapsed="false">
      <c r="A72" s="4" t="s">
        <v>390</v>
      </c>
      <c r="B72" s="0" t="s">
        <v>209</v>
      </c>
      <c r="C72" s="20" t="n">
        <f aca="false">a25_gp</f>
        <v>190.2</v>
      </c>
      <c r="D72" s="20" t="n">
        <f aca="false">a26_gp</f>
        <v>273.276604</v>
      </c>
      <c r="E72" s="20" t="n">
        <f aca="false">$D$71*E64+d_ai*E52</f>
        <v>397.685904085673</v>
      </c>
      <c r="F72" s="20" t="n">
        <f aca="false">$D$71*F64+d_ai*F52</f>
        <v>457.244373006866</v>
      </c>
      <c r="G72" s="20" t="n">
        <f aca="false">$D$71*G64+d_ai*G52</f>
        <v>504.077034425542</v>
      </c>
    </row>
    <row r="73" customFormat="false" ht="15" hidden="false" customHeight="false" outlineLevel="0" collapsed="false">
      <c r="A73" s="4" t="s">
        <v>392</v>
      </c>
      <c r="B73" s="0" t="s">
        <v>53</v>
      </c>
      <c r="C73" s="15" t="n">
        <f aca="false">C72/C64</f>
        <v>0.342773727889563</v>
      </c>
      <c r="D73" s="15" t="n">
        <f aca="false">D72/D64</f>
        <v>0.361274417690927</v>
      </c>
      <c r="E73" s="15" t="n">
        <f aca="false">E72/E64</f>
        <v>0.370001720864157</v>
      </c>
      <c r="F73" s="15" t="n">
        <f aca="false">F72/F64</f>
        <v>0.370934711733023</v>
      </c>
      <c r="G73" s="15" t="n">
        <f aca="false">G72/G64</f>
        <v>0.371464932966652</v>
      </c>
    </row>
    <row r="74" customFormat="false" ht="15" hidden="false" customHeight="false" outlineLevel="0" collapsed="false">
      <c r="A74" s="4" t="s">
        <v>520</v>
      </c>
      <c r="B74" s="0" t="s">
        <v>209</v>
      </c>
      <c r="C74" s="20" t="n">
        <f aca="false">a25_opx</f>
        <v>106.3</v>
      </c>
      <c r="D74" s="20" t="n">
        <f aca="false">a26_opx</f>
        <v>141.924088166667</v>
      </c>
      <c r="E74" s="20" t="n">
        <f aca="false">D74*(1+MAX(0,phi*E66))</f>
        <v>189.715626436671</v>
      </c>
      <c r="F74" s="20" t="n">
        <f aca="false">E74*(1+MAX(0,phi*F66))</f>
        <v>212.006552740175</v>
      </c>
      <c r="G74" s="20" t="n">
        <f aca="false">F74*(1+MAX(0,phi*G66))</f>
        <v>229.111262722324</v>
      </c>
    </row>
    <row r="75" customFormat="false" ht="15" hidden="false" customHeight="false" outlineLevel="0" collapsed="false">
      <c r="A75" s="4" t="s">
        <v>394</v>
      </c>
      <c r="B75" s="0" t="s">
        <v>209</v>
      </c>
      <c r="C75" s="20" t="n">
        <f aca="false">C74</f>
        <v>106.3</v>
      </c>
      <c r="D75" s="20" t="n">
        <f aca="false">D74</f>
        <v>141.924088166667</v>
      </c>
      <c r="E75" s="20" t="n">
        <f aca="false">E74+0*E64</f>
        <v>189.715626436671</v>
      </c>
      <c r="F75" s="20" t="n">
        <f aca="false">F74+0*F64</f>
        <v>212.006552740175</v>
      </c>
      <c r="G75" s="20" t="n">
        <f aca="false">G74+0*G64</f>
        <v>229.111262722324</v>
      </c>
    </row>
    <row r="76" customFormat="false" ht="15" hidden="false" customHeight="false" outlineLevel="0" collapsed="false">
      <c r="A76" s="4" t="s">
        <v>396</v>
      </c>
      <c r="B76" s="0" t="s">
        <v>209</v>
      </c>
      <c r="C76" s="20" t="n">
        <f aca="false">C72-C75</f>
        <v>83.9</v>
      </c>
      <c r="D76" s="20" t="n">
        <f aca="false">D72-D75</f>
        <v>131.352515833333</v>
      </c>
      <c r="E76" s="20" t="n">
        <f aca="false">E72-E75</f>
        <v>207.970277649002</v>
      </c>
      <c r="F76" s="20" t="n">
        <f aca="false">F72-F75</f>
        <v>245.23782026669</v>
      </c>
      <c r="G76" s="20" t="n">
        <f aca="false">G72-G75</f>
        <v>274.965771703218</v>
      </c>
    </row>
    <row r="77" customFormat="false" ht="15" hidden="false" customHeight="false" outlineLevel="0" collapsed="false">
      <c r="A77" s="4" t="s">
        <v>398</v>
      </c>
      <c r="B77" s="0" t="s">
        <v>53</v>
      </c>
      <c r="C77" s="15" t="n">
        <f aca="false">C76/C64</f>
        <v>0.151202501419213</v>
      </c>
      <c r="D77" s="15" t="n">
        <f aca="false">D76/D64</f>
        <v>0.173649346396027</v>
      </c>
      <c r="E77" s="15" t="n">
        <f aca="false">E76/E64</f>
        <v>0.193492803813711</v>
      </c>
      <c r="F77" s="15" t="n">
        <f aca="false">F76/F64</f>
        <v>0.198946614845042</v>
      </c>
      <c r="G77" s="15" t="n">
        <f aca="false">G76/G64</f>
        <v>0.202628040910971</v>
      </c>
    </row>
    <row r="78" customFormat="false" ht="15" hidden="false" customHeight="false" outlineLevel="0" collapsed="false">
      <c r="A78" s="4" t="s">
        <v>400</v>
      </c>
      <c r="B78" s="0" t="s">
        <v>209</v>
      </c>
      <c r="C78" s="20" t="n">
        <f aca="false">a25_nop</f>
        <v>3.934</v>
      </c>
      <c r="D78" s="20" t="n">
        <f aca="false">a26_nop</f>
        <v>11.1666666666667</v>
      </c>
      <c r="E78" s="20" t="n">
        <f aca="false">nop_f</f>
        <v>8</v>
      </c>
      <c r="F78" s="20" t="n">
        <f aca="false">nop_f</f>
        <v>8</v>
      </c>
      <c r="G78" s="20" t="n">
        <f aca="false">nop_f</f>
        <v>8</v>
      </c>
    </row>
    <row r="79" customFormat="false" ht="17.15" hidden="false" customHeight="false" outlineLevel="0" collapsed="false">
      <c r="A79" s="4" t="s">
        <v>250</v>
      </c>
      <c r="B79" s="0" t="s">
        <v>53</v>
      </c>
      <c r="C79" s="15" t="n">
        <f aca="false">a25_ni/(a25_oi+a25_nop)</f>
        <v>0.684336361773345</v>
      </c>
      <c r="D79" s="15" t="n">
        <f aca="false">a26_ni/(a26_oi+a26_nop)</f>
        <v>0.690638510538748</v>
      </c>
      <c r="E79" s="15" t="n">
        <f aca="false">nir_f</f>
        <v>0.69</v>
      </c>
      <c r="F79" s="15" t="n">
        <f aca="false">nir_f</f>
        <v>0.69</v>
      </c>
      <c r="G79" s="15" t="n">
        <f aca="false">nir_f</f>
        <v>0.69</v>
      </c>
    </row>
    <row r="80" customFormat="false" ht="15" hidden="false" customHeight="false" outlineLevel="0" collapsed="false">
      <c r="A80" s="4" t="s">
        <v>403</v>
      </c>
      <c r="B80" s="0" t="s">
        <v>209</v>
      </c>
      <c r="C80" s="20" t="n">
        <f aca="false">a25_ni</f>
        <v>60.108</v>
      </c>
      <c r="D80" s="20" t="n">
        <f aca="false">a26_ni</f>
        <v>98.429235925</v>
      </c>
      <c r="E80" s="20" t="n">
        <f aca="false">(E76+E78)*E79</f>
        <v>149.019491577812</v>
      </c>
      <c r="F80" s="20" t="n">
        <f aca="false">(F76+F78)*F79</f>
        <v>174.734095984016</v>
      </c>
      <c r="G80" s="20" t="n">
        <f aca="false">(G76+G78)*G79</f>
        <v>195.24638247522</v>
      </c>
    </row>
    <row r="81" customFormat="false" ht="15" hidden="false" customHeight="false" outlineLevel="0" collapsed="false">
      <c r="A81" s="4" t="s">
        <v>521</v>
      </c>
      <c r="B81" s="4" t="s">
        <v>234</v>
      </c>
      <c r="C81" s="23" t="n">
        <f aca="false">a25_sh</f>
        <v>2.59757994814175</v>
      </c>
      <c r="D81" s="23" t="n">
        <f aca="false">a26_sh</f>
        <v>2.59806708357021</v>
      </c>
      <c r="E81" s="23" t="n">
        <f aca="false">D81*(1+sh_g)</f>
        <v>2.59806708357021</v>
      </c>
      <c r="F81" s="23" t="n">
        <f aca="false">E81*(1+sh_g)</f>
        <v>2.59806708357021</v>
      </c>
      <c r="G81" s="23" t="n">
        <f aca="false">F81*(1+sh_g)</f>
        <v>2.59806708357021</v>
      </c>
    </row>
    <row r="82" customFormat="false" ht="15" hidden="false" customHeight="false" outlineLevel="0" collapsed="false">
      <c r="A82" s="0" t="s">
        <v>408</v>
      </c>
      <c r="B82" s="0" t="s">
        <v>265</v>
      </c>
      <c r="C82" s="21" t="n">
        <f aca="false">C80/C81</f>
        <v>23.14</v>
      </c>
      <c r="D82" s="21" t="n">
        <f aca="false">D80/D81</f>
        <v>37.8855636744147</v>
      </c>
      <c r="E82" s="21" t="n">
        <f aca="false">E80/E81</f>
        <v>57.3578305657266</v>
      </c>
      <c r="F82" s="21" t="n">
        <f aca="false">F80/F81</f>
        <v>67.2554211894715</v>
      </c>
      <c r="G82" s="21" t="n">
        <f aca="false">G80/G81</f>
        <v>75.1506316791932</v>
      </c>
    </row>
    <row r="83" customFormat="false" ht="17.15" hidden="false" customHeight="false" outlineLevel="0" collapsed="false">
      <c r="A83" s="0" t="s">
        <v>522</v>
      </c>
      <c r="B83" s="0" t="s">
        <v>53</v>
      </c>
      <c r="D83" s="15" t="n">
        <f aca="false">D82/C82-1</f>
        <v>0.637232656629847</v>
      </c>
      <c r="E83" s="15" t="n">
        <f aca="false">E82/D82-1</f>
        <v>0.513975905404364</v>
      </c>
      <c r="F83" s="15" t="n">
        <f aca="false">F82/E82-1</f>
        <v>0.172558664198487</v>
      </c>
      <c r="G83" s="15" t="n">
        <f aca="false">G82/F82-1</f>
        <v>0.117391436260273</v>
      </c>
    </row>
    <row r="86" customFormat="false" ht="17.15" hidden="false" customHeight="false" outlineLevel="0" collapsed="false">
      <c r="A86" s="1" t="s">
        <v>860</v>
      </c>
    </row>
    <row r="87" customFormat="false" ht="17.15" hidden="false" customHeight="false" outlineLevel="0" collapsed="false">
      <c r="A87" s="5" t="s">
        <v>22</v>
      </c>
      <c r="B87" s="5" t="s">
        <v>23</v>
      </c>
      <c r="C87" s="12" t="s">
        <v>380</v>
      </c>
      <c r="D87" s="12" t="s">
        <v>468</v>
      </c>
      <c r="E87" s="12" t="s">
        <v>469</v>
      </c>
      <c r="F87" s="12" t="s">
        <v>470</v>
      </c>
      <c r="G87" s="12" t="s">
        <v>471</v>
      </c>
      <c r="H87" s="5" t="s">
        <v>365</v>
      </c>
    </row>
    <row r="88" customFormat="false" ht="17.15" hidden="false" customHeight="false" outlineLevel="0" collapsed="false">
      <c r="A88" s="6" t="s">
        <v>490</v>
      </c>
    </row>
    <row r="89" customFormat="false" ht="17.15" hidden="false" customHeight="false" outlineLevel="0" collapsed="false">
      <c r="A89" s="0" t="s">
        <v>491</v>
      </c>
      <c r="B89" s="0" t="s">
        <v>33</v>
      </c>
      <c r="D89" s="21" t="n">
        <f aca="false">itc_26*1</f>
        <v>781.872916666666</v>
      </c>
      <c r="E89" s="21" t="n">
        <f aca="false">itc_27*1*1</f>
        <v>1565.35</v>
      </c>
      <c r="F89" s="21" t="n">
        <f aca="false">itc_28*um28_A*1</f>
        <v>1984.26388888889</v>
      </c>
      <c r="G89" s="21" t="n">
        <f aca="false">itc_29*um29_A*1</f>
        <v>2260.39027777778</v>
      </c>
    </row>
    <row r="90" customFormat="false" ht="17.15" hidden="false" customHeight="false" outlineLevel="0" collapsed="false">
      <c r="A90" s="4" t="s">
        <v>492</v>
      </c>
      <c r="B90" s="0" t="s">
        <v>33</v>
      </c>
      <c r="D90" s="21" t="n">
        <f aca="false">itpg_gb*(1-vr26)+itpg_vr*vr26</f>
        <v>33.41403216</v>
      </c>
      <c r="E90" s="21" t="n">
        <f aca="false">itpg_vr</f>
        <v>37.586352</v>
      </c>
      <c r="F90" s="21" t="n">
        <f aca="false">itpg_vr</f>
        <v>37.586352</v>
      </c>
      <c r="G90" s="21" t="n">
        <f aca="false">itpg_vr</f>
        <v>37.586352</v>
      </c>
    </row>
    <row r="91" customFormat="false" ht="17.15" hidden="false" customHeight="false" outlineLevel="0" collapsed="false">
      <c r="A91" s="4" t="s">
        <v>493</v>
      </c>
      <c r="B91" s="0" t="s">
        <v>446</v>
      </c>
      <c r="D91" s="18" t="n">
        <f aca="false">D89/D90</f>
        <v>23.3995380420639</v>
      </c>
      <c r="E91" s="18" t="n">
        <f aca="false">E89/E90</f>
        <v>41.6467658260637</v>
      </c>
      <c r="F91" s="18" t="n">
        <f aca="false">F89/F90</f>
        <v>52.792138191248</v>
      </c>
      <c r="G91" s="18" t="n">
        <f aca="false">G89/G90</f>
        <v>60.1385917361116</v>
      </c>
    </row>
    <row r="92" customFormat="false" ht="17.15" hidden="false" customHeight="false" outlineLevel="0" collapsed="false">
      <c r="A92" s="0" t="s">
        <v>448</v>
      </c>
      <c r="B92" s="0" t="s">
        <v>96</v>
      </c>
      <c r="D92" s="19" t="n">
        <f aca="false">pkw_26</f>
        <v>450</v>
      </c>
      <c r="E92" s="19" t="n">
        <f aca="false">pkw_27</f>
        <v>600</v>
      </c>
      <c r="F92" s="19" t="n">
        <f aca="false">pkw_28</f>
        <v>680</v>
      </c>
      <c r="G92" s="19" t="n">
        <f aca="false">pkw_29</f>
        <v>720</v>
      </c>
    </row>
    <row r="93" customFormat="false" ht="17.15" hidden="false" customHeight="false" outlineLevel="0" collapsed="false">
      <c r="A93" s="0" t="s">
        <v>494</v>
      </c>
      <c r="B93" s="0" t="s">
        <v>33</v>
      </c>
      <c r="D93" s="21" t="n">
        <f aca="false">D91*D92/1000</f>
        <v>10.5297921189287</v>
      </c>
      <c r="E93" s="21" t="n">
        <f aca="false">E91*E92/1000</f>
        <v>24.9880594956382</v>
      </c>
      <c r="F93" s="21" t="n">
        <f aca="false">F91*F92/1000</f>
        <v>35.8986539700486</v>
      </c>
      <c r="G93" s="21" t="n">
        <f aca="false">G91*G92/1000</f>
        <v>43.2997860500003</v>
      </c>
    </row>
    <row r="94" customFormat="false" ht="17.15" hidden="false" customHeight="false" outlineLevel="0" collapsed="false">
      <c r="A94" s="0" t="s">
        <v>495</v>
      </c>
      <c r="B94" s="0" t="s">
        <v>209</v>
      </c>
      <c r="D94" s="20" t="n">
        <f aca="false">D93*fx</f>
        <v>336.95334780572</v>
      </c>
      <c r="E94" s="20" t="n">
        <f aca="false">E93*fx</f>
        <v>799.617903860422</v>
      </c>
      <c r="F94" s="20" t="n">
        <f aca="false">F93*fx</f>
        <v>1148.75692704156</v>
      </c>
      <c r="G94" s="20" t="n">
        <f aca="false">G93*fx</f>
        <v>1385.59315360001</v>
      </c>
    </row>
    <row r="95" customFormat="false" ht="17.15" hidden="false" customHeight="false" outlineLevel="0" collapsed="false">
      <c r="A95" s="4" t="s">
        <v>496</v>
      </c>
      <c r="B95" s="0" t="s">
        <v>53</v>
      </c>
      <c r="D95" s="15" t="n">
        <f aca="false">a26_aip/D94</f>
        <v>0.583671939396773</v>
      </c>
      <c r="H95" s="8" t="s">
        <v>497</v>
      </c>
    </row>
    <row r="96" customFormat="false" ht="17.15" hidden="false" customHeight="false" outlineLevel="0" collapsed="false">
      <c r="A96" s="4" t="s">
        <v>498</v>
      </c>
      <c r="B96" s="0" t="s">
        <v>69</v>
      </c>
      <c r="D96" s="16" t="n">
        <f aca="false">1</f>
        <v>1</v>
      </c>
      <c r="E96" s="16" t="n">
        <f aca="false">RHI_27</f>
        <v>1</v>
      </c>
      <c r="F96" s="16" t="n">
        <f aca="false">RHI_28</f>
        <v>1</v>
      </c>
      <c r="G96" s="16" t="n">
        <f aca="false">RHI_29</f>
        <v>1</v>
      </c>
    </row>
    <row r="97" customFormat="false" ht="15" hidden="false" customHeight="false" outlineLevel="0" collapsed="false">
      <c r="A97" s="4" t="s">
        <v>455</v>
      </c>
      <c r="B97" s="0" t="s">
        <v>53</v>
      </c>
      <c r="D97" s="15" t="n">
        <f aca="false">$D$95*D96</f>
        <v>0.583671939396773</v>
      </c>
      <c r="E97" s="15" t="n">
        <f aca="false">$D$95*E96</f>
        <v>0.583671939396773</v>
      </c>
      <c r="F97" s="15" t="n">
        <f aca="false">$D$95*F96</f>
        <v>0.583671939396773</v>
      </c>
      <c r="G97" s="15" t="n">
        <f aca="false">$D$95*G96</f>
        <v>0.583671939396773</v>
      </c>
    </row>
    <row r="98" customFormat="false" ht="17.15" hidden="false" customHeight="false" outlineLevel="0" collapsed="false">
      <c r="A98" s="0" t="s">
        <v>499</v>
      </c>
      <c r="B98" s="0" t="s">
        <v>209</v>
      </c>
      <c r="C98" s="20" t="n">
        <f aca="false">a25_aip</f>
        <v>99.8793</v>
      </c>
      <c r="D98" s="20" t="n">
        <f aca="false">D94*D97</f>
        <v>196.670214</v>
      </c>
      <c r="E98" s="20" t="n">
        <f aca="false">E94*E97</f>
        <v>466.714532722595</v>
      </c>
      <c r="F98" s="20" t="n">
        <f aca="false">F94*F97</f>
        <v>670.497183501823</v>
      </c>
      <c r="G98" s="20" t="n">
        <f aca="false">G94*G97</f>
        <v>808.731843176609</v>
      </c>
    </row>
    <row r="99" customFormat="false" ht="17.15" hidden="false" customHeight="false" outlineLevel="0" collapsed="false">
      <c r="A99" s="6" t="s">
        <v>500</v>
      </c>
    </row>
    <row r="100" customFormat="false" ht="17.15" hidden="false" customHeight="false" outlineLevel="0" collapsed="false">
      <c r="A100" s="4" t="s">
        <v>501</v>
      </c>
      <c r="B100" s="0" t="s">
        <v>502</v>
      </c>
      <c r="D100" s="23" t="n">
        <f aca="false">a26_lc/D91</f>
        <v>4.04080573428535</v>
      </c>
    </row>
    <row r="101" customFormat="false" ht="17.15" hidden="false" customHeight="false" outlineLevel="0" collapsed="false">
      <c r="A101" s="4" t="s">
        <v>503</v>
      </c>
      <c r="B101" s="0" t="s">
        <v>69</v>
      </c>
      <c r="D101" s="16" t="n">
        <f aca="false">1</f>
        <v>1</v>
      </c>
      <c r="E101" s="16" t="n">
        <f aca="false">lcr_27</f>
        <v>1.1</v>
      </c>
      <c r="F101" s="16" t="n">
        <f aca="false">lcr_28</f>
        <v>1.15</v>
      </c>
      <c r="G101" s="16" t="n">
        <f aca="false">lcr_29</f>
        <v>1.2</v>
      </c>
    </row>
    <row r="102" customFormat="false" ht="15" hidden="false" customHeight="false" outlineLevel="0" collapsed="false">
      <c r="A102" s="4" t="s">
        <v>504</v>
      </c>
      <c r="B102" s="0" t="s">
        <v>209</v>
      </c>
      <c r="C102" s="20" t="n">
        <f aca="false">a25_lc</f>
        <v>55.4885</v>
      </c>
      <c r="D102" s="20" t="n">
        <f aca="false">D91*$D$100*D101</f>
        <v>94.5529875</v>
      </c>
      <c r="E102" s="20" t="n">
        <f aca="false">E91*$D$100*E101</f>
        <v>185.115139180837</v>
      </c>
      <c r="F102" s="20" t="n">
        <f aca="false">F91*$D$100*F101</f>
        <v>245.321190937637</v>
      </c>
      <c r="G102" s="20" t="n">
        <f aca="false">G91*$D$100*G101</f>
        <v>291.61003960695</v>
      </c>
    </row>
    <row r="103" customFormat="false" ht="17.15" hidden="false" customHeight="false" outlineLevel="0" collapsed="false">
      <c r="A103" s="4" t="s">
        <v>505</v>
      </c>
      <c r="B103" s="0" t="s">
        <v>209</v>
      </c>
      <c r="C103" s="20" t="n">
        <f aca="false">a25_pe-a25_aip</f>
        <v>177.5632</v>
      </c>
      <c r="D103" s="20" t="n">
        <f aca="false">a26_pe-a26_aip</f>
        <v>189.105975</v>
      </c>
      <c r="E103" s="20" t="n">
        <f aca="false">D103*(1+g_pe27)</f>
        <v>198.56127375</v>
      </c>
      <c r="F103" s="20" t="n">
        <f aca="false">E103*(1+g_pe28)</f>
        <v>206.5037247</v>
      </c>
      <c r="G103" s="20" t="n">
        <f aca="false">F103*(1+g_pe29)</f>
        <v>212.698836441</v>
      </c>
      <c r="H103" s="8" t="s">
        <v>506</v>
      </c>
    </row>
    <row r="104" customFormat="false" ht="17.15" hidden="false" customHeight="false" outlineLevel="0" collapsed="false">
      <c r="A104" s="4" t="s">
        <v>431</v>
      </c>
      <c r="B104" s="0" t="s">
        <v>209</v>
      </c>
      <c r="C104" s="20" t="n">
        <f aca="false">C98+C103</f>
        <v>277.4425</v>
      </c>
      <c r="D104" s="20" t="n">
        <f aca="false">D98+D103</f>
        <v>385.776189</v>
      </c>
      <c r="E104" s="20" t="n">
        <f aca="false">E98+E103</f>
        <v>665.275806472595</v>
      </c>
      <c r="F104" s="20" t="n">
        <f aca="false">F98+F103</f>
        <v>877.000908201823</v>
      </c>
      <c r="G104" s="20" t="n">
        <f aca="false">G98+G103</f>
        <v>1021.43067961761</v>
      </c>
      <c r="H104" s="4" t="s">
        <v>507</v>
      </c>
    </row>
    <row r="105" customFormat="false" ht="17.15" hidden="false" customHeight="false" outlineLevel="0" collapsed="false">
      <c r="A105" s="4" t="s">
        <v>508</v>
      </c>
      <c r="B105" s="0" t="s">
        <v>209</v>
      </c>
      <c r="C105" s="20" t="n">
        <f aca="false">a25_inf-a25_lc</f>
        <v>127.62355</v>
      </c>
      <c r="D105" s="20" t="n">
        <f aca="false">a26_inf-a26_lc</f>
        <v>170.1953775</v>
      </c>
      <c r="E105" s="20" t="n">
        <f aca="false">D105*(1+g_inf27)</f>
        <v>185.512961475</v>
      </c>
      <c r="F105" s="20" t="n">
        <f aca="false">E105*(1+g_inf28)</f>
        <v>198.49886877825</v>
      </c>
      <c r="G105" s="20" t="n">
        <f aca="false">F105*(1+g_inf29)</f>
        <v>210.408800904945</v>
      </c>
      <c r="H105" s="4" t="s">
        <v>509</v>
      </c>
    </row>
    <row r="106" customFormat="false" ht="15" hidden="false" customHeight="false" outlineLevel="0" collapsed="false">
      <c r="A106" s="4" t="s">
        <v>437</v>
      </c>
      <c r="B106" s="0" t="s">
        <v>209</v>
      </c>
      <c r="C106" s="20" t="n">
        <f aca="false">C102+C105</f>
        <v>183.11205</v>
      </c>
      <c r="D106" s="20" t="n">
        <f aca="false">D102+D105</f>
        <v>264.748365</v>
      </c>
      <c r="E106" s="20" t="n">
        <f aca="false">E102+E105</f>
        <v>370.628100655837</v>
      </c>
      <c r="F106" s="20" t="n">
        <f aca="false">F102+F105</f>
        <v>443.820059715887</v>
      </c>
      <c r="G106" s="20" t="n">
        <f aca="false">G102+G105</f>
        <v>502.018840511895</v>
      </c>
      <c r="H106" s="4" t="s">
        <v>510</v>
      </c>
    </row>
    <row r="107" customFormat="false" ht="15" hidden="false" customHeight="false" outlineLevel="0" collapsed="false">
      <c r="A107" s="4" t="s">
        <v>436</v>
      </c>
      <c r="B107" s="0" t="s">
        <v>209</v>
      </c>
      <c r="C107" s="20" t="n">
        <f aca="false">a25_au</f>
        <v>55.4885</v>
      </c>
      <c r="D107" s="20" t="n">
        <f aca="false">a26_au</f>
        <v>60.513912</v>
      </c>
      <c r="E107" s="20" t="n">
        <f aca="false">D107*(1+g_au27)</f>
        <v>63.5396076</v>
      </c>
      <c r="F107" s="20" t="n">
        <f aca="false">E107*(1+g_au28)</f>
        <v>66.71658798</v>
      </c>
      <c r="G107" s="20" t="n">
        <f aca="false">F107*(1+g_au29)</f>
        <v>69.3852514992</v>
      </c>
    </row>
    <row r="108" customFormat="false" ht="15" hidden="false" customHeight="false" outlineLevel="0" collapsed="false">
      <c r="A108" s="4" t="s">
        <v>435</v>
      </c>
      <c r="B108" s="0" t="s">
        <v>209</v>
      </c>
      <c r="C108" s="20" t="n">
        <f aca="false">a25_mo</f>
        <v>38.84195</v>
      </c>
      <c r="D108" s="20" t="n">
        <f aca="false">a26_mo</f>
        <v>45.385434</v>
      </c>
      <c r="E108" s="20" t="n">
        <f aca="false">D108*(1+g_mo27)</f>
        <v>45.385434</v>
      </c>
      <c r="F108" s="20" t="n">
        <f aca="false">E108*(1+g_mo28)</f>
        <v>46.29314268</v>
      </c>
      <c r="G108" s="20" t="n">
        <f aca="false">F108*(1+g_mo29)</f>
        <v>47.2190055336</v>
      </c>
    </row>
    <row r="109" customFormat="false" ht="17.15" hidden="false" customHeight="false" outlineLevel="0" collapsed="false">
      <c r="A109" s="4" t="s">
        <v>511</v>
      </c>
      <c r="B109" s="0" t="s">
        <v>209</v>
      </c>
      <c r="C109" s="20" t="n">
        <f aca="false">C103+C105+C107+C108</f>
        <v>399.5172</v>
      </c>
      <c r="D109" s="20" t="n">
        <f aca="false">D103+D105+D107+D108</f>
        <v>465.2006985</v>
      </c>
      <c r="E109" s="20" t="n">
        <f aca="false">E103+E105+E107+E108</f>
        <v>492.999276825</v>
      </c>
      <c r="F109" s="20" t="n">
        <f aca="false">F103+F105+F107+F108</f>
        <v>518.01232413825</v>
      </c>
      <c r="G109" s="20" t="n">
        <f aca="false">G103+G105+G107+G108</f>
        <v>539.711894378745</v>
      </c>
    </row>
    <row r="110" customFormat="false" ht="15" hidden="false" customHeight="false" outlineLevel="0" collapsed="false">
      <c r="A110" s="4" t="s">
        <v>386</v>
      </c>
      <c r="B110" s="0" t="s">
        <v>209</v>
      </c>
      <c r="C110" s="20" t="n">
        <f aca="false">C104+C106+C107+C108</f>
        <v>554.885</v>
      </c>
      <c r="D110" s="20" t="n">
        <f aca="false">D104+D106+D107+D108</f>
        <v>756.4239</v>
      </c>
      <c r="E110" s="20" t="n">
        <f aca="false">E104+E106+E107+E108</f>
        <v>1144.82894872843</v>
      </c>
      <c r="F110" s="20" t="n">
        <f aca="false">F104+F106+F107+F108</f>
        <v>1433.83069857771</v>
      </c>
      <c r="G110" s="20" t="n">
        <f aca="false">G104+G106+G107+G108</f>
        <v>1640.0537771623</v>
      </c>
      <c r="H110" s="4" t="s">
        <v>512</v>
      </c>
    </row>
    <row r="111" customFormat="false" ht="17.15" hidden="false" customHeight="false" outlineLevel="0" collapsed="false">
      <c r="A111" s="4" t="s">
        <v>513</v>
      </c>
      <c r="B111" s="0" t="s">
        <v>209</v>
      </c>
      <c r="C111" s="23" t="n">
        <f aca="false">C110-a25_rev</f>
        <v>0</v>
      </c>
      <c r="D111" s="23" t="n">
        <f aca="false">D110-a26_rev</f>
        <v>0</v>
      </c>
    </row>
    <row r="112" customFormat="false" ht="15" hidden="false" customHeight="false" outlineLevel="0" collapsed="false">
      <c r="A112" s="4" t="s">
        <v>514</v>
      </c>
      <c r="B112" s="0" t="s">
        <v>53</v>
      </c>
      <c r="D112" s="15" t="n">
        <f aca="false">D110/C110-1</f>
        <v>0.363208412553953</v>
      </c>
      <c r="E112" s="15" t="n">
        <f aca="false">E110/D110-1</f>
        <v>0.513475378988465</v>
      </c>
      <c r="F112" s="15" t="n">
        <f aca="false">F110/E110-1</f>
        <v>0.252440987075207</v>
      </c>
      <c r="G112" s="15" t="n">
        <f aca="false">G110/F110-1</f>
        <v>0.143826658746502</v>
      </c>
    </row>
    <row r="113" customFormat="false" ht="17.15" hidden="false" customHeight="false" outlineLevel="0" collapsed="false">
      <c r="A113" s="0" t="s">
        <v>515</v>
      </c>
      <c r="B113" s="0" t="s">
        <v>53</v>
      </c>
      <c r="C113" s="15" t="n">
        <f aca="false">C98/C110</f>
        <v>0.18</v>
      </c>
      <c r="D113" s="15" t="n">
        <f aca="false">D98/D110</f>
        <v>0.26</v>
      </c>
      <c r="E113" s="15" t="n">
        <f aca="false">E98/E110</f>
        <v>0.407671847607433</v>
      </c>
      <c r="F113" s="15" t="n">
        <f aca="false">F98/F110</f>
        <v>0.46762646675575</v>
      </c>
      <c r="G113" s="15" t="n">
        <f aca="false">G98/G110</f>
        <v>0.493113003023543</v>
      </c>
    </row>
    <row r="114" customFormat="false" ht="17.15" hidden="false" customHeight="false" outlineLevel="0" collapsed="false">
      <c r="A114" s="0" t="s">
        <v>516</v>
      </c>
      <c r="B114" s="0" t="s">
        <v>53</v>
      </c>
      <c r="C114" s="15" t="n">
        <f aca="false">(C98+C102)/C110</f>
        <v>0.28</v>
      </c>
      <c r="D114" s="15" t="n">
        <f aca="false">(D98+D102)/D110</f>
        <v>0.385</v>
      </c>
      <c r="E114" s="15" t="n">
        <f aca="false">(E98+E102)/E110</f>
        <v>0.569368614086343</v>
      </c>
      <c r="F114" s="15" t="n">
        <f aca="false">(F98+F102)/F110</f>
        <v>0.638721416236873</v>
      </c>
      <c r="G114" s="15" t="n">
        <f aca="false">(G98+G102)/G110</f>
        <v>0.670918172382994</v>
      </c>
    </row>
    <row r="115" customFormat="false" ht="17.15" hidden="false" customHeight="false" outlineLevel="0" collapsed="false">
      <c r="A115" s="4" t="s">
        <v>462</v>
      </c>
      <c r="B115" s="0" t="s">
        <v>463</v>
      </c>
      <c r="D115" s="19" t="n">
        <f aca="false">(D98+D102)/fx/D91*1000</f>
        <v>388.927551924965</v>
      </c>
      <c r="E115" s="19" t="n">
        <f aca="false">(E98+E102)/fx/E91*1000</f>
        <v>489.105860754123</v>
      </c>
      <c r="F115" s="19" t="n">
        <f aca="false">(F98+F102)/fx/F91*1000</f>
        <v>542.113374865686</v>
      </c>
      <c r="G115" s="19" t="n">
        <f aca="false">(G98+G102)/fx/G91*1000</f>
        <v>571.774011401377</v>
      </c>
    </row>
    <row r="116" customFormat="false" ht="17.15" hidden="false" customHeight="false" outlineLevel="0" collapsed="false">
      <c r="A116" s="6" t="s">
        <v>517</v>
      </c>
    </row>
    <row r="117" customFormat="false" ht="17.15" hidden="false" customHeight="false" outlineLevel="0" collapsed="false">
      <c r="A117" s="4" t="s">
        <v>518</v>
      </c>
      <c r="B117" s="0" t="s">
        <v>53</v>
      </c>
      <c r="D117" s="15" t="n">
        <f aca="false">a26_gp/D110-d_ai*D113</f>
        <v>0.340474417690927</v>
      </c>
      <c r="H117" s="8" t="s">
        <v>519</v>
      </c>
    </row>
    <row r="118" customFormat="false" ht="15" hidden="false" customHeight="false" outlineLevel="0" collapsed="false">
      <c r="A118" s="4" t="s">
        <v>390</v>
      </c>
      <c r="B118" s="0" t="s">
        <v>209</v>
      </c>
      <c r="C118" s="20" t="n">
        <f aca="false">a25_gp</f>
        <v>190.2</v>
      </c>
      <c r="D118" s="20" t="n">
        <f aca="false">a26_gp</f>
        <v>273.276604</v>
      </c>
      <c r="E118" s="20" t="n">
        <f aca="false">$D$117*E110+d_ai*E98</f>
        <v>427.122132291837</v>
      </c>
      <c r="F118" s="20" t="n">
        <f aca="false">$D$117*F110+d_ai*F98</f>
        <v>541.822446845767</v>
      </c>
      <c r="G118" s="20" t="n">
        <f aca="false">$D$117*G110+d_ai*G98</f>
        <v>623.09490221527</v>
      </c>
    </row>
    <row r="119" customFormat="false" ht="15" hidden="false" customHeight="false" outlineLevel="0" collapsed="false">
      <c r="A119" s="4" t="s">
        <v>392</v>
      </c>
      <c r="B119" s="0" t="s">
        <v>53</v>
      </c>
      <c r="C119" s="15" t="n">
        <f aca="false">C118/C110</f>
        <v>0.342773727889563</v>
      </c>
      <c r="D119" s="15" t="n">
        <f aca="false">D118/D110</f>
        <v>0.361274417690927</v>
      </c>
      <c r="E119" s="15" t="n">
        <f aca="false">E118/E110</f>
        <v>0.373088165499522</v>
      </c>
      <c r="F119" s="15" t="n">
        <f aca="false">F118/F110</f>
        <v>0.377884535031387</v>
      </c>
      <c r="G119" s="15" t="n">
        <f aca="false">G118/G110</f>
        <v>0.379923457932811</v>
      </c>
    </row>
    <row r="120" customFormat="false" ht="15" hidden="false" customHeight="false" outlineLevel="0" collapsed="false">
      <c r="A120" s="4" t="s">
        <v>520</v>
      </c>
      <c r="B120" s="0" t="s">
        <v>209</v>
      </c>
      <c r="C120" s="20" t="n">
        <f aca="false">a25_opx</f>
        <v>106.3</v>
      </c>
      <c r="D120" s="20" t="n">
        <f aca="false">a26_opx</f>
        <v>141.924088166667</v>
      </c>
      <c r="E120" s="20" t="n">
        <f aca="false">D120*(1+MAX(0,phi*E112))</f>
        <v>200.223708133844</v>
      </c>
      <c r="F120" s="20" t="n">
        <f aca="false">E120*(1+MAX(0,phi*F112))</f>
        <v>240.659444547576</v>
      </c>
      <c r="G120" s="20" t="n">
        <f aca="false">F120*(1+MAX(0,phi*G112))</f>
        <v>268.35003959163</v>
      </c>
    </row>
    <row r="121" customFormat="false" ht="15" hidden="false" customHeight="false" outlineLevel="0" collapsed="false">
      <c r="A121" s="4" t="s">
        <v>394</v>
      </c>
      <c r="B121" s="0" t="s">
        <v>209</v>
      </c>
      <c r="C121" s="20" t="n">
        <f aca="false">C120</f>
        <v>106.3</v>
      </c>
      <c r="D121" s="20" t="n">
        <f aca="false">D120</f>
        <v>141.924088166667</v>
      </c>
      <c r="E121" s="20" t="n">
        <f aca="false">E120+0*E110</f>
        <v>200.223708133844</v>
      </c>
      <c r="F121" s="20" t="n">
        <f aca="false">F120+0*F110</f>
        <v>240.659444547576</v>
      </c>
      <c r="G121" s="20" t="n">
        <f aca="false">G120+0*G110</f>
        <v>268.35003959163</v>
      </c>
    </row>
    <row r="122" customFormat="false" ht="15" hidden="false" customHeight="false" outlineLevel="0" collapsed="false">
      <c r="A122" s="4" t="s">
        <v>396</v>
      </c>
      <c r="B122" s="0" t="s">
        <v>209</v>
      </c>
      <c r="C122" s="20" t="n">
        <f aca="false">C118-C121</f>
        <v>83.9</v>
      </c>
      <c r="D122" s="20" t="n">
        <f aca="false">D118-D121</f>
        <v>131.352515833333</v>
      </c>
      <c r="E122" s="20" t="n">
        <f aca="false">E118-E121</f>
        <v>226.898424157993</v>
      </c>
      <c r="F122" s="20" t="n">
        <f aca="false">F118-F121</f>
        <v>301.16300229819</v>
      </c>
      <c r="G122" s="20" t="n">
        <f aca="false">G118-G121</f>
        <v>354.74486262364</v>
      </c>
    </row>
    <row r="123" customFormat="false" ht="15" hidden="false" customHeight="false" outlineLevel="0" collapsed="false">
      <c r="A123" s="4" t="s">
        <v>398</v>
      </c>
      <c r="B123" s="0" t="s">
        <v>53</v>
      </c>
      <c r="C123" s="15" t="n">
        <f aca="false">C122/C110</f>
        <v>0.151202501419213</v>
      </c>
      <c r="D123" s="15" t="n">
        <f aca="false">D122/D110</f>
        <v>0.173649346396027</v>
      </c>
      <c r="E123" s="15" t="n">
        <f aca="false">E122/E110</f>
        <v>0.198194170762375</v>
      </c>
      <c r="F123" s="15" t="n">
        <f aca="false">F122/F110</f>
        <v>0.21004083857106</v>
      </c>
      <c r="G123" s="15" t="n">
        <f aca="false">G122/G110</f>
        <v>0.216300750355537</v>
      </c>
    </row>
    <row r="124" customFormat="false" ht="15" hidden="false" customHeight="false" outlineLevel="0" collapsed="false">
      <c r="A124" s="4" t="s">
        <v>400</v>
      </c>
      <c r="B124" s="0" t="s">
        <v>209</v>
      </c>
      <c r="C124" s="20" t="n">
        <f aca="false">a25_nop</f>
        <v>3.934</v>
      </c>
      <c r="D124" s="20" t="n">
        <f aca="false">a26_nop</f>
        <v>11.1666666666667</v>
      </c>
      <c r="E124" s="20" t="n">
        <f aca="false">nop_f</f>
        <v>8</v>
      </c>
      <c r="F124" s="20" t="n">
        <f aca="false">nop_f</f>
        <v>8</v>
      </c>
      <c r="G124" s="20" t="n">
        <f aca="false">nop_f</f>
        <v>8</v>
      </c>
    </row>
    <row r="125" customFormat="false" ht="17.15" hidden="false" customHeight="false" outlineLevel="0" collapsed="false">
      <c r="A125" s="4" t="s">
        <v>250</v>
      </c>
      <c r="B125" s="0" t="s">
        <v>53</v>
      </c>
      <c r="C125" s="15" t="n">
        <f aca="false">a25_ni/(a25_oi+a25_nop)</f>
        <v>0.684336361773345</v>
      </c>
      <c r="D125" s="15" t="n">
        <f aca="false">a26_ni/(a26_oi+a26_nop)</f>
        <v>0.690638510538748</v>
      </c>
      <c r="E125" s="15" t="n">
        <f aca="false">nir_f</f>
        <v>0.69</v>
      </c>
      <c r="F125" s="15" t="n">
        <f aca="false">nir_f</f>
        <v>0.69</v>
      </c>
      <c r="G125" s="15" t="n">
        <f aca="false">nir_f</f>
        <v>0.69</v>
      </c>
    </row>
    <row r="126" customFormat="false" ht="15" hidden="false" customHeight="false" outlineLevel="0" collapsed="false">
      <c r="A126" s="4" t="s">
        <v>403</v>
      </c>
      <c r="B126" s="0" t="s">
        <v>209</v>
      </c>
      <c r="C126" s="20" t="n">
        <f aca="false">a25_ni</f>
        <v>60.108</v>
      </c>
      <c r="D126" s="20" t="n">
        <f aca="false">a26_ni</f>
        <v>98.429235925</v>
      </c>
      <c r="E126" s="20" t="n">
        <f aca="false">(E122+E124)*E125</f>
        <v>162.079912669015</v>
      </c>
      <c r="F126" s="20" t="n">
        <f aca="false">(F122+F124)*F125</f>
        <v>213.322471585751</v>
      </c>
      <c r="G126" s="20" t="n">
        <f aca="false">(G122+G124)*G125</f>
        <v>250.293955210311</v>
      </c>
    </row>
    <row r="127" customFormat="false" ht="15" hidden="false" customHeight="false" outlineLevel="0" collapsed="false">
      <c r="A127" s="4" t="s">
        <v>521</v>
      </c>
      <c r="B127" s="4" t="s">
        <v>234</v>
      </c>
      <c r="C127" s="23" t="n">
        <f aca="false">a25_sh</f>
        <v>2.59757994814175</v>
      </c>
      <c r="D127" s="23" t="n">
        <f aca="false">a26_sh</f>
        <v>2.59806708357021</v>
      </c>
      <c r="E127" s="23" t="n">
        <f aca="false">D127*(1+sh_g)</f>
        <v>2.59806708357021</v>
      </c>
      <c r="F127" s="23" t="n">
        <f aca="false">E127*(1+sh_g)</f>
        <v>2.59806708357021</v>
      </c>
      <c r="G127" s="23" t="n">
        <f aca="false">F127*(1+sh_g)</f>
        <v>2.59806708357021</v>
      </c>
    </row>
    <row r="128" customFormat="false" ht="15" hidden="false" customHeight="false" outlineLevel="0" collapsed="false">
      <c r="A128" s="0" t="s">
        <v>408</v>
      </c>
      <c r="B128" s="0" t="s">
        <v>265</v>
      </c>
      <c r="C128" s="21" t="n">
        <f aca="false">C126/C127</f>
        <v>23.14</v>
      </c>
      <c r="D128" s="21" t="n">
        <f aca="false">D126/D127</f>
        <v>37.8855636744147</v>
      </c>
      <c r="E128" s="21" t="n">
        <f aca="false">E126/E127</f>
        <v>62.3848066487522</v>
      </c>
      <c r="F128" s="21" t="n">
        <f aca="false">F126/F127</f>
        <v>82.1081460655003</v>
      </c>
      <c r="G128" s="21" t="n">
        <f aca="false">G126/G127</f>
        <v>96.3385267428748</v>
      </c>
    </row>
    <row r="129" customFormat="false" ht="17.15" hidden="false" customHeight="false" outlineLevel="0" collapsed="false">
      <c r="A129" s="0" t="s">
        <v>522</v>
      </c>
      <c r="B129" s="0" t="s">
        <v>53</v>
      </c>
      <c r="D129" s="15" t="n">
        <f aca="false">D128/C128-1</f>
        <v>0.637232656629847</v>
      </c>
      <c r="E129" s="15" t="n">
        <f aca="false">E128/D128-1</f>
        <v>0.646664338556026</v>
      </c>
      <c r="F129" s="15" t="n">
        <f aca="false">F128/E128-1</f>
        <v>0.31615613602519</v>
      </c>
      <c r="G129" s="15" t="n">
        <f aca="false">G128/F128-1</f>
        <v>0.173312653607139</v>
      </c>
    </row>
    <row r="132" customFormat="false" ht="17.15" hidden="false" customHeight="false" outlineLevel="0" collapsed="false">
      <c r="A132" s="1" t="s">
        <v>861</v>
      </c>
    </row>
    <row r="133" customFormat="false" ht="17.15" hidden="false" customHeight="false" outlineLevel="0" collapsed="false">
      <c r="A133" s="5" t="s">
        <v>22</v>
      </c>
      <c r="B133" s="5" t="s">
        <v>23</v>
      </c>
      <c r="C133" s="12" t="s">
        <v>380</v>
      </c>
      <c r="D133" s="12" t="s">
        <v>468</v>
      </c>
      <c r="E133" s="12" t="s">
        <v>469</v>
      </c>
      <c r="F133" s="12" t="s">
        <v>470</v>
      </c>
      <c r="G133" s="12" t="s">
        <v>471</v>
      </c>
      <c r="H133" s="5" t="s">
        <v>365</v>
      </c>
    </row>
    <row r="134" customFormat="false" ht="17.15" hidden="false" customHeight="false" outlineLevel="0" collapsed="false">
      <c r="A134" s="6" t="s">
        <v>490</v>
      </c>
    </row>
    <row r="135" customFormat="false" ht="17.15" hidden="false" customHeight="false" outlineLevel="0" collapsed="false">
      <c r="A135" s="0" t="s">
        <v>491</v>
      </c>
      <c r="B135" s="0" t="s">
        <v>33</v>
      </c>
      <c r="D135" s="21" t="n">
        <f aca="false">itc_26*1</f>
        <v>781.872916666666</v>
      </c>
      <c r="E135" s="21" t="n">
        <f aca="false">itc_27*1*1</f>
        <v>1565.35</v>
      </c>
      <c r="F135" s="21" t="n">
        <f aca="false">itc_28*um28_A*1</f>
        <v>1984.26388888889</v>
      </c>
      <c r="G135" s="21" t="n">
        <f aca="false">itc_29*um29_A*1</f>
        <v>2260.39027777778</v>
      </c>
    </row>
    <row r="136" customFormat="false" ht="17.15" hidden="false" customHeight="false" outlineLevel="0" collapsed="false">
      <c r="A136" s="4" t="s">
        <v>492</v>
      </c>
      <c r="B136" s="0" t="s">
        <v>33</v>
      </c>
      <c r="D136" s="21" t="n">
        <f aca="false">itpg_gb*(1-vr26)+itpg_vr*vr26</f>
        <v>33.41403216</v>
      </c>
      <c r="E136" s="21" t="n">
        <f aca="false">itpg_vr</f>
        <v>37.586352</v>
      </c>
      <c r="F136" s="21" t="n">
        <f aca="false">itpg_vr</f>
        <v>37.586352</v>
      </c>
      <c r="G136" s="21" t="n">
        <f aca="false">itpg_vr</f>
        <v>37.586352</v>
      </c>
    </row>
    <row r="137" customFormat="false" ht="17.15" hidden="false" customHeight="false" outlineLevel="0" collapsed="false">
      <c r="A137" s="4" t="s">
        <v>493</v>
      </c>
      <c r="B137" s="0" t="s">
        <v>446</v>
      </c>
      <c r="D137" s="18" t="n">
        <f aca="false">D135/D136</f>
        <v>23.3995380420639</v>
      </c>
      <c r="E137" s="18" t="n">
        <f aca="false">E135/E136</f>
        <v>41.6467658260637</v>
      </c>
      <c r="F137" s="18" t="n">
        <f aca="false">F135/F136</f>
        <v>52.792138191248</v>
      </c>
      <c r="G137" s="18" t="n">
        <f aca="false">G135/G136</f>
        <v>60.1385917361116</v>
      </c>
    </row>
    <row r="138" customFormat="false" ht="17.15" hidden="false" customHeight="false" outlineLevel="0" collapsed="false">
      <c r="A138" s="0" t="s">
        <v>448</v>
      </c>
      <c r="B138" s="0" t="s">
        <v>96</v>
      </c>
      <c r="D138" s="19" t="n">
        <f aca="false">PKLO_26</f>
        <v>380</v>
      </c>
      <c r="E138" s="19" t="n">
        <f aca="false">PKLO_27</f>
        <v>500</v>
      </c>
      <c r="F138" s="19" t="n">
        <f aca="false">PKLO_28</f>
        <v>550</v>
      </c>
      <c r="G138" s="19" t="n">
        <f aca="false">PKLO_29</f>
        <v>550</v>
      </c>
    </row>
    <row r="139" customFormat="false" ht="17.15" hidden="false" customHeight="false" outlineLevel="0" collapsed="false">
      <c r="A139" s="0" t="s">
        <v>494</v>
      </c>
      <c r="B139" s="0" t="s">
        <v>33</v>
      </c>
      <c r="D139" s="21" t="n">
        <f aca="false">D137*D138/1000</f>
        <v>8.89182445598428</v>
      </c>
      <c r="E139" s="21" t="n">
        <f aca="false">E137*E138/1000</f>
        <v>20.8233829130318</v>
      </c>
      <c r="F139" s="21" t="n">
        <f aca="false">F137*F138/1000</f>
        <v>29.0356760051864</v>
      </c>
      <c r="G139" s="21" t="n">
        <f aca="false">G137*G138/1000</f>
        <v>33.0762254548614</v>
      </c>
    </row>
    <row r="140" customFormat="false" ht="17.15" hidden="false" customHeight="false" outlineLevel="0" collapsed="false">
      <c r="A140" s="0" t="s">
        <v>495</v>
      </c>
      <c r="B140" s="0" t="s">
        <v>209</v>
      </c>
      <c r="D140" s="20" t="n">
        <f aca="false">D139*fx</f>
        <v>284.538382591497</v>
      </c>
      <c r="E140" s="20" t="n">
        <f aca="false">E139*fx</f>
        <v>666.348253217019</v>
      </c>
      <c r="F140" s="20" t="n">
        <f aca="false">F139*fx</f>
        <v>929.141632165965</v>
      </c>
      <c r="G140" s="20" t="n">
        <f aca="false">G139*fx</f>
        <v>1058.43921455556</v>
      </c>
    </row>
    <row r="141" customFormat="false" ht="17.15" hidden="false" customHeight="false" outlineLevel="0" collapsed="false">
      <c r="A141" s="4" t="s">
        <v>496</v>
      </c>
      <c r="B141" s="0" t="s">
        <v>53</v>
      </c>
      <c r="D141" s="15" t="n">
        <f aca="false">a26_aip/D140</f>
        <v>0.69119045454881</v>
      </c>
      <c r="H141" s="8" t="s">
        <v>497</v>
      </c>
    </row>
    <row r="142" customFormat="false" ht="17.15" hidden="false" customHeight="false" outlineLevel="0" collapsed="false">
      <c r="A142" s="4" t="s">
        <v>498</v>
      </c>
      <c r="B142" s="0" t="s">
        <v>69</v>
      </c>
      <c r="D142" s="16" t="n">
        <f aca="false">1</f>
        <v>1</v>
      </c>
      <c r="E142" s="16" t="n">
        <f aca="false">rel_27</f>
        <v>0.95</v>
      </c>
      <c r="F142" s="16" t="n">
        <f aca="false">rel_28</f>
        <v>0.9</v>
      </c>
      <c r="G142" s="16" t="n">
        <f aca="false">rel_29</f>
        <v>0.85</v>
      </c>
    </row>
    <row r="143" customFormat="false" ht="15" hidden="false" customHeight="false" outlineLevel="0" collapsed="false">
      <c r="A143" s="4" t="s">
        <v>455</v>
      </c>
      <c r="B143" s="0" t="s">
        <v>53</v>
      </c>
      <c r="D143" s="15" t="n">
        <f aca="false">$D$141*D142</f>
        <v>0.69119045454881</v>
      </c>
      <c r="E143" s="15" t="n">
        <f aca="false">$D$141*E142</f>
        <v>0.65663093182137</v>
      </c>
      <c r="F143" s="15" t="n">
        <f aca="false">$D$141*F142</f>
        <v>0.622071409093929</v>
      </c>
      <c r="G143" s="15" t="n">
        <f aca="false">$D$141*G142</f>
        <v>0.587511886366489</v>
      </c>
    </row>
    <row r="144" customFormat="false" ht="17.15" hidden="false" customHeight="false" outlineLevel="0" collapsed="false">
      <c r="A144" s="0" t="s">
        <v>499</v>
      </c>
      <c r="B144" s="0" t="s">
        <v>209</v>
      </c>
      <c r="C144" s="20" t="n">
        <f aca="false">a25_aip</f>
        <v>99.8793</v>
      </c>
      <c r="D144" s="20" t="n">
        <f aca="false">D140*D143</f>
        <v>196.670214</v>
      </c>
      <c r="E144" s="20" t="n">
        <f aca="false">E140*E143</f>
        <v>437.544874427433</v>
      </c>
      <c r="F144" s="20" t="n">
        <f aca="false">F140*F143</f>
        <v>577.992444369315</v>
      </c>
      <c r="G144" s="20" t="n">
        <f aca="false">G140*G143</f>
        <v>621.845619547804</v>
      </c>
    </row>
    <row r="145" customFormat="false" ht="17.15" hidden="false" customHeight="false" outlineLevel="0" collapsed="false">
      <c r="A145" s="6" t="s">
        <v>500</v>
      </c>
    </row>
    <row r="146" customFormat="false" ht="17.15" hidden="false" customHeight="false" outlineLevel="0" collapsed="false">
      <c r="A146" s="4" t="s">
        <v>501</v>
      </c>
      <c r="B146" s="0" t="s">
        <v>502</v>
      </c>
      <c r="D146" s="23" t="n">
        <f aca="false">a26_lc/D137</f>
        <v>4.04080573428535</v>
      </c>
    </row>
    <row r="147" customFormat="false" ht="17.15" hidden="false" customHeight="false" outlineLevel="0" collapsed="false">
      <c r="A147" s="4" t="s">
        <v>503</v>
      </c>
      <c r="B147" s="0" t="s">
        <v>69</v>
      </c>
      <c r="D147" s="16" t="n">
        <f aca="false">1</f>
        <v>1</v>
      </c>
      <c r="E147" s="16" t="n">
        <f aca="false">lcr_27</f>
        <v>1.1</v>
      </c>
      <c r="F147" s="16" t="n">
        <f aca="false">lcr_28</f>
        <v>1.15</v>
      </c>
      <c r="G147" s="16" t="n">
        <f aca="false">lcr_29</f>
        <v>1.2</v>
      </c>
    </row>
    <row r="148" customFormat="false" ht="15" hidden="false" customHeight="false" outlineLevel="0" collapsed="false">
      <c r="A148" s="4" t="s">
        <v>504</v>
      </c>
      <c r="B148" s="0" t="s">
        <v>209</v>
      </c>
      <c r="C148" s="20" t="n">
        <f aca="false">a25_lc</f>
        <v>55.4885</v>
      </c>
      <c r="D148" s="20" t="n">
        <f aca="false">D137*$D$146*D147</f>
        <v>94.5529875</v>
      </c>
      <c r="E148" s="20" t="n">
        <f aca="false">E137*$D$146*E147</f>
        <v>185.115139180837</v>
      </c>
      <c r="F148" s="20" t="n">
        <f aca="false">F137*$D$146*F147</f>
        <v>245.321190937637</v>
      </c>
      <c r="G148" s="20" t="n">
        <f aca="false">G137*$D$146*G147</f>
        <v>291.61003960695</v>
      </c>
    </row>
    <row r="149" customFormat="false" ht="17.15" hidden="false" customHeight="false" outlineLevel="0" collapsed="false">
      <c r="A149" s="4" t="s">
        <v>505</v>
      </c>
      <c r="B149" s="0" t="s">
        <v>209</v>
      </c>
      <c r="C149" s="20" t="n">
        <f aca="false">a25_pe-a25_aip</f>
        <v>177.5632</v>
      </c>
      <c r="D149" s="20" t="n">
        <f aca="false">a26_pe-a26_aip</f>
        <v>189.105975</v>
      </c>
      <c r="E149" s="20" t="n">
        <f aca="false">D149*(1+g_pe27)</f>
        <v>198.56127375</v>
      </c>
      <c r="F149" s="20" t="n">
        <f aca="false">E149*(1+g_pe28)</f>
        <v>206.5037247</v>
      </c>
      <c r="G149" s="20" t="n">
        <f aca="false">F149*(1+g_pe29)</f>
        <v>212.698836441</v>
      </c>
      <c r="H149" s="8" t="s">
        <v>506</v>
      </c>
    </row>
    <row r="150" customFormat="false" ht="17.15" hidden="false" customHeight="false" outlineLevel="0" collapsed="false">
      <c r="A150" s="4" t="s">
        <v>431</v>
      </c>
      <c r="B150" s="0" t="s">
        <v>209</v>
      </c>
      <c r="C150" s="20" t="n">
        <f aca="false">C144+C149</f>
        <v>277.4425</v>
      </c>
      <c r="D150" s="20" t="n">
        <f aca="false">D144+D149</f>
        <v>385.776189</v>
      </c>
      <c r="E150" s="20" t="n">
        <f aca="false">E144+E149</f>
        <v>636.106148177433</v>
      </c>
      <c r="F150" s="20" t="n">
        <f aca="false">F144+F149</f>
        <v>784.496169069315</v>
      </c>
      <c r="G150" s="20" t="n">
        <f aca="false">G144+G149</f>
        <v>834.544455988804</v>
      </c>
      <c r="H150" s="4" t="s">
        <v>507</v>
      </c>
    </row>
    <row r="151" customFormat="false" ht="17.15" hidden="false" customHeight="false" outlineLevel="0" collapsed="false">
      <c r="A151" s="4" t="s">
        <v>508</v>
      </c>
      <c r="B151" s="0" t="s">
        <v>209</v>
      </c>
      <c r="C151" s="20" t="n">
        <f aca="false">a25_inf-a25_lc</f>
        <v>127.62355</v>
      </c>
      <c r="D151" s="20" t="n">
        <f aca="false">a26_inf-a26_lc</f>
        <v>170.1953775</v>
      </c>
      <c r="E151" s="20" t="n">
        <f aca="false">D151*(1+g_inf27)</f>
        <v>185.512961475</v>
      </c>
      <c r="F151" s="20" t="n">
        <f aca="false">E151*(1+g_inf28)</f>
        <v>198.49886877825</v>
      </c>
      <c r="G151" s="20" t="n">
        <f aca="false">F151*(1+g_inf29)</f>
        <v>210.408800904945</v>
      </c>
      <c r="H151" s="4" t="s">
        <v>509</v>
      </c>
    </row>
    <row r="152" customFormat="false" ht="15" hidden="false" customHeight="false" outlineLevel="0" collapsed="false">
      <c r="A152" s="4" t="s">
        <v>437</v>
      </c>
      <c r="B152" s="0" t="s">
        <v>209</v>
      </c>
      <c r="C152" s="20" t="n">
        <f aca="false">C148+C151</f>
        <v>183.11205</v>
      </c>
      <c r="D152" s="20" t="n">
        <f aca="false">D148+D151</f>
        <v>264.748365</v>
      </c>
      <c r="E152" s="20" t="n">
        <f aca="false">E148+E151</f>
        <v>370.628100655837</v>
      </c>
      <c r="F152" s="20" t="n">
        <f aca="false">F148+F151</f>
        <v>443.820059715887</v>
      </c>
      <c r="G152" s="20" t="n">
        <f aca="false">G148+G151</f>
        <v>502.018840511895</v>
      </c>
      <c r="H152" s="4" t="s">
        <v>510</v>
      </c>
    </row>
    <row r="153" customFormat="false" ht="15" hidden="false" customHeight="false" outlineLevel="0" collapsed="false">
      <c r="A153" s="4" t="s">
        <v>436</v>
      </c>
      <c r="B153" s="0" t="s">
        <v>209</v>
      </c>
      <c r="C153" s="20" t="n">
        <f aca="false">a25_au</f>
        <v>55.4885</v>
      </c>
      <c r="D153" s="20" t="n">
        <f aca="false">a26_au</f>
        <v>60.513912</v>
      </c>
      <c r="E153" s="20" t="n">
        <f aca="false">D153*(1+g_au27)</f>
        <v>63.5396076</v>
      </c>
      <c r="F153" s="20" t="n">
        <f aca="false">E153*(1+g_au28)</f>
        <v>66.71658798</v>
      </c>
      <c r="G153" s="20" t="n">
        <f aca="false">F153*(1+g_au29)</f>
        <v>69.3852514992</v>
      </c>
    </row>
    <row r="154" customFormat="false" ht="15" hidden="false" customHeight="false" outlineLevel="0" collapsed="false">
      <c r="A154" s="4" t="s">
        <v>435</v>
      </c>
      <c r="B154" s="0" t="s">
        <v>209</v>
      </c>
      <c r="C154" s="20" t="n">
        <f aca="false">a25_mo</f>
        <v>38.84195</v>
      </c>
      <c r="D154" s="20" t="n">
        <f aca="false">a26_mo</f>
        <v>45.385434</v>
      </c>
      <c r="E154" s="20" t="n">
        <f aca="false">D154*(1+g_mo27)</f>
        <v>45.385434</v>
      </c>
      <c r="F154" s="20" t="n">
        <f aca="false">E154*(1+g_mo28)</f>
        <v>46.29314268</v>
      </c>
      <c r="G154" s="20" t="n">
        <f aca="false">F154*(1+g_mo29)</f>
        <v>47.2190055336</v>
      </c>
    </row>
    <row r="155" customFormat="false" ht="17.15" hidden="false" customHeight="false" outlineLevel="0" collapsed="false">
      <c r="A155" s="4" t="s">
        <v>511</v>
      </c>
      <c r="B155" s="0" t="s">
        <v>209</v>
      </c>
      <c r="C155" s="20" t="n">
        <f aca="false">C149+C151+C153+C154</f>
        <v>399.5172</v>
      </c>
      <c r="D155" s="20" t="n">
        <f aca="false">D149+D151+D153+D154</f>
        <v>465.2006985</v>
      </c>
      <c r="E155" s="20" t="n">
        <f aca="false">E149+E151+E153+E154</f>
        <v>492.999276825</v>
      </c>
      <c r="F155" s="20" t="n">
        <f aca="false">F149+F151+F153+F154</f>
        <v>518.01232413825</v>
      </c>
      <c r="G155" s="20" t="n">
        <f aca="false">G149+G151+G153+G154</f>
        <v>539.711894378745</v>
      </c>
    </row>
    <row r="156" customFormat="false" ht="15" hidden="false" customHeight="false" outlineLevel="0" collapsed="false">
      <c r="A156" s="4" t="s">
        <v>386</v>
      </c>
      <c r="B156" s="0" t="s">
        <v>209</v>
      </c>
      <c r="C156" s="20" t="n">
        <f aca="false">C150+C152+C153+C154</f>
        <v>554.885</v>
      </c>
      <c r="D156" s="20" t="n">
        <f aca="false">D150+D152+D153+D154</f>
        <v>756.4239</v>
      </c>
      <c r="E156" s="20" t="n">
        <f aca="false">E150+E152+E153+E154</f>
        <v>1115.65929043327</v>
      </c>
      <c r="F156" s="20" t="n">
        <f aca="false">F150+F152+F153+F154</f>
        <v>1341.3259594452</v>
      </c>
      <c r="G156" s="20" t="n">
        <f aca="false">G150+G152+G153+G154</f>
        <v>1453.1675535335</v>
      </c>
      <c r="H156" s="4" t="s">
        <v>512</v>
      </c>
    </row>
    <row r="157" customFormat="false" ht="17.15" hidden="false" customHeight="false" outlineLevel="0" collapsed="false">
      <c r="A157" s="4" t="s">
        <v>513</v>
      </c>
      <c r="B157" s="0" t="s">
        <v>209</v>
      </c>
      <c r="C157" s="23" t="n">
        <f aca="false">C156-a25_rev</f>
        <v>0</v>
      </c>
      <c r="D157" s="23" t="n">
        <f aca="false">D156-a26_rev</f>
        <v>0</v>
      </c>
    </row>
    <row r="158" customFormat="false" ht="15" hidden="false" customHeight="false" outlineLevel="0" collapsed="false">
      <c r="A158" s="4" t="s">
        <v>514</v>
      </c>
      <c r="B158" s="0" t="s">
        <v>53</v>
      </c>
      <c r="D158" s="15" t="n">
        <f aca="false">D156/C156-1</f>
        <v>0.363208412553953</v>
      </c>
      <c r="E158" s="15" t="n">
        <f aca="false">E156/D156-1</f>
        <v>0.474912797484678</v>
      </c>
      <c r="F158" s="15" t="n">
        <f aca="false">F156/E156-1</f>
        <v>0.202272029594531</v>
      </c>
      <c r="G158" s="15" t="n">
        <f aca="false">G156/F156-1</f>
        <v>0.083381368488952</v>
      </c>
    </row>
    <row r="159" customFormat="false" ht="17.15" hidden="false" customHeight="false" outlineLevel="0" collapsed="false">
      <c r="A159" s="0" t="s">
        <v>515</v>
      </c>
      <c r="B159" s="0" t="s">
        <v>53</v>
      </c>
      <c r="C159" s="15" t="n">
        <f aca="false">C144/C156</f>
        <v>0.18</v>
      </c>
      <c r="D159" s="15" t="n">
        <f aca="false">D144/D156</f>
        <v>0.26</v>
      </c>
      <c r="E159" s="15" t="n">
        <f aca="false">E144/E156</f>
        <v>0.392185031917326</v>
      </c>
      <c r="F159" s="15" t="n">
        <f aca="false">F144/F156</f>
        <v>0.430911248902082</v>
      </c>
      <c r="G159" s="15" t="n">
        <f aca="false">G144/G156</f>
        <v>0.427924239043002</v>
      </c>
    </row>
    <row r="160" customFormat="false" ht="17.15" hidden="false" customHeight="false" outlineLevel="0" collapsed="false">
      <c r="A160" s="0" t="s">
        <v>516</v>
      </c>
      <c r="B160" s="0" t="s">
        <v>53</v>
      </c>
      <c r="C160" s="15" t="n">
        <f aca="false">(C144+C148)/C156</f>
        <v>0.28</v>
      </c>
      <c r="D160" s="15" t="n">
        <f aca="false">(D144+D148)/D156</f>
        <v>0.385</v>
      </c>
      <c r="E160" s="15" t="n">
        <f aca="false">(E144+E148)/E156</f>
        <v>0.558109468497733</v>
      </c>
      <c r="F160" s="15" t="n">
        <f aca="false">(F144+F148)/F156</f>
        <v>0.613805786363436</v>
      </c>
      <c r="G160" s="15" t="n">
        <f aca="false">(G144+G148)/G156</f>
        <v>0.62859623925239</v>
      </c>
    </row>
    <row r="161" customFormat="false" ht="17.15" hidden="false" customHeight="false" outlineLevel="0" collapsed="false">
      <c r="A161" s="4" t="s">
        <v>462</v>
      </c>
      <c r="B161" s="0" t="s">
        <v>463</v>
      </c>
      <c r="D161" s="19" t="n">
        <f aca="false">(D144+D148)/fx/D137*1000</f>
        <v>388.927551924965</v>
      </c>
      <c r="E161" s="19" t="n">
        <f aca="false">(E144+E148)/fx/E137*1000</f>
        <v>467.218163026744</v>
      </c>
      <c r="F161" s="19" t="n">
        <f aca="false">(F144+F148)/fx/F137*1000</f>
        <v>487.355731077541</v>
      </c>
      <c r="G161" s="19" t="n">
        <f aca="false">(G144+G148)/fx/G137*1000</f>
        <v>474.661752537269</v>
      </c>
    </row>
    <row r="162" customFormat="false" ht="17.15" hidden="false" customHeight="false" outlineLevel="0" collapsed="false">
      <c r="A162" s="6" t="s">
        <v>517</v>
      </c>
    </row>
    <row r="163" customFormat="false" ht="17.15" hidden="false" customHeight="false" outlineLevel="0" collapsed="false">
      <c r="A163" s="4" t="s">
        <v>518</v>
      </c>
      <c r="B163" s="0" t="s">
        <v>53</v>
      </c>
      <c r="D163" s="15" t="n">
        <f aca="false">a26_gp/D156-d_ai*D159</f>
        <v>0.340474417690927</v>
      </c>
      <c r="H163" s="8" t="s">
        <v>519</v>
      </c>
    </row>
    <row r="164" customFormat="false" ht="15" hidden="false" customHeight="false" outlineLevel="0" collapsed="false">
      <c r="A164" s="4" t="s">
        <v>390</v>
      </c>
      <c r="B164" s="0" t="s">
        <v>209</v>
      </c>
      <c r="C164" s="20" t="n">
        <f aca="false">a25_gp</f>
        <v>190.2</v>
      </c>
      <c r="D164" s="20" t="n">
        <f aca="false">a26_gp</f>
        <v>273.276604</v>
      </c>
      <c r="E164" s="20" t="n">
        <f aca="false">$D$163*E156+d_ai*E144</f>
        <v>414.857037205935</v>
      </c>
      <c r="F164" s="20" t="n">
        <f aca="false">$D$163*F156+d_ai*F144</f>
        <v>502.926570525374</v>
      </c>
      <c r="G164" s="20" t="n">
        <f aca="false">$D$163*G156+d_ai*G144</f>
        <v>544.514026160491</v>
      </c>
    </row>
    <row r="165" customFormat="false" ht="15" hidden="false" customHeight="false" outlineLevel="0" collapsed="false">
      <c r="A165" s="4" t="s">
        <v>392</v>
      </c>
      <c r="B165" s="0" t="s">
        <v>53</v>
      </c>
      <c r="C165" s="15" t="n">
        <f aca="false">C164/C156</f>
        <v>0.342773727889563</v>
      </c>
      <c r="D165" s="15" t="n">
        <f aca="false">D164/D156</f>
        <v>0.361274417690927</v>
      </c>
      <c r="E165" s="15" t="n">
        <f aca="false">E164/E156</f>
        <v>0.371849220244313</v>
      </c>
      <c r="F165" s="15" t="n">
        <f aca="false">F164/F156</f>
        <v>0.374947317603094</v>
      </c>
      <c r="G165" s="15" t="n">
        <f aca="false">G164/G156</f>
        <v>0.374708356814367</v>
      </c>
    </row>
    <row r="166" customFormat="false" ht="15" hidden="false" customHeight="false" outlineLevel="0" collapsed="false">
      <c r="A166" s="4" t="s">
        <v>520</v>
      </c>
      <c r="B166" s="0" t="s">
        <v>209</v>
      </c>
      <c r="C166" s="20" t="n">
        <f aca="false">a25_opx</f>
        <v>106.3</v>
      </c>
      <c r="D166" s="20" t="n">
        <f aca="false">a26_opx</f>
        <v>141.924088166667</v>
      </c>
      <c r="E166" s="20" t="n">
        <f aca="false">D166*(1+MAX(0,phi*E158))</f>
        <v>195.845340760022</v>
      </c>
      <c r="F166" s="20" t="n">
        <f aca="false">E166*(1+MAX(0,phi*F158))</f>
        <v>227.536568409751</v>
      </c>
      <c r="G166" s="20" t="n">
        <f aca="false">F166*(1+MAX(0,phi*G158))</f>
        <v>242.714416773979</v>
      </c>
    </row>
    <row r="167" customFormat="false" ht="15" hidden="false" customHeight="false" outlineLevel="0" collapsed="false">
      <c r="A167" s="4" t="s">
        <v>394</v>
      </c>
      <c r="B167" s="0" t="s">
        <v>209</v>
      </c>
      <c r="C167" s="20" t="n">
        <f aca="false">C166</f>
        <v>106.3</v>
      </c>
      <c r="D167" s="20" t="n">
        <f aca="false">D166</f>
        <v>141.924088166667</v>
      </c>
      <c r="E167" s="20" t="n">
        <f aca="false">E166+0*E156</f>
        <v>195.845340760022</v>
      </c>
      <c r="F167" s="20" t="n">
        <f aca="false">F166+0*F156</f>
        <v>227.536568409751</v>
      </c>
      <c r="G167" s="20" t="n">
        <f aca="false">G166+0*G156</f>
        <v>242.714416773979</v>
      </c>
    </row>
    <row r="168" customFormat="false" ht="15" hidden="false" customHeight="false" outlineLevel="0" collapsed="false">
      <c r="A168" s="4" t="s">
        <v>396</v>
      </c>
      <c r="B168" s="0" t="s">
        <v>209</v>
      </c>
      <c r="C168" s="20" t="n">
        <f aca="false">C164-C167</f>
        <v>83.9</v>
      </c>
      <c r="D168" s="20" t="n">
        <f aca="false">D164-D167</f>
        <v>131.352515833333</v>
      </c>
      <c r="E168" s="20" t="n">
        <f aca="false">E164-E167</f>
        <v>219.011696445914</v>
      </c>
      <c r="F168" s="20" t="n">
        <f aca="false">F164-F167</f>
        <v>275.390002115623</v>
      </c>
      <c r="G168" s="20" t="n">
        <f aca="false">G164-G167</f>
        <v>301.799609386512</v>
      </c>
    </row>
    <row r="169" customFormat="false" ht="15" hidden="false" customHeight="false" outlineLevel="0" collapsed="false">
      <c r="A169" s="4" t="s">
        <v>398</v>
      </c>
      <c r="B169" s="0" t="s">
        <v>53</v>
      </c>
      <c r="C169" s="15" t="n">
        <f aca="false">C168/C156</f>
        <v>0.151202501419213</v>
      </c>
      <c r="D169" s="15" t="n">
        <f aca="false">D168/D156</f>
        <v>0.173649346396027</v>
      </c>
      <c r="E169" s="15" t="n">
        <f aca="false">E168/E156</f>
        <v>0.196306971423919</v>
      </c>
      <c r="F169" s="15" t="n">
        <f aca="false">F168/F156</f>
        <v>0.205311766447531</v>
      </c>
      <c r="G169" s="15" t="n">
        <f aca="false">G168/G156</f>
        <v>0.207683971922344</v>
      </c>
    </row>
    <row r="170" customFormat="false" ht="15" hidden="false" customHeight="false" outlineLevel="0" collapsed="false">
      <c r="A170" s="4" t="s">
        <v>400</v>
      </c>
      <c r="B170" s="0" t="s">
        <v>209</v>
      </c>
      <c r="C170" s="20" t="n">
        <f aca="false">a25_nop</f>
        <v>3.934</v>
      </c>
      <c r="D170" s="20" t="n">
        <f aca="false">a26_nop</f>
        <v>11.1666666666667</v>
      </c>
      <c r="E170" s="20" t="n">
        <f aca="false">nop_f</f>
        <v>8</v>
      </c>
      <c r="F170" s="20" t="n">
        <f aca="false">nop_f</f>
        <v>8</v>
      </c>
      <c r="G170" s="20" t="n">
        <f aca="false">nop_f</f>
        <v>8</v>
      </c>
    </row>
    <row r="171" customFormat="false" ht="17.15" hidden="false" customHeight="false" outlineLevel="0" collapsed="false">
      <c r="A171" s="4" t="s">
        <v>250</v>
      </c>
      <c r="B171" s="0" t="s">
        <v>53</v>
      </c>
      <c r="C171" s="15" t="n">
        <f aca="false">a25_ni/(a25_oi+a25_nop)</f>
        <v>0.684336361773345</v>
      </c>
      <c r="D171" s="15" t="n">
        <f aca="false">a26_ni/(a26_oi+a26_nop)</f>
        <v>0.690638510538748</v>
      </c>
      <c r="E171" s="15" t="n">
        <f aca="false">nir_f</f>
        <v>0.69</v>
      </c>
      <c r="F171" s="15" t="n">
        <f aca="false">nir_f</f>
        <v>0.69</v>
      </c>
      <c r="G171" s="15" t="n">
        <f aca="false">nir_f</f>
        <v>0.69</v>
      </c>
    </row>
    <row r="172" customFormat="false" ht="15" hidden="false" customHeight="false" outlineLevel="0" collapsed="false">
      <c r="A172" s="4" t="s">
        <v>403</v>
      </c>
      <c r="B172" s="0" t="s">
        <v>209</v>
      </c>
      <c r="C172" s="20" t="n">
        <f aca="false">a25_ni</f>
        <v>60.108</v>
      </c>
      <c r="D172" s="20" t="n">
        <f aca="false">a26_ni</f>
        <v>98.429235925</v>
      </c>
      <c r="E172" s="20" t="n">
        <f aca="false">(E168+E170)*E171</f>
        <v>156.63807054768</v>
      </c>
      <c r="F172" s="20" t="n">
        <f aca="false">(F168+F170)*F171</f>
        <v>195.53910145978</v>
      </c>
      <c r="G172" s="20" t="n">
        <f aca="false">(G168+G170)*G171</f>
        <v>213.761730476693</v>
      </c>
    </row>
    <row r="173" customFormat="false" ht="15" hidden="false" customHeight="false" outlineLevel="0" collapsed="false">
      <c r="A173" s="4" t="s">
        <v>521</v>
      </c>
      <c r="B173" s="4" t="s">
        <v>234</v>
      </c>
      <c r="C173" s="23" t="n">
        <f aca="false">a25_sh</f>
        <v>2.59757994814175</v>
      </c>
      <c r="D173" s="23" t="n">
        <f aca="false">a26_sh</f>
        <v>2.59806708357021</v>
      </c>
      <c r="E173" s="23" t="n">
        <f aca="false">D173*(1+sh_g)</f>
        <v>2.59806708357021</v>
      </c>
      <c r="F173" s="23" t="n">
        <f aca="false">E173*(1+sh_g)</f>
        <v>2.59806708357021</v>
      </c>
      <c r="G173" s="23" t="n">
        <f aca="false">F173*(1+sh_g)</f>
        <v>2.59806708357021</v>
      </c>
    </row>
    <row r="174" customFormat="false" ht="15" hidden="false" customHeight="false" outlineLevel="0" collapsed="false">
      <c r="A174" s="0" t="s">
        <v>408</v>
      </c>
      <c r="B174" s="0" t="s">
        <v>265</v>
      </c>
      <c r="C174" s="21" t="n">
        <f aca="false">C172/C173</f>
        <v>23.14</v>
      </c>
      <c r="D174" s="21" t="n">
        <f aca="false">D172/D173</f>
        <v>37.8855636744147</v>
      </c>
      <c r="E174" s="21" t="n">
        <f aca="false">E172/E173</f>
        <v>60.2902332808249</v>
      </c>
      <c r="F174" s="21" t="n">
        <f aca="false">F172/F173</f>
        <v>75.2632996647161</v>
      </c>
      <c r="G174" s="21" t="n">
        <f aca="false">G172/G173</f>
        <v>82.2772174854493</v>
      </c>
    </row>
    <row r="175" customFormat="false" ht="17.15" hidden="false" customHeight="false" outlineLevel="0" collapsed="false">
      <c r="A175" s="0" t="s">
        <v>522</v>
      </c>
      <c r="B175" s="0" t="s">
        <v>53</v>
      </c>
      <c r="D175" s="15" t="n">
        <f aca="false">D174/C174-1</f>
        <v>0.637232656629847</v>
      </c>
      <c r="E175" s="15" t="n">
        <f aca="false">E174/D174-1</f>
        <v>0.5913774914095</v>
      </c>
      <c r="F175" s="15" t="n">
        <f aca="false">F174/E174-1</f>
        <v>0.248349783523783</v>
      </c>
      <c r="G175" s="15" t="n">
        <f aca="false">G174/F174-1</f>
        <v>0.0931917395593722</v>
      </c>
    </row>
    <row r="178" customFormat="false" ht="17.15" hidden="false" customHeight="false" outlineLevel="0" collapsed="false">
      <c r="A178" s="1" t="s">
        <v>862</v>
      </c>
    </row>
    <row r="179" customFormat="false" ht="17.15" hidden="false" customHeight="false" outlineLevel="0" collapsed="false">
      <c r="A179" s="5" t="s">
        <v>22</v>
      </c>
      <c r="B179" s="5" t="s">
        <v>23</v>
      </c>
      <c r="C179" s="12" t="s">
        <v>380</v>
      </c>
      <c r="D179" s="12" t="s">
        <v>468</v>
      </c>
      <c r="E179" s="12" t="s">
        <v>469</v>
      </c>
      <c r="F179" s="12" t="s">
        <v>470</v>
      </c>
      <c r="G179" s="12" t="s">
        <v>471</v>
      </c>
      <c r="H179" s="5" t="s">
        <v>365</v>
      </c>
    </row>
    <row r="180" customFormat="false" ht="17.15" hidden="false" customHeight="false" outlineLevel="0" collapsed="false">
      <c r="A180" s="6" t="s">
        <v>490</v>
      </c>
    </row>
    <row r="181" customFormat="false" ht="17.15" hidden="false" customHeight="false" outlineLevel="0" collapsed="false">
      <c r="A181" s="0" t="s">
        <v>491</v>
      </c>
      <c r="B181" s="0" t="s">
        <v>33</v>
      </c>
      <c r="D181" s="21" t="n">
        <f aca="false">itc_26*1</f>
        <v>781.872916666666</v>
      </c>
      <c r="E181" s="21" t="n">
        <f aca="false">itc_27*1*1</f>
        <v>1565.35</v>
      </c>
      <c r="F181" s="21" t="n">
        <f aca="false">itc_28*um28_A*1</f>
        <v>1984.26388888889</v>
      </c>
      <c r="G181" s="21" t="n">
        <f aca="false">itc_29*um29_A*1</f>
        <v>2260.39027777778</v>
      </c>
    </row>
    <row r="182" customFormat="false" ht="17.15" hidden="false" customHeight="false" outlineLevel="0" collapsed="false">
      <c r="A182" s="4" t="s">
        <v>492</v>
      </c>
      <c r="B182" s="0" t="s">
        <v>33</v>
      </c>
      <c r="D182" s="21" t="n">
        <f aca="false">itpg_gb*(1-vr26)+itpg_vr*vr26</f>
        <v>33.41403216</v>
      </c>
      <c r="E182" s="21" t="n">
        <f aca="false">itpg_vr</f>
        <v>37.586352</v>
      </c>
      <c r="F182" s="21" t="n">
        <f aca="false">itpg_vr</f>
        <v>37.586352</v>
      </c>
      <c r="G182" s="21" t="n">
        <f aca="false">itpg_vr</f>
        <v>37.586352</v>
      </c>
    </row>
    <row r="183" customFormat="false" ht="17.15" hidden="false" customHeight="false" outlineLevel="0" collapsed="false">
      <c r="A183" s="4" t="s">
        <v>493</v>
      </c>
      <c r="B183" s="0" t="s">
        <v>446</v>
      </c>
      <c r="D183" s="18" t="n">
        <f aca="false">D181/D182</f>
        <v>23.3995380420639</v>
      </c>
      <c r="E183" s="18" t="n">
        <f aca="false">E181/E182</f>
        <v>41.6467658260637</v>
      </c>
      <c r="F183" s="18" t="n">
        <f aca="false">F181/F182</f>
        <v>52.792138191248</v>
      </c>
      <c r="G183" s="18" t="n">
        <f aca="false">G181/G182</f>
        <v>60.1385917361116</v>
      </c>
    </row>
    <row r="184" customFormat="false" ht="17.15" hidden="false" customHeight="false" outlineLevel="0" collapsed="false">
      <c r="A184" s="0" t="s">
        <v>448</v>
      </c>
      <c r="B184" s="0" t="s">
        <v>96</v>
      </c>
      <c r="D184" s="19" t="n">
        <f aca="false">PKHI_26</f>
        <v>520</v>
      </c>
      <c r="E184" s="19" t="n">
        <f aca="false">PKHI_27</f>
        <v>700</v>
      </c>
      <c r="F184" s="19" t="n">
        <f aca="false">PKHI_28</f>
        <v>800</v>
      </c>
      <c r="G184" s="19" t="n">
        <f aca="false">PKHI_29</f>
        <v>850</v>
      </c>
    </row>
    <row r="185" customFormat="false" ht="17.15" hidden="false" customHeight="false" outlineLevel="0" collapsed="false">
      <c r="A185" s="0" t="s">
        <v>494</v>
      </c>
      <c r="B185" s="0" t="s">
        <v>33</v>
      </c>
      <c r="D185" s="21" t="n">
        <f aca="false">D183*D184/1000</f>
        <v>12.1677597818732</v>
      </c>
      <c r="E185" s="21" t="n">
        <f aca="false">E183*E184/1000</f>
        <v>29.1527360782446</v>
      </c>
      <c r="F185" s="21" t="n">
        <f aca="false">F183*F184/1000</f>
        <v>42.2337105529984</v>
      </c>
      <c r="G185" s="21" t="n">
        <f aca="false">G183*G184/1000</f>
        <v>51.1178029756948</v>
      </c>
    </row>
    <row r="186" customFormat="false" ht="17.15" hidden="false" customHeight="false" outlineLevel="0" collapsed="false">
      <c r="A186" s="0" t="s">
        <v>495</v>
      </c>
      <c r="B186" s="0" t="s">
        <v>209</v>
      </c>
      <c r="D186" s="20" t="n">
        <f aca="false">D185*fx</f>
        <v>389.368313019943</v>
      </c>
      <c r="E186" s="20" t="n">
        <f aca="false">E185*fx</f>
        <v>932.887554503826</v>
      </c>
      <c r="F186" s="20" t="n">
        <f aca="false">F185*fx</f>
        <v>1351.47873769595</v>
      </c>
      <c r="G186" s="20" t="n">
        <f aca="false">G185*fx</f>
        <v>1635.76969522223</v>
      </c>
    </row>
    <row r="187" customFormat="false" ht="17.15" hidden="false" customHeight="false" outlineLevel="0" collapsed="false">
      <c r="A187" s="4" t="s">
        <v>496</v>
      </c>
      <c r="B187" s="0" t="s">
        <v>53</v>
      </c>
      <c r="D187" s="15" t="n">
        <f aca="false">a26_aip/D186</f>
        <v>0.505100716785669</v>
      </c>
      <c r="H187" s="8" t="s">
        <v>497</v>
      </c>
    </row>
    <row r="188" customFormat="false" ht="17.15" hidden="false" customHeight="false" outlineLevel="0" collapsed="false">
      <c r="A188" s="4" t="s">
        <v>498</v>
      </c>
      <c r="B188" s="0" t="s">
        <v>69</v>
      </c>
      <c r="D188" s="16" t="n">
        <f aca="false">1</f>
        <v>1</v>
      </c>
      <c r="E188" s="16" t="n">
        <f aca="false">rel_27</f>
        <v>0.95</v>
      </c>
      <c r="F188" s="16" t="n">
        <f aca="false">rel_28</f>
        <v>0.9</v>
      </c>
      <c r="G188" s="16" t="n">
        <f aca="false">rel_29</f>
        <v>0.85</v>
      </c>
    </row>
    <row r="189" customFormat="false" ht="15" hidden="false" customHeight="false" outlineLevel="0" collapsed="false">
      <c r="A189" s="4" t="s">
        <v>455</v>
      </c>
      <c r="B189" s="0" t="s">
        <v>53</v>
      </c>
      <c r="D189" s="15" t="n">
        <f aca="false">$D$187*D188</f>
        <v>0.505100716785669</v>
      </c>
      <c r="E189" s="15" t="n">
        <f aca="false">$D$187*E188</f>
        <v>0.479845680946386</v>
      </c>
      <c r="F189" s="15" t="n">
        <f aca="false">$D$187*F188</f>
        <v>0.454590645107102</v>
      </c>
      <c r="G189" s="15" t="n">
        <f aca="false">$D$187*G188</f>
        <v>0.429335609267819</v>
      </c>
    </row>
    <row r="190" customFormat="false" ht="17.15" hidden="false" customHeight="false" outlineLevel="0" collapsed="false">
      <c r="A190" s="0" t="s">
        <v>499</v>
      </c>
      <c r="B190" s="0" t="s">
        <v>209</v>
      </c>
      <c r="C190" s="20" t="n">
        <f aca="false">a25_aip</f>
        <v>99.8793</v>
      </c>
      <c r="D190" s="20" t="n">
        <f aca="false">D186*D189</f>
        <v>196.670214</v>
      </c>
      <c r="E190" s="20" t="n">
        <f aca="false">E186*E189</f>
        <v>447.642063837297</v>
      </c>
      <c r="F190" s="20" t="n">
        <f aca="false">F186*F189</f>
        <v>614.369591217733</v>
      </c>
      <c r="G190" s="20" t="n">
        <f aca="false">G186*G189</f>
        <v>702.294178720072</v>
      </c>
    </row>
    <row r="191" customFormat="false" ht="17.15" hidden="false" customHeight="false" outlineLevel="0" collapsed="false">
      <c r="A191" s="6" t="s">
        <v>500</v>
      </c>
    </row>
    <row r="192" customFormat="false" ht="17.15" hidden="false" customHeight="false" outlineLevel="0" collapsed="false">
      <c r="A192" s="4" t="s">
        <v>501</v>
      </c>
      <c r="B192" s="0" t="s">
        <v>502</v>
      </c>
      <c r="D192" s="23" t="n">
        <f aca="false">a26_lc/D183</f>
        <v>4.04080573428535</v>
      </c>
    </row>
    <row r="193" customFormat="false" ht="17.15" hidden="false" customHeight="false" outlineLevel="0" collapsed="false">
      <c r="A193" s="4" t="s">
        <v>503</v>
      </c>
      <c r="B193" s="0" t="s">
        <v>69</v>
      </c>
      <c r="D193" s="16" t="n">
        <f aca="false">1</f>
        <v>1</v>
      </c>
      <c r="E193" s="16" t="n">
        <f aca="false">lcr_27</f>
        <v>1.1</v>
      </c>
      <c r="F193" s="16" t="n">
        <f aca="false">lcr_28</f>
        <v>1.15</v>
      </c>
      <c r="G193" s="16" t="n">
        <f aca="false">lcr_29</f>
        <v>1.2</v>
      </c>
    </row>
    <row r="194" customFormat="false" ht="15" hidden="false" customHeight="false" outlineLevel="0" collapsed="false">
      <c r="A194" s="4" t="s">
        <v>504</v>
      </c>
      <c r="B194" s="0" t="s">
        <v>209</v>
      </c>
      <c r="C194" s="20" t="n">
        <f aca="false">a25_lc</f>
        <v>55.4885</v>
      </c>
      <c r="D194" s="20" t="n">
        <f aca="false">D183*$D$192*D193</f>
        <v>94.5529875</v>
      </c>
      <c r="E194" s="20" t="n">
        <f aca="false">E183*$D$192*E193</f>
        <v>185.115139180837</v>
      </c>
      <c r="F194" s="20" t="n">
        <f aca="false">F183*$D$192*F193</f>
        <v>245.321190937637</v>
      </c>
      <c r="G194" s="20" t="n">
        <f aca="false">G183*$D$192*G193</f>
        <v>291.61003960695</v>
      </c>
    </row>
    <row r="195" customFormat="false" ht="17.15" hidden="false" customHeight="false" outlineLevel="0" collapsed="false">
      <c r="A195" s="4" t="s">
        <v>505</v>
      </c>
      <c r="B195" s="0" t="s">
        <v>209</v>
      </c>
      <c r="C195" s="20" t="n">
        <f aca="false">a25_pe-a25_aip</f>
        <v>177.5632</v>
      </c>
      <c r="D195" s="20" t="n">
        <f aca="false">a26_pe-a26_aip</f>
        <v>189.105975</v>
      </c>
      <c r="E195" s="20" t="n">
        <f aca="false">D195*(1+g_pe27)</f>
        <v>198.56127375</v>
      </c>
      <c r="F195" s="20" t="n">
        <f aca="false">E195*(1+g_pe28)</f>
        <v>206.5037247</v>
      </c>
      <c r="G195" s="20" t="n">
        <f aca="false">F195*(1+g_pe29)</f>
        <v>212.698836441</v>
      </c>
      <c r="H195" s="8" t="s">
        <v>506</v>
      </c>
    </row>
    <row r="196" customFormat="false" ht="17.15" hidden="false" customHeight="false" outlineLevel="0" collapsed="false">
      <c r="A196" s="4" t="s">
        <v>431</v>
      </c>
      <c r="B196" s="0" t="s">
        <v>209</v>
      </c>
      <c r="C196" s="20" t="n">
        <f aca="false">C190+C195</f>
        <v>277.4425</v>
      </c>
      <c r="D196" s="20" t="n">
        <f aca="false">D190+D195</f>
        <v>385.776189</v>
      </c>
      <c r="E196" s="20" t="n">
        <f aca="false">E190+E195</f>
        <v>646.203337587297</v>
      </c>
      <c r="F196" s="20" t="n">
        <f aca="false">F190+F195</f>
        <v>820.873315917733</v>
      </c>
      <c r="G196" s="20" t="n">
        <f aca="false">G190+G195</f>
        <v>914.993015161072</v>
      </c>
      <c r="H196" s="4" t="s">
        <v>507</v>
      </c>
    </row>
    <row r="197" customFormat="false" ht="17.15" hidden="false" customHeight="false" outlineLevel="0" collapsed="false">
      <c r="A197" s="4" t="s">
        <v>508</v>
      </c>
      <c r="B197" s="0" t="s">
        <v>209</v>
      </c>
      <c r="C197" s="20" t="n">
        <f aca="false">a25_inf-a25_lc</f>
        <v>127.62355</v>
      </c>
      <c r="D197" s="20" t="n">
        <f aca="false">a26_inf-a26_lc</f>
        <v>170.1953775</v>
      </c>
      <c r="E197" s="20" t="n">
        <f aca="false">D197*(1+g_inf27)</f>
        <v>185.512961475</v>
      </c>
      <c r="F197" s="20" t="n">
        <f aca="false">E197*(1+g_inf28)</f>
        <v>198.49886877825</v>
      </c>
      <c r="G197" s="20" t="n">
        <f aca="false">F197*(1+g_inf29)</f>
        <v>210.408800904945</v>
      </c>
      <c r="H197" s="4" t="s">
        <v>509</v>
      </c>
    </row>
    <row r="198" customFormat="false" ht="15" hidden="false" customHeight="false" outlineLevel="0" collapsed="false">
      <c r="A198" s="4" t="s">
        <v>437</v>
      </c>
      <c r="B198" s="0" t="s">
        <v>209</v>
      </c>
      <c r="C198" s="20" t="n">
        <f aca="false">C194+C197</f>
        <v>183.11205</v>
      </c>
      <c r="D198" s="20" t="n">
        <f aca="false">D194+D197</f>
        <v>264.748365</v>
      </c>
      <c r="E198" s="20" t="n">
        <f aca="false">E194+E197</f>
        <v>370.628100655837</v>
      </c>
      <c r="F198" s="20" t="n">
        <f aca="false">F194+F197</f>
        <v>443.820059715887</v>
      </c>
      <c r="G198" s="20" t="n">
        <f aca="false">G194+G197</f>
        <v>502.018840511895</v>
      </c>
      <c r="H198" s="4" t="s">
        <v>510</v>
      </c>
    </row>
    <row r="199" customFormat="false" ht="15" hidden="false" customHeight="false" outlineLevel="0" collapsed="false">
      <c r="A199" s="4" t="s">
        <v>436</v>
      </c>
      <c r="B199" s="0" t="s">
        <v>209</v>
      </c>
      <c r="C199" s="20" t="n">
        <f aca="false">a25_au</f>
        <v>55.4885</v>
      </c>
      <c r="D199" s="20" t="n">
        <f aca="false">a26_au</f>
        <v>60.513912</v>
      </c>
      <c r="E199" s="20" t="n">
        <f aca="false">D199*(1+g_au27)</f>
        <v>63.5396076</v>
      </c>
      <c r="F199" s="20" t="n">
        <f aca="false">E199*(1+g_au28)</f>
        <v>66.71658798</v>
      </c>
      <c r="G199" s="20" t="n">
        <f aca="false">F199*(1+g_au29)</f>
        <v>69.3852514992</v>
      </c>
    </row>
    <row r="200" customFormat="false" ht="15" hidden="false" customHeight="false" outlineLevel="0" collapsed="false">
      <c r="A200" s="4" t="s">
        <v>435</v>
      </c>
      <c r="B200" s="0" t="s">
        <v>209</v>
      </c>
      <c r="C200" s="20" t="n">
        <f aca="false">a25_mo</f>
        <v>38.84195</v>
      </c>
      <c r="D200" s="20" t="n">
        <f aca="false">a26_mo</f>
        <v>45.385434</v>
      </c>
      <c r="E200" s="20" t="n">
        <f aca="false">D200*(1+g_mo27)</f>
        <v>45.385434</v>
      </c>
      <c r="F200" s="20" t="n">
        <f aca="false">E200*(1+g_mo28)</f>
        <v>46.29314268</v>
      </c>
      <c r="G200" s="20" t="n">
        <f aca="false">F200*(1+g_mo29)</f>
        <v>47.2190055336</v>
      </c>
    </row>
    <row r="201" customFormat="false" ht="17.15" hidden="false" customHeight="false" outlineLevel="0" collapsed="false">
      <c r="A201" s="4" t="s">
        <v>511</v>
      </c>
      <c r="B201" s="0" t="s">
        <v>209</v>
      </c>
      <c r="C201" s="20" t="n">
        <f aca="false">C195+C197+C199+C200</f>
        <v>399.5172</v>
      </c>
      <c r="D201" s="20" t="n">
        <f aca="false">D195+D197+D199+D200</f>
        <v>465.2006985</v>
      </c>
      <c r="E201" s="20" t="n">
        <f aca="false">E195+E197+E199+E200</f>
        <v>492.999276825</v>
      </c>
      <c r="F201" s="20" t="n">
        <f aca="false">F195+F197+F199+F200</f>
        <v>518.01232413825</v>
      </c>
      <c r="G201" s="20" t="n">
        <f aca="false">G195+G197+G199+G200</f>
        <v>539.711894378745</v>
      </c>
    </row>
    <row r="202" customFormat="false" ht="15" hidden="false" customHeight="false" outlineLevel="0" collapsed="false">
      <c r="A202" s="4" t="s">
        <v>386</v>
      </c>
      <c r="B202" s="0" t="s">
        <v>209</v>
      </c>
      <c r="C202" s="20" t="n">
        <f aca="false">C196+C198+C199+C200</f>
        <v>554.885</v>
      </c>
      <c r="D202" s="20" t="n">
        <f aca="false">D196+D198+D199+D200</f>
        <v>756.4239</v>
      </c>
      <c r="E202" s="20" t="n">
        <f aca="false">E196+E198+E199+E200</f>
        <v>1125.75647984313</v>
      </c>
      <c r="F202" s="20" t="n">
        <f aca="false">F196+F198+F199+F200</f>
        <v>1377.70310629362</v>
      </c>
      <c r="G202" s="20" t="n">
        <f aca="false">G196+G198+G199+G200</f>
        <v>1533.61611270577</v>
      </c>
      <c r="H202" s="4" t="s">
        <v>512</v>
      </c>
    </row>
    <row r="203" customFormat="false" ht="17.15" hidden="false" customHeight="false" outlineLevel="0" collapsed="false">
      <c r="A203" s="4" t="s">
        <v>513</v>
      </c>
      <c r="B203" s="0" t="s">
        <v>209</v>
      </c>
      <c r="C203" s="23" t="n">
        <f aca="false">C202-a25_rev</f>
        <v>0</v>
      </c>
      <c r="D203" s="23" t="n">
        <f aca="false">D202-a26_rev</f>
        <v>0</v>
      </c>
    </row>
    <row r="204" customFormat="false" ht="15" hidden="false" customHeight="false" outlineLevel="0" collapsed="false">
      <c r="A204" s="4" t="s">
        <v>514</v>
      </c>
      <c r="B204" s="0" t="s">
        <v>53</v>
      </c>
      <c r="D204" s="15" t="n">
        <f aca="false">D202/C202-1</f>
        <v>0.363208412553953</v>
      </c>
      <c r="E204" s="15" t="n">
        <f aca="false">E202/D202-1</f>
        <v>0.488261383389835</v>
      </c>
      <c r="F204" s="15" t="n">
        <f aca="false">F202/E202-1</f>
        <v>0.223802066398581</v>
      </c>
      <c r="G204" s="15" t="n">
        <f aca="false">G202/F202-1</f>
        <v>0.113168799358807</v>
      </c>
    </row>
    <row r="205" customFormat="false" ht="17.15" hidden="false" customHeight="false" outlineLevel="0" collapsed="false">
      <c r="A205" s="0" t="s">
        <v>515</v>
      </c>
      <c r="B205" s="0" t="s">
        <v>53</v>
      </c>
      <c r="C205" s="15" t="n">
        <f aca="false">C190/C202</f>
        <v>0.18</v>
      </c>
      <c r="D205" s="15" t="n">
        <f aca="false">D190/D202</f>
        <v>0.26</v>
      </c>
      <c r="E205" s="15" t="n">
        <f aca="false">E190/E202</f>
        <v>0.397636675295596</v>
      </c>
      <c r="F205" s="15" t="n">
        <f aca="false">F190/F202</f>
        <v>0.445937581479763</v>
      </c>
      <c r="G205" s="15" t="n">
        <f aca="false">G190/G202</f>
        <v>0.457933489940328</v>
      </c>
    </row>
    <row r="206" customFormat="false" ht="17.15" hidden="false" customHeight="false" outlineLevel="0" collapsed="false">
      <c r="A206" s="0" t="s">
        <v>516</v>
      </c>
      <c r="B206" s="0" t="s">
        <v>53</v>
      </c>
      <c r="C206" s="15" t="n">
        <f aca="false">(C190+C194)/C202</f>
        <v>0.28</v>
      </c>
      <c r="D206" s="15" t="n">
        <f aca="false">(D190+D194)/D202</f>
        <v>0.385</v>
      </c>
      <c r="E206" s="15" t="n">
        <f aca="false">(E190+E194)/E202</f>
        <v>0.562072894402797</v>
      </c>
      <c r="F206" s="15" t="n">
        <f aca="false">(F190+F194)/F202</f>
        <v>0.62400293519564</v>
      </c>
      <c r="G206" s="15" t="n">
        <f aca="false">(G190+G194)/G202</f>
        <v>0.648078883687178</v>
      </c>
    </row>
    <row r="207" customFormat="false" ht="17.15" hidden="false" customHeight="false" outlineLevel="0" collapsed="false">
      <c r="A207" s="4" t="s">
        <v>462</v>
      </c>
      <c r="B207" s="0" t="s">
        <v>463</v>
      </c>
      <c r="D207" s="19" t="n">
        <f aca="false">(D190+D194)/fx/D183*1000</f>
        <v>388.927551924965</v>
      </c>
      <c r="E207" s="19" t="n">
        <f aca="false">(E190+E194)/fx/E183*1000</f>
        <v>474.794673778529</v>
      </c>
      <c r="F207" s="19" t="n">
        <f aca="false">(F190+F194)/fx/F183*1000</f>
        <v>508.888972161562</v>
      </c>
      <c r="G207" s="19" t="n">
        <f aca="false">(G190+G194)/fx/G183*1000</f>
        <v>516.465482913347</v>
      </c>
    </row>
    <row r="208" customFormat="false" ht="17.15" hidden="false" customHeight="false" outlineLevel="0" collapsed="false">
      <c r="A208" s="6" t="s">
        <v>517</v>
      </c>
    </row>
    <row r="209" customFormat="false" ht="17.15" hidden="false" customHeight="false" outlineLevel="0" collapsed="false">
      <c r="A209" s="4" t="s">
        <v>518</v>
      </c>
      <c r="B209" s="0" t="s">
        <v>53</v>
      </c>
      <c r="D209" s="15" t="n">
        <f aca="false">a26_gp/D202-d_ai*D205</f>
        <v>0.340474417690927</v>
      </c>
      <c r="H209" s="8" t="s">
        <v>519</v>
      </c>
    </row>
    <row r="210" customFormat="false" ht="15" hidden="false" customHeight="false" outlineLevel="0" collapsed="false">
      <c r="A210" s="4" t="s">
        <v>390</v>
      </c>
      <c r="B210" s="0" t="s">
        <v>209</v>
      </c>
      <c r="C210" s="20" t="n">
        <f aca="false">a25_gp</f>
        <v>190.2</v>
      </c>
      <c r="D210" s="20" t="n">
        <f aca="false">a26_gp</f>
        <v>273.276604</v>
      </c>
      <c r="E210" s="20" t="n">
        <f aca="false">$D$209*E202+d_ai*E190</f>
        <v>419.102647043363</v>
      </c>
      <c r="F210" s="20" t="n">
        <f aca="false">$D$209*F202+d_ai*F190</f>
        <v>518.22223016372</v>
      </c>
      <c r="G210" s="20" t="n">
        <f aca="false">$D$209*G202+d_ai*G190</f>
        <v>578.340587232525</v>
      </c>
    </row>
    <row r="211" customFormat="false" ht="15" hidden="false" customHeight="false" outlineLevel="0" collapsed="false">
      <c r="A211" s="4" t="s">
        <v>392</v>
      </c>
      <c r="B211" s="0" t="s">
        <v>53</v>
      </c>
      <c r="C211" s="15" t="n">
        <f aca="false">C210/C202</f>
        <v>0.342773727889563</v>
      </c>
      <c r="D211" s="15" t="n">
        <f aca="false">D210/D202</f>
        <v>0.361274417690927</v>
      </c>
      <c r="E211" s="15" t="n">
        <f aca="false">E210/E202</f>
        <v>0.372285351714575</v>
      </c>
      <c r="F211" s="15" t="n">
        <f aca="false">F210/F202</f>
        <v>0.376149424209308</v>
      </c>
      <c r="G211" s="15" t="n">
        <f aca="false">G210/G202</f>
        <v>0.377109096886153</v>
      </c>
    </row>
    <row r="212" customFormat="false" ht="15" hidden="false" customHeight="false" outlineLevel="0" collapsed="false">
      <c r="A212" s="4" t="s">
        <v>520</v>
      </c>
      <c r="B212" s="0" t="s">
        <v>209</v>
      </c>
      <c r="C212" s="20" t="n">
        <f aca="false">a25_opx</f>
        <v>106.3</v>
      </c>
      <c r="D212" s="20" t="n">
        <f aca="false">a26_opx</f>
        <v>141.924088166667</v>
      </c>
      <c r="E212" s="20" t="n">
        <f aca="false">D212*(1+MAX(0,phi*E204))</f>
        <v>197.360929466345</v>
      </c>
      <c r="F212" s="20" t="n">
        <f aca="false">E212*(1+MAX(0,phi*F204))</f>
        <v>232.696756539075</v>
      </c>
      <c r="G212" s="20" t="n">
        <f aca="false">F212*(1+MAX(0,phi*G204))</f>
        <v>253.763966580847</v>
      </c>
    </row>
    <row r="213" customFormat="false" ht="15" hidden="false" customHeight="false" outlineLevel="0" collapsed="false">
      <c r="A213" s="4" t="s">
        <v>394</v>
      </c>
      <c r="B213" s="0" t="s">
        <v>209</v>
      </c>
      <c r="C213" s="20" t="n">
        <f aca="false">C212</f>
        <v>106.3</v>
      </c>
      <c r="D213" s="20" t="n">
        <f aca="false">D212</f>
        <v>141.924088166667</v>
      </c>
      <c r="E213" s="20" t="n">
        <f aca="false">E212+0*E202</f>
        <v>197.360929466345</v>
      </c>
      <c r="F213" s="20" t="n">
        <f aca="false">F212+0*F202</f>
        <v>232.696756539075</v>
      </c>
      <c r="G213" s="20" t="n">
        <f aca="false">G212+0*G202</f>
        <v>253.763966580847</v>
      </c>
    </row>
    <row r="214" customFormat="false" ht="15" hidden="false" customHeight="false" outlineLevel="0" collapsed="false">
      <c r="A214" s="4" t="s">
        <v>396</v>
      </c>
      <c r="B214" s="0" t="s">
        <v>209</v>
      </c>
      <c r="C214" s="20" t="n">
        <f aca="false">C210-C213</f>
        <v>83.9</v>
      </c>
      <c r="D214" s="20" t="n">
        <f aca="false">D210-D213</f>
        <v>131.352515833333</v>
      </c>
      <c r="E214" s="20" t="n">
        <f aca="false">E210-E213</f>
        <v>221.741717577018</v>
      </c>
      <c r="F214" s="20" t="n">
        <f aca="false">F210-F213</f>
        <v>285.525473624646</v>
      </c>
      <c r="G214" s="20" t="n">
        <f aca="false">G210-G213</f>
        <v>324.576620651678</v>
      </c>
    </row>
    <row r="215" customFormat="false" ht="15" hidden="false" customHeight="false" outlineLevel="0" collapsed="false">
      <c r="A215" s="4" t="s">
        <v>398</v>
      </c>
      <c r="B215" s="0" t="s">
        <v>53</v>
      </c>
      <c r="C215" s="15" t="n">
        <f aca="false">C214/C202</f>
        <v>0.151202501419213</v>
      </c>
      <c r="D215" s="15" t="n">
        <f aca="false">D214/D202</f>
        <v>0.173649346396027</v>
      </c>
      <c r="E215" s="15" t="n">
        <f aca="false">E214/E202</f>
        <v>0.196971300229972</v>
      </c>
      <c r="F215" s="15" t="n">
        <f aca="false">F214/F202</f>
        <v>0.207247463056669</v>
      </c>
      <c r="G215" s="15" t="n">
        <f aca="false">G214/G202</f>
        <v>0.211641373589265</v>
      </c>
    </row>
    <row r="216" customFormat="false" ht="15" hidden="false" customHeight="false" outlineLevel="0" collapsed="false">
      <c r="A216" s="4" t="s">
        <v>400</v>
      </c>
      <c r="B216" s="0" t="s">
        <v>209</v>
      </c>
      <c r="C216" s="20" t="n">
        <f aca="false">a25_nop</f>
        <v>3.934</v>
      </c>
      <c r="D216" s="20" t="n">
        <f aca="false">a26_nop</f>
        <v>11.1666666666667</v>
      </c>
      <c r="E216" s="20" t="n">
        <f aca="false">nop_f</f>
        <v>8</v>
      </c>
      <c r="F216" s="20" t="n">
        <f aca="false">nop_f</f>
        <v>8</v>
      </c>
      <c r="G216" s="20" t="n">
        <f aca="false">nop_f</f>
        <v>8</v>
      </c>
    </row>
    <row r="217" customFormat="false" ht="17.15" hidden="false" customHeight="false" outlineLevel="0" collapsed="false">
      <c r="A217" s="4" t="s">
        <v>250</v>
      </c>
      <c r="B217" s="0" t="s">
        <v>53</v>
      </c>
      <c r="C217" s="15" t="n">
        <f aca="false">a25_ni/(a25_oi+a25_nop)</f>
        <v>0.684336361773345</v>
      </c>
      <c r="D217" s="15" t="n">
        <f aca="false">a26_ni/(a26_oi+a26_nop)</f>
        <v>0.690638510538748</v>
      </c>
      <c r="E217" s="15" t="n">
        <f aca="false">nir_f</f>
        <v>0.69</v>
      </c>
      <c r="F217" s="15" t="n">
        <f aca="false">nir_f</f>
        <v>0.69</v>
      </c>
      <c r="G217" s="15" t="n">
        <f aca="false">nir_f</f>
        <v>0.69</v>
      </c>
    </row>
    <row r="218" customFormat="false" ht="15" hidden="false" customHeight="false" outlineLevel="0" collapsed="false">
      <c r="A218" s="4" t="s">
        <v>403</v>
      </c>
      <c r="B218" s="0" t="s">
        <v>209</v>
      </c>
      <c r="C218" s="20" t="n">
        <f aca="false">a25_ni</f>
        <v>60.108</v>
      </c>
      <c r="D218" s="20" t="n">
        <f aca="false">a26_ni</f>
        <v>98.429235925</v>
      </c>
      <c r="E218" s="20" t="n">
        <f aca="false">(E214+E216)*E217</f>
        <v>158.521785128142</v>
      </c>
      <c r="F218" s="20" t="n">
        <f aca="false">(F214+F216)*F217</f>
        <v>202.532576801006</v>
      </c>
      <c r="G218" s="20" t="n">
        <f aca="false">(G214+G216)*G217</f>
        <v>229.477868249658</v>
      </c>
    </row>
    <row r="219" customFormat="false" ht="15" hidden="false" customHeight="false" outlineLevel="0" collapsed="false">
      <c r="A219" s="4" t="s">
        <v>521</v>
      </c>
      <c r="B219" s="4" t="s">
        <v>234</v>
      </c>
      <c r="C219" s="23" t="n">
        <f aca="false">a25_sh</f>
        <v>2.59757994814175</v>
      </c>
      <c r="D219" s="23" t="n">
        <f aca="false">a26_sh</f>
        <v>2.59806708357021</v>
      </c>
      <c r="E219" s="23" t="n">
        <f aca="false">D219*(1+sh_g)</f>
        <v>2.59806708357021</v>
      </c>
      <c r="F219" s="23" t="n">
        <f aca="false">E219*(1+sh_g)</f>
        <v>2.59806708357021</v>
      </c>
      <c r="G219" s="23" t="n">
        <f aca="false">F219*(1+sh_g)</f>
        <v>2.59806708357021</v>
      </c>
    </row>
    <row r="220" customFormat="false" ht="15" hidden="false" customHeight="false" outlineLevel="0" collapsed="false">
      <c r="A220" s="0" t="s">
        <v>408</v>
      </c>
      <c r="B220" s="0" t="s">
        <v>265</v>
      </c>
      <c r="C220" s="21" t="n">
        <f aca="false">C218/C219</f>
        <v>23.14</v>
      </c>
      <c r="D220" s="21" t="n">
        <f aca="false">D218/D219</f>
        <v>37.8855636744147</v>
      </c>
      <c r="E220" s="21" t="n">
        <f aca="false">E218/E219</f>
        <v>61.0152779081844</v>
      </c>
      <c r="F220" s="21" t="n">
        <f aca="false">F218/F219</f>
        <v>77.9550990356605</v>
      </c>
      <c r="G220" s="21" t="n">
        <f aca="false">G218/G219</f>
        <v>88.3263829871221</v>
      </c>
    </row>
    <row r="221" customFormat="false" ht="17.15" hidden="false" customHeight="false" outlineLevel="0" collapsed="false">
      <c r="A221" s="0" t="s">
        <v>522</v>
      </c>
      <c r="B221" s="0" t="s">
        <v>53</v>
      </c>
      <c r="D221" s="15" t="n">
        <f aca="false">D220/C220-1</f>
        <v>0.637232656629847</v>
      </c>
      <c r="E221" s="15" t="n">
        <f aca="false">E220/D220-1</f>
        <v>0.61051524619099</v>
      </c>
      <c r="F221" s="15" t="n">
        <f aca="false">F220/E220-1</f>
        <v>0.277632450563729</v>
      </c>
      <c r="G221" s="15" t="n">
        <f aca="false">G220/F220-1</f>
        <v>0.133041764807677</v>
      </c>
    </row>
    <row r="224" customFormat="false" ht="17.15" hidden="false" customHeight="false" outlineLevel="0" collapsed="false">
      <c r="A224" s="1" t="s">
        <v>863</v>
      </c>
    </row>
    <row r="225" customFormat="false" ht="17.15" hidden="false" customHeight="false" outlineLevel="0" collapsed="false">
      <c r="A225" s="5" t="s">
        <v>22</v>
      </c>
      <c r="B225" s="5" t="s">
        <v>23</v>
      </c>
      <c r="C225" s="12" t="s">
        <v>380</v>
      </c>
      <c r="D225" s="12" t="s">
        <v>468</v>
      </c>
      <c r="E225" s="12" t="s">
        <v>469</v>
      </c>
      <c r="F225" s="12" t="s">
        <v>470</v>
      </c>
      <c r="G225" s="12" t="s">
        <v>471</v>
      </c>
      <c r="H225" s="5" t="s">
        <v>365</v>
      </c>
    </row>
    <row r="226" customFormat="false" ht="17.15" hidden="false" customHeight="false" outlineLevel="0" collapsed="false">
      <c r="A226" s="6" t="s">
        <v>490</v>
      </c>
    </row>
    <row r="227" customFormat="false" ht="17.15" hidden="false" customHeight="false" outlineLevel="0" collapsed="false">
      <c r="A227" s="0" t="s">
        <v>491</v>
      </c>
      <c r="B227" s="0" t="s">
        <v>33</v>
      </c>
      <c r="D227" s="21" t="n">
        <f aca="false">itc_26*1</f>
        <v>781.872916666666</v>
      </c>
      <c r="E227" s="21" t="n">
        <f aca="false">itc_27*1*1</f>
        <v>1565.35</v>
      </c>
      <c r="F227" s="21" t="n">
        <f aca="false">itc_28*um28_A*1</f>
        <v>1984.26388888889</v>
      </c>
      <c r="G227" s="21" t="n">
        <f aca="false">itc_29*um29_A*1</f>
        <v>2260.39027777778</v>
      </c>
    </row>
    <row r="228" customFormat="false" ht="17.15" hidden="false" customHeight="false" outlineLevel="0" collapsed="false">
      <c r="A228" s="4" t="s">
        <v>492</v>
      </c>
      <c r="B228" s="0" t="s">
        <v>33</v>
      </c>
      <c r="D228" s="21" t="n">
        <f aca="false">itpg_gb*(1-vr26)+itpg_vr*vr26</f>
        <v>33.41403216</v>
      </c>
      <c r="E228" s="21" t="n">
        <f aca="false">itpg_vr</f>
        <v>37.586352</v>
      </c>
      <c r="F228" s="21" t="n">
        <f aca="false">itpg_vr</f>
        <v>37.586352</v>
      </c>
      <c r="G228" s="21" t="n">
        <f aca="false">itpg_vr</f>
        <v>37.586352</v>
      </c>
    </row>
    <row r="229" customFormat="false" ht="17.15" hidden="false" customHeight="false" outlineLevel="0" collapsed="false">
      <c r="A229" s="4" t="s">
        <v>493</v>
      </c>
      <c r="B229" s="0" t="s">
        <v>446</v>
      </c>
      <c r="D229" s="18" t="n">
        <f aca="false">D227/D228</f>
        <v>23.3995380420639</v>
      </c>
      <c r="E229" s="18" t="n">
        <f aca="false">E227/E228</f>
        <v>41.6467658260637</v>
      </c>
      <c r="F229" s="18" t="n">
        <f aca="false">F227/F228</f>
        <v>52.792138191248</v>
      </c>
      <c r="G229" s="18" t="n">
        <f aca="false">G227/G228</f>
        <v>60.1385917361116</v>
      </c>
    </row>
    <row r="230" customFormat="false" ht="17.15" hidden="false" customHeight="false" outlineLevel="0" collapsed="false">
      <c r="A230" s="0" t="s">
        <v>448</v>
      </c>
      <c r="B230" s="0" t="s">
        <v>96</v>
      </c>
      <c r="D230" s="19" t="n">
        <f aca="false">pkw_26</f>
        <v>450</v>
      </c>
      <c r="E230" s="19" t="n">
        <f aca="false">pkw_27</f>
        <v>600</v>
      </c>
      <c r="F230" s="19" t="n">
        <f aca="false">pkw_28</f>
        <v>680</v>
      </c>
      <c r="G230" s="19" t="n">
        <f aca="false">pkw_29</f>
        <v>720</v>
      </c>
    </row>
    <row r="231" customFormat="false" ht="17.15" hidden="false" customHeight="false" outlineLevel="0" collapsed="false">
      <c r="A231" s="0" t="s">
        <v>494</v>
      </c>
      <c r="B231" s="0" t="s">
        <v>33</v>
      </c>
      <c r="D231" s="21" t="n">
        <f aca="false">D229*D230/1000</f>
        <v>10.5297921189287</v>
      </c>
      <c r="E231" s="21" t="n">
        <f aca="false">E229*E230/1000</f>
        <v>24.9880594956382</v>
      </c>
      <c r="F231" s="21" t="n">
        <f aca="false">F229*F230/1000</f>
        <v>35.8986539700486</v>
      </c>
      <c r="G231" s="21" t="n">
        <f aca="false">G229*G230/1000</f>
        <v>43.2997860500003</v>
      </c>
    </row>
    <row r="232" customFormat="false" ht="17.15" hidden="false" customHeight="false" outlineLevel="0" collapsed="false">
      <c r="A232" s="0" t="s">
        <v>495</v>
      </c>
      <c r="B232" s="0" t="s">
        <v>209</v>
      </c>
      <c r="D232" s="20" t="n">
        <f aca="false">D231*fx</f>
        <v>336.95334780572</v>
      </c>
      <c r="E232" s="20" t="n">
        <f aca="false">E231*fx</f>
        <v>799.617903860422</v>
      </c>
      <c r="F232" s="20" t="n">
        <f aca="false">F231*fx</f>
        <v>1148.75692704156</v>
      </c>
      <c r="G232" s="20" t="n">
        <f aca="false">G231*fx</f>
        <v>1385.59315360001</v>
      </c>
    </row>
    <row r="233" customFormat="false" ht="17.15" hidden="false" customHeight="false" outlineLevel="0" collapsed="false">
      <c r="A233" s="4" t="s">
        <v>496</v>
      </c>
      <c r="B233" s="0" t="s">
        <v>53</v>
      </c>
      <c r="D233" s="15" t="n">
        <f aca="false">a26_aip/D232</f>
        <v>0.583671939396773</v>
      </c>
      <c r="H233" s="8" t="s">
        <v>497</v>
      </c>
    </row>
    <row r="234" customFormat="false" ht="17.15" hidden="false" customHeight="false" outlineLevel="0" collapsed="false">
      <c r="A234" s="4" t="s">
        <v>498</v>
      </c>
      <c r="B234" s="0" t="s">
        <v>69</v>
      </c>
      <c r="D234" s="16" t="n">
        <f aca="false">1</f>
        <v>1</v>
      </c>
      <c r="E234" s="16" t="n">
        <f aca="false">rel_27</f>
        <v>0.95</v>
      </c>
      <c r="F234" s="16" t="n">
        <f aca="false">rel_28</f>
        <v>0.9</v>
      </c>
      <c r="G234" s="16" t="n">
        <f aca="false">rel_29</f>
        <v>0.85</v>
      </c>
    </row>
    <row r="235" customFormat="false" ht="15" hidden="false" customHeight="false" outlineLevel="0" collapsed="false">
      <c r="A235" s="4" t="s">
        <v>455</v>
      </c>
      <c r="B235" s="0" t="s">
        <v>53</v>
      </c>
      <c r="D235" s="15" t="n">
        <f aca="false">$D$233*D234</f>
        <v>0.583671939396773</v>
      </c>
      <c r="E235" s="15" t="n">
        <f aca="false">$D$233*E234</f>
        <v>0.554488342426935</v>
      </c>
      <c r="F235" s="15" t="n">
        <f aca="false">$D$233*F234</f>
        <v>0.525304745457096</v>
      </c>
      <c r="G235" s="15" t="n">
        <f aca="false">$D$233*G234</f>
        <v>0.496121148487257</v>
      </c>
    </row>
    <row r="236" customFormat="false" ht="17.15" hidden="false" customHeight="false" outlineLevel="0" collapsed="false">
      <c r="A236" s="0" t="s">
        <v>499</v>
      </c>
      <c r="B236" s="0" t="s">
        <v>209</v>
      </c>
      <c r="C236" s="20" t="n">
        <f aca="false">a25_aip</f>
        <v>99.8793</v>
      </c>
      <c r="D236" s="20" t="n">
        <f aca="false">D232*D235</f>
        <v>196.670214</v>
      </c>
      <c r="E236" s="20" t="n">
        <f aca="false">E232*E235</f>
        <v>443.378806086466</v>
      </c>
      <c r="F236" s="20" t="n">
        <f aca="false">F232*F235</f>
        <v>603.447465151641</v>
      </c>
      <c r="G236" s="20" t="n">
        <f aca="false">G232*G235</f>
        <v>687.422066700118</v>
      </c>
    </row>
    <row r="237" customFormat="false" ht="17.15" hidden="false" customHeight="false" outlineLevel="0" collapsed="false">
      <c r="A237" s="6" t="s">
        <v>500</v>
      </c>
    </row>
    <row r="238" customFormat="false" ht="17.15" hidden="false" customHeight="false" outlineLevel="0" collapsed="false">
      <c r="A238" s="4" t="s">
        <v>501</v>
      </c>
      <c r="B238" s="0" t="s">
        <v>502</v>
      </c>
      <c r="D238" s="23" t="n">
        <f aca="false">a26_lc/D229</f>
        <v>4.04080573428535</v>
      </c>
    </row>
    <row r="239" customFormat="false" ht="17.15" hidden="false" customHeight="false" outlineLevel="0" collapsed="false">
      <c r="A239" s="4" t="s">
        <v>503</v>
      </c>
      <c r="B239" s="0" t="s">
        <v>69</v>
      </c>
      <c r="D239" s="16" t="n">
        <f aca="false">1</f>
        <v>1</v>
      </c>
      <c r="E239" s="16" t="n">
        <f aca="false">LCLO_27</f>
        <v>0.9</v>
      </c>
      <c r="F239" s="16" t="n">
        <f aca="false">LCLO_28</f>
        <v>0.85</v>
      </c>
      <c r="G239" s="16" t="n">
        <f aca="false">LCLO_29</f>
        <v>0.8</v>
      </c>
    </row>
    <row r="240" customFormat="false" ht="15" hidden="false" customHeight="false" outlineLevel="0" collapsed="false">
      <c r="A240" s="4" t="s">
        <v>504</v>
      </c>
      <c r="B240" s="0" t="s">
        <v>209</v>
      </c>
      <c r="C240" s="20" t="n">
        <f aca="false">a25_lc</f>
        <v>55.4885</v>
      </c>
      <c r="D240" s="20" t="n">
        <f aca="false">D229*$D$238*D239</f>
        <v>94.5529875</v>
      </c>
      <c r="E240" s="20" t="n">
        <f aca="false">E229*$D$238*E239</f>
        <v>151.457841147958</v>
      </c>
      <c r="F240" s="20" t="n">
        <f aca="false">F229*$D$238*F239</f>
        <v>181.324358519123</v>
      </c>
      <c r="G240" s="20" t="n">
        <f aca="false">G229*$D$238*G239</f>
        <v>194.4066930713</v>
      </c>
    </row>
    <row r="241" customFormat="false" ht="17.15" hidden="false" customHeight="false" outlineLevel="0" collapsed="false">
      <c r="A241" s="4" t="s">
        <v>505</v>
      </c>
      <c r="B241" s="0" t="s">
        <v>209</v>
      </c>
      <c r="C241" s="20" t="n">
        <f aca="false">a25_pe-a25_aip</f>
        <v>177.5632</v>
      </c>
      <c r="D241" s="20" t="n">
        <f aca="false">a26_pe-a26_aip</f>
        <v>189.105975</v>
      </c>
      <c r="E241" s="20" t="n">
        <f aca="false">D241*(1+g_pe27)</f>
        <v>198.56127375</v>
      </c>
      <c r="F241" s="20" t="n">
        <f aca="false">E241*(1+g_pe28)</f>
        <v>206.5037247</v>
      </c>
      <c r="G241" s="20" t="n">
        <f aca="false">F241*(1+g_pe29)</f>
        <v>212.698836441</v>
      </c>
      <c r="H241" s="8" t="s">
        <v>506</v>
      </c>
    </row>
    <row r="242" customFormat="false" ht="17.15" hidden="false" customHeight="false" outlineLevel="0" collapsed="false">
      <c r="A242" s="4" t="s">
        <v>431</v>
      </c>
      <c r="B242" s="0" t="s">
        <v>209</v>
      </c>
      <c r="C242" s="20" t="n">
        <f aca="false">C236+C241</f>
        <v>277.4425</v>
      </c>
      <c r="D242" s="20" t="n">
        <f aca="false">D236+D241</f>
        <v>385.776189</v>
      </c>
      <c r="E242" s="20" t="n">
        <f aca="false">E236+E241</f>
        <v>641.940079836466</v>
      </c>
      <c r="F242" s="20" t="n">
        <f aca="false">F236+F241</f>
        <v>809.951189851641</v>
      </c>
      <c r="G242" s="20" t="n">
        <f aca="false">G236+G241</f>
        <v>900.120903141117</v>
      </c>
      <c r="H242" s="4" t="s">
        <v>507</v>
      </c>
    </row>
    <row r="243" customFormat="false" ht="17.15" hidden="false" customHeight="false" outlineLevel="0" collapsed="false">
      <c r="A243" s="4" t="s">
        <v>508</v>
      </c>
      <c r="B243" s="0" t="s">
        <v>209</v>
      </c>
      <c r="C243" s="20" t="n">
        <f aca="false">a25_inf-a25_lc</f>
        <v>127.62355</v>
      </c>
      <c r="D243" s="20" t="n">
        <f aca="false">a26_inf-a26_lc</f>
        <v>170.1953775</v>
      </c>
      <c r="E243" s="20" t="n">
        <f aca="false">D243*(1+g_inf27)</f>
        <v>185.512961475</v>
      </c>
      <c r="F243" s="20" t="n">
        <f aca="false">E243*(1+g_inf28)</f>
        <v>198.49886877825</v>
      </c>
      <c r="G243" s="20" t="n">
        <f aca="false">F243*(1+g_inf29)</f>
        <v>210.408800904945</v>
      </c>
      <c r="H243" s="4" t="s">
        <v>509</v>
      </c>
    </row>
    <row r="244" customFormat="false" ht="15" hidden="false" customHeight="false" outlineLevel="0" collapsed="false">
      <c r="A244" s="4" t="s">
        <v>437</v>
      </c>
      <c r="B244" s="0" t="s">
        <v>209</v>
      </c>
      <c r="C244" s="20" t="n">
        <f aca="false">C240+C243</f>
        <v>183.11205</v>
      </c>
      <c r="D244" s="20" t="n">
        <f aca="false">D240+D243</f>
        <v>264.748365</v>
      </c>
      <c r="E244" s="20" t="n">
        <f aca="false">E240+E243</f>
        <v>336.970802622958</v>
      </c>
      <c r="F244" s="20" t="n">
        <f aca="false">F240+F243</f>
        <v>379.823227297373</v>
      </c>
      <c r="G244" s="20" t="n">
        <f aca="false">G240+G243</f>
        <v>404.815493976245</v>
      </c>
      <c r="H244" s="4" t="s">
        <v>510</v>
      </c>
    </row>
    <row r="245" customFormat="false" ht="15" hidden="false" customHeight="false" outlineLevel="0" collapsed="false">
      <c r="A245" s="4" t="s">
        <v>436</v>
      </c>
      <c r="B245" s="0" t="s">
        <v>209</v>
      </c>
      <c r="C245" s="20" t="n">
        <f aca="false">a25_au</f>
        <v>55.4885</v>
      </c>
      <c r="D245" s="20" t="n">
        <f aca="false">a26_au</f>
        <v>60.513912</v>
      </c>
      <c r="E245" s="20" t="n">
        <f aca="false">D245*(1+g_au27)</f>
        <v>63.5396076</v>
      </c>
      <c r="F245" s="20" t="n">
        <f aca="false">E245*(1+g_au28)</f>
        <v>66.71658798</v>
      </c>
      <c r="G245" s="20" t="n">
        <f aca="false">F245*(1+g_au29)</f>
        <v>69.3852514992</v>
      </c>
    </row>
    <row r="246" customFormat="false" ht="15" hidden="false" customHeight="false" outlineLevel="0" collapsed="false">
      <c r="A246" s="4" t="s">
        <v>435</v>
      </c>
      <c r="B246" s="0" t="s">
        <v>209</v>
      </c>
      <c r="C246" s="20" t="n">
        <f aca="false">a25_mo</f>
        <v>38.84195</v>
      </c>
      <c r="D246" s="20" t="n">
        <f aca="false">a26_mo</f>
        <v>45.385434</v>
      </c>
      <c r="E246" s="20" t="n">
        <f aca="false">D246*(1+g_mo27)</f>
        <v>45.385434</v>
      </c>
      <c r="F246" s="20" t="n">
        <f aca="false">E246*(1+g_mo28)</f>
        <v>46.29314268</v>
      </c>
      <c r="G246" s="20" t="n">
        <f aca="false">F246*(1+g_mo29)</f>
        <v>47.2190055336</v>
      </c>
    </row>
    <row r="247" customFormat="false" ht="17.15" hidden="false" customHeight="false" outlineLevel="0" collapsed="false">
      <c r="A247" s="4" t="s">
        <v>511</v>
      </c>
      <c r="B247" s="0" t="s">
        <v>209</v>
      </c>
      <c r="C247" s="20" t="n">
        <f aca="false">C241+C243+C245+C246</f>
        <v>399.5172</v>
      </c>
      <c r="D247" s="20" t="n">
        <f aca="false">D241+D243+D245+D246</f>
        <v>465.2006985</v>
      </c>
      <c r="E247" s="20" t="n">
        <f aca="false">E241+E243+E245+E246</f>
        <v>492.999276825</v>
      </c>
      <c r="F247" s="20" t="n">
        <f aca="false">F241+F243+F245+F246</f>
        <v>518.01232413825</v>
      </c>
      <c r="G247" s="20" t="n">
        <f aca="false">G241+G243+G245+G246</f>
        <v>539.711894378745</v>
      </c>
    </row>
    <row r="248" customFormat="false" ht="15" hidden="false" customHeight="false" outlineLevel="0" collapsed="false">
      <c r="A248" s="4" t="s">
        <v>386</v>
      </c>
      <c r="B248" s="0" t="s">
        <v>209</v>
      </c>
      <c r="C248" s="20" t="n">
        <f aca="false">C242+C244+C245+C246</f>
        <v>554.885</v>
      </c>
      <c r="D248" s="20" t="n">
        <f aca="false">D242+D244+D245+D246</f>
        <v>756.4239</v>
      </c>
      <c r="E248" s="20" t="n">
        <f aca="false">E242+E244+E245+E246</f>
        <v>1087.83592405942</v>
      </c>
      <c r="F248" s="20" t="n">
        <f aca="false">F242+F244+F245+F246</f>
        <v>1302.78414780901</v>
      </c>
      <c r="G248" s="20" t="n">
        <f aca="false">G242+G244+G245+G246</f>
        <v>1421.54065415016</v>
      </c>
      <c r="H248" s="4" t="s">
        <v>512</v>
      </c>
    </row>
    <row r="249" customFormat="false" ht="17.15" hidden="false" customHeight="false" outlineLevel="0" collapsed="false">
      <c r="A249" s="4" t="s">
        <v>513</v>
      </c>
      <c r="B249" s="0" t="s">
        <v>209</v>
      </c>
      <c r="C249" s="23" t="n">
        <f aca="false">C248-a25_rev</f>
        <v>0</v>
      </c>
      <c r="D249" s="23" t="n">
        <f aca="false">D248-a26_rev</f>
        <v>0</v>
      </c>
    </row>
    <row r="250" customFormat="false" ht="15" hidden="false" customHeight="false" outlineLevel="0" collapsed="false">
      <c r="A250" s="4" t="s">
        <v>514</v>
      </c>
      <c r="B250" s="0" t="s">
        <v>53</v>
      </c>
      <c r="D250" s="15" t="n">
        <f aca="false">D248/C248-1</f>
        <v>0.363208412553953</v>
      </c>
      <c r="E250" s="15" t="n">
        <f aca="false">E248/D248-1</f>
        <v>0.438130027434912</v>
      </c>
      <c r="F250" s="15" t="n">
        <f aca="false">F248/E248-1</f>
        <v>0.197592503607969</v>
      </c>
      <c r="G250" s="15" t="n">
        <f aca="false">G248/F248-1</f>
        <v>0.0911559344200428</v>
      </c>
    </row>
    <row r="251" customFormat="false" ht="17.15" hidden="false" customHeight="false" outlineLevel="0" collapsed="false">
      <c r="A251" s="0" t="s">
        <v>515</v>
      </c>
      <c r="B251" s="0" t="s">
        <v>53</v>
      </c>
      <c r="C251" s="15" t="n">
        <f aca="false">C236/C248</f>
        <v>0.18</v>
      </c>
      <c r="D251" s="15" t="n">
        <f aca="false">D236/D248</f>
        <v>0.26</v>
      </c>
      <c r="E251" s="15" t="n">
        <f aca="false">E236/E248</f>
        <v>0.407578749957007</v>
      </c>
      <c r="F251" s="15" t="n">
        <f aca="false">F236/F248</f>
        <v>0.463198348065949</v>
      </c>
      <c r="G251" s="15" t="n">
        <f aca="false">G236/G248</f>
        <v>0.483575383295019</v>
      </c>
    </row>
    <row r="252" customFormat="false" ht="17.15" hidden="false" customHeight="false" outlineLevel="0" collapsed="false">
      <c r="A252" s="0" t="s">
        <v>516</v>
      </c>
      <c r="B252" s="0" t="s">
        <v>53</v>
      </c>
      <c r="C252" s="15" t="n">
        <f aca="false">(C236+C240)/C248</f>
        <v>0.28</v>
      </c>
      <c r="D252" s="15" t="n">
        <f aca="false">(D236+D240)/D248</f>
        <v>0.385</v>
      </c>
      <c r="E252" s="15" t="n">
        <f aca="false">(E236+E240)/E248</f>
        <v>0.546807320919042</v>
      </c>
      <c r="F252" s="15" t="n">
        <f aca="false">(F236+F240)/F248</f>
        <v>0.602380543999227</v>
      </c>
      <c r="G252" s="15" t="n">
        <f aca="false">(G236+G240)/G248</f>
        <v>0.620333127439538</v>
      </c>
    </row>
    <row r="253" customFormat="false" ht="17.15" hidden="false" customHeight="false" outlineLevel="0" collapsed="false">
      <c r="A253" s="4" t="s">
        <v>462</v>
      </c>
      <c r="B253" s="0" t="s">
        <v>463</v>
      </c>
      <c r="D253" s="19" t="n">
        <f aca="false">(D236+D240)/fx/D229*1000</f>
        <v>388.927551924965</v>
      </c>
      <c r="E253" s="19" t="n">
        <f aca="false">(E236+E240)/fx/E229*1000</f>
        <v>446.340666732936</v>
      </c>
      <c r="F253" s="19" t="n">
        <f aca="false">(F236+F240)/fx/F229*1000</f>
        <v>464.54112922778</v>
      </c>
      <c r="G253" s="19" t="n">
        <f aca="false">(G236+G240)/fx/G229*1000</f>
        <v>458.227370267959</v>
      </c>
    </row>
    <row r="254" customFormat="false" ht="17.15" hidden="false" customHeight="false" outlineLevel="0" collapsed="false">
      <c r="A254" s="6" t="s">
        <v>517</v>
      </c>
    </row>
    <row r="255" customFormat="false" ht="17.15" hidden="false" customHeight="false" outlineLevel="0" collapsed="false">
      <c r="A255" s="4" t="s">
        <v>518</v>
      </c>
      <c r="B255" s="0" t="s">
        <v>53</v>
      </c>
      <c r="D255" s="15" t="n">
        <f aca="false">a26_gp/D248-d_ai*D251</f>
        <v>0.340474417690927</v>
      </c>
      <c r="H255" s="8" t="s">
        <v>519</v>
      </c>
    </row>
    <row r="256" customFormat="false" ht="15" hidden="false" customHeight="false" outlineLevel="0" collapsed="false">
      <c r="A256" s="4" t="s">
        <v>390</v>
      </c>
      <c r="B256" s="0" t="s">
        <v>209</v>
      </c>
      <c r="C256" s="20" t="n">
        <f aca="false">a25_gp</f>
        <v>190.2</v>
      </c>
      <c r="D256" s="20" t="n">
        <f aca="false">a26_gp</f>
        <v>273.276604</v>
      </c>
      <c r="E256" s="20" t="n">
        <f aca="false">$D$255*E248+d_ai*E236</f>
        <v>405.850607274321</v>
      </c>
      <c r="F256" s="20" t="n">
        <f aca="false">$D$255*F248+d_ai*F236</f>
        <v>491.840471314376</v>
      </c>
      <c r="G256" s="20" t="n">
        <f aca="false">$D$255*G248+d_ai*G236</f>
        <v>538.991991781766</v>
      </c>
    </row>
    <row r="257" customFormat="false" ht="15" hidden="false" customHeight="false" outlineLevel="0" collapsed="false">
      <c r="A257" s="4" t="s">
        <v>392</v>
      </c>
      <c r="B257" s="0" t="s">
        <v>53</v>
      </c>
      <c r="C257" s="15" t="n">
        <f aca="false">C256/C248</f>
        <v>0.342773727889563</v>
      </c>
      <c r="D257" s="15" t="n">
        <f aca="false">D256/D248</f>
        <v>0.361274417690927</v>
      </c>
      <c r="E257" s="15" t="n">
        <f aca="false">E256/E248</f>
        <v>0.373080717687488</v>
      </c>
      <c r="F257" s="15" t="n">
        <f aca="false">F256/F248</f>
        <v>0.377530285536203</v>
      </c>
      <c r="G257" s="15" t="n">
        <f aca="false">G256/G248</f>
        <v>0.379160448354529</v>
      </c>
    </row>
    <row r="258" customFormat="false" ht="15" hidden="false" customHeight="false" outlineLevel="0" collapsed="false">
      <c r="A258" s="4" t="s">
        <v>520</v>
      </c>
      <c r="B258" s="0" t="s">
        <v>209</v>
      </c>
      <c r="C258" s="20" t="n">
        <f aca="false">a25_opx</f>
        <v>106.3</v>
      </c>
      <c r="D258" s="20" t="n">
        <f aca="false">a26_opx</f>
        <v>141.924088166667</v>
      </c>
      <c r="E258" s="20" t="n">
        <f aca="false">D258*(1+MAX(0,phi*E250))</f>
        <v>191.669051880376</v>
      </c>
      <c r="F258" s="20" t="n">
        <f aca="false">E258*(1+MAX(0,phi*F250))</f>
        <v>221.966946140543</v>
      </c>
      <c r="G258" s="20" t="n">
        <f aca="false">F258*(1+MAX(0,phi*G250))</f>
        <v>238.153829649187</v>
      </c>
    </row>
    <row r="259" customFormat="false" ht="15" hidden="false" customHeight="false" outlineLevel="0" collapsed="false">
      <c r="A259" s="4" t="s">
        <v>394</v>
      </c>
      <c r="B259" s="0" t="s">
        <v>209</v>
      </c>
      <c r="C259" s="20" t="n">
        <f aca="false">C258</f>
        <v>106.3</v>
      </c>
      <c r="D259" s="20" t="n">
        <f aca="false">D258</f>
        <v>141.924088166667</v>
      </c>
      <c r="E259" s="20" t="n">
        <f aca="false">E258+0*E248</f>
        <v>191.669051880376</v>
      </c>
      <c r="F259" s="20" t="n">
        <f aca="false">F258+0*F248</f>
        <v>221.966946140543</v>
      </c>
      <c r="G259" s="20" t="n">
        <f aca="false">G258+0*G248</f>
        <v>238.153829649187</v>
      </c>
    </row>
    <row r="260" customFormat="false" ht="15" hidden="false" customHeight="false" outlineLevel="0" collapsed="false">
      <c r="A260" s="4" t="s">
        <v>396</v>
      </c>
      <c r="B260" s="0" t="s">
        <v>209</v>
      </c>
      <c r="C260" s="20" t="n">
        <f aca="false">C256-C259</f>
        <v>83.9</v>
      </c>
      <c r="D260" s="20" t="n">
        <f aca="false">D256-D259</f>
        <v>131.352515833333</v>
      </c>
      <c r="E260" s="20" t="n">
        <f aca="false">E256-E259</f>
        <v>214.181555393945</v>
      </c>
      <c r="F260" s="20" t="n">
        <f aca="false">F256-F259</f>
        <v>269.873525173832</v>
      </c>
      <c r="G260" s="20" t="n">
        <f aca="false">G256-G259</f>
        <v>300.838162132579</v>
      </c>
    </row>
    <row r="261" customFormat="false" ht="15" hidden="false" customHeight="false" outlineLevel="0" collapsed="false">
      <c r="A261" s="4" t="s">
        <v>398</v>
      </c>
      <c r="B261" s="0" t="s">
        <v>53</v>
      </c>
      <c r="C261" s="15" t="n">
        <f aca="false">C260/C248</f>
        <v>0.151202501419213</v>
      </c>
      <c r="D261" s="15" t="n">
        <f aca="false">D260/D248</f>
        <v>0.173649346396027</v>
      </c>
      <c r="E261" s="15" t="n">
        <f aca="false">E260/E248</f>
        <v>0.196887738910749</v>
      </c>
      <c r="F261" s="15" t="n">
        <f aca="false">F260/F248</f>
        <v>0.20715137317851</v>
      </c>
      <c r="G261" s="15" t="n">
        <f aca="false">G260/G248</f>
        <v>0.21162825083777</v>
      </c>
    </row>
    <row r="262" customFormat="false" ht="15" hidden="false" customHeight="false" outlineLevel="0" collapsed="false">
      <c r="A262" s="4" t="s">
        <v>400</v>
      </c>
      <c r="B262" s="0" t="s">
        <v>209</v>
      </c>
      <c r="C262" s="20" t="n">
        <f aca="false">a25_nop</f>
        <v>3.934</v>
      </c>
      <c r="D262" s="20" t="n">
        <f aca="false">a26_nop</f>
        <v>11.1666666666667</v>
      </c>
      <c r="E262" s="20" t="n">
        <f aca="false">nop_f</f>
        <v>8</v>
      </c>
      <c r="F262" s="20" t="n">
        <f aca="false">nop_f</f>
        <v>8</v>
      </c>
      <c r="G262" s="20" t="n">
        <f aca="false">nop_f</f>
        <v>8</v>
      </c>
    </row>
    <row r="263" customFormat="false" ht="17.15" hidden="false" customHeight="false" outlineLevel="0" collapsed="false">
      <c r="A263" s="4" t="s">
        <v>250</v>
      </c>
      <c r="B263" s="0" t="s">
        <v>53</v>
      </c>
      <c r="C263" s="15" t="n">
        <f aca="false">a25_ni/(a25_oi+a25_nop)</f>
        <v>0.684336361773345</v>
      </c>
      <c r="D263" s="15" t="n">
        <f aca="false">a26_ni/(a26_oi+a26_nop)</f>
        <v>0.690638510538748</v>
      </c>
      <c r="E263" s="15" t="n">
        <f aca="false">nir_f</f>
        <v>0.69</v>
      </c>
      <c r="F263" s="15" t="n">
        <f aca="false">nir_f</f>
        <v>0.69</v>
      </c>
      <c r="G263" s="15" t="n">
        <f aca="false">nir_f</f>
        <v>0.69</v>
      </c>
    </row>
    <row r="264" customFormat="false" ht="15" hidden="false" customHeight="false" outlineLevel="0" collapsed="false">
      <c r="A264" s="4" t="s">
        <v>403</v>
      </c>
      <c r="B264" s="0" t="s">
        <v>209</v>
      </c>
      <c r="C264" s="20" t="n">
        <f aca="false">a25_ni</f>
        <v>60.108</v>
      </c>
      <c r="D264" s="20" t="n">
        <f aca="false">a26_ni</f>
        <v>98.429235925</v>
      </c>
      <c r="E264" s="20" t="n">
        <f aca="false">(E260+E262)*E263</f>
        <v>153.305273221822</v>
      </c>
      <c r="F264" s="20" t="n">
        <f aca="false">(F260+F262)*F263</f>
        <v>191.732732369944</v>
      </c>
      <c r="G264" s="20" t="n">
        <f aca="false">(G260+G262)*G263</f>
        <v>213.098331871479</v>
      </c>
    </row>
    <row r="265" customFormat="false" ht="15" hidden="false" customHeight="false" outlineLevel="0" collapsed="false">
      <c r="A265" s="4" t="s">
        <v>521</v>
      </c>
      <c r="B265" s="4" t="s">
        <v>234</v>
      </c>
      <c r="C265" s="23" t="n">
        <f aca="false">a25_sh</f>
        <v>2.59757994814175</v>
      </c>
      <c r="D265" s="23" t="n">
        <f aca="false">a26_sh</f>
        <v>2.59806708357021</v>
      </c>
      <c r="E265" s="23" t="n">
        <f aca="false">D265*(1+sh_g)</f>
        <v>2.59806708357021</v>
      </c>
      <c r="F265" s="23" t="n">
        <f aca="false">E265*(1+sh_g)</f>
        <v>2.59806708357021</v>
      </c>
      <c r="G265" s="23" t="n">
        <f aca="false">F265*(1+sh_g)</f>
        <v>2.59806708357021</v>
      </c>
    </row>
    <row r="266" customFormat="false" ht="15" hidden="false" customHeight="false" outlineLevel="0" collapsed="false">
      <c r="A266" s="0" t="s">
        <v>408</v>
      </c>
      <c r="B266" s="0" t="s">
        <v>265</v>
      </c>
      <c r="C266" s="21" t="n">
        <f aca="false">C264/C265</f>
        <v>23.14</v>
      </c>
      <c r="D266" s="21" t="n">
        <f aca="false">D264/D265</f>
        <v>37.8855636744147</v>
      </c>
      <c r="E266" s="21" t="n">
        <f aca="false">E264/E265</f>
        <v>59.0074344851608</v>
      </c>
      <c r="F266" s="21" t="n">
        <f aca="false">F264/F265</f>
        <v>73.7982223717138</v>
      </c>
      <c r="G266" s="21" t="n">
        <f aca="false">G264/G265</f>
        <v>82.0218743461558</v>
      </c>
    </row>
    <row r="267" customFormat="false" ht="17.15" hidden="false" customHeight="false" outlineLevel="0" collapsed="false">
      <c r="A267" s="0" t="s">
        <v>522</v>
      </c>
      <c r="B267" s="0" t="s">
        <v>53</v>
      </c>
      <c r="D267" s="15" t="n">
        <f aca="false">D266/C266-1</f>
        <v>0.637232656629847</v>
      </c>
      <c r="E267" s="15" t="n">
        <f aca="false">E266/D266-1</f>
        <v>0.55751766008461</v>
      </c>
      <c r="F267" s="15" t="n">
        <f aca="false">F266/E266-1</f>
        <v>0.250659734923276</v>
      </c>
      <c r="G267" s="15" t="n">
        <f aca="false">G266/F266-1</f>
        <v>0.111434282698848</v>
      </c>
    </row>
    <row r="270" customFormat="false" ht="17.15" hidden="false" customHeight="false" outlineLevel="0" collapsed="false">
      <c r="A270" s="1" t="s">
        <v>864</v>
      </c>
    </row>
    <row r="271" customFormat="false" ht="17.15" hidden="false" customHeight="false" outlineLevel="0" collapsed="false">
      <c r="A271" s="5" t="s">
        <v>22</v>
      </c>
      <c r="B271" s="5" t="s">
        <v>23</v>
      </c>
      <c r="C271" s="12" t="s">
        <v>380</v>
      </c>
      <c r="D271" s="12" t="s">
        <v>468</v>
      </c>
      <c r="E271" s="12" t="s">
        <v>469</v>
      </c>
      <c r="F271" s="12" t="s">
        <v>470</v>
      </c>
      <c r="G271" s="12" t="s">
        <v>471</v>
      </c>
      <c r="H271" s="5" t="s">
        <v>365</v>
      </c>
    </row>
    <row r="272" customFormat="false" ht="17.15" hidden="false" customHeight="false" outlineLevel="0" collapsed="false">
      <c r="A272" s="6" t="s">
        <v>490</v>
      </c>
    </row>
    <row r="273" customFormat="false" ht="17.15" hidden="false" customHeight="false" outlineLevel="0" collapsed="false">
      <c r="A273" s="0" t="s">
        <v>491</v>
      </c>
      <c r="B273" s="0" t="s">
        <v>33</v>
      </c>
      <c r="D273" s="21" t="n">
        <f aca="false">itc_26*1</f>
        <v>781.872916666666</v>
      </c>
      <c r="E273" s="21" t="n">
        <f aca="false">itc_27*1*1</f>
        <v>1565.35</v>
      </c>
      <c r="F273" s="21" t="n">
        <f aca="false">itc_28*um28_A*1</f>
        <v>1984.26388888889</v>
      </c>
      <c r="G273" s="21" t="n">
        <f aca="false">itc_29*um29_A*1</f>
        <v>2260.39027777778</v>
      </c>
    </row>
    <row r="274" customFormat="false" ht="17.15" hidden="false" customHeight="false" outlineLevel="0" collapsed="false">
      <c r="A274" s="4" t="s">
        <v>492</v>
      </c>
      <c r="B274" s="0" t="s">
        <v>33</v>
      </c>
      <c r="D274" s="21" t="n">
        <f aca="false">itpg_gb*(1-vr26)+itpg_vr*vr26</f>
        <v>33.41403216</v>
      </c>
      <c r="E274" s="21" t="n">
        <f aca="false">itpg_vr</f>
        <v>37.586352</v>
      </c>
      <c r="F274" s="21" t="n">
        <f aca="false">itpg_vr</f>
        <v>37.586352</v>
      </c>
      <c r="G274" s="21" t="n">
        <f aca="false">itpg_vr</f>
        <v>37.586352</v>
      </c>
    </row>
    <row r="275" customFormat="false" ht="17.15" hidden="false" customHeight="false" outlineLevel="0" collapsed="false">
      <c r="A275" s="4" t="s">
        <v>493</v>
      </c>
      <c r="B275" s="0" t="s">
        <v>446</v>
      </c>
      <c r="D275" s="18" t="n">
        <f aca="false">D273/D274</f>
        <v>23.3995380420639</v>
      </c>
      <c r="E275" s="18" t="n">
        <f aca="false">E273/E274</f>
        <v>41.6467658260637</v>
      </c>
      <c r="F275" s="18" t="n">
        <f aca="false">F273/F274</f>
        <v>52.792138191248</v>
      </c>
      <c r="G275" s="18" t="n">
        <f aca="false">G273/G274</f>
        <v>60.1385917361116</v>
      </c>
    </row>
    <row r="276" customFormat="false" ht="17.15" hidden="false" customHeight="false" outlineLevel="0" collapsed="false">
      <c r="A276" s="0" t="s">
        <v>448</v>
      </c>
      <c r="B276" s="0" t="s">
        <v>96</v>
      </c>
      <c r="D276" s="19" t="n">
        <f aca="false">pkw_26</f>
        <v>450</v>
      </c>
      <c r="E276" s="19" t="n">
        <f aca="false">pkw_27</f>
        <v>600</v>
      </c>
      <c r="F276" s="19" t="n">
        <f aca="false">pkw_28</f>
        <v>680</v>
      </c>
      <c r="G276" s="19" t="n">
        <f aca="false">pkw_29</f>
        <v>720</v>
      </c>
    </row>
    <row r="277" customFormat="false" ht="17.15" hidden="false" customHeight="false" outlineLevel="0" collapsed="false">
      <c r="A277" s="0" t="s">
        <v>494</v>
      </c>
      <c r="B277" s="0" t="s">
        <v>33</v>
      </c>
      <c r="D277" s="21" t="n">
        <f aca="false">D275*D276/1000</f>
        <v>10.5297921189287</v>
      </c>
      <c r="E277" s="21" t="n">
        <f aca="false">E275*E276/1000</f>
        <v>24.9880594956382</v>
      </c>
      <c r="F277" s="21" t="n">
        <f aca="false">F275*F276/1000</f>
        <v>35.8986539700486</v>
      </c>
      <c r="G277" s="21" t="n">
        <f aca="false">G275*G276/1000</f>
        <v>43.2997860500003</v>
      </c>
    </row>
    <row r="278" customFormat="false" ht="17.15" hidden="false" customHeight="false" outlineLevel="0" collapsed="false">
      <c r="A278" s="0" t="s">
        <v>495</v>
      </c>
      <c r="B278" s="0" t="s">
        <v>209</v>
      </c>
      <c r="D278" s="20" t="n">
        <f aca="false">D277*fx</f>
        <v>336.95334780572</v>
      </c>
      <c r="E278" s="20" t="n">
        <f aca="false">E277*fx</f>
        <v>799.617903860422</v>
      </c>
      <c r="F278" s="20" t="n">
        <f aca="false">F277*fx</f>
        <v>1148.75692704156</v>
      </c>
      <c r="G278" s="20" t="n">
        <f aca="false">G277*fx</f>
        <v>1385.59315360001</v>
      </c>
    </row>
    <row r="279" customFormat="false" ht="17.15" hidden="false" customHeight="false" outlineLevel="0" collapsed="false">
      <c r="A279" s="4" t="s">
        <v>496</v>
      </c>
      <c r="B279" s="0" t="s">
        <v>53</v>
      </c>
      <c r="D279" s="15" t="n">
        <f aca="false">a26_aip/D278</f>
        <v>0.583671939396773</v>
      </c>
      <c r="H279" s="8" t="s">
        <v>497</v>
      </c>
    </row>
    <row r="280" customFormat="false" ht="17.15" hidden="false" customHeight="false" outlineLevel="0" collapsed="false">
      <c r="A280" s="4" t="s">
        <v>498</v>
      </c>
      <c r="B280" s="0" t="s">
        <v>69</v>
      </c>
      <c r="D280" s="16" t="n">
        <f aca="false">1</f>
        <v>1</v>
      </c>
      <c r="E280" s="16" t="n">
        <f aca="false">rel_27</f>
        <v>0.95</v>
      </c>
      <c r="F280" s="16" t="n">
        <f aca="false">rel_28</f>
        <v>0.9</v>
      </c>
      <c r="G280" s="16" t="n">
        <f aca="false">rel_29</f>
        <v>0.85</v>
      </c>
    </row>
    <row r="281" customFormat="false" ht="15" hidden="false" customHeight="false" outlineLevel="0" collapsed="false">
      <c r="A281" s="4" t="s">
        <v>455</v>
      </c>
      <c r="B281" s="0" t="s">
        <v>53</v>
      </c>
      <c r="D281" s="15" t="n">
        <f aca="false">$D$279*D280</f>
        <v>0.583671939396773</v>
      </c>
      <c r="E281" s="15" t="n">
        <f aca="false">$D$279*E280</f>
        <v>0.554488342426935</v>
      </c>
      <c r="F281" s="15" t="n">
        <f aca="false">$D$279*F280</f>
        <v>0.525304745457096</v>
      </c>
      <c r="G281" s="15" t="n">
        <f aca="false">$D$279*G280</f>
        <v>0.496121148487257</v>
      </c>
    </row>
    <row r="282" customFormat="false" ht="17.15" hidden="false" customHeight="false" outlineLevel="0" collapsed="false">
      <c r="A282" s="0" t="s">
        <v>499</v>
      </c>
      <c r="B282" s="0" t="s">
        <v>209</v>
      </c>
      <c r="C282" s="20" t="n">
        <f aca="false">a25_aip</f>
        <v>99.8793</v>
      </c>
      <c r="D282" s="20" t="n">
        <f aca="false">D278*D281</f>
        <v>196.670214</v>
      </c>
      <c r="E282" s="20" t="n">
        <f aca="false">E278*E281</f>
        <v>443.378806086466</v>
      </c>
      <c r="F282" s="20" t="n">
        <f aca="false">F278*F281</f>
        <v>603.447465151641</v>
      </c>
      <c r="G282" s="20" t="n">
        <f aca="false">G278*G281</f>
        <v>687.422066700118</v>
      </c>
    </row>
    <row r="283" customFormat="false" ht="17.15" hidden="false" customHeight="false" outlineLevel="0" collapsed="false">
      <c r="A283" s="6" t="s">
        <v>500</v>
      </c>
    </row>
    <row r="284" customFormat="false" ht="17.15" hidden="false" customHeight="false" outlineLevel="0" collapsed="false">
      <c r="A284" s="4" t="s">
        <v>501</v>
      </c>
      <c r="B284" s="0" t="s">
        <v>502</v>
      </c>
      <c r="D284" s="23" t="n">
        <f aca="false">a26_lc/D275</f>
        <v>4.04080573428535</v>
      </c>
    </row>
    <row r="285" customFormat="false" ht="17.15" hidden="false" customHeight="false" outlineLevel="0" collapsed="false">
      <c r="A285" s="4" t="s">
        <v>503</v>
      </c>
      <c r="B285" s="0" t="s">
        <v>69</v>
      </c>
      <c r="D285" s="16" t="n">
        <f aca="false">1</f>
        <v>1</v>
      </c>
      <c r="E285" s="16" t="n">
        <f aca="false">LCHI_27</f>
        <v>1.3</v>
      </c>
      <c r="F285" s="16" t="n">
        <f aca="false">LCHI_28</f>
        <v>1.4</v>
      </c>
      <c r="G285" s="16" t="n">
        <f aca="false">LCHI_29</f>
        <v>1.5</v>
      </c>
    </row>
    <row r="286" customFormat="false" ht="15" hidden="false" customHeight="false" outlineLevel="0" collapsed="false">
      <c r="A286" s="4" t="s">
        <v>504</v>
      </c>
      <c r="B286" s="0" t="s">
        <v>209</v>
      </c>
      <c r="C286" s="20" t="n">
        <f aca="false">a25_lc</f>
        <v>55.4885</v>
      </c>
      <c r="D286" s="20" t="n">
        <f aca="false">D275*$D$284*D285</f>
        <v>94.5529875</v>
      </c>
      <c r="E286" s="20" t="n">
        <f aca="false">E275*$D$284*E285</f>
        <v>218.772437213717</v>
      </c>
      <c r="F286" s="20" t="n">
        <f aca="false">F275*$D$284*F285</f>
        <v>298.651884619732</v>
      </c>
      <c r="G286" s="20" t="n">
        <f aca="false">G275*$D$284*G285</f>
        <v>364.512549508688</v>
      </c>
    </row>
    <row r="287" customFormat="false" ht="17.15" hidden="false" customHeight="false" outlineLevel="0" collapsed="false">
      <c r="A287" s="4" t="s">
        <v>505</v>
      </c>
      <c r="B287" s="0" t="s">
        <v>209</v>
      </c>
      <c r="C287" s="20" t="n">
        <f aca="false">a25_pe-a25_aip</f>
        <v>177.5632</v>
      </c>
      <c r="D287" s="20" t="n">
        <f aca="false">a26_pe-a26_aip</f>
        <v>189.105975</v>
      </c>
      <c r="E287" s="20" t="n">
        <f aca="false">D287*(1+g_pe27)</f>
        <v>198.56127375</v>
      </c>
      <c r="F287" s="20" t="n">
        <f aca="false">E287*(1+g_pe28)</f>
        <v>206.5037247</v>
      </c>
      <c r="G287" s="20" t="n">
        <f aca="false">F287*(1+g_pe29)</f>
        <v>212.698836441</v>
      </c>
      <c r="H287" s="8" t="s">
        <v>506</v>
      </c>
    </row>
    <row r="288" customFormat="false" ht="17.15" hidden="false" customHeight="false" outlineLevel="0" collapsed="false">
      <c r="A288" s="4" t="s">
        <v>431</v>
      </c>
      <c r="B288" s="0" t="s">
        <v>209</v>
      </c>
      <c r="C288" s="20" t="n">
        <f aca="false">C282+C287</f>
        <v>277.4425</v>
      </c>
      <c r="D288" s="20" t="n">
        <f aca="false">D282+D287</f>
        <v>385.776189</v>
      </c>
      <c r="E288" s="20" t="n">
        <f aca="false">E282+E287</f>
        <v>641.940079836466</v>
      </c>
      <c r="F288" s="20" t="n">
        <f aca="false">F282+F287</f>
        <v>809.951189851641</v>
      </c>
      <c r="G288" s="20" t="n">
        <f aca="false">G282+G287</f>
        <v>900.120903141117</v>
      </c>
      <c r="H288" s="4" t="s">
        <v>507</v>
      </c>
    </row>
    <row r="289" customFormat="false" ht="17.15" hidden="false" customHeight="false" outlineLevel="0" collapsed="false">
      <c r="A289" s="4" t="s">
        <v>508</v>
      </c>
      <c r="B289" s="0" t="s">
        <v>209</v>
      </c>
      <c r="C289" s="20" t="n">
        <f aca="false">a25_inf-a25_lc</f>
        <v>127.62355</v>
      </c>
      <c r="D289" s="20" t="n">
        <f aca="false">a26_inf-a26_lc</f>
        <v>170.1953775</v>
      </c>
      <c r="E289" s="20" t="n">
        <f aca="false">D289*(1+g_inf27)</f>
        <v>185.512961475</v>
      </c>
      <c r="F289" s="20" t="n">
        <f aca="false">E289*(1+g_inf28)</f>
        <v>198.49886877825</v>
      </c>
      <c r="G289" s="20" t="n">
        <f aca="false">F289*(1+g_inf29)</f>
        <v>210.408800904945</v>
      </c>
      <c r="H289" s="4" t="s">
        <v>509</v>
      </c>
    </row>
    <row r="290" customFormat="false" ht="15" hidden="false" customHeight="false" outlineLevel="0" collapsed="false">
      <c r="A290" s="4" t="s">
        <v>437</v>
      </c>
      <c r="B290" s="0" t="s">
        <v>209</v>
      </c>
      <c r="C290" s="20" t="n">
        <f aca="false">C286+C289</f>
        <v>183.11205</v>
      </c>
      <c r="D290" s="20" t="n">
        <f aca="false">D286+D289</f>
        <v>264.748365</v>
      </c>
      <c r="E290" s="20" t="n">
        <f aca="false">E286+E289</f>
        <v>404.285398688717</v>
      </c>
      <c r="F290" s="20" t="n">
        <f aca="false">F286+F289</f>
        <v>497.150753397982</v>
      </c>
      <c r="G290" s="20" t="n">
        <f aca="false">G286+G289</f>
        <v>574.921350413633</v>
      </c>
      <c r="H290" s="4" t="s">
        <v>510</v>
      </c>
    </row>
    <row r="291" customFormat="false" ht="15" hidden="false" customHeight="false" outlineLevel="0" collapsed="false">
      <c r="A291" s="4" t="s">
        <v>436</v>
      </c>
      <c r="B291" s="0" t="s">
        <v>209</v>
      </c>
      <c r="C291" s="20" t="n">
        <f aca="false">a25_au</f>
        <v>55.4885</v>
      </c>
      <c r="D291" s="20" t="n">
        <f aca="false">a26_au</f>
        <v>60.513912</v>
      </c>
      <c r="E291" s="20" t="n">
        <f aca="false">D291*(1+g_au27)</f>
        <v>63.5396076</v>
      </c>
      <c r="F291" s="20" t="n">
        <f aca="false">E291*(1+g_au28)</f>
        <v>66.71658798</v>
      </c>
      <c r="G291" s="20" t="n">
        <f aca="false">F291*(1+g_au29)</f>
        <v>69.3852514992</v>
      </c>
    </row>
    <row r="292" customFormat="false" ht="15" hidden="false" customHeight="false" outlineLevel="0" collapsed="false">
      <c r="A292" s="4" t="s">
        <v>435</v>
      </c>
      <c r="B292" s="0" t="s">
        <v>209</v>
      </c>
      <c r="C292" s="20" t="n">
        <f aca="false">a25_mo</f>
        <v>38.84195</v>
      </c>
      <c r="D292" s="20" t="n">
        <f aca="false">a26_mo</f>
        <v>45.385434</v>
      </c>
      <c r="E292" s="20" t="n">
        <f aca="false">D292*(1+g_mo27)</f>
        <v>45.385434</v>
      </c>
      <c r="F292" s="20" t="n">
        <f aca="false">E292*(1+g_mo28)</f>
        <v>46.29314268</v>
      </c>
      <c r="G292" s="20" t="n">
        <f aca="false">F292*(1+g_mo29)</f>
        <v>47.2190055336</v>
      </c>
    </row>
    <row r="293" customFormat="false" ht="17.15" hidden="false" customHeight="false" outlineLevel="0" collapsed="false">
      <c r="A293" s="4" t="s">
        <v>511</v>
      </c>
      <c r="B293" s="0" t="s">
        <v>209</v>
      </c>
      <c r="C293" s="20" t="n">
        <f aca="false">C287+C289+C291+C292</f>
        <v>399.5172</v>
      </c>
      <c r="D293" s="20" t="n">
        <f aca="false">D287+D289+D291+D292</f>
        <v>465.2006985</v>
      </c>
      <c r="E293" s="20" t="n">
        <f aca="false">E287+E289+E291+E292</f>
        <v>492.999276825</v>
      </c>
      <c r="F293" s="20" t="n">
        <f aca="false">F287+F289+F291+F292</f>
        <v>518.01232413825</v>
      </c>
      <c r="G293" s="20" t="n">
        <f aca="false">G287+G289+G291+G292</f>
        <v>539.711894378745</v>
      </c>
    </row>
    <row r="294" customFormat="false" ht="15" hidden="false" customHeight="false" outlineLevel="0" collapsed="false">
      <c r="A294" s="4" t="s">
        <v>386</v>
      </c>
      <c r="B294" s="0" t="s">
        <v>209</v>
      </c>
      <c r="C294" s="20" t="n">
        <f aca="false">C288+C290+C291+C292</f>
        <v>554.885</v>
      </c>
      <c r="D294" s="20" t="n">
        <f aca="false">D288+D290+D291+D292</f>
        <v>756.4239</v>
      </c>
      <c r="E294" s="20" t="n">
        <f aca="false">E288+E290+E291+E292</f>
        <v>1155.15052012518</v>
      </c>
      <c r="F294" s="20" t="n">
        <f aca="false">F288+F290+F291+F292</f>
        <v>1420.11167390962</v>
      </c>
      <c r="G294" s="20" t="n">
        <f aca="false">G288+G290+G291+G292</f>
        <v>1591.64651058755</v>
      </c>
      <c r="H294" s="4" t="s">
        <v>512</v>
      </c>
    </row>
    <row r="295" customFormat="false" ht="17.15" hidden="false" customHeight="false" outlineLevel="0" collapsed="false">
      <c r="A295" s="4" t="s">
        <v>513</v>
      </c>
      <c r="B295" s="0" t="s">
        <v>209</v>
      </c>
      <c r="C295" s="23" t="n">
        <f aca="false">C294-a25_rev</f>
        <v>0</v>
      </c>
      <c r="D295" s="23" t="n">
        <f aca="false">D294-a26_rev</f>
        <v>0</v>
      </c>
    </row>
    <row r="296" customFormat="false" ht="15" hidden="false" customHeight="false" outlineLevel="0" collapsed="false">
      <c r="A296" s="4" t="s">
        <v>514</v>
      </c>
      <c r="B296" s="0" t="s">
        <v>53</v>
      </c>
      <c r="D296" s="15" t="n">
        <f aca="false">D294/C294-1</f>
        <v>0.363208412553953</v>
      </c>
      <c r="E296" s="15" t="n">
        <f aca="false">E294/D294-1</f>
        <v>0.527120600135958</v>
      </c>
      <c r="F296" s="15" t="n">
        <f aca="false">F294/E294-1</f>
        <v>0.229373704264728</v>
      </c>
      <c r="G296" s="15" t="n">
        <f aca="false">G294/F294-1</f>
        <v>0.120789681423917</v>
      </c>
    </row>
    <row r="297" customFormat="false" ht="17.15" hidden="false" customHeight="false" outlineLevel="0" collapsed="false">
      <c r="A297" s="0" t="s">
        <v>515</v>
      </c>
      <c r="B297" s="0" t="s">
        <v>53</v>
      </c>
      <c r="C297" s="15" t="n">
        <f aca="false">C282/C294</f>
        <v>0.18</v>
      </c>
      <c r="D297" s="15" t="n">
        <f aca="false">D282/D294</f>
        <v>0.26</v>
      </c>
      <c r="E297" s="15" t="n">
        <f aca="false">E282/E294</f>
        <v>0.383827733582648</v>
      </c>
      <c r="F297" s="15" t="n">
        <f aca="false">F282/F294</f>
        <v>0.424929585636267</v>
      </c>
      <c r="G297" s="15" t="n">
        <f aca="false">G282/G294</f>
        <v>0.431893678732948</v>
      </c>
    </row>
    <row r="298" customFormat="false" ht="17.15" hidden="false" customHeight="false" outlineLevel="0" collapsed="false">
      <c r="A298" s="0" t="s">
        <v>516</v>
      </c>
      <c r="B298" s="0" t="s">
        <v>53</v>
      </c>
      <c r="C298" s="15" t="n">
        <f aca="false">(C282+C286)/C294</f>
        <v>0.28</v>
      </c>
      <c r="D298" s="15" t="n">
        <f aca="false">(D282+D286)/D294</f>
        <v>0.385</v>
      </c>
      <c r="E298" s="15" t="n">
        <f aca="false">(E282+E286)/E294</f>
        <v>0.573216417916191</v>
      </c>
      <c r="F298" s="15" t="n">
        <f aca="false">(F282+F286)/F294</f>
        <v>0.635231275360098</v>
      </c>
      <c r="G298" s="15" t="n">
        <f aca="false">(G282+G286)/G294</f>
        <v>0.660909698988683</v>
      </c>
    </row>
    <row r="299" customFormat="false" ht="17.15" hidden="false" customHeight="false" outlineLevel="0" collapsed="false">
      <c r="A299" s="4" t="s">
        <v>462</v>
      </c>
      <c r="B299" s="0" t="s">
        <v>463</v>
      </c>
      <c r="D299" s="19" t="n">
        <f aca="false">(D282+D286)/fx/D275*1000</f>
        <v>388.927551924965</v>
      </c>
      <c r="E299" s="19" t="n">
        <f aca="false">(E282+E286)/fx/E275*1000</f>
        <v>496.850738411503</v>
      </c>
      <c r="F299" s="19" t="n">
        <f aca="false">(F282+F286)/fx/F275*1000</f>
        <v>533.99247778581</v>
      </c>
      <c r="G299" s="19" t="n">
        <f aca="false">(G282+G286)/fx/G275*1000</f>
        <v>546.619995705451</v>
      </c>
    </row>
    <row r="300" customFormat="false" ht="17.15" hidden="false" customHeight="false" outlineLevel="0" collapsed="false">
      <c r="A300" s="6" t="s">
        <v>517</v>
      </c>
    </row>
    <row r="301" customFormat="false" ht="17.15" hidden="false" customHeight="false" outlineLevel="0" collapsed="false">
      <c r="A301" s="4" t="s">
        <v>518</v>
      </c>
      <c r="B301" s="0" t="s">
        <v>53</v>
      </c>
      <c r="D301" s="15" t="n">
        <f aca="false">a26_gp/D294-d_ai*D297</f>
        <v>0.340474417690927</v>
      </c>
      <c r="H301" s="8" t="s">
        <v>519</v>
      </c>
    </row>
    <row r="302" customFormat="false" ht="15" hidden="false" customHeight="false" outlineLevel="0" collapsed="false">
      <c r="A302" s="4" t="s">
        <v>390</v>
      </c>
      <c r="B302" s="0" t="s">
        <v>209</v>
      </c>
      <c r="C302" s="20" t="n">
        <f aca="false">a25_gp</f>
        <v>190.2</v>
      </c>
      <c r="D302" s="20" t="n">
        <f aca="false">a26_gp</f>
        <v>273.276604</v>
      </c>
      <c r="E302" s="20" t="n">
        <f aca="false">$D$301*E294+d_ai*E282</f>
        <v>428.76950517191</v>
      </c>
      <c r="F302" s="20" t="n">
        <f aca="false">$D$301*F294+d_ai*F282</f>
        <v>531.787492442598</v>
      </c>
      <c r="G302" s="20" t="n">
        <f aca="false">$D$301*G294+d_ai*G282</f>
        <v>596.908684198102</v>
      </c>
    </row>
    <row r="303" customFormat="false" ht="15" hidden="false" customHeight="false" outlineLevel="0" collapsed="false">
      <c r="A303" s="4" t="s">
        <v>392</v>
      </c>
      <c r="B303" s="0" t="s">
        <v>53</v>
      </c>
      <c r="C303" s="15" t="n">
        <f aca="false">C302/C294</f>
        <v>0.342773727889563</v>
      </c>
      <c r="D303" s="15" t="n">
        <f aca="false">D302/D294</f>
        <v>0.361274417690927</v>
      </c>
      <c r="E303" s="15" t="n">
        <f aca="false">E302/E294</f>
        <v>0.371180636377539</v>
      </c>
      <c r="F303" s="15" t="n">
        <f aca="false">F302/F294</f>
        <v>0.374468784541828</v>
      </c>
      <c r="G303" s="15" t="n">
        <f aca="false">G302/G294</f>
        <v>0.375025911989563</v>
      </c>
    </row>
    <row r="304" customFormat="false" ht="15" hidden="false" customHeight="false" outlineLevel="0" collapsed="false">
      <c r="A304" s="4" t="s">
        <v>520</v>
      </c>
      <c r="B304" s="0" t="s">
        <v>209</v>
      </c>
      <c r="C304" s="20" t="n">
        <f aca="false">a25_opx</f>
        <v>106.3</v>
      </c>
      <c r="D304" s="20" t="n">
        <f aca="false">a26_opx</f>
        <v>141.924088166667</v>
      </c>
      <c r="E304" s="20" t="n">
        <f aca="false">D304*(1+MAX(0,phi*E296))</f>
        <v>201.772976589196</v>
      </c>
      <c r="F304" s="20" t="n">
        <f aca="false">E304*(1+MAX(0,phi*F296))</f>
        <v>238.798108637824</v>
      </c>
      <c r="G304" s="20" t="n">
        <f aca="false">F304*(1+MAX(0,phi*G296))</f>
        <v>261.873586611421</v>
      </c>
    </row>
    <row r="305" customFormat="false" ht="15" hidden="false" customHeight="false" outlineLevel="0" collapsed="false">
      <c r="A305" s="4" t="s">
        <v>394</v>
      </c>
      <c r="B305" s="0" t="s">
        <v>209</v>
      </c>
      <c r="C305" s="20" t="n">
        <f aca="false">C304</f>
        <v>106.3</v>
      </c>
      <c r="D305" s="20" t="n">
        <f aca="false">D304</f>
        <v>141.924088166667</v>
      </c>
      <c r="E305" s="20" t="n">
        <f aca="false">E304+0*E294</f>
        <v>201.772976589196</v>
      </c>
      <c r="F305" s="20" t="n">
        <f aca="false">F304+0*F294</f>
        <v>238.798108637824</v>
      </c>
      <c r="G305" s="20" t="n">
        <f aca="false">G304+0*G294</f>
        <v>261.873586611421</v>
      </c>
    </row>
    <row r="306" customFormat="false" ht="15" hidden="false" customHeight="false" outlineLevel="0" collapsed="false">
      <c r="A306" s="4" t="s">
        <v>396</v>
      </c>
      <c r="B306" s="0" t="s">
        <v>209</v>
      </c>
      <c r="C306" s="20" t="n">
        <f aca="false">C302-C305</f>
        <v>83.9</v>
      </c>
      <c r="D306" s="20" t="n">
        <f aca="false">D302-D305</f>
        <v>131.352515833333</v>
      </c>
      <c r="E306" s="20" t="n">
        <f aca="false">E302-E305</f>
        <v>226.996528582714</v>
      </c>
      <c r="F306" s="20" t="n">
        <f aca="false">F302-F305</f>
        <v>292.989383804774</v>
      </c>
      <c r="G306" s="20" t="n">
        <f aca="false">G302-G305</f>
        <v>335.035097586681</v>
      </c>
    </row>
    <row r="307" customFormat="false" ht="15" hidden="false" customHeight="false" outlineLevel="0" collapsed="false">
      <c r="A307" s="4" t="s">
        <v>398</v>
      </c>
      <c r="B307" s="0" t="s">
        <v>53</v>
      </c>
      <c r="C307" s="15" t="n">
        <f aca="false">C306/C294</f>
        <v>0.151202501419213</v>
      </c>
      <c r="D307" s="15" t="n">
        <f aca="false">D306/D294</f>
        <v>0.173649346396027</v>
      </c>
      <c r="E307" s="15" t="n">
        <f aca="false">E306/E294</f>
        <v>0.196508181945081</v>
      </c>
      <c r="F307" s="15" t="n">
        <f aca="false">F306/F294</f>
        <v>0.206314326674157</v>
      </c>
      <c r="G307" s="15" t="n">
        <f aca="false">G306/G294</f>
        <v>0.210495920644468</v>
      </c>
    </row>
    <row r="308" customFormat="false" ht="15" hidden="false" customHeight="false" outlineLevel="0" collapsed="false">
      <c r="A308" s="4" t="s">
        <v>400</v>
      </c>
      <c r="B308" s="0" t="s">
        <v>209</v>
      </c>
      <c r="C308" s="20" t="n">
        <f aca="false">a25_nop</f>
        <v>3.934</v>
      </c>
      <c r="D308" s="20" t="n">
        <f aca="false">a26_nop</f>
        <v>11.1666666666667</v>
      </c>
      <c r="E308" s="20" t="n">
        <f aca="false">nop_f</f>
        <v>8</v>
      </c>
      <c r="F308" s="20" t="n">
        <f aca="false">nop_f</f>
        <v>8</v>
      </c>
      <c r="G308" s="20" t="n">
        <f aca="false">nop_f</f>
        <v>8</v>
      </c>
    </row>
    <row r="309" customFormat="false" ht="17.15" hidden="false" customHeight="false" outlineLevel="0" collapsed="false">
      <c r="A309" s="4" t="s">
        <v>250</v>
      </c>
      <c r="B309" s="0" t="s">
        <v>53</v>
      </c>
      <c r="C309" s="15" t="n">
        <f aca="false">a25_ni/(a25_oi+a25_nop)</f>
        <v>0.684336361773345</v>
      </c>
      <c r="D309" s="15" t="n">
        <f aca="false">a26_ni/(a26_oi+a26_nop)</f>
        <v>0.690638510538748</v>
      </c>
      <c r="E309" s="15" t="n">
        <f aca="false">nir_f</f>
        <v>0.69</v>
      </c>
      <c r="F309" s="15" t="n">
        <f aca="false">nir_f</f>
        <v>0.69</v>
      </c>
      <c r="G309" s="15" t="n">
        <f aca="false">nir_f</f>
        <v>0.69</v>
      </c>
    </row>
    <row r="310" customFormat="false" ht="15" hidden="false" customHeight="false" outlineLevel="0" collapsed="false">
      <c r="A310" s="4" t="s">
        <v>403</v>
      </c>
      <c r="B310" s="0" t="s">
        <v>209</v>
      </c>
      <c r="C310" s="20" t="n">
        <f aca="false">a25_ni</f>
        <v>60.108</v>
      </c>
      <c r="D310" s="20" t="n">
        <f aca="false">a26_ni</f>
        <v>98.429235925</v>
      </c>
      <c r="E310" s="20" t="n">
        <f aca="false">(E306+E308)*E309</f>
        <v>162.147604722073</v>
      </c>
      <c r="F310" s="20" t="n">
        <f aca="false">(F306+F308)*F309</f>
        <v>207.682674825294</v>
      </c>
      <c r="G310" s="20" t="n">
        <f aca="false">(G306+G308)*G309</f>
        <v>236.69421733481</v>
      </c>
    </row>
    <row r="311" customFormat="false" ht="15" hidden="false" customHeight="false" outlineLevel="0" collapsed="false">
      <c r="A311" s="4" t="s">
        <v>521</v>
      </c>
      <c r="B311" s="4" t="s">
        <v>234</v>
      </c>
      <c r="C311" s="23" t="n">
        <f aca="false">a25_sh</f>
        <v>2.59757994814175</v>
      </c>
      <c r="D311" s="23" t="n">
        <f aca="false">a26_sh</f>
        <v>2.59806708357021</v>
      </c>
      <c r="E311" s="23" t="n">
        <f aca="false">D311*(1+sh_g)</f>
        <v>2.59806708357021</v>
      </c>
      <c r="F311" s="23" t="n">
        <f aca="false">E311*(1+sh_g)</f>
        <v>2.59806708357021</v>
      </c>
      <c r="G311" s="23" t="n">
        <f aca="false">F311*(1+sh_g)</f>
        <v>2.59806708357021</v>
      </c>
    </row>
    <row r="312" customFormat="false" ht="15" hidden="false" customHeight="false" outlineLevel="0" collapsed="false">
      <c r="A312" s="0" t="s">
        <v>408</v>
      </c>
      <c r="B312" s="0" t="s">
        <v>265</v>
      </c>
      <c r="C312" s="21" t="n">
        <f aca="false">C310/C311</f>
        <v>23.14</v>
      </c>
      <c r="D312" s="21" t="n">
        <f aca="false">D310/D311</f>
        <v>37.8855636744147</v>
      </c>
      <c r="E312" s="21" t="n">
        <f aca="false">E310/E311</f>
        <v>62.4108614236599</v>
      </c>
      <c r="F312" s="21" t="n">
        <f aca="false">F310/F311</f>
        <v>79.937379653762</v>
      </c>
      <c r="G312" s="21" t="n">
        <f aca="false">G310/G311</f>
        <v>91.1039668034858</v>
      </c>
    </row>
    <row r="313" customFormat="false" ht="17.15" hidden="false" customHeight="false" outlineLevel="0" collapsed="false">
      <c r="A313" s="0" t="s">
        <v>522</v>
      </c>
      <c r="B313" s="0" t="s">
        <v>53</v>
      </c>
      <c r="D313" s="15" t="n">
        <f aca="false">D312/C312-1</f>
        <v>0.637232656629847</v>
      </c>
      <c r="E313" s="15" t="n">
        <f aca="false">E312/D312-1</f>
        <v>0.647352061593001</v>
      </c>
      <c r="F313" s="15" t="n">
        <f aca="false">F312/E312-1</f>
        <v>0.280824808860238</v>
      </c>
      <c r="G313" s="15" t="n">
        <f aca="false">G312/F312-1</f>
        <v>0.139691683641501</v>
      </c>
    </row>
    <row r="316" customFormat="false" ht="17.15" hidden="false" customHeight="false" outlineLevel="0" collapsed="false">
      <c r="A316" s="1" t="s">
        <v>865</v>
      </c>
    </row>
    <row r="317" customFormat="false" ht="17.15" hidden="false" customHeight="false" outlineLevel="0" collapsed="false">
      <c r="A317" s="5" t="s">
        <v>22</v>
      </c>
      <c r="B317" s="5" t="s">
        <v>23</v>
      </c>
      <c r="C317" s="12" t="s">
        <v>380</v>
      </c>
      <c r="D317" s="12" t="s">
        <v>468</v>
      </c>
      <c r="E317" s="12" t="s">
        <v>469</v>
      </c>
      <c r="F317" s="12" t="s">
        <v>470</v>
      </c>
      <c r="G317" s="12" t="s">
        <v>471</v>
      </c>
      <c r="H317" s="5" t="s">
        <v>365</v>
      </c>
    </row>
    <row r="318" customFormat="false" ht="17.15" hidden="false" customHeight="false" outlineLevel="0" collapsed="false">
      <c r="A318" s="6" t="s">
        <v>490</v>
      </c>
    </row>
    <row r="319" customFormat="false" ht="17.15" hidden="false" customHeight="false" outlineLevel="0" collapsed="false">
      <c r="A319" s="0" t="s">
        <v>491</v>
      </c>
      <c r="B319" s="0" t="s">
        <v>33</v>
      </c>
      <c r="D319" s="21" t="n">
        <f aca="false">itc_26*1</f>
        <v>781.872916666666</v>
      </c>
      <c r="E319" s="21" t="n">
        <f aca="false">itc_27*1*mf_lo</f>
        <v>1252.28</v>
      </c>
      <c r="F319" s="21" t="n">
        <f aca="false">itc_28*um28_A*mf_lo</f>
        <v>1587.41111111111</v>
      </c>
      <c r="G319" s="21" t="n">
        <f aca="false">itc_29*um29_A*mf_lo</f>
        <v>1808.31222222222</v>
      </c>
    </row>
    <row r="320" customFormat="false" ht="17.15" hidden="false" customHeight="false" outlineLevel="0" collapsed="false">
      <c r="A320" s="4" t="s">
        <v>492</v>
      </c>
      <c r="B320" s="0" t="s">
        <v>33</v>
      </c>
      <c r="D320" s="21" t="n">
        <f aca="false">itpg_gb*(1-vr26)+itpg_vr*vr26</f>
        <v>33.41403216</v>
      </c>
      <c r="E320" s="21" t="n">
        <f aca="false">itpg_vr</f>
        <v>37.586352</v>
      </c>
      <c r="F320" s="21" t="n">
        <f aca="false">itpg_vr</f>
        <v>37.586352</v>
      </c>
      <c r="G320" s="21" t="n">
        <f aca="false">itpg_vr</f>
        <v>37.586352</v>
      </c>
    </row>
    <row r="321" customFormat="false" ht="17.15" hidden="false" customHeight="false" outlineLevel="0" collapsed="false">
      <c r="A321" s="4" t="s">
        <v>493</v>
      </c>
      <c r="B321" s="0" t="s">
        <v>446</v>
      </c>
      <c r="D321" s="18" t="n">
        <f aca="false">D319/D320</f>
        <v>23.3995380420639</v>
      </c>
      <c r="E321" s="18" t="n">
        <f aca="false">E319/E320</f>
        <v>33.3174126608509</v>
      </c>
      <c r="F321" s="18" t="n">
        <f aca="false">F319/F320</f>
        <v>42.2337105529984</v>
      </c>
      <c r="G321" s="18" t="n">
        <f aca="false">G319/G320</f>
        <v>48.1108733888892</v>
      </c>
    </row>
    <row r="322" customFormat="false" ht="17.15" hidden="false" customHeight="false" outlineLevel="0" collapsed="false">
      <c r="A322" s="0" t="s">
        <v>448</v>
      </c>
      <c r="B322" s="0" t="s">
        <v>96</v>
      </c>
      <c r="D322" s="19" t="n">
        <f aca="false">pkw_26</f>
        <v>450</v>
      </c>
      <c r="E322" s="19" t="n">
        <f aca="false">pkw_27</f>
        <v>600</v>
      </c>
      <c r="F322" s="19" t="n">
        <f aca="false">pkw_28</f>
        <v>680</v>
      </c>
      <c r="G322" s="19" t="n">
        <f aca="false">pkw_29</f>
        <v>720</v>
      </c>
    </row>
    <row r="323" customFormat="false" ht="17.15" hidden="false" customHeight="false" outlineLevel="0" collapsed="false">
      <c r="A323" s="0" t="s">
        <v>494</v>
      </c>
      <c r="B323" s="0" t="s">
        <v>33</v>
      </c>
      <c r="D323" s="21" t="n">
        <f aca="false">D321*D322/1000</f>
        <v>10.5297921189287</v>
      </c>
      <c r="E323" s="21" t="n">
        <f aca="false">E321*E322/1000</f>
        <v>19.9904475965106</v>
      </c>
      <c r="F323" s="21" t="n">
        <f aca="false">F321*F322/1000</f>
        <v>28.7189231760389</v>
      </c>
      <c r="G323" s="21" t="n">
        <f aca="false">G321*G322/1000</f>
        <v>34.6398288400003</v>
      </c>
    </row>
    <row r="324" customFormat="false" ht="17.15" hidden="false" customHeight="false" outlineLevel="0" collapsed="false">
      <c r="A324" s="0" t="s">
        <v>495</v>
      </c>
      <c r="B324" s="0" t="s">
        <v>209</v>
      </c>
      <c r="D324" s="20" t="n">
        <f aca="false">D323*fx</f>
        <v>336.95334780572</v>
      </c>
      <c r="E324" s="20" t="n">
        <f aca="false">E323*fx</f>
        <v>639.694323088338</v>
      </c>
      <c r="F324" s="20" t="n">
        <f aca="false">F323*fx</f>
        <v>919.005541633245</v>
      </c>
      <c r="G324" s="20" t="n">
        <f aca="false">G323*fx</f>
        <v>1108.47452288001</v>
      </c>
    </row>
    <row r="325" customFormat="false" ht="17.15" hidden="false" customHeight="false" outlineLevel="0" collapsed="false">
      <c r="A325" s="4" t="s">
        <v>496</v>
      </c>
      <c r="B325" s="0" t="s">
        <v>53</v>
      </c>
      <c r="D325" s="15" t="n">
        <f aca="false">a26_aip/D324</f>
        <v>0.583671939396773</v>
      </c>
      <c r="H325" s="8" t="s">
        <v>497</v>
      </c>
    </row>
    <row r="326" customFormat="false" ht="17.15" hidden="false" customHeight="false" outlineLevel="0" collapsed="false">
      <c r="A326" s="4" t="s">
        <v>498</v>
      </c>
      <c r="B326" s="0" t="s">
        <v>69</v>
      </c>
      <c r="D326" s="16" t="n">
        <f aca="false">1</f>
        <v>1</v>
      </c>
      <c r="E326" s="16" t="n">
        <f aca="false">rel_27</f>
        <v>0.95</v>
      </c>
      <c r="F326" s="16" t="n">
        <f aca="false">rel_28</f>
        <v>0.9</v>
      </c>
      <c r="G326" s="16" t="n">
        <f aca="false">rel_29</f>
        <v>0.85</v>
      </c>
    </row>
    <row r="327" customFormat="false" ht="15" hidden="false" customHeight="false" outlineLevel="0" collapsed="false">
      <c r="A327" s="4" t="s">
        <v>455</v>
      </c>
      <c r="B327" s="0" t="s">
        <v>53</v>
      </c>
      <c r="D327" s="15" t="n">
        <f aca="false">$D$325*D326</f>
        <v>0.583671939396773</v>
      </c>
      <c r="E327" s="15" t="n">
        <f aca="false">$D$325*E326</f>
        <v>0.554488342426935</v>
      </c>
      <c r="F327" s="15" t="n">
        <f aca="false">$D$325*F326</f>
        <v>0.525304745457096</v>
      </c>
      <c r="G327" s="15" t="n">
        <f aca="false">$D$325*G326</f>
        <v>0.496121148487257</v>
      </c>
    </row>
    <row r="328" customFormat="false" ht="17.15" hidden="false" customHeight="false" outlineLevel="0" collapsed="false">
      <c r="A328" s="0" t="s">
        <v>499</v>
      </c>
      <c r="B328" s="0" t="s">
        <v>209</v>
      </c>
      <c r="C328" s="20" t="n">
        <f aca="false">a25_aip</f>
        <v>99.8793</v>
      </c>
      <c r="D328" s="20" t="n">
        <f aca="false">D324*D327</f>
        <v>196.670214</v>
      </c>
      <c r="E328" s="20" t="n">
        <f aca="false">E324*E327</f>
        <v>354.703044869173</v>
      </c>
      <c r="F328" s="20" t="n">
        <f aca="false">F324*F327</f>
        <v>482.757972121312</v>
      </c>
      <c r="G328" s="20" t="n">
        <f aca="false">G324*G327</f>
        <v>549.937653360094</v>
      </c>
    </row>
    <row r="329" customFormat="false" ht="17.15" hidden="false" customHeight="false" outlineLevel="0" collapsed="false">
      <c r="A329" s="6" t="s">
        <v>500</v>
      </c>
    </row>
    <row r="330" customFormat="false" ht="17.15" hidden="false" customHeight="false" outlineLevel="0" collapsed="false">
      <c r="A330" s="4" t="s">
        <v>501</v>
      </c>
      <c r="B330" s="0" t="s">
        <v>502</v>
      </c>
      <c r="D330" s="23" t="n">
        <f aca="false">a26_lc/D321</f>
        <v>4.04080573428535</v>
      </c>
    </row>
    <row r="331" customFormat="false" ht="17.15" hidden="false" customHeight="false" outlineLevel="0" collapsed="false">
      <c r="A331" s="4" t="s">
        <v>503</v>
      </c>
      <c r="B331" s="0" t="s">
        <v>69</v>
      </c>
      <c r="D331" s="16" t="n">
        <f aca="false">1</f>
        <v>1</v>
      </c>
      <c r="E331" s="16" t="n">
        <f aca="false">lcr_27</f>
        <v>1.1</v>
      </c>
      <c r="F331" s="16" t="n">
        <f aca="false">lcr_28</f>
        <v>1.15</v>
      </c>
      <c r="G331" s="16" t="n">
        <f aca="false">lcr_29</f>
        <v>1.2</v>
      </c>
    </row>
    <row r="332" customFormat="false" ht="15" hidden="false" customHeight="false" outlineLevel="0" collapsed="false">
      <c r="A332" s="4" t="s">
        <v>504</v>
      </c>
      <c r="B332" s="0" t="s">
        <v>209</v>
      </c>
      <c r="C332" s="20" t="n">
        <f aca="false">a25_lc</f>
        <v>55.4885</v>
      </c>
      <c r="D332" s="20" t="n">
        <f aca="false">D321*$D$330*D331</f>
        <v>94.5529875</v>
      </c>
      <c r="E332" s="20" t="n">
        <f aca="false">E321*$D$330*E331</f>
        <v>148.09211134467</v>
      </c>
      <c r="F332" s="20" t="n">
        <f aca="false">F321*$D$330*F331</f>
        <v>196.256952750109</v>
      </c>
      <c r="G332" s="20" t="n">
        <f aca="false">G321*$D$330*G331</f>
        <v>233.28803168556</v>
      </c>
    </row>
    <row r="333" customFormat="false" ht="17.15" hidden="false" customHeight="false" outlineLevel="0" collapsed="false">
      <c r="A333" s="4" t="s">
        <v>505</v>
      </c>
      <c r="B333" s="0" t="s">
        <v>209</v>
      </c>
      <c r="C333" s="20" t="n">
        <f aca="false">a25_pe-a25_aip</f>
        <v>177.5632</v>
      </c>
      <c r="D333" s="20" t="n">
        <f aca="false">a26_pe-a26_aip</f>
        <v>189.105975</v>
      </c>
      <c r="E333" s="20" t="n">
        <f aca="false">D333*(1+g_pe27)</f>
        <v>198.56127375</v>
      </c>
      <c r="F333" s="20" t="n">
        <f aca="false">E333*(1+g_pe28)</f>
        <v>206.5037247</v>
      </c>
      <c r="G333" s="20" t="n">
        <f aca="false">F333*(1+g_pe29)</f>
        <v>212.698836441</v>
      </c>
      <c r="H333" s="8" t="s">
        <v>506</v>
      </c>
    </row>
    <row r="334" customFormat="false" ht="17.15" hidden="false" customHeight="false" outlineLevel="0" collapsed="false">
      <c r="A334" s="4" t="s">
        <v>431</v>
      </c>
      <c r="B334" s="0" t="s">
        <v>209</v>
      </c>
      <c r="C334" s="20" t="n">
        <f aca="false">C328+C333</f>
        <v>277.4425</v>
      </c>
      <c r="D334" s="20" t="n">
        <f aca="false">D328+D333</f>
        <v>385.776189</v>
      </c>
      <c r="E334" s="20" t="n">
        <f aca="false">E328+E333</f>
        <v>553.264318619173</v>
      </c>
      <c r="F334" s="20" t="n">
        <f aca="false">F328+F333</f>
        <v>689.261696821312</v>
      </c>
      <c r="G334" s="20" t="n">
        <f aca="false">G328+G333</f>
        <v>762.636489801094</v>
      </c>
      <c r="H334" s="4" t="s">
        <v>507</v>
      </c>
    </row>
    <row r="335" customFormat="false" ht="17.15" hidden="false" customHeight="false" outlineLevel="0" collapsed="false">
      <c r="A335" s="4" t="s">
        <v>508</v>
      </c>
      <c r="B335" s="0" t="s">
        <v>209</v>
      </c>
      <c r="C335" s="20" t="n">
        <f aca="false">a25_inf-a25_lc</f>
        <v>127.62355</v>
      </c>
      <c r="D335" s="20" t="n">
        <f aca="false">a26_inf-a26_lc</f>
        <v>170.1953775</v>
      </c>
      <c r="E335" s="20" t="n">
        <f aca="false">D335*(1+g_inf27)</f>
        <v>185.512961475</v>
      </c>
      <c r="F335" s="20" t="n">
        <f aca="false">E335*(1+g_inf28)</f>
        <v>198.49886877825</v>
      </c>
      <c r="G335" s="20" t="n">
        <f aca="false">F335*(1+g_inf29)</f>
        <v>210.408800904945</v>
      </c>
      <c r="H335" s="4" t="s">
        <v>509</v>
      </c>
    </row>
    <row r="336" customFormat="false" ht="15" hidden="false" customHeight="false" outlineLevel="0" collapsed="false">
      <c r="A336" s="4" t="s">
        <v>437</v>
      </c>
      <c r="B336" s="0" t="s">
        <v>209</v>
      </c>
      <c r="C336" s="20" t="n">
        <f aca="false">C332+C335</f>
        <v>183.11205</v>
      </c>
      <c r="D336" s="20" t="n">
        <f aca="false">D332+D335</f>
        <v>264.748365</v>
      </c>
      <c r="E336" s="20" t="n">
        <f aca="false">E332+E335</f>
        <v>333.60507281967</v>
      </c>
      <c r="F336" s="20" t="n">
        <f aca="false">F332+F335</f>
        <v>394.755821528359</v>
      </c>
      <c r="G336" s="20" t="n">
        <f aca="false">G332+G335</f>
        <v>443.696832590505</v>
      </c>
      <c r="H336" s="4" t="s">
        <v>510</v>
      </c>
    </row>
    <row r="337" customFormat="false" ht="15" hidden="false" customHeight="false" outlineLevel="0" collapsed="false">
      <c r="A337" s="4" t="s">
        <v>436</v>
      </c>
      <c r="B337" s="0" t="s">
        <v>209</v>
      </c>
      <c r="C337" s="20" t="n">
        <f aca="false">a25_au</f>
        <v>55.4885</v>
      </c>
      <c r="D337" s="20" t="n">
        <f aca="false">a26_au</f>
        <v>60.513912</v>
      </c>
      <c r="E337" s="20" t="n">
        <f aca="false">D337*(1+g_au27)</f>
        <v>63.5396076</v>
      </c>
      <c r="F337" s="20" t="n">
        <f aca="false">E337*(1+g_au28)</f>
        <v>66.71658798</v>
      </c>
      <c r="G337" s="20" t="n">
        <f aca="false">F337*(1+g_au29)</f>
        <v>69.3852514992</v>
      </c>
    </row>
    <row r="338" customFormat="false" ht="15" hidden="false" customHeight="false" outlineLevel="0" collapsed="false">
      <c r="A338" s="4" t="s">
        <v>435</v>
      </c>
      <c r="B338" s="0" t="s">
        <v>209</v>
      </c>
      <c r="C338" s="20" t="n">
        <f aca="false">a25_mo</f>
        <v>38.84195</v>
      </c>
      <c r="D338" s="20" t="n">
        <f aca="false">a26_mo</f>
        <v>45.385434</v>
      </c>
      <c r="E338" s="20" t="n">
        <f aca="false">D338*(1+g_mo27)</f>
        <v>45.385434</v>
      </c>
      <c r="F338" s="20" t="n">
        <f aca="false">E338*(1+g_mo28)</f>
        <v>46.29314268</v>
      </c>
      <c r="G338" s="20" t="n">
        <f aca="false">F338*(1+g_mo29)</f>
        <v>47.2190055336</v>
      </c>
    </row>
    <row r="339" customFormat="false" ht="17.15" hidden="false" customHeight="false" outlineLevel="0" collapsed="false">
      <c r="A339" s="4" t="s">
        <v>511</v>
      </c>
      <c r="B339" s="0" t="s">
        <v>209</v>
      </c>
      <c r="C339" s="20" t="n">
        <f aca="false">C333+C335+C337+C338</f>
        <v>399.5172</v>
      </c>
      <c r="D339" s="20" t="n">
        <f aca="false">D333+D335+D337+D338</f>
        <v>465.2006985</v>
      </c>
      <c r="E339" s="20" t="n">
        <f aca="false">E333+E335+E337+E338</f>
        <v>492.999276825</v>
      </c>
      <c r="F339" s="20" t="n">
        <f aca="false">F333+F335+F337+F338</f>
        <v>518.01232413825</v>
      </c>
      <c r="G339" s="20" t="n">
        <f aca="false">G333+G335+G337+G338</f>
        <v>539.711894378745</v>
      </c>
    </row>
    <row r="340" customFormat="false" ht="15" hidden="false" customHeight="false" outlineLevel="0" collapsed="false">
      <c r="A340" s="4" t="s">
        <v>386</v>
      </c>
      <c r="B340" s="0" t="s">
        <v>209</v>
      </c>
      <c r="C340" s="20" t="n">
        <f aca="false">C334+C336+C337+C338</f>
        <v>554.885</v>
      </c>
      <c r="D340" s="20" t="n">
        <f aca="false">D334+D336+D337+D338</f>
        <v>756.4239</v>
      </c>
      <c r="E340" s="20" t="n">
        <f aca="false">E334+E336+E337+E338</f>
        <v>995.794433038842</v>
      </c>
      <c r="F340" s="20" t="n">
        <f aca="false">F334+F336+F337+F338</f>
        <v>1197.02724900967</v>
      </c>
      <c r="G340" s="20" t="n">
        <f aca="false">G334+G336+G337+G338</f>
        <v>1322.9375794244</v>
      </c>
      <c r="H340" s="4" t="s">
        <v>512</v>
      </c>
    </row>
    <row r="341" customFormat="false" ht="17.15" hidden="false" customHeight="false" outlineLevel="0" collapsed="false">
      <c r="A341" s="4" t="s">
        <v>513</v>
      </c>
      <c r="B341" s="0" t="s">
        <v>209</v>
      </c>
      <c r="C341" s="23" t="n">
        <f aca="false">C340-a25_rev</f>
        <v>0</v>
      </c>
      <c r="D341" s="23" t="n">
        <f aca="false">D340-a26_rev</f>
        <v>0</v>
      </c>
    </row>
    <row r="342" customFormat="false" ht="15" hidden="false" customHeight="false" outlineLevel="0" collapsed="false">
      <c r="A342" s="4" t="s">
        <v>514</v>
      </c>
      <c r="B342" s="0" t="s">
        <v>53</v>
      </c>
      <c r="D342" s="15" t="n">
        <f aca="false">D340/C340-1</f>
        <v>0.363208412553953</v>
      </c>
      <c r="E342" s="15" t="n">
        <f aca="false">E340/D340-1</f>
        <v>0.316450251028348</v>
      </c>
      <c r="F342" s="15" t="n">
        <f aca="false">F340/E340-1</f>
        <v>0.202082688247947</v>
      </c>
      <c r="G342" s="15" t="n">
        <f aca="false">G340/F340-1</f>
        <v>0.1051858514657</v>
      </c>
    </row>
    <row r="343" customFormat="false" ht="17.15" hidden="false" customHeight="false" outlineLevel="0" collapsed="false">
      <c r="A343" s="0" t="s">
        <v>515</v>
      </c>
      <c r="B343" s="0" t="s">
        <v>53</v>
      </c>
      <c r="C343" s="15" t="n">
        <f aca="false">C328/C340</f>
        <v>0.18</v>
      </c>
      <c r="D343" s="15" t="n">
        <f aca="false">D328/D340</f>
        <v>0.26</v>
      </c>
      <c r="E343" s="15" t="n">
        <f aca="false">E328/E340</f>
        <v>0.356201072330495</v>
      </c>
      <c r="F343" s="15" t="n">
        <f aca="false">F328/F340</f>
        <v>0.403297395711509</v>
      </c>
      <c r="G343" s="15" t="n">
        <f aca="false">G328/G340</f>
        <v>0.4156943320027</v>
      </c>
    </row>
    <row r="344" customFormat="false" ht="17.15" hidden="false" customHeight="false" outlineLevel="0" collapsed="false">
      <c r="A344" s="0" t="s">
        <v>516</v>
      </c>
      <c r="B344" s="0" t="s">
        <v>53</v>
      </c>
      <c r="C344" s="15" t="n">
        <f aca="false">(C328+C332)/C340</f>
        <v>0.28</v>
      </c>
      <c r="D344" s="15" t="n">
        <f aca="false">(D328+D332)/D340</f>
        <v>0.385</v>
      </c>
      <c r="E344" s="15" t="n">
        <f aca="false">(E328+E332)/E340</f>
        <v>0.504918625302488</v>
      </c>
      <c r="F344" s="15" t="n">
        <f aca="false">(F328+F332)/F340</f>
        <v>0.567251017412667</v>
      </c>
      <c r="G344" s="15" t="n">
        <f aca="false">(G328+G332)/G340</f>
        <v>0.592035253383936</v>
      </c>
    </row>
    <row r="345" customFormat="false" ht="17.15" hidden="false" customHeight="false" outlineLevel="0" collapsed="false">
      <c r="A345" s="4" t="s">
        <v>462</v>
      </c>
      <c r="B345" s="0" t="s">
        <v>463</v>
      </c>
      <c r="D345" s="19" t="n">
        <f aca="false">(D328+D332)/fx/D321*1000</f>
        <v>388.927551924965</v>
      </c>
      <c r="E345" s="19" t="n">
        <f aca="false">(E328+E332)/fx/E321*1000</f>
        <v>471.59570257222</v>
      </c>
      <c r="F345" s="19" t="n">
        <f aca="false">(F328+F332)/fx/F321*1000</f>
        <v>502.423682986705</v>
      </c>
      <c r="G345" s="19" t="n">
        <f aca="false">(G328+G332)/fx/G321*1000</f>
        <v>508.737441946526</v>
      </c>
    </row>
    <row r="346" customFormat="false" ht="17.15" hidden="false" customHeight="false" outlineLevel="0" collapsed="false">
      <c r="A346" s="6" t="s">
        <v>517</v>
      </c>
    </row>
    <row r="347" customFormat="false" ht="17.15" hidden="false" customHeight="false" outlineLevel="0" collapsed="false">
      <c r="A347" s="4" t="s">
        <v>518</v>
      </c>
      <c r="B347" s="0" t="s">
        <v>53</v>
      </c>
      <c r="D347" s="15" t="n">
        <f aca="false">a26_gp/D340-d_ai*D343</f>
        <v>0.340474417690927</v>
      </c>
      <c r="H347" s="8" t="s">
        <v>519</v>
      </c>
    </row>
    <row r="348" customFormat="false" ht="15" hidden="false" customHeight="false" outlineLevel="0" collapsed="false">
      <c r="A348" s="4" t="s">
        <v>390</v>
      </c>
      <c r="B348" s="0" t="s">
        <v>209</v>
      </c>
      <c r="C348" s="20" t="n">
        <f aca="false">a25_gp</f>
        <v>190.2</v>
      </c>
      <c r="D348" s="20" t="n">
        <f aca="false">a26_gp</f>
        <v>273.276604</v>
      </c>
      <c r="E348" s="20" t="n">
        <f aca="false">$D$347*E340+d_ai*E328</f>
        <v>367.418773318301</v>
      </c>
      <c r="F348" s="20" t="n">
        <f aca="false">$D$347*F340+d_ai*F328</f>
        <v>446.177793336445</v>
      </c>
      <c r="G348" s="20" t="n">
        <f aca="false">$D$347*G340+d_ai*G328</f>
        <v>494.421414264774</v>
      </c>
    </row>
    <row r="349" customFormat="false" ht="15" hidden="false" customHeight="false" outlineLevel="0" collapsed="false">
      <c r="A349" s="4" t="s">
        <v>392</v>
      </c>
      <c r="B349" s="0" t="s">
        <v>53</v>
      </c>
      <c r="C349" s="15" t="n">
        <f aca="false">C348/C340</f>
        <v>0.342773727889563</v>
      </c>
      <c r="D349" s="15" t="n">
        <f aca="false">D348/D340</f>
        <v>0.361274417690927</v>
      </c>
      <c r="E349" s="15" t="n">
        <f aca="false">E348/E340</f>
        <v>0.368970503477367</v>
      </c>
      <c r="F349" s="15" t="n">
        <f aca="false">F348/F340</f>
        <v>0.372738209347848</v>
      </c>
      <c r="G349" s="15" t="n">
        <f aca="false">G348/G340</f>
        <v>0.373729964251143</v>
      </c>
    </row>
    <row r="350" customFormat="false" ht="15" hidden="false" customHeight="false" outlineLevel="0" collapsed="false">
      <c r="A350" s="4" t="s">
        <v>520</v>
      </c>
      <c r="B350" s="0" t="s">
        <v>209</v>
      </c>
      <c r="C350" s="20" t="n">
        <f aca="false">a25_opx</f>
        <v>106.3</v>
      </c>
      <c r="D350" s="20" t="n">
        <f aca="false">a26_opx</f>
        <v>141.924088166667</v>
      </c>
      <c r="E350" s="20" t="n">
        <f aca="false">D350*(1+MAX(0,phi*E342))</f>
        <v>177.853618828516</v>
      </c>
      <c r="F350" s="20" t="n">
        <f aca="false">E350*(1+MAX(0,phi*F342))</f>
        <v>206.606528754509</v>
      </c>
      <c r="G350" s="20" t="n">
        <f aca="false">F350*(1+MAX(0,phi*G342))</f>
        <v>223.992195670842</v>
      </c>
    </row>
    <row r="351" customFormat="false" ht="15" hidden="false" customHeight="false" outlineLevel="0" collapsed="false">
      <c r="A351" s="4" t="s">
        <v>394</v>
      </c>
      <c r="B351" s="0" t="s">
        <v>209</v>
      </c>
      <c r="C351" s="20" t="n">
        <f aca="false">C350</f>
        <v>106.3</v>
      </c>
      <c r="D351" s="20" t="n">
        <f aca="false">D350</f>
        <v>141.924088166667</v>
      </c>
      <c r="E351" s="20" t="n">
        <f aca="false">E350+0*E340</f>
        <v>177.853618828516</v>
      </c>
      <c r="F351" s="20" t="n">
        <f aca="false">F350+0*F340</f>
        <v>206.606528754509</v>
      </c>
      <c r="G351" s="20" t="n">
        <f aca="false">G350+0*G340</f>
        <v>223.992195670842</v>
      </c>
    </row>
    <row r="352" customFormat="false" ht="15" hidden="false" customHeight="false" outlineLevel="0" collapsed="false">
      <c r="A352" s="4" t="s">
        <v>396</v>
      </c>
      <c r="B352" s="0" t="s">
        <v>209</v>
      </c>
      <c r="C352" s="20" t="n">
        <f aca="false">C348-C351</f>
        <v>83.9</v>
      </c>
      <c r="D352" s="20" t="n">
        <f aca="false">D348-D351</f>
        <v>131.352515833333</v>
      </c>
      <c r="E352" s="20" t="n">
        <f aca="false">E348-E351</f>
        <v>189.565154489785</v>
      </c>
      <c r="F352" s="20" t="n">
        <f aca="false">F348-F351</f>
        <v>239.571264581936</v>
      </c>
      <c r="G352" s="20" t="n">
        <f aca="false">G348-G351</f>
        <v>270.429218593933</v>
      </c>
    </row>
    <row r="353" customFormat="false" ht="15" hidden="false" customHeight="false" outlineLevel="0" collapsed="false">
      <c r="A353" s="4" t="s">
        <v>398</v>
      </c>
      <c r="B353" s="0" t="s">
        <v>53</v>
      </c>
      <c r="C353" s="15" t="n">
        <f aca="false">C352/C340</f>
        <v>0.151202501419213</v>
      </c>
      <c r="D353" s="15" t="n">
        <f aca="false">D352/D340</f>
        <v>0.173649346396027</v>
      </c>
      <c r="E353" s="15" t="n">
        <f aca="false">E352/E340</f>
        <v>0.190365750400204</v>
      </c>
      <c r="F353" s="15" t="n">
        <f aca="false">F352/F340</f>
        <v>0.2001385221432</v>
      </c>
      <c r="G353" s="15" t="n">
        <f aca="false">G352/G340</f>
        <v>0.204415705472358</v>
      </c>
    </row>
    <row r="354" customFormat="false" ht="15" hidden="false" customHeight="false" outlineLevel="0" collapsed="false">
      <c r="A354" s="4" t="s">
        <v>400</v>
      </c>
      <c r="B354" s="0" t="s">
        <v>209</v>
      </c>
      <c r="C354" s="20" t="n">
        <f aca="false">a25_nop</f>
        <v>3.934</v>
      </c>
      <c r="D354" s="20" t="n">
        <f aca="false">a26_nop</f>
        <v>11.1666666666667</v>
      </c>
      <c r="E354" s="20" t="n">
        <f aca="false">nop_f</f>
        <v>8</v>
      </c>
      <c r="F354" s="20" t="n">
        <f aca="false">nop_f</f>
        <v>8</v>
      </c>
      <c r="G354" s="20" t="n">
        <f aca="false">nop_f</f>
        <v>8</v>
      </c>
    </row>
    <row r="355" customFormat="false" ht="17.15" hidden="false" customHeight="false" outlineLevel="0" collapsed="false">
      <c r="A355" s="4" t="s">
        <v>250</v>
      </c>
      <c r="B355" s="0" t="s">
        <v>53</v>
      </c>
      <c r="C355" s="15" t="n">
        <f aca="false">a25_ni/(a25_oi+a25_nop)</f>
        <v>0.684336361773345</v>
      </c>
      <c r="D355" s="15" t="n">
        <f aca="false">a26_ni/(a26_oi+a26_nop)</f>
        <v>0.690638510538748</v>
      </c>
      <c r="E355" s="15" t="n">
        <f aca="false">nir_f</f>
        <v>0.69</v>
      </c>
      <c r="F355" s="15" t="n">
        <f aca="false">nir_f</f>
        <v>0.69</v>
      </c>
      <c r="G355" s="15" t="n">
        <f aca="false">nir_f</f>
        <v>0.69</v>
      </c>
    </row>
    <row r="356" customFormat="false" ht="15" hidden="false" customHeight="false" outlineLevel="0" collapsed="false">
      <c r="A356" s="4" t="s">
        <v>403</v>
      </c>
      <c r="B356" s="0" t="s">
        <v>209</v>
      </c>
      <c r="C356" s="20" t="n">
        <f aca="false">a25_ni</f>
        <v>60.108</v>
      </c>
      <c r="D356" s="20" t="n">
        <f aca="false">a26_ni</f>
        <v>98.429235925</v>
      </c>
      <c r="E356" s="20" t="n">
        <f aca="false">(E352+E354)*E355</f>
        <v>136.319956597952</v>
      </c>
      <c r="F356" s="20" t="n">
        <f aca="false">(F352+F354)*F355</f>
        <v>170.824172561536</v>
      </c>
      <c r="G356" s="20" t="n">
        <f aca="false">(G352+G354)*G355</f>
        <v>192.116160829813</v>
      </c>
    </row>
    <row r="357" customFormat="false" ht="15" hidden="false" customHeight="false" outlineLevel="0" collapsed="false">
      <c r="A357" s="4" t="s">
        <v>521</v>
      </c>
      <c r="B357" s="4" t="s">
        <v>234</v>
      </c>
      <c r="C357" s="23" t="n">
        <f aca="false">a25_sh</f>
        <v>2.59757994814175</v>
      </c>
      <c r="D357" s="23" t="n">
        <f aca="false">a26_sh</f>
        <v>2.59806708357021</v>
      </c>
      <c r="E357" s="23" t="n">
        <f aca="false">D357*(1+sh_g)</f>
        <v>2.59806708357021</v>
      </c>
      <c r="F357" s="23" t="n">
        <f aca="false">E357*(1+sh_g)</f>
        <v>2.59806708357021</v>
      </c>
      <c r="G357" s="23" t="n">
        <f aca="false">F357*(1+sh_g)</f>
        <v>2.59806708357021</v>
      </c>
    </row>
    <row r="358" customFormat="false" ht="15" hidden="false" customHeight="false" outlineLevel="0" collapsed="false">
      <c r="A358" s="0" t="s">
        <v>408</v>
      </c>
      <c r="B358" s="0" t="s">
        <v>265</v>
      </c>
      <c r="C358" s="21" t="n">
        <f aca="false">C356/C357</f>
        <v>23.14</v>
      </c>
      <c r="D358" s="21" t="n">
        <f aca="false">D356/D357</f>
        <v>37.8855636744147</v>
      </c>
      <c r="E358" s="21" t="n">
        <f aca="false">E356/E357</f>
        <v>52.4697600997367</v>
      </c>
      <c r="F358" s="21" t="n">
        <f aca="false">F356/F357</f>
        <v>65.750485675217</v>
      </c>
      <c r="G358" s="21" t="n">
        <f aca="false">G356/G357</f>
        <v>73.9458045732258</v>
      </c>
    </row>
    <row r="359" customFormat="false" ht="17.15" hidden="false" customHeight="false" outlineLevel="0" collapsed="false">
      <c r="A359" s="0" t="s">
        <v>522</v>
      </c>
      <c r="B359" s="0" t="s">
        <v>53</v>
      </c>
      <c r="D359" s="15" t="n">
        <f aca="false">D358/C358-1</f>
        <v>0.637232656629847</v>
      </c>
      <c r="E359" s="15" t="n">
        <f aca="false">E358/D358-1</f>
        <v>0.384953924683751</v>
      </c>
      <c r="F359" s="15" t="n">
        <f aca="false">F358/E358-1</f>
        <v>0.253111993465106</v>
      </c>
      <c r="G359" s="15" t="n">
        <f aca="false">G358/F358-1</f>
        <v>0.12464271273205</v>
      </c>
    </row>
    <row r="362" customFormat="false" ht="17.15" hidden="false" customHeight="false" outlineLevel="0" collapsed="false">
      <c r="A362" s="1" t="s">
        <v>866</v>
      </c>
    </row>
    <row r="363" customFormat="false" ht="17.15" hidden="false" customHeight="false" outlineLevel="0" collapsed="false">
      <c r="A363" s="5" t="s">
        <v>22</v>
      </c>
      <c r="B363" s="5" t="s">
        <v>23</v>
      </c>
      <c r="C363" s="12" t="s">
        <v>380</v>
      </c>
      <c r="D363" s="12" t="s">
        <v>468</v>
      </c>
      <c r="E363" s="12" t="s">
        <v>469</v>
      </c>
      <c r="F363" s="12" t="s">
        <v>470</v>
      </c>
      <c r="G363" s="12" t="s">
        <v>471</v>
      </c>
      <c r="H363" s="5" t="s">
        <v>365</v>
      </c>
    </row>
    <row r="364" customFormat="false" ht="17.15" hidden="false" customHeight="false" outlineLevel="0" collapsed="false">
      <c r="A364" s="6" t="s">
        <v>490</v>
      </c>
    </row>
    <row r="365" customFormat="false" ht="17.15" hidden="false" customHeight="false" outlineLevel="0" collapsed="false">
      <c r="A365" s="0" t="s">
        <v>491</v>
      </c>
      <c r="B365" s="0" t="s">
        <v>33</v>
      </c>
      <c r="D365" s="21" t="n">
        <f aca="false">itc_26*1</f>
        <v>781.872916666666</v>
      </c>
      <c r="E365" s="21" t="n">
        <f aca="false">itc_27*1*mf_hi</f>
        <v>1878.42</v>
      </c>
      <c r="F365" s="21" t="n">
        <f aca="false">itc_28*um28_A*mf_hi</f>
        <v>2381.11666666667</v>
      </c>
      <c r="G365" s="21" t="n">
        <f aca="false">itc_29*um29_A*mf_hi</f>
        <v>2712.46833333334</v>
      </c>
    </row>
    <row r="366" customFormat="false" ht="17.15" hidden="false" customHeight="false" outlineLevel="0" collapsed="false">
      <c r="A366" s="4" t="s">
        <v>492</v>
      </c>
      <c r="B366" s="0" t="s">
        <v>33</v>
      </c>
      <c r="D366" s="21" t="n">
        <f aca="false">itpg_gb*(1-vr26)+itpg_vr*vr26</f>
        <v>33.41403216</v>
      </c>
      <c r="E366" s="21" t="n">
        <f aca="false">itpg_vr</f>
        <v>37.586352</v>
      </c>
      <c r="F366" s="21" t="n">
        <f aca="false">itpg_vr</f>
        <v>37.586352</v>
      </c>
      <c r="G366" s="21" t="n">
        <f aca="false">itpg_vr</f>
        <v>37.586352</v>
      </c>
    </row>
    <row r="367" customFormat="false" ht="17.15" hidden="false" customHeight="false" outlineLevel="0" collapsed="false">
      <c r="A367" s="4" t="s">
        <v>493</v>
      </c>
      <c r="B367" s="0" t="s">
        <v>446</v>
      </c>
      <c r="D367" s="18" t="n">
        <f aca="false">D365/D366</f>
        <v>23.3995380420639</v>
      </c>
      <c r="E367" s="18" t="n">
        <f aca="false">E365/E366</f>
        <v>49.9761189912764</v>
      </c>
      <c r="F367" s="18" t="n">
        <f aca="false">F365/F366</f>
        <v>63.3505658294976</v>
      </c>
      <c r="G367" s="18" t="n">
        <f aca="false">G365/G366</f>
        <v>72.1663100833339</v>
      </c>
    </row>
    <row r="368" customFormat="false" ht="17.15" hidden="false" customHeight="false" outlineLevel="0" collapsed="false">
      <c r="A368" s="0" t="s">
        <v>448</v>
      </c>
      <c r="B368" s="0" t="s">
        <v>96</v>
      </c>
      <c r="D368" s="19" t="n">
        <f aca="false">pkw_26</f>
        <v>450</v>
      </c>
      <c r="E368" s="19" t="n">
        <f aca="false">pkw_27</f>
        <v>600</v>
      </c>
      <c r="F368" s="19" t="n">
        <f aca="false">pkw_28</f>
        <v>680</v>
      </c>
      <c r="G368" s="19" t="n">
        <f aca="false">pkw_29</f>
        <v>720</v>
      </c>
    </row>
    <row r="369" customFormat="false" ht="17.15" hidden="false" customHeight="false" outlineLevel="0" collapsed="false">
      <c r="A369" s="0" t="s">
        <v>494</v>
      </c>
      <c r="B369" s="0" t="s">
        <v>33</v>
      </c>
      <c r="D369" s="21" t="n">
        <f aca="false">D367*D368/1000</f>
        <v>10.5297921189287</v>
      </c>
      <c r="E369" s="21" t="n">
        <f aca="false">E367*E368/1000</f>
        <v>29.9856713947658</v>
      </c>
      <c r="F369" s="21" t="n">
        <f aca="false">F367*F368/1000</f>
        <v>43.0783847640584</v>
      </c>
      <c r="G369" s="21" t="n">
        <f aca="false">G367*G368/1000</f>
        <v>51.9597432600004</v>
      </c>
    </row>
    <row r="370" customFormat="false" ht="17.15" hidden="false" customHeight="false" outlineLevel="0" collapsed="false">
      <c r="A370" s="0" t="s">
        <v>495</v>
      </c>
      <c r="B370" s="0" t="s">
        <v>209</v>
      </c>
      <c r="D370" s="20" t="n">
        <f aca="false">D369*fx</f>
        <v>336.95334780572</v>
      </c>
      <c r="E370" s="20" t="n">
        <f aca="false">E369*fx</f>
        <v>959.541484632507</v>
      </c>
      <c r="F370" s="20" t="n">
        <f aca="false">F369*fx</f>
        <v>1378.50831244987</v>
      </c>
      <c r="G370" s="20" t="n">
        <f aca="false">G369*fx</f>
        <v>1662.71178432001</v>
      </c>
    </row>
    <row r="371" customFormat="false" ht="17.15" hidden="false" customHeight="false" outlineLevel="0" collapsed="false">
      <c r="A371" s="4" t="s">
        <v>496</v>
      </c>
      <c r="B371" s="0" t="s">
        <v>53</v>
      </c>
      <c r="D371" s="15" t="n">
        <f aca="false">a26_aip/D370</f>
        <v>0.583671939396773</v>
      </c>
      <c r="H371" s="8" t="s">
        <v>497</v>
      </c>
    </row>
    <row r="372" customFormat="false" ht="17.15" hidden="false" customHeight="false" outlineLevel="0" collapsed="false">
      <c r="A372" s="4" t="s">
        <v>498</v>
      </c>
      <c r="B372" s="0" t="s">
        <v>69</v>
      </c>
      <c r="D372" s="16" t="n">
        <f aca="false">1</f>
        <v>1</v>
      </c>
      <c r="E372" s="16" t="n">
        <f aca="false">rel_27</f>
        <v>0.95</v>
      </c>
      <c r="F372" s="16" t="n">
        <f aca="false">rel_28</f>
        <v>0.9</v>
      </c>
      <c r="G372" s="16" t="n">
        <f aca="false">rel_29</f>
        <v>0.85</v>
      </c>
    </row>
    <row r="373" customFormat="false" ht="15" hidden="false" customHeight="false" outlineLevel="0" collapsed="false">
      <c r="A373" s="4" t="s">
        <v>455</v>
      </c>
      <c r="B373" s="0" t="s">
        <v>53</v>
      </c>
      <c r="D373" s="15" t="n">
        <f aca="false">$D$371*D372</f>
        <v>0.583671939396773</v>
      </c>
      <c r="E373" s="15" t="n">
        <f aca="false">$D$371*E372</f>
        <v>0.554488342426935</v>
      </c>
      <c r="F373" s="15" t="n">
        <f aca="false">$D$371*F372</f>
        <v>0.525304745457096</v>
      </c>
      <c r="G373" s="15" t="n">
        <f aca="false">$D$371*G372</f>
        <v>0.496121148487257</v>
      </c>
    </row>
    <row r="374" customFormat="false" ht="17.15" hidden="false" customHeight="false" outlineLevel="0" collapsed="false">
      <c r="A374" s="0" t="s">
        <v>499</v>
      </c>
      <c r="B374" s="0" t="s">
        <v>209</v>
      </c>
      <c r="C374" s="20" t="n">
        <f aca="false">a25_aip</f>
        <v>99.8793</v>
      </c>
      <c r="D374" s="20" t="n">
        <f aca="false">D370*D373</f>
        <v>196.670214</v>
      </c>
      <c r="E374" s="20" t="n">
        <f aca="false">E370*E373</f>
        <v>532.054567303759</v>
      </c>
      <c r="F374" s="20" t="n">
        <f aca="false">F370*F373</f>
        <v>724.136958181969</v>
      </c>
      <c r="G374" s="20" t="n">
        <f aca="false">G370*G373</f>
        <v>824.906480040141</v>
      </c>
    </row>
    <row r="375" customFormat="false" ht="17.15" hidden="false" customHeight="false" outlineLevel="0" collapsed="false">
      <c r="A375" s="6" t="s">
        <v>500</v>
      </c>
    </row>
    <row r="376" customFormat="false" ht="17.15" hidden="false" customHeight="false" outlineLevel="0" collapsed="false">
      <c r="A376" s="4" t="s">
        <v>501</v>
      </c>
      <c r="B376" s="0" t="s">
        <v>502</v>
      </c>
      <c r="D376" s="23" t="n">
        <f aca="false">a26_lc/D367</f>
        <v>4.04080573428535</v>
      </c>
    </row>
    <row r="377" customFormat="false" ht="17.15" hidden="false" customHeight="false" outlineLevel="0" collapsed="false">
      <c r="A377" s="4" t="s">
        <v>503</v>
      </c>
      <c r="B377" s="0" t="s">
        <v>69</v>
      </c>
      <c r="D377" s="16" t="n">
        <f aca="false">1</f>
        <v>1</v>
      </c>
      <c r="E377" s="16" t="n">
        <f aca="false">lcr_27</f>
        <v>1.1</v>
      </c>
      <c r="F377" s="16" t="n">
        <f aca="false">lcr_28</f>
        <v>1.15</v>
      </c>
      <c r="G377" s="16" t="n">
        <f aca="false">lcr_29</f>
        <v>1.2</v>
      </c>
    </row>
    <row r="378" customFormat="false" ht="15" hidden="false" customHeight="false" outlineLevel="0" collapsed="false">
      <c r="A378" s="4" t="s">
        <v>504</v>
      </c>
      <c r="B378" s="0" t="s">
        <v>209</v>
      </c>
      <c r="C378" s="20" t="n">
        <f aca="false">a25_lc</f>
        <v>55.4885</v>
      </c>
      <c r="D378" s="20" t="n">
        <f aca="false">D367*$D$376*D377</f>
        <v>94.5529875</v>
      </c>
      <c r="E378" s="20" t="n">
        <f aca="false">E367*$D$376*E377</f>
        <v>222.138167017005</v>
      </c>
      <c r="F378" s="20" t="n">
        <f aca="false">F367*$D$376*F377</f>
        <v>294.385429125164</v>
      </c>
      <c r="G378" s="20" t="n">
        <f aca="false">G367*$D$376*G377</f>
        <v>349.93204752834</v>
      </c>
    </row>
    <row r="379" customFormat="false" ht="17.15" hidden="false" customHeight="false" outlineLevel="0" collapsed="false">
      <c r="A379" s="4" t="s">
        <v>505</v>
      </c>
      <c r="B379" s="0" t="s">
        <v>209</v>
      </c>
      <c r="C379" s="20" t="n">
        <f aca="false">a25_pe-a25_aip</f>
        <v>177.5632</v>
      </c>
      <c r="D379" s="20" t="n">
        <f aca="false">a26_pe-a26_aip</f>
        <v>189.105975</v>
      </c>
      <c r="E379" s="20" t="n">
        <f aca="false">D379*(1+g_pe27)</f>
        <v>198.56127375</v>
      </c>
      <c r="F379" s="20" t="n">
        <f aca="false">E379*(1+g_pe28)</f>
        <v>206.5037247</v>
      </c>
      <c r="G379" s="20" t="n">
        <f aca="false">F379*(1+g_pe29)</f>
        <v>212.698836441</v>
      </c>
      <c r="H379" s="8" t="s">
        <v>506</v>
      </c>
    </row>
    <row r="380" customFormat="false" ht="17.15" hidden="false" customHeight="false" outlineLevel="0" collapsed="false">
      <c r="A380" s="4" t="s">
        <v>431</v>
      </c>
      <c r="B380" s="0" t="s">
        <v>209</v>
      </c>
      <c r="C380" s="20" t="n">
        <f aca="false">C374+C379</f>
        <v>277.4425</v>
      </c>
      <c r="D380" s="20" t="n">
        <f aca="false">D374+D379</f>
        <v>385.776189</v>
      </c>
      <c r="E380" s="20" t="n">
        <f aca="false">E374+E379</f>
        <v>730.615841053759</v>
      </c>
      <c r="F380" s="20" t="n">
        <f aca="false">F374+F379</f>
        <v>930.640682881969</v>
      </c>
      <c r="G380" s="20" t="n">
        <f aca="false">G374+G379</f>
        <v>1037.60531648114</v>
      </c>
      <c r="H380" s="4" t="s">
        <v>507</v>
      </c>
    </row>
    <row r="381" customFormat="false" ht="17.15" hidden="false" customHeight="false" outlineLevel="0" collapsed="false">
      <c r="A381" s="4" t="s">
        <v>508</v>
      </c>
      <c r="B381" s="0" t="s">
        <v>209</v>
      </c>
      <c r="C381" s="20" t="n">
        <f aca="false">a25_inf-a25_lc</f>
        <v>127.62355</v>
      </c>
      <c r="D381" s="20" t="n">
        <f aca="false">a26_inf-a26_lc</f>
        <v>170.1953775</v>
      </c>
      <c r="E381" s="20" t="n">
        <f aca="false">D381*(1+g_inf27)</f>
        <v>185.512961475</v>
      </c>
      <c r="F381" s="20" t="n">
        <f aca="false">E381*(1+g_inf28)</f>
        <v>198.49886877825</v>
      </c>
      <c r="G381" s="20" t="n">
        <f aca="false">F381*(1+g_inf29)</f>
        <v>210.408800904945</v>
      </c>
      <c r="H381" s="4" t="s">
        <v>509</v>
      </c>
    </row>
    <row r="382" customFormat="false" ht="15" hidden="false" customHeight="false" outlineLevel="0" collapsed="false">
      <c r="A382" s="4" t="s">
        <v>437</v>
      </c>
      <c r="B382" s="0" t="s">
        <v>209</v>
      </c>
      <c r="C382" s="20" t="n">
        <f aca="false">C378+C381</f>
        <v>183.11205</v>
      </c>
      <c r="D382" s="20" t="n">
        <f aca="false">D378+D381</f>
        <v>264.748365</v>
      </c>
      <c r="E382" s="20" t="n">
        <f aca="false">E378+E381</f>
        <v>407.651128492005</v>
      </c>
      <c r="F382" s="20" t="n">
        <f aca="false">F378+F381</f>
        <v>492.884297903414</v>
      </c>
      <c r="G382" s="20" t="n">
        <f aca="false">G378+G381</f>
        <v>560.340848433285</v>
      </c>
      <c r="H382" s="4" t="s">
        <v>510</v>
      </c>
    </row>
    <row r="383" customFormat="false" ht="15" hidden="false" customHeight="false" outlineLevel="0" collapsed="false">
      <c r="A383" s="4" t="s">
        <v>436</v>
      </c>
      <c r="B383" s="0" t="s">
        <v>209</v>
      </c>
      <c r="C383" s="20" t="n">
        <f aca="false">a25_au</f>
        <v>55.4885</v>
      </c>
      <c r="D383" s="20" t="n">
        <f aca="false">a26_au</f>
        <v>60.513912</v>
      </c>
      <c r="E383" s="20" t="n">
        <f aca="false">D383*(1+g_au27)</f>
        <v>63.5396076</v>
      </c>
      <c r="F383" s="20" t="n">
        <f aca="false">E383*(1+g_au28)</f>
        <v>66.71658798</v>
      </c>
      <c r="G383" s="20" t="n">
        <f aca="false">F383*(1+g_au29)</f>
        <v>69.3852514992</v>
      </c>
    </row>
    <row r="384" customFormat="false" ht="15" hidden="false" customHeight="false" outlineLevel="0" collapsed="false">
      <c r="A384" s="4" t="s">
        <v>435</v>
      </c>
      <c r="B384" s="0" t="s">
        <v>209</v>
      </c>
      <c r="C384" s="20" t="n">
        <f aca="false">a25_mo</f>
        <v>38.84195</v>
      </c>
      <c r="D384" s="20" t="n">
        <f aca="false">a26_mo</f>
        <v>45.385434</v>
      </c>
      <c r="E384" s="20" t="n">
        <f aca="false">D384*(1+g_mo27)</f>
        <v>45.385434</v>
      </c>
      <c r="F384" s="20" t="n">
        <f aca="false">E384*(1+g_mo28)</f>
        <v>46.29314268</v>
      </c>
      <c r="G384" s="20" t="n">
        <f aca="false">F384*(1+g_mo29)</f>
        <v>47.2190055336</v>
      </c>
    </row>
    <row r="385" customFormat="false" ht="17.15" hidden="false" customHeight="false" outlineLevel="0" collapsed="false">
      <c r="A385" s="4" t="s">
        <v>511</v>
      </c>
      <c r="B385" s="0" t="s">
        <v>209</v>
      </c>
      <c r="C385" s="20" t="n">
        <f aca="false">C379+C381+C383+C384</f>
        <v>399.5172</v>
      </c>
      <c r="D385" s="20" t="n">
        <f aca="false">D379+D381+D383+D384</f>
        <v>465.2006985</v>
      </c>
      <c r="E385" s="20" t="n">
        <f aca="false">E379+E381+E383+E384</f>
        <v>492.999276825</v>
      </c>
      <c r="F385" s="20" t="n">
        <f aca="false">F379+F381+F383+F384</f>
        <v>518.01232413825</v>
      </c>
      <c r="G385" s="20" t="n">
        <f aca="false">G379+G381+G383+G384</f>
        <v>539.711894378745</v>
      </c>
    </row>
    <row r="386" customFormat="false" ht="15" hidden="false" customHeight="false" outlineLevel="0" collapsed="false">
      <c r="A386" s="4" t="s">
        <v>386</v>
      </c>
      <c r="B386" s="0" t="s">
        <v>209</v>
      </c>
      <c r="C386" s="20" t="n">
        <f aca="false">C380+C382+C383+C384</f>
        <v>554.885</v>
      </c>
      <c r="D386" s="20" t="n">
        <f aca="false">D380+D382+D383+D384</f>
        <v>756.4239</v>
      </c>
      <c r="E386" s="20" t="n">
        <f aca="false">E380+E382+E383+E384</f>
        <v>1247.19201114576</v>
      </c>
      <c r="F386" s="20" t="n">
        <f aca="false">F380+F382+F383+F384</f>
        <v>1536.53471144538</v>
      </c>
      <c r="G386" s="20" t="n">
        <f aca="false">G380+G382+G383+G384</f>
        <v>1714.55042194723</v>
      </c>
      <c r="H386" s="4" t="s">
        <v>512</v>
      </c>
    </row>
    <row r="387" customFormat="false" ht="17.15" hidden="false" customHeight="false" outlineLevel="0" collapsed="false">
      <c r="A387" s="4" t="s">
        <v>513</v>
      </c>
      <c r="B387" s="0" t="s">
        <v>209</v>
      </c>
      <c r="C387" s="23" t="n">
        <f aca="false">C386-a25_rev</f>
        <v>0</v>
      </c>
      <c r="D387" s="23" t="n">
        <f aca="false">D386-a26_rev</f>
        <v>0</v>
      </c>
    </row>
    <row r="388" customFormat="false" ht="15" hidden="false" customHeight="false" outlineLevel="0" collapsed="false">
      <c r="A388" s="4" t="s">
        <v>514</v>
      </c>
      <c r="B388" s="0" t="s">
        <v>53</v>
      </c>
      <c r="D388" s="15" t="n">
        <f aca="false">D386/C386-1</f>
        <v>0.363208412553953</v>
      </c>
      <c r="E388" s="15" t="n">
        <f aca="false">E386/D386-1</f>
        <v>0.648800376542522</v>
      </c>
      <c r="F388" s="15" t="n">
        <f aca="false">F386/E386-1</f>
        <v>0.231995312440951</v>
      </c>
      <c r="G388" s="15" t="n">
        <f aca="false">G386/F386-1</f>
        <v>0.11585531337225</v>
      </c>
    </row>
    <row r="389" customFormat="false" ht="17.15" hidden="false" customHeight="false" outlineLevel="0" collapsed="false">
      <c r="A389" s="0" t="s">
        <v>515</v>
      </c>
      <c r="B389" s="0" t="s">
        <v>53</v>
      </c>
      <c r="C389" s="15" t="n">
        <f aca="false">C374/C386</f>
        <v>0.18</v>
      </c>
      <c r="D389" s="15" t="n">
        <f aca="false">D374/D386</f>
        <v>0.26</v>
      </c>
      <c r="E389" s="15" t="n">
        <f aca="false">E374/E386</f>
        <v>0.426601968701655</v>
      </c>
      <c r="F389" s="15" t="n">
        <f aca="false">F374/F386</f>
        <v>0.471279270678363</v>
      </c>
      <c r="G389" s="15" t="n">
        <f aca="false">G374/G386</f>
        <v>0.481121155424108</v>
      </c>
    </row>
    <row r="390" customFormat="false" ht="17.15" hidden="false" customHeight="false" outlineLevel="0" collapsed="false">
      <c r="A390" s="0" t="s">
        <v>516</v>
      </c>
      <c r="B390" s="0" t="s">
        <v>53</v>
      </c>
      <c r="C390" s="15" t="n">
        <f aca="false">(C374+C378)/C386</f>
        <v>0.28</v>
      </c>
      <c r="D390" s="15" t="n">
        <f aca="false">(D374+D378)/D386</f>
        <v>0.385</v>
      </c>
      <c r="E390" s="15" t="n">
        <f aca="false">(E374+E378)/E386</f>
        <v>0.604712608468287</v>
      </c>
      <c r="F390" s="15" t="n">
        <f aca="false">(F374+F378)/F386</f>
        <v>0.662869754728178</v>
      </c>
      <c r="G390" s="15" t="n">
        <f aca="false">(G374+G378)/G386</f>
        <v>0.685216668188859</v>
      </c>
    </row>
    <row r="391" customFormat="false" ht="17.15" hidden="false" customHeight="false" outlineLevel="0" collapsed="false">
      <c r="A391" s="4" t="s">
        <v>462</v>
      </c>
      <c r="B391" s="0" t="s">
        <v>463</v>
      </c>
      <c r="D391" s="19" t="n">
        <f aca="false">(D374+D378)/fx/D367*1000</f>
        <v>388.927551924965</v>
      </c>
      <c r="E391" s="19" t="n">
        <f aca="false">(E374+E378)/fx/E367*1000</f>
        <v>471.59570257222</v>
      </c>
      <c r="F391" s="19" t="n">
        <f aca="false">(F374+F378)/fx/F367*1000</f>
        <v>502.423682986705</v>
      </c>
      <c r="G391" s="19" t="n">
        <f aca="false">(G374+G378)/fx/G367*1000</f>
        <v>508.737441946526</v>
      </c>
    </row>
    <row r="392" customFormat="false" ht="17.15" hidden="false" customHeight="false" outlineLevel="0" collapsed="false">
      <c r="A392" s="6" t="s">
        <v>517</v>
      </c>
    </row>
    <row r="393" customFormat="false" ht="17.15" hidden="false" customHeight="false" outlineLevel="0" collapsed="false">
      <c r="A393" s="4" t="s">
        <v>518</v>
      </c>
      <c r="B393" s="0" t="s">
        <v>53</v>
      </c>
      <c r="D393" s="15" t="n">
        <f aca="false">a26_gp/D386-d_ai*D389</f>
        <v>0.340474417690927</v>
      </c>
      <c r="H393" s="8" t="s">
        <v>519</v>
      </c>
    </row>
    <row r="394" customFormat="false" ht="15" hidden="false" customHeight="false" outlineLevel="0" collapsed="false">
      <c r="A394" s="4" t="s">
        <v>390</v>
      </c>
      <c r="B394" s="0" t="s">
        <v>209</v>
      </c>
      <c r="C394" s="20" t="n">
        <f aca="false">a25_gp</f>
        <v>190.2</v>
      </c>
      <c r="D394" s="20" t="n">
        <f aca="false">a26_gp</f>
        <v>273.276604</v>
      </c>
      <c r="E394" s="20" t="n">
        <f aca="false">$D$393*E386+d_ai*E374</f>
        <v>467.201339127931</v>
      </c>
      <c r="F394" s="20" t="n">
        <f aca="false">$D$393*F386+d_ai*F374</f>
        <v>581.081717795821</v>
      </c>
      <c r="G394" s="20" t="n">
        <f aca="false">$D$393*G386+d_ai*G374</f>
        <v>649.753074917427</v>
      </c>
    </row>
    <row r="395" customFormat="false" ht="15" hidden="false" customHeight="false" outlineLevel="0" collapsed="false">
      <c r="A395" s="4" t="s">
        <v>392</v>
      </c>
      <c r="B395" s="0" t="s">
        <v>53</v>
      </c>
      <c r="C395" s="15" t="n">
        <f aca="false">C394/C386</f>
        <v>0.342773727889563</v>
      </c>
      <c r="D395" s="15" t="n">
        <f aca="false">D394/D386</f>
        <v>0.361274417690927</v>
      </c>
      <c r="E395" s="15" t="n">
        <f aca="false">E394/E386</f>
        <v>0.374602575187059</v>
      </c>
      <c r="F395" s="15" t="n">
        <f aca="false">F394/F386</f>
        <v>0.378176759345196</v>
      </c>
      <c r="G395" s="15" t="n">
        <f aca="false">G394/G386</f>
        <v>0.378964110124856</v>
      </c>
    </row>
    <row r="396" customFormat="false" ht="15" hidden="false" customHeight="false" outlineLevel="0" collapsed="false">
      <c r="A396" s="4" t="s">
        <v>520</v>
      </c>
      <c r="B396" s="0" t="s">
        <v>209</v>
      </c>
      <c r="C396" s="20" t="n">
        <f aca="false">a25_opx</f>
        <v>106.3</v>
      </c>
      <c r="D396" s="20" t="n">
        <f aca="false">a26_opx</f>
        <v>141.924088166667</v>
      </c>
      <c r="E396" s="20" t="n">
        <f aca="false">D396*(1+MAX(0,phi*E388))</f>
        <v>215.588409641057</v>
      </c>
      <c r="F396" s="20" t="n">
        <f aca="false">E396*(1+MAX(0,phi*F388))</f>
        <v>255.600810003716</v>
      </c>
      <c r="G396" s="20" t="n">
        <f aca="false">F396*(1+MAX(0,phi*G388))</f>
        <v>279.290979556661</v>
      </c>
    </row>
    <row r="397" customFormat="false" ht="15" hidden="false" customHeight="false" outlineLevel="0" collapsed="false">
      <c r="A397" s="4" t="s">
        <v>394</v>
      </c>
      <c r="B397" s="0" t="s">
        <v>209</v>
      </c>
      <c r="C397" s="20" t="n">
        <f aca="false">C396</f>
        <v>106.3</v>
      </c>
      <c r="D397" s="20" t="n">
        <f aca="false">D396</f>
        <v>141.924088166667</v>
      </c>
      <c r="E397" s="20" t="n">
        <f aca="false">E396+0*E386</f>
        <v>215.588409641057</v>
      </c>
      <c r="F397" s="20" t="n">
        <f aca="false">F396+0*F386</f>
        <v>255.600810003716</v>
      </c>
      <c r="G397" s="20" t="n">
        <f aca="false">G396+0*G386</f>
        <v>279.290979556661</v>
      </c>
    </row>
    <row r="398" customFormat="false" ht="15" hidden="false" customHeight="false" outlineLevel="0" collapsed="false">
      <c r="A398" s="4" t="s">
        <v>396</v>
      </c>
      <c r="B398" s="0" t="s">
        <v>209</v>
      </c>
      <c r="C398" s="20" t="n">
        <f aca="false">C394-C397</f>
        <v>83.9</v>
      </c>
      <c r="D398" s="20" t="n">
        <f aca="false">D394-D397</f>
        <v>131.352515833333</v>
      </c>
      <c r="E398" s="20" t="n">
        <f aca="false">E394-E397</f>
        <v>251.612929486874</v>
      </c>
      <c r="F398" s="20" t="n">
        <f aca="false">F394-F397</f>
        <v>325.480907792104</v>
      </c>
      <c r="G398" s="20" t="n">
        <f aca="false">G394-G397</f>
        <v>370.462095360765</v>
      </c>
    </row>
    <row r="399" customFormat="false" ht="15" hidden="false" customHeight="false" outlineLevel="0" collapsed="false">
      <c r="A399" s="4" t="s">
        <v>398</v>
      </c>
      <c r="B399" s="0" t="s">
        <v>53</v>
      </c>
      <c r="C399" s="15" t="n">
        <f aca="false">C398/C386</f>
        <v>0.151202501419213</v>
      </c>
      <c r="D399" s="15" t="n">
        <f aca="false">D398/D386</f>
        <v>0.173649346396027</v>
      </c>
      <c r="E399" s="15" t="n">
        <f aca="false">E398/E386</f>
        <v>0.201743538475462</v>
      </c>
      <c r="F399" s="15" t="n">
        <f aca="false">F398/F386</f>
        <v>0.211827891272259</v>
      </c>
      <c r="G399" s="15" t="n">
        <f aca="false">G398/G386</f>
        <v>0.216069525059537</v>
      </c>
    </row>
    <row r="400" customFormat="false" ht="15" hidden="false" customHeight="false" outlineLevel="0" collapsed="false">
      <c r="A400" s="4" t="s">
        <v>400</v>
      </c>
      <c r="B400" s="0" t="s">
        <v>209</v>
      </c>
      <c r="C400" s="20" t="n">
        <f aca="false">a25_nop</f>
        <v>3.934</v>
      </c>
      <c r="D400" s="20" t="n">
        <f aca="false">a26_nop</f>
        <v>11.1666666666667</v>
      </c>
      <c r="E400" s="20" t="n">
        <f aca="false">nop_f</f>
        <v>8</v>
      </c>
      <c r="F400" s="20" t="n">
        <f aca="false">nop_f</f>
        <v>8</v>
      </c>
      <c r="G400" s="20" t="n">
        <f aca="false">nop_f</f>
        <v>8</v>
      </c>
    </row>
    <row r="401" customFormat="false" ht="17.15" hidden="false" customHeight="false" outlineLevel="0" collapsed="false">
      <c r="A401" s="4" t="s">
        <v>250</v>
      </c>
      <c r="B401" s="0" t="s">
        <v>53</v>
      </c>
      <c r="C401" s="15" t="n">
        <f aca="false">a25_ni/(a25_oi+a25_nop)</f>
        <v>0.684336361773345</v>
      </c>
      <c r="D401" s="15" t="n">
        <f aca="false">a26_ni/(a26_oi+a26_nop)</f>
        <v>0.690638510538748</v>
      </c>
      <c r="E401" s="15" t="n">
        <f aca="false">nir_f</f>
        <v>0.69</v>
      </c>
      <c r="F401" s="15" t="n">
        <f aca="false">nir_f</f>
        <v>0.69</v>
      </c>
      <c r="G401" s="15" t="n">
        <f aca="false">nir_f</f>
        <v>0.69</v>
      </c>
    </row>
    <row r="402" customFormat="false" ht="15" hidden="false" customHeight="false" outlineLevel="0" collapsed="false">
      <c r="A402" s="4" t="s">
        <v>403</v>
      </c>
      <c r="B402" s="0" t="s">
        <v>209</v>
      </c>
      <c r="C402" s="20" t="n">
        <f aca="false">a25_ni</f>
        <v>60.108</v>
      </c>
      <c r="D402" s="20" t="n">
        <f aca="false">a26_ni</f>
        <v>98.429235925</v>
      </c>
      <c r="E402" s="20" t="n">
        <f aca="false">(E398+E400)*E401</f>
        <v>179.132921345943</v>
      </c>
      <c r="F402" s="20" t="n">
        <f aca="false">(F398+F400)*F401</f>
        <v>230.101826376552</v>
      </c>
      <c r="G402" s="20" t="n">
        <f aca="false">(G398+G400)*G401</f>
        <v>261.138845798928</v>
      </c>
    </row>
    <row r="403" customFormat="false" ht="15" hidden="false" customHeight="false" outlineLevel="0" collapsed="false">
      <c r="A403" s="4" t="s">
        <v>521</v>
      </c>
      <c r="B403" s="4" t="s">
        <v>234</v>
      </c>
      <c r="C403" s="23" t="n">
        <f aca="false">a25_sh</f>
        <v>2.59757994814175</v>
      </c>
      <c r="D403" s="23" t="n">
        <f aca="false">a26_sh</f>
        <v>2.59806708357021</v>
      </c>
      <c r="E403" s="23" t="n">
        <f aca="false">D403*(1+sh_g)</f>
        <v>2.59806708357021</v>
      </c>
      <c r="F403" s="23" t="n">
        <f aca="false">E403*(1+sh_g)</f>
        <v>2.59806708357021</v>
      </c>
      <c r="G403" s="23" t="n">
        <f aca="false">F403*(1+sh_g)</f>
        <v>2.59806708357021</v>
      </c>
    </row>
    <row r="404" customFormat="false" ht="15" hidden="false" customHeight="false" outlineLevel="0" collapsed="false">
      <c r="A404" s="0" t="s">
        <v>408</v>
      </c>
      <c r="B404" s="0" t="s">
        <v>265</v>
      </c>
      <c r="C404" s="21" t="n">
        <f aca="false">C402/C403</f>
        <v>23.14</v>
      </c>
      <c r="D404" s="21" t="n">
        <f aca="false">D402/D403</f>
        <v>37.8855636744147</v>
      </c>
      <c r="E404" s="21" t="n">
        <f aca="false">E402/E403</f>
        <v>68.948535809084</v>
      </c>
      <c r="F404" s="21" t="n">
        <f aca="false">F402/F403</f>
        <v>88.5665454258982</v>
      </c>
      <c r="G404" s="21" t="n">
        <f aca="false">G402/G403</f>
        <v>100.512741741863</v>
      </c>
    </row>
    <row r="405" customFormat="false" ht="17.15" hidden="false" customHeight="false" outlineLevel="0" collapsed="false">
      <c r="A405" s="0" t="s">
        <v>522</v>
      </c>
      <c r="B405" s="0" t="s">
        <v>53</v>
      </c>
      <c r="D405" s="15" t="n">
        <f aca="false">D404/C404-1</f>
        <v>0.637232656629847</v>
      </c>
      <c r="E405" s="15" t="n">
        <f aca="false">E404/D404-1</f>
        <v>0.81991579699386</v>
      </c>
      <c r="F405" s="15" t="n">
        <f aca="false">F404/E404-1</f>
        <v>0.284531199779729</v>
      </c>
      <c r="G405" s="15" t="n">
        <f aca="false">G404/F404-1</f>
        <v>0.134883846474061</v>
      </c>
    </row>
    <row r="408" customFormat="false" ht="17.15" hidden="false" customHeight="false" outlineLevel="0" collapsed="false">
      <c r="A408" s="1" t="s">
        <v>867</v>
      </c>
    </row>
    <row r="409" customFormat="false" ht="17.15" hidden="false" customHeight="false" outlineLevel="0" collapsed="false">
      <c r="A409" s="5" t="s">
        <v>22</v>
      </c>
      <c r="B409" s="5" t="s">
        <v>23</v>
      </c>
      <c r="C409" s="12" t="s">
        <v>380</v>
      </c>
      <c r="D409" s="12" t="s">
        <v>468</v>
      </c>
      <c r="E409" s="12" t="s">
        <v>469</v>
      </c>
      <c r="F409" s="12" t="s">
        <v>470</v>
      </c>
      <c r="G409" s="12" t="s">
        <v>471</v>
      </c>
      <c r="H409" s="5" t="s">
        <v>365</v>
      </c>
    </row>
    <row r="410" customFormat="false" ht="17.15" hidden="false" customHeight="false" outlineLevel="0" collapsed="false">
      <c r="A410" s="6" t="s">
        <v>490</v>
      </c>
    </row>
    <row r="411" customFormat="false" ht="17.15" hidden="false" customHeight="false" outlineLevel="0" collapsed="false">
      <c r="A411" s="0" t="s">
        <v>491</v>
      </c>
      <c r="B411" s="0" t="s">
        <v>33</v>
      </c>
      <c r="D411" s="21" t="n">
        <f aca="false">itc_26*1</f>
        <v>781.872916666666</v>
      </c>
      <c r="E411" s="21" t="n">
        <f aca="false">itc_27*1*1</f>
        <v>1565.35</v>
      </c>
      <c r="F411" s="21" t="n">
        <f aca="false">itc_28*um28_A*1</f>
        <v>1984.26388888889</v>
      </c>
      <c r="G411" s="21" t="n">
        <f aca="false">itc_29*um29_A*1</f>
        <v>2260.39027777778</v>
      </c>
    </row>
    <row r="412" customFormat="false" ht="17.15" hidden="false" customHeight="false" outlineLevel="0" collapsed="false">
      <c r="A412" s="4" t="s">
        <v>492</v>
      </c>
      <c r="B412" s="0" t="s">
        <v>33</v>
      </c>
      <c r="D412" s="21" t="n">
        <f aca="false">itpg_gb*(1-vr26)+itpg_vr*vr26</f>
        <v>33.41403216</v>
      </c>
      <c r="E412" s="21" t="n">
        <f aca="false">itpg_vr</f>
        <v>37.586352</v>
      </c>
      <c r="F412" s="21" t="n">
        <f aca="false">itpg_vr</f>
        <v>37.586352</v>
      </c>
      <c r="G412" s="21" t="n">
        <f aca="false">itpg_vr</f>
        <v>37.586352</v>
      </c>
    </row>
    <row r="413" customFormat="false" ht="17.15" hidden="false" customHeight="false" outlineLevel="0" collapsed="false">
      <c r="A413" s="4" t="s">
        <v>493</v>
      </c>
      <c r="B413" s="0" t="s">
        <v>446</v>
      </c>
      <c r="D413" s="18" t="n">
        <f aca="false">D411/D412</f>
        <v>23.3995380420639</v>
      </c>
      <c r="E413" s="18" t="n">
        <f aca="false">E411/E412</f>
        <v>41.6467658260637</v>
      </c>
      <c r="F413" s="18" t="n">
        <f aca="false">F411/F412</f>
        <v>52.792138191248</v>
      </c>
      <c r="G413" s="18" t="n">
        <f aca="false">G411/G412</f>
        <v>60.1385917361116</v>
      </c>
    </row>
    <row r="414" customFormat="false" ht="17.15" hidden="false" customHeight="false" outlineLevel="0" collapsed="false">
      <c r="A414" s="0" t="s">
        <v>448</v>
      </c>
      <c r="B414" s="0" t="s">
        <v>96</v>
      </c>
      <c r="D414" s="19" t="n">
        <f aca="false">pkw_26</f>
        <v>450</v>
      </c>
      <c r="E414" s="19" t="n">
        <f aca="false">pkw_27</f>
        <v>600</v>
      </c>
      <c r="F414" s="19" t="n">
        <f aca="false">pkw_28</f>
        <v>680</v>
      </c>
      <c r="G414" s="19" t="n">
        <f aca="false">pkw_29</f>
        <v>720</v>
      </c>
    </row>
    <row r="415" customFormat="false" ht="17.15" hidden="false" customHeight="false" outlineLevel="0" collapsed="false">
      <c r="A415" s="0" t="s">
        <v>494</v>
      </c>
      <c r="B415" s="0" t="s">
        <v>33</v>
      </c>
      <c r="D415" s="21" t="n">
        <f aca="false">D413*D414/1000</f>
        <v>10.5297921189287</v>
      </c>
      <c r="E415" s="21" t="n">
        <f aca="false">E413*E414/1000</f>
        <v>24.9880594956382</v>
      </c>
      <c r="F415" s="21" t="n">
        <f aca="false">F413*F414/1000</f>
        <v>35.8986539700486</v>
      </c>
      <c r="G415" s="21" t="n">
        <f aca="false">G413*G414/1000</f>
        <v>43.2997860500003</v>
      </c>
    </row>
    <row r="416" customFormat="false" ht="17.15" hidden="false" customHeight="false" outlineLevel="0" collapsed="false">
      <c r="A416" s="0" t="s">
        <v>495</v>
      </c>
      <c r="B416" s="0" t="s">
        <v>209</v>
      </c>
      <c r="D416" s="20" t="n">
        <f aca="false">D415*fx</f>
        <v>336.95334780572</v>
      </c>
      <c r="E416" s="20" t="n">
        <f aca="false">E415*fx</f>
        <v>799.617903860422</v>
      </c>
      <c r="F416" s="20" t="n">
        <f aca="false">F415*fx</f>
        <v>1148.75692704156</v>
      </c>
      <c r="G416" s="20" t="n">
        <f aca="false">G415*fx</f>
        <v>1385.59315360001</v>
      </c>
    </row>
    <row r="417" customFormat="false" ht="17.15" hidden="false" customHeight="false" outlineLevel="0" collapsed="false">
      <c r="A417" s="4" t="s">
        <v>496</v>
      </c>
      <c r="B417" s="0" t="s">
        <v>53</v>
      </c>
      <c r="D417" s="15" t="n">
        <f aca="false">a26_aip/D416</f>
        <v>0.583671939396773</v>
      </c>
      <c r="H417" s="8" t="s">
        <v>497</v>
      </c>
    </row>
    <row r="418" customFormat="false" ht="17.15" hidden="false" customHeight="false" outlineLevel="0" collapsed="false">
      <c r="A418" s="4" t="s">
        <v>498</v>
      </c>
      <c r="B418" s="0" t="s">
        <v>69</v>
      </c>
      <c r="D418" s="16" t="n">
        <f aca="false">1</f>
        <v>1</v>
      </c>
      <c r="E418" s="16" t="n">
        <f aca="false">rel_27</f>
        <v>0.95</v>
      </c>
      <c r="F418" s="16" t="n">
        <f aca="false">rel_28</f>
        <v>0.9</v>
      </c>
      <c r="G418" s="16" t="n">
        <f aca="false">rel_29</f>
        <v>0.85</v>
      </c>
    </row>
    <row r="419" customFormat="false" ht="15" hidden="false" customHeight="false" outlineLevel="0" collapsed="false">
      <c r="A419" s="4" t="s">
        <v>455</v>
      </c>
      <c r="B419" s="0" t="s">
        <v>53</v>
      </c>
      <c r="D419" s="15" t="n">
        <f aca="false">$D$417*D418</f>
        <v>0.583671939396773</v>
      </c>
      <c r="E419" s="15" t="n">
        <f aca="false">$D$417*E418</f>
        <v>0.554488342426935</v>
      </c>
      <c r="F419" s="15" t="n">
        <f aca="false">$D$417*F418</f>
        <v>0.525304745457096</v>
      </c>
      <c r="G419" s="15" t="n">
        <f aca="false">$D$417*G418</f>
        <v>0.496121148487257</v>
      </c>
    </row>
    <row r="420" customFormat="false" ht="17.15" hidden="false" customHeight="false" outlineLevel="0" collapsed="false">
      <c r="A420" s="0" t="s">
        <v>499</v>
      </c>
      <c r="B420" s="0" t="s">
        <v>209</v>
      </c>
      <c r="C420" s="20" t="n">
        <f aca="false">a25_aip</f>
        <v>99.8793</v>
      </c>
      <c r="D420" s="20" t="n">
        <f aca="false">D416*D419</f>
        <v>196.670214</v>
      </c>
      <c r="E420" s="20" t="n">
        <f aca="false">E416*E419</f>
        <v>443.378806086466</v>
      </c>
      <c r="F420" s="20" t="n">
        <f aca="false">F416*F419</f>
        <v>603.447465151641</v>
      </c>
      <c r="G420" s="20" t="n">
        <f aca="false">G416*G419</f>
        <v>687.422066700118</v>
      </c>
    </row>
    <row r="421" customFormat="false" ht="17.15" hidden="false" customHeight="false" outlineLevel="0" collapsed="false">
      <c r="A421" s="6" t="s">
        <v>500</v>
      </c>
    </row>
    <row r="422" customFormat="false" ht="17.15" hidden="false" customHeight="false" outlineLevel="0" collapsed="false">
      <c r="A422" s="4" t="s">
        <v>501</v>
      </c>
      <c r="B422" s="0" t="s">
        <v>502</v>
      </c>
      <c r="D422" s="23" t="n">
        <f aca="false">a26_lc/D413</f>
        <v>4.04080573428535</v>
      </c>
    </row>
    <row r="423" customFormat="false" ht="17.15" hidden="false" customHeight="false" outlineLevel="0" collapsed="false">
      <c r="A423" s="4" t="s">
        <v>503</v>
      </c>
      <c r="B423" s="0" t="s">
        <v>69</v>
      </c>
      <c r="D423" s="16" t="n">
        <f aca="false">1</f>
        <v>1</v>
      </c>
      <c r="E423" s="16" t="n">
        <f aca="false">lcr_27</f>
        <v>1.1</v>
      </c>
      <c r="F423" s="16" t="n">
        <f aca="false">lcr_28</f>
        <v>1.15</v>
      </c>
      <c r="G423" s="16" t="n">
        <f aca="false">lcr_29</f>
        <v>1.2</v>
      </c>
    </row>
    <row r="424" customFormat="false" ht="15" hidden="false" customHeight="false" outlineLevel="0" collapsed="false">
      <c r="A424" s="4" t="s">
        <v>504</v>
      </c>
      <c r="B424" s="0" t="s">
        <v>209</v>
      </c>
      <c r="C424" s="20" t="n">
        <f aca="false">a25_lc</f>
        <v>55.4885</v>
      </c>
      <c r="D424" s="20" t="n">
        <f aca="false">D413*$D$422*D423</f>
        <v>94.5529875</v>
      </c>
      <c r="E424" s="20" t="n">
        <f aca="false">E413*$D$422*E423</f>
        <v>185.115139180837</v>
      </c>
      <c r="F424" s="20" t="n">
        <f aca="false">F413*$D$422*F423</f>
        <v>245.321190937637</v>
      </c>
      <c r="G424" s="20" t="n">
        <f aca="false">G413*$D$422*G423</f>
        <v>291.61003960695</v>
      </c>
    </row>
    <row r="425" customFormat="false" ht="17.15" hidden="false" customHeight="false" outlineLevel="0" collapsed="false">
      <c r="A425" s="4" t="s">
        <v>505</v>
      </c>
      <c r="B425" s="0" t="s">
        <v>209</v>
      </c>
      <c r="C425" s="20" t="n">
        <f aca="false">a25_pe-a25_aip</f>
        <v>177.5632</v>
      </c>
      <c r="D425" s="20" t="n">
        <f aca="false">a26_pe-a26_aip</f>
        <v>189.105975</v>
      </c>
      <c r="E425" s="20" t="n">
        <f aca="false">D425*(1+g_peLO27)</f>
        <v>189.105975</v>
      </c>
      <c r="F425" s="20" t="n">
        <f aca="false">E425*(1+g_peLO28)</f>
        <v>189.105975</v>
      </c>
      <c r="G425" s="20" t="n">
        <f aca="false">F425*(1+g_peLO29)</f>
        <v>189.105975</v>
      </c>
      <c r="H425" s="8" t="s">
        <v>506</v>
      </c>
    </row>
    <row r="426" customFormat="false" ht="17.15" hidden="false" customHeight="false" outlineLevel="0" collapsed="false">
      <c r="A426" s="4" t="s">
        <v>431</v>
      </c>
      <c r="B426" s="0" t="s">
        <v>209</v>
      </c>
      <c r="C426" s="20" t="n">
        <f aca="false">C420+C425</f>
        <v>277.4425</v>
      </c>
      <c r="D426" s="20" t="n">
        <f aca="false">D420+D425</f>
        <v>385.776189</v>
      </c>
      <c r="E426" s="20" t="n">
        <f aca="false">E420+E425</f>
        <v>632.484781086466</v>
      </c>
      <c r="F426" s="20" t="n">
        <f aca="false">F420+F425</f>
        <v>792.55344015164</v>
      </c>
      <c r="G426" s="20" t="n">
        <f aca="false">G420+G425</f>
        <v>876.528041700118</v>
      </c>
      <c r="H426" s="4" t="s">
        <v>507</v>
      </c>
    </row>
    <row r="427" customFormat="false" ht="17.15" hidden="false" customHeight="false" outlineLevel="0" collapsed="false">
      <c r="A427" s="4" t="s">
        <v>508</v>
      </c>
      <c r="B427" s="0" t="s">
        <v>209</v>
      </c>
      <c r="C427" s="20" t="n">
        <f aca="false">a25_inf-a25_lc</f>
        <v>127.62355</v>
      </c>
      <c r="D427" s="20" t="n">
        <f aca="false">a26_inf-a26_lc</f>
        <v>170.1953775</v>
      </c>
      <c r="E427" s="20" t="n">
        <f aca="false">D427*(1+g_infLO27)</f>
        <v>175.301238825</v>
      </c>
      <c r="F427" s="20" t="n">
        <f aca="false">E427*(1+g_infLO28)</f>
        <v>175.301238825</v>
      </c>
      <c r="G427" s="20" t="n">
        <f aca="false">F427*(1+g_infLO29)</f>
        <v>175.301238825</v>
      </c>
      <c r="H427" s="4" t="s">
        <v>509</v>
      </c>
    </row>
    <row r="428" customFormat="false" ht="15" hidden="false" customHeight="false" outlineLevel="0" collapsed="false">
      <c r="A428" s="4" t="s">
        <v>437</v>
      </c>
      <c r="B428" s="0" t="s">
        <v>209</v>
      </c>
      <c r="C428" s="20" t="n">
        <f aca="false">C424+C427</f>
        <v>183.11205</v>
      </c>
      <c r="D428" s="20" t="n">
        <f aca="false">D424+D427</f>
        <v>264.748365</v>
      </c>
      <c r="E428" s="20" t="n">
        <f aca="false">E424+E427</f>
        <v>360.416378005837</v>
      </c>
      <c r="F428" s="20" t="n">
        <f aca="false">F424+F427</f>
        <v>420.622429762637</v>
      </c>
      <c r="G428" s="20" t="n">
        <f aca="false">G424+G427</f>
        <v>466.91127843195</v>
      </c>
      <c r="H428" s="4" t="s">
        <v>510</v>
      </c>
    </row>
    <row r="429" customFormat="false" ht="15" hidden="false" customHeight="false" outlineLevel="0" collapsed="false">
      <c r="A429" s="4" t="s">
        <v>436</v>
      </c>
      <c r="B429" s="0" t="s">
        <v>209</v>
      </c>
      <c r="C429" s="20" t="n">
        <f aca="false">a25_au</f>
        <v>55.4885</v>
      </c>
      <c r="D429" s="20" t="n">
        <f aca="false">a26_au</f>
        <v>60.513912</v>
      </c>
      <c r="E429" s="20" t="n">
        <f aca="false">D429*(1+g_auLO27)</f>
        <v>60.513912</v>
      </c>
      <c r="F429" s="20" t="n">
        <f aca="false">E429*(1+g_auLO28)</f>
        <v>60.513912</v>
      </c>
      <c r="G429" s="20" t="n">
        <f aca="false">F429*(1+g_auLO29)</f>
        <v>60.513912</v>
      </c>
    </row>
    <row r="430" customFormat="false" ht="15" hidden="false" customHeight="false" outlineLevel="0" collapsed="false">
      <c r="A430" s="4" t="s">
        <v>435</v>
      </c>
      <c r="B430" s="0" t="s">
        <v>209</v>
      </c>
      <c r="C430" s="20" t="n">
        <f aca="false">a25_mo</f>
        <v>38.84195</v>
      </c>
      <c r="D430" s="20" t="n">
        <f aca="false">a26_mo</f>
        <v>45.385434</v>
      </c>
      <c r="E430" s="20" t="n">
        <f aca="false">D430*(1+g_moLO27)</f>
        <v>40.8468906</v>
      </c>
      <c r="F430" s="20" t="n">
        <f aca="false">E430*(1+g_moLO28)</f>
        <v>38.80454607</v>
      </c>
      <c r="G430" s="20" t="n">
        <f aca="false">F430*(1+g_moLO29)</f>
        <v>36.8643187665</v>
      </c>
    </row>
    <row r="431" customFormat="false" ht="17.15" hidden="false" customHeight="false" outlineLevel="0" collapsed="false">
      <c r="A431" s="4" t="s">
        <v>511</v>
      </c>
      <c r="B431" s="0" t="s">
        <v>209</v>
      </c>
      <c r="C431" s="20" t="n">
        <f aca="false">C425+C427+C429+C430</f>
        <v>399.5172</v>
      </c>
      <c r="D431" s="20" t="n">
        <f aca="false">D425+D427+D429+D430</f>
        <v>465.2006985</v>
      </c>
      <c r="E431" s="20" t="n">
        <f aca="false">E425+E427+E429+E430</f>
        <v>465.768016425</v>
      </c>
      <c r="F431" s="20" t="n">
        <f aca="false">F425+F427+F429+F430</f>
        <v>463.725671895</v>
      </c>
      <c r="G431" s="20" t="n">
        <f aca="false">G425+G427+G429+G430</f>
        <v>461.7854445915</v>
      </c>
    </row>
    <row r="432" customFormat="false" ht="15" hidden="false" customHeight="false" outlineLevel="0" collapsed="false">
      <c r="A432" s="4" t="s">
        <v>386</v>
      </c>
      <c r="B432" s="0" t="s">
        <v>209</v>
      </c>
      <c r="C432" s="20" t="n">
        <f aca="false">C426+C428+C429+C430</f>
        <v>554.885</v>
      </c>
      <c r="D432" s="20" t="n">
        <f aca="false">D426+D428+D429+D430</f>
        <v>756.4239</v>
      </c>
      <c r="E432" s="20" t="n">
        <f aca="false">E426+E428+E429+E430</f>
        <v>1094.2619616923</v>
      </c>
      <c r="F432" s="20" t="n">
        <f aca="false">F426+F428+F429+F430</f>
        <v>1312.49432798428</v>
      </c>
      <c r="G432" s="20" t="n">
        <f aca="false">G426+G428+G429+G430</f>
        <v>1440.81755089857</v>
      </c>
      <c r="H432" s="4" t="s">
        <v>512</v>
      </c>
    </row>
    <row r="433" customFormat="false" ht="17.15" hidden="false" customHeight="false" outlineLevel="0" collapsed="false">
      <c r="A433" s="4" t="s">
        <v>513</v>
      </c>
      <c r="B433" s="0" t="s">
        <v>209</v>
      </c>
      <c r="C433" s="23" t="n">
        <f aca="false">C432-a25_rev</f>
        <v>0</v>
      </c>
      <c r="D433" s="23" t="n">
        <f aca="false">D432-a26_rev</f>
        <v>0</v>
      </c>
    </row>
    <row r="434" customFormat="false" ht="15" hidden="false" customHeight="false" outlineLevel="0" collapsed="false">
      <c r="A434" s="4" t="s">
        <v>514</v>
      </c>
      <c r="B434" s="0" t="s">
        <v>53</v>
      </c>
      <c r="D434" s="15" t="n">
        <f aca="false">D432/C432-1</f>
        <v>0.363208412553953</v>
      </c>
      <c r="E434" s="15" t="n">
        <f aca="false">E432/D432-1</f>
        <v>0.446625313785435</v>
      </c>
      <c r="F434" s="15" t="n">
        <f aca="false">F432/E432-1</f>
        <v>0.199433384264287</v>
      </c>
      <c r="G434" s="15" t="n">
        <f aca="false">G432/F432-1</f>
        <v>0.0977704971200668</v>
      </c>
    </row>
    <row r="435" customFormat="false" ht="17.15" hidden="false" customHeight="false" outlineLevel="0" collapsed="false">
      <c r="A435" s="0" t="s">
        <v>515</v>
      </c>
      <c r="B435" s="0" t="s">
        <v>53</v>
      </c>
      <c r="C435" s="15" t="n">
        <f aca="false">C420/C432</f>
        <v>0.18</v>
      </c>
      <c r="D435" s="15" t="n">
        <f aca="false">D420/D432</f>
        <v>0.26</v>
      </c>
      <c r="E435" s="15" t="n">
        <f aca="false">E420/E432</f>
        <v>0.40518524960949</v>
      </c>
      <c r="F435" s="15" t="n">
        <f aca="false">F420/F432</f>
        <v>0.459771484177316</v>
      </c>
      <c r="G435" s="15" t="n">
        <f aca="false">G420/G432</f>
        <v>0.477105561541367</v>
      </c>
    </row>
    <row r="436" customFormat="false" ht="17.15" hidden="false" customHeight="false" outlineLevel="0" collapsed="false">
      <c r="A436" s="0" t="s">
        <v>516</v>
      </c>
      <c r="B436" s="0" t="s">
        <v>53</v>
      </c>
      <c r="C436" s="15" t="n">
        <f aca="false">(C420+C424)/C432</f>
        <v>0.28</v>
      </c>
      <c r="D436" s="15" t="n">
        <f aca="false">(D420+D424)/D432</f>
        <v>0.385</v>
      </c>
      <c r="E436" s="15" t="n">
        <f aca="false">(E420+E424)/E432</f>
        <v>0.574354192386731</v>
      </c>
      <c r="F436" s="15" t="n">
        <f aca="false">(F420+F424)/F432</f>
        <v>0.646683675496573</v>
      </c>
      <c r="G436" s="15" t="n">
        <f aca="false">(G420+G424)/G432</f>
        <v>0.679497626674865</v>
      </c>
    </row>
    <row r="437" customFormat="false" ht="17.15" hidden="false" customHeight="false" outlineLevel="0" collapsed="false">
      <c r="A437" s="4" t="s">
        <v>462</v>
      </c>
      <c r="B437" s="0" t="s">
        <v>463</v>
      </c>
      <c r="D437" s="19" t="n">
        <f aca="false">(D420+D424)/fx/D413*1000</f>
        <v>388.927551924965</v>
      </c>
      <c r="E437" s="19" t="n">
        <f aca="false">(E420+E424)/fx/E413*1000</f>
        <v>471.59570257222</v>
      </c>
      <c r="F437" s="19" t="n">
        <f aca="false">(F420+F424)/fx/F413*1000</f>
        <v>502.423682986705</v>
      </c>
      <c r="G437" s="19" t="n">
        <f aca="false">(G420+G424)/fx/G413*1000</f>
        <v>508.737441946526</v>
      </c>
    </row>
    <row r="438" customFormat="false" ht="17.15" hidden="false" customHeight="false" outlineLevel="0" collapsed="false">
      <c r="A438" s="6" t="s">
        <v>517</v>
      </c>
    </row>
    <row r="439" customFormat="false" ht="17.15" hidden="false" customHeight="false" outlineLevel="0" collapsed="false">
      <c r="A439" s="4" t="s">
        <v>518</v>
      </c>
      <c r="B439" s="0" t="s">
        <v>53</v>
      </c>
      <c r="D439" s="15" t="n">
        <f aca="false">a26_gp/D432-d_ai*D435</f>
        <v>0.340474417690927</v>
      </c>
      <c r="H439" s="8" t="s">
        <v>519</v>
      </c>
    </row>
    <row r="440" customFormat="false" ht="15" hidden="false" customHeight="false" outlineLevel="0" collapsed="false">
      <c r="A440" s="4" t="s">
        <v>390</v>
      </c>
      <c r="B440" s="0" t="s">
        <v>209</v>
      </c>
      <c r="C440" s="20" t="n">
        <f aca="false">a25_gp</f>
        <v>190.2</v>
      </c>
      <c r="D440" s="20" t="n">
        <f aca="false">a26_gp</f>
        <v>273.276604</v>
      </c>
      <c r="E440" s="20" t="n">
        <f aca="false">$D$439*E432+d_ai*E420</f>
        <v>408.038508695436</v>
      </c>
      <c r="F440" s="20" t="n">
        <f aca="false">$D$439*F432+d_ai*F420</f>
        <v>495.146539255223</v>
      </c>
      <c r="G440" s="20" t="n">
        <f aca="false">$D$439*G432+d_ai*G420</f>
        <v>545.555281977067</v>
      </c>
    </row>
    <row r="441" customFormat="false" ht="15" hidden="false" customHeight="false" outlineLevel="0" collapsed="false">
      <c r="A441" s="4" t="s">
        <v>392</v>
      </c>
      <c r="B441" s="0" t="s">
        <v>53</v>
      </c>
      <c r="C441" s="15" t="n">
        <f aca="false">C440/C432</f>
        <v>0.342773727889563</v>
      </c>
      <c r="D441" s="15" t="n">
        <f aca="false">D440/D432</f>
        <v>0.361274417690927</v>
      </c>
      <c r="E441" s="15" t="n">
        <f aca="false">E440/E432</f>
        <v>0.372889237659686</v>
      </c>
      <c r="F441" s="15" t="n">
        <f aca="false">F440/F432</f>
        <v>0.377256136425112</v>
      </c>
      <c r="G441" s="15" t="n">
        <f aca="false">G440/G432</f>
        <v>0.378642862614236</v>
      </c>
    </row>
    <row r="442" customFormat="false" ht="15" hidden="false" customHeight="false" outlineLevel="0" collapsed="false">
      <c r="A442" s="4" t="s">
        <v>520</v>
      </c>
      <c r="B442" s="0" t="s">
        <v>209</v>
      </c>
      <c r="C442" s="20" t="n">
        <f aca="false">a25_opx</f>
        <v>106.3</v>
      </c>
      <c r="D442" s="20" t="n">
        <f aca="false">a26_opx</f>
        <v>141.924088166667</v>
      </c>
      <c r="E442" s="20" t="n">
        <f aca="false">D442*(1+MAX(0,phi*E434))</f>
        <v>192.633600495586</v>
      </c>
      <c r="F442" s="20" t="n">
        <f aca="false">E442*(1+MAX(0,phi*F434))</f>
        <v>223.367657191466</v>
      </c>
      <c r="G442" s="20" t="n">
        <f aca="false">F442*(1+MAX(0,phi*G434))</f>
        <v>240.838670698789</v>
      </c>
    </row>
    <row r="443" customFormat="false" ht="15" hidden="false" customHeight="false" outlineLevel="0" collapsed="false">
      <c r="A443" s="4" t="s">
        <v>394</v>
      </c>
      <c r="B443" s="0" t="s">
        <v>209</v>
      </c>
      <c r="C443" s="20" t="n">
        <f aca="false">C442</f>
        <v>106.3</v>
      </c>
      <c r="D443" s="20" t="n">
        <f aca="false">D442</f>
        <v>141.924088166667</v>
      </c>
      <c r="E443" s="20" t="n">
        <f aca="false">E442+0*E432</f>
        <v>192.633600495586</v>
      </c>
      <c r="F443" s="20" t="n">
        <f aca="false">F442+0*F432</f>
        <v>223.367657191466</v>
      </c>
      <c r="G443" s="20" t="n">
        <f aca="false">G442+0*G432</f>
        <v>240.838670698789</v>
      </c>
    </row>
    <row r="444" customFormat="false" ht="15" hidden="false" customHeight="false" outlineLevel="0" collapsed="false">
      <c r="A444" s="4" t="s">
        <v>396</v>
      </c>
      <c r="B444" s="0" t="s">
        <v>209</v>
      </c>
      <c r="C444" s="20" t="n">
        <f aca="false">C440-C443</f>
        <v>83.9</v>
      </c>
      <c r="D444" s="20" t="n">
        <f aca="false">D440-D443</f>
        <v>131.352515833333</v>
      </c>
      <c r="E444" s="20" t="n">
        <f aca="false">E440-E443</f>
        <v>215.404908199849</v>
      </c>
      <c r="F444" s="20" t="n">
        <f aca="false">F440-F443</f>
        <v>271.778882063757</v>
      </c>
      <c r="G444" s="20" t="n">
        <f aca="false">G440-G443</f>
        <v>304.716611278278</v>
      </c>
    </row>
    <row r="445" customFormat="false" ht="15" hidden="false" customHeight="false" outlineLevel="0" collapsed="false">
      <c r="A445" s="4" t="s">
        <v>398</v>
      </c>
      <c r="B445" s="0" t="s">
        <v>53</v>
      </c>
      <c r="C445" s="15" t="n">
        <f aca="false">C444/C432</f>
        <v>0.151202501419213</v>
      </c>
      <c r="D445" s="15" t="n">
        <f aca="false">D444/D432</f>
        <v>0.173649346396027</v>
      </c>
      <c r="E445" s="15" t="n">
        <f aca="false">E444/E432</f>
        <v>0.196849489190614</v>
      </c>
      <c r="F445" s="15" t="n">
        <f aca="false">F444/F432</f>
        <v>0.207070519292189</v>
      </c>
      <c r="G445" s="15" t="n">
        <f aca="false">G444/G432</f>
        <v>0.211488686467097</v>
      </c>
    </row>
    <row r="446" customFormat="false" ht="15" hidden="false" customHeight="false" outlineLevel="0" collapsed="false">
      <c r="A446" s="4" t="s">
        <v>400</v>
      </c>
      <c r="B446" s="0" t="s">
        <v>209</v>
      </c>
      <c r="C446" s="20" t="n">
        <f aca="false">a25_nop</f>
        <v>3.934</v>
      </c>
      <c r="D446" s="20" t="n">
        <f aca="false">a26_nop</f>
        <v>11.1666666666667</v>
      </c>
      <c r="E446" s="20" t="n">
        <f aca="false">nop_f</f>
        <v>8</v>
      </c>
      <c r="F446" s="20" t="n">
        <f aca="false">nop_f</f>
        <v>8</v>
      </c>
      <c r="G446" s="20" t="n">
        <f aca="false">nop_f</f>
        <v>8</v>
      </c>
    </row>
    <row r="447" customFormat="false" ht="17.15" hidden="false" customHeight="false" outlineLevel="0" collapsed="false">
      <c r="A447" s="4" t="s">
        <v>250</v>
      </c>
      <c r="B447" s="0" t="s">
        <v>53</v>
      </c>
      <c r="C447" s="15" t="n">
        <f aca="false">a25_ni/(a25_oi+a25_nop)</f>
        <v>0.684336361773345</v>
      </c>
      <c r="D447" s="15" t="n">
        <f aca="false">a26_ni/(a26_oi+a26_nop)</f>
        <v>0.690638510538748</v>
      </c>
      <c r="E447" s="15" t="n">
        <f aca="false">nir_f</f>
        <v>0.69</v>
      </c>
      <c r="F447" s="15" t="n">
        <f aca="false">nir_f</f>
        <v>0.69</v>
      </c>
      <c r="G447" s="15" t="n">
        <f aca="false">nir_f</f>
        <v>0.69</v>
      </c>
    </row>
    <row r="448" customFormat="false" ht="15" hidden="false" customHeight="false" outlineLevel="0" collapsed="false">
      <c r="A448" s="4" t="s">
        <v>403</v>
      </c>
      <c r="B448" s="0" t="s">
        <v>209</v>
      </c>
      <c r="C448" s="20" t="n">
        <f aca="false">a25_ni</f>
        <v>60.108</v>
      </c>
      <c r="D448" s="20" t="n">
        <f aca="false">a26_ni</f>
        <v>98.429235925</v>
      </c>
      <c r="E448" s="20" t="n">
        <f aca="false">(E444+E446)*E447</f>
        <v>154.149386657896</v>
      </c>
      <c r="F448" s="20" t="n">
        <f aca="false">(F444+F446)*F447</f>
        <v>193.047428623992</v>
      </c>
      <c r="G448" s="20" t="n">
        <f aca="false">(G444+G446)*G447</f>
        <v>215.774461782012</v>
      </c>
    </row>
    <row r="449" customFormat="false" ht="15" hidden="false" customHeight="false" outlineLevel="0" collapsed="false">
      <c r="A449" s="4" t="s">
        <v>521</v>
      </c>
      <c r="B449" s="4" t="s">
        <v>234</v>
      </c>
      <c r="C449" s="23" t="n">
        <f aca="false">a25_sh</f>
        <v>2.59757994814175</v>
      </c>
      <c r="D449" s="23" t="n">
        <f aca="false">a26_sh</f>
        <v>2.59806708357021</v>
      </c>
      <c r="E449" s="23" t="n">
        <f aca="false">D449*(1+sh_g)</f>
        <v>2.59806708357021</v>
      </c>
      <c r="F449" s="23" t="n">
        <f aca="false">E449*(1+sh_g)</f>
        <v>2.59806708357021</v>
      </c>
      <c r="G449" s="23" t="n">
        <f aca="false">F449*(1+sh_g)</f>
        <v>2.59806708357021</v>
      </c>
    </row>
    <row r="450" customFormat="false" ht="15" hidden="false" customHeight="false" outlineLevel="0" collapsed="false">
      <c r="A450" s="0" t="s">
        <v>408</v>
      </c>
      <c r="B450" s="0" t="s">
        <v>265</v>
      </c>
      <c r="C450" s="21" t="n">
        <f aca="false">C448/C449</f>
        <v>23.14</v>
      </c>
      <c r="D450" s="21" t="n">
        <f aca="false">D448/D449</f>
        <v>37.8855636744147</v>
      </c>
      <c r="E450" s="21" t="n">
        <f aca="false">E448/E449</f>
        <v>59.3323350396585</v>
      </c>
      <c r="F450" s="21" t="n">
        <f aca="false">F448/F449</f>
        <v>74.3042509736548</v>
      </c>
      <c r="G450" s="21" t="n">
        <f aca="false">G448/G449</f>
        <v>83.0519208478246</v>
      </c>
    </row>
    <row r="451" customFormat="false" ht="17.15" hidden="false" customHeight="false" outlineLevel="0" collapsed="false">
      <c r="A451" s="0" t="s">
        <v>522</v>
      </c>
      <c r="B451" s="0" t="s">
        <v>53</v>
      </c>
      <c r="D451" s="15" t="n">
        <f aca="false">D450/C450-1</f>
        <v>0.637232656629847</v>
      </c>
      <c r="E451" s="15" t="n">
        <f aca="false">E450/D450-1</f>
        <v>0.56609350066837</v>
      </c>
      <c r="F451" s="15" t="n">
        <f aca="false">F450/E450-1</f>
        <v>0.252339907471851</v>
      </c>
      <c r="G451" s="15" t="n">
        <f aca="false">G450/F450-1</f>
        <v>0.117727717587402</v>
      </c>
    </row>
    <row r="454" customFormat="false" ht="17.15" hidden="false" customHeight="false" outlineLevel="0" collapsed="false">
      <c r="A454" s="1" t="s">
        <v>868</v>
      </c>
    </row>
    <row r="455" customFormat="false" ht="17.15" hidden="false" customHeight="false" outlineLevel="0" collapsed="false">
      <c r="A455" s="5" t="s">
        <v>22</v>
      </c>
      <c r="B455" s="5" t="s">
        <v>23</v>
      </c>
      <c r="C455" s="12" t="s">
        <v>380</v>
      </c>
      <c r="D455" s="12" t="s">
        <v>468</v>
      </c>
      <c r="E455" s="12" t="s">
        <v>469</v>
      </c>
      <c r="F455" s="12" t="s">
        <v>470</v>
      </c>
      <c r="G455" s="12" t="s">
        <v>471</v>
      </c>
      <c r="H455" s="5" t="s">
        <v>365</v>
      </c>
    </row>
    <row r="456" customFormat="false" ht="17.15" hidden="false" customHeight="false" outlineLevel="0" collapsed="false">
      <c r="A456" s="6" t="s">
        <v>490</v>
      </c>
    </row>
    <row r="457" customFormat="false" ht="17.15" hidden="false" customHeight="false" outlineLevel="0" collapsed="false">
      <c r="A457" s="0" t="s">
        <v>491</v>
      </c>
      <c r="B457" s="0" t="s">
        <v>33</v>
      </c>
      <c r="D457" s="21" t="n">
        <f aca="false">itc_26*1</f>
        <v>781.872916666666</v>
      </c>
      <c r="E457" s="21" t="n">
        <f aca="false">itc_27*1*1</f>
        <v>1565.35</v>
      </c>
      <c r="F457" s="21" t="n">
        <f aca="false">itc_28*um28_A*1</f>
        <v>1984.26388888889</v>
      </c>
      <c r="G457" s="21" t="n">
        <f aca="false">itc_29*um29_A*1</f>
        <v>2260.39027777778</v>
      </c>
    </row>
    <row r="458" customFormat="false" ht="17.15" hidden="false" customHeight="false" outlineLevel="0" collapsed="false">
      <c r="A458" s="4" t="s">
        <v>492</v>
      </c>
      <c r="B458" s="0" t="s">
        <v>33</v>
      </c>
      <c r="D458" s="21" t="n">
        <f aca="false">itpg_gb*(1-vr26)+itpg_vr*vr26</f>
        <v>33.41403216</v>
      </c>
      <c r="E458" s="21" t="n">
        <f aca="false">itpg_vr</f>
        <v>37.586352</v>
      </c>
      <c r="F458" s="21" t="n">
        <f aca="false">itpg_vr</f>
        <v>37.586352</v>
      </c>
      <c r="G458" s="21" t="n">
        <f aca="false">itpg_vr</f>
        <v>37.586352</v>
      </c>
    </row>
    <row r="459" customFormat="false" ht="17.15" hidden="false" customHeight="false" outlineLevel="0" collapsed="false">
      <c r="A459" s="4" t="s">
        <v>493</v>
      </c>
      <c r="B459" s="0" t="s">
        <v>446</v>
      </c>
      <c r="D459" s="18" t="n">
        <f aca="false">D457/D458</f>
        <v>23.3995380420639</v>
      </c>
      <c r="E459" s="18" t="n">
        <f aca="false">E457/E458</f>
        <v>41.6467658260637</v>
      </c>
      <c r="F459" s="18" t="n">
        <f aca="false">F457/F458</f>
        <v>52.792138191248</v>
      </c>
      <c r="G459" s="18" t="n">
        <f aca="false">G457/G458</f>
        <v>60.1385917361116</v>
      </c>
    </row>
    <row r="460" customFormat="false" ht="17.15" hidden="false" customHeight="false" outlineLevel="0" collapsed="false">
      <c r="A460" s="0" t="s">
        <v>448</v>
      </c>
      <c r="B460" s="0" t="s">
        <v>96</v>
      </c>
      <c r="D460" s="19" t="n">
        <f aca="false">pkw_26</f>
        <v>450</v>
      </c>
      <c r="E460" s="19" t="n">
        <f aca="false">pkw_27</f>
        <v>600</v>
      </c>
      <c r="F460" s="19" t="n">
        <f aca="false">pkw_28</f>
        <v>680</v>
      </c>
      <c r="G460" s="19" t="n">
        <f aca="false">pkw_29</f>
        <v>720</v>
      </c>
    </row>
    <row r="461" customFormat="false" ht="17.15" hidden="false" customHeight="false" outlineLevel="0" collapsed="false">
      <c r="A461" s="0" t="s">
        <v>494</v>
      </c>
      <c r="B461" s="0" t="s">
        <v>33</v>
      </c>
      <c r="D461" s="21" t="n">
        <f aca="false">D459*D460/1000</f>
        <v>10.5297921189287</v>
      </c>
      <c r="E461" s="21" t="n">
        <f aca="false">E459*E460/1000</f>
        <v>24.9880594956382</v>
      </c>
      <c r="F461" s="21" t="n">
        <f aca="false">F459*F460/1000</f>
        <v>35.8986539700486</v>
      </c>
      <c r="G461" s="21" t="n">
        <f aca="false">G459*G460/1000</f>
        <v>43.2997860500003</v>
      </c>
    </row>
    <row r="462" customFormat="false" ht="17.15" hidden="false" customHeight="false" outlineLevel="0" collapsed="false">
      <c r="A462" s="0" t="s">
        <v>495</v>
      </c>
      <c r="B462" s="0" t="s">
        <v>209</v>
      </c>
      <c r="D462" s="20" t="n">
        <f aca="false">D461*fx</f>
        <v>336.95334780572</v>
      </c>
      <c r="E462" s="20" t="n">
        <f aca="false">E461*fx</f>
        <v>799.617903860422</v>
      </c>
      <c r="F462" s="20" t="n">
        <f aca="false">F461*fx</f>
        <v>1148.75692704156</v>
      </c>
      <c r="G462" s="20" t="n">
        <f aca="false">G461*fx</f>
        <v>1385.59315360001</v>
      </c>
    </row>
    <row r="463" customFormat="false" ht="17.15" hidden="false" customHeight="false" outlineLevel="0" collapsed="false">
      <c r="A463" s="4" t="s">
        <v>496</v>
      </c>
      <c r="B463" s="0" t="s">
        <v>53</v>
      </c>
      <c r="D463" s="15" t="n">
        <f aca="false">a26_aip/D462</f>
        <v>0.583671939396773</v>
      </c>
      <c r="H463" s="8" t="s">
        <v>497</v>
      </c>
    </row>
    <row r="464" customFormat="false" ht="17.15" hidden="false" customHeight="false" outlineLevel="0" collapsed="false">
      <c r="A464" s="4" t="s">
        <v>498</v>
      </c>
      <c r="B464" s="0" t="s">
        <v>69</v>
      </c>
      <c r="D464" s="16" t="n">
        <f aca="false">1</f>
        <v>1</v>
      </c>
      <c r="E464" s="16" t="n">
        <f aca="false">rel_27</f>
        <v>0.95</v>
      </c>
      <c r="F464" s="16" t="n">
        <f aca="false">rel_28</f>
        <v>0.9</v>
      </c>
      <c r="G464" s="16" t="n">
        <f aca="false">rel_29</f>
        <v>0.85</v>
      </c>
    </row>
    <row r="465" customFormat="false" ht="15" hidden="false" customHeight="false" outlineLevel="0" collapsed="false">
      <c r="A465" s="4" t="s">
        <v>455</v>
      </c>
      <c r="B465" s="0" t="s">
        <v>53</v>
      </c>
      <c r="D465" s="15" t="n">
        <f aca="false">$D$463*D464</f>
        <v>0.583671939396773</v>
      </c>
      <c r="E465" s="15" t="n">
        <f aca="false">$D$463*E464</f>
        <v>0.554488342426935</v>
      </c>
      <c r="F465" s="15" t="n">
        <f aca="false">$D$463*F464</f>
        <v>0.525304745457096</v>
      </c>
      <c r="G465" s="15" t="n">
        <f aca="false">$D$463*G464</f>
        <v>0.496121148487257</v>
      </c>
    </row>
    <row r="466" customFormat="false" ht="17.15" hidden="false" customHeight="false" outlineLevel="0" collapsed="false">
      <c r="A466" s="0" t="s">
        <v>499</v>
      </c>
      <c r="B466" s="0" t="s">
        <v>209</v>
      </c>
      <c r="C466" s="20" t="n">
        <f aca="false">a25_aip</f>
        <v>99.8793</v>
      </c>
      <c r="D466" s="20" t="n">
        <f aca="false">D462*D465</f>
        <v>196.670214</v>
      </c>
      <c r="E466" s="20" t="n">
        <f aca="false">E462*E465</f>
        <v>443.378806086466</v>
      </c>
      <c r="F466" s="20" t="n">
        <f aca="false">F462*F465</f>
        <v>603.447465151641</v>
      </c>
      <c r="G466" s="20" t="n">
        <f aca="false">G462*G465</f>
        <v>687.422066700118</v>
      </c>
    </row>
    <row r="467" customFormat="false" ht="17.15" hidden="false" customHeight="false" outlineLevel="0" collapsed="false">
      <c r="A467" s="6" t="s">
        <v>500</v>
      </c>
    </row>
    <row r="468" customFormat="false" ht="17.15" hidden="false" customHeight="false" outlineLevel="0" collapsed="false">
      <c r="A468" s="4" t="s">
        <v>501</v>
      </c>
      <c r="B468" s="0" t="s">
        <v>502</v>
      </c>
      <c r="D468" s="23" t="n">
        <f aca="false">a26_lc/D459</f>
        <v>4.04080573428535</v>
      </c>
    </row>
    <row r="469" customFormat="false" ht="17.15" hidden="false" customHeight="false" outlineLevel="0" collapsed="false">
      <c r="A469" s="4" t="s">
        <v>503</v>
      </c>
      <c r="B469" s="0" t="s">
        <v>69</v>
      </c>
      <c r="D469" s="16" t="n">
        <f aca="false">1</f>
        <v>1</v>
      </c>
      <c r="E469" s="16" t="n">
        <f aca="false">lcr_27</f>
        <v>1.1</v>
      </c>
      <c r="F469" s="16" t="n">
        <f aca="false">lcr_28</f>
        <v>1.15</v>
      </c>
      <c r="G469" s="16" t="n">
        <f aca="false">lcr_29</f>
        <v>1.2</v>
      </c>
    </row>
    <row r="470" customFormat="false" ht="15" hidden="false" customHeight="false" outlineLevel="0" collapsed="false">
      <c r="A470" s="4" t="s">
        <v>504</v>
      </c>
      <c r="B470" s="0" t="s">
        <v>209</v>
      </c>
      <c r="C470" s="20" t="n">
        <f aca="false">a25_lc</f>
        <v>55.4885</v>
      </c>
      <c r="D470" s="20" t="n">
        <f aca="false">D459*$D$468*D469</f>
        <v>94.5529875</v>
      </c>
      <c r="E470" s="20" t="n">
        <f aca="false">E459*$D$468*E469</f>
        <v>185.115139180837</v>
      </c>
      <c r="F470" s="20" t="n">
        <f aca="false">F459*$D$468*F469</f>
        <v>245.321190937637</v>
      </c>
      <c r="G470" s="20" t="n">
        <f aca="false">G459*$D$468*G469</f>
        <v>291.61003960695</v>
      </c>
    </row>
    <row r="471" customFormat="false" ht="17.15" hidden="false" customHeight="false" outlineLevel="0" collapsed="false">
      <c r="A471" s="4" t="s">
        <v>505</v>
      </c>
      <c r="B471" s="0" t="s">
        <v>209</v>
      </c>
      <c r="C471" s="20" t="n">
        <f aca="false">a25_pe-a25_aip</f>
        <v>177.5632</v>
      </c>
      <c r="D471" s="20" t="n">
        <f aca="false">a26_pe-a26_aip</f>
        <v>189.105975</v>
      </c>
      <c r="E471" s="20" t="n">
        <f aca="false">D471*(1+g_peHI27)</f>
        <v>208.0165725</v>
      </c>
      <c r="F471" s="20" t="n">
        <f aca="false">E471*(1+g_peHI28)</f>
        <v>224.6578983</v>
      </c>
      <c r="G471" s="20" t="n">
        <f aca="false">F471*(1+g_peHI29)</f>
        <v>238.137372198</v>
      </c>
      <c r="H471" s="8" t="s">
        <v>506</v>
      </c>
    </row>
    <row r="472" customFormat="false" ht="17.15" hidden="false" customHeight="false" outlineLevel="0" collapsed="false">
      <c r="A472" s="4" t="s">
        <v>431</v>
      </c>
      <c r="B472" s="0" t="s">
        <v>209</v>
      </c>
      <c r="C472" s="20" t="n">
        <f aca="false">C466+C471</f>
        <v>277.4425</v>
      </c>
      <c r="D472" s="20" t="n">
        <f aca="false">D466+D471</f>
        <v>385.776189</v>
      </c>
      <c r="E472" s="20" t="n">
        <f aca="false">E466+E471</f>
        <v>651.395378586466</v>
      </c>
      <c r="F472" s="20" t="n">
        <f aca="false">F466+F471</f>
        <v>828.10536345164</v>
      </c>
      <c r="G472" s="20" t="n">
        <f aca="false">G466+G471</f>
        <v>925.559438898118</v>
      </c>
      <c r="H472" s="4" t="s">
        <v>507</v>
      </c>
    </row>
    <row r="473" customFormat="false" ht="17.15" hidden="false" customHeight="false" outlineLevel="0" collapsed="false">
      <c r="A473" s="4" t="s">
        <v>508</v>
      </c>
      <c r="B473" s="0" t="s">
        <v>209</v>
      </c>
      <c r="C473" s="20" t="n">
        <f aca="false">a25_inf-a25_lc</f>
        <v>127.62355</v>
      </c>
      <c r="D473" s="20" t="n">
        <f aca="false">a26_inf-a26_lc</f>
        <v>170.1953775</v>
      </c>
      <c r="E473" s="20" t="n">
        <f aca="false">D473*(1+g_infHI27)</f>
        <v>195.724684125</v>
      </c>
      <c r="F473" s="20" t="n">
        <f aca="false">E473*(1+g_infHI28)</f>
        <v>219.21164622</v>
      </c>
      <c r="G473" s="20" t="n">
        <f aca="false">F473*(1+g_infHI29)</f>
        <v>241.132810842</v>
      </c>
      <c r="H473" s="4" t="s">
        <v>509</v>
      </c>
    </row>
    <row r="474" customFormat="false" ht="15" hidden="false" customHeight="false" outlineLevel="0" collapsed="false">
      <c r="A474" s="4" t="s">
        <v>437</v>
      </c>
      <c r="B474" s="0" t="s">
        <v>209</v>
      </c>
      <c r="C474" s="20" t="n">
        <f aca="false">C470+C473</f>
        <v>183.11205</v>
      </c>
      <c r="D474" s="20" t="n">
        <f aca="false">D470+D473</f>
        <v>264.748365</v>
      </c>
      <c r="E474" s="20" t="n">
        <f aca="false">E470+E473</f>
        <v>380.839823305837</v>
      </c>
      <c r="F474" s="20" t="n">
        <f aca="false">F470+F473</f>
        <v>464.532837157637</v>
      </c>
      <c r="G474" s="20" t="n">
        <f aca="false">G470+G473</f>
        <v>532.74285044895</v>
      </c>
      <c r="H474" s="4" t="s">
        <v>510</v>
      </c>
    </row>
    <row r="475" customFormat="false" ht="15" hidden="false" customHeight="false" outlineLevel="0" collapsed="false">
      <c r="A475" s="4" t="s">
        <v>436</v>
      </c>
      <c r="B475" s="0" t="s">
        <v>209</v>
      </c>
      <c r="C475" s="20" t="n">
        <f aca="false">a25_au</f>
        <v>55.4885</v>
      </c>
      <c r="D475" s="20" t="n">
        <f aca="false">a26_au</f>
        <v>60.513912</v>
      </c>
      <c r="E475" s="20" t="n">
        <f aca="false">D475*(1+g_auHI27)</f>
        <v>66.5653032</v>
      </c>
      <c r="F475" s="20" t="n">
        <f aca="false">E475*(1+g_auHI28)</f>
        <v>73.22183352</v>
      </c>
      <c r="G475" s="20" t="n">
        <f aca="false">F475*(1+g_auHI29)</f>
        <v>79.0795802016</v>
      </c>
    </row>
    <row r="476" customFormat="false" ht="15" hidden="false" customHeight="false" outlineLevel="0" collapsed="false">
      <c r="A476" s="4" t="s">
        <v>435</v>
      </c>
      <c r="B476" s="0" t="s">
        <v>209</v>
      </c>
      <c r="C476" s="20" t="n">
        <f aca="false">a25_mo</f>
        <v>38.84195</v>
      </c>
      <c r="D476" s="20" t="n">
        <f aca="false">a26_mo</f>
        <v>45.385434</v>
      </c>
      <c r="E476" s="20" t="n">
        <f aca="false">D476*(1+g_moHI27)</f>
        <v>49.9239774</v>
      </c>
      <c r="F476" s="20" t="n">
        <f aca="false">E476*(1+g_moHI28)</f>
        <v>54.91637514</v>
      </c>
      <c r="G476" s="20" t="n">
        <f aca="false">F476*(1+g_moHI29)</f>
        <v>60.408012654</v>
      </c>
    </row>
    <row r="477" customFormat="false" ht="17.15" hidden="false" customHeight="false" outlineLevel="0" collapsed="false">
      <c r="A477" s="4" t="s">
        <v>511</v>
      </c>
      <c r="B477" s="0" t="s">
        <v>209</v>
      </c>
      <c r="C477" s="20" t="n">
        <f aca="false">C471+C473+C475+C476</f>
        <v>399.5172</v>
      </c>
      <c r="D477" s="20" t="n">
        <f aca="false">D471+D473+D475+D476</f>
        <v>465.2006985</v>
      </c>
      <c r="E477" s="20" t="n">
        <f aca="false">E471+E473+E475+E476</f>
        <v>520.230537225</v>
      </c>
      <c r="F477" s="20" t="n">
        <f aca="false">F471+F473+F475+F476</f>
        <v>572.00775318</v>
      </c>
      <c r="G477" s="20" t="n">
        <f aca="false">G471+G473+G475+G476</f>
        <v>618.7577758956</v>
      </c>
    </row>
    <row r="478" customFormat="false" ht="15" hidden="false" customHeight="false" outlineLevel="0" collapsed="false">
      <c r="A478" s="4" t="s">
        <v>386</v>
      </c>
      <c r="B478" s="0" t="s">
        <v>209</v>
      </c>
      <c r="C478" s="20" t="n">
        <f aca="false">C472+C474+C475+C476</f>
        <v>554.885</v>
      </c>
      <c r="D478" s="20" t="n">
        <f aca="false">D472+D474+D475+D476</f>
        <v>756.4239</v>
      </c>
      <c r="E478" s="20" t="n">
        <f aca="false">E472+E474+E475+E476</f>
        <v>1148.7244824923</v>
      </c>
      <c r="F478" s="20" t="n">
        <f aca="false">F472+F474+F475+F476</f>
        <v>1420.77640926928</v>
      </c>
      <c r="G478" s="20" t="n">
        <f aca="false">G472+G474+G475+G476</f>
        <v>1597.78988220267</v>
      </c>
      <c r="H478" s="4" t="s">
        <v>512</v>
      </c>
    </row>
    <row r="479" customFormat="false" ht="17.15" hidden="false" customHeight="false" outlineLevel="0" collapsed="false">
      <c r="A479" s="4" t="s">
        <v>513</v>
      </c>
      <c r="B479" s="0" t="s">
        <v>209</v>
      </c>
      <c r="C479" s="23" t="n">
        <f aca="false">C478-a25_rev</f>
        <v>0</v>
      </c>
      <c r="D479" s="23" t="n">
        <f aca="false">D478-a26_rev</f>
        <v>0</v>
      </c>
    </row>
    <row r="480" customFormat="false" ht="15" hidden="false" customHeight="false" outlineLevel="0" collapsed="false">
      <c r="A480" s="4" t="s">
        <v>514</v>
      </c>
      <c r="B480" s="0" t="s">
        <v>53</v>
      </c>
      <c r="D480" s="15" t="n">
        <f aca="false">D478/C478-1</f>
        <v>0.363208412553953</v>
      </c>
      <c r="E480" s="15" t="n">
        <f aca="false">E478/D478-1</f>
        <v>0.518625313785435</v>
      </c>
      <c r="F480" s="15" t="n">
        <f aca="false">F478/E478-1</f>
        <v>0.236829571340487</v>
      </c>
      <c r="G480" s="15" t="n">
        <f aca="false">G478/F478-1</f>
        <v>0.12458925400122</v>
      </c>
    </row>
    <row r="481" customFormat="false" ht="17.15" hidden="false" customHeight="false" outlineLevel="0" collapsed="false">
      <c r="A481" s="0" t="s">
        <v>515</v>
      </c>
      <c r="B481" s="0" t="s">
        <v>53</v>
      </c>
      <c r="C481" s="15" t="n">
        <f aca="false">C466/C478</f>
        <v>0.18</v>
      </c>
      <c r="D481" s="15" t="n">
        <f aca="false">D466/D478</f>
        <v>0.26</v>
      </c>
      <c r="E481" s="15" t="n">
        <f aca="false">E466/E478</f>
        <v>0.385974890275255</v>
      </c>
      <c r="F481" s="15" t="n">
        <f aca="false">F466/F478</f>
        <v>0.424730774817694</v>
      </c>
      <c r="G481" s="15" t="n">
        <f aca="false">G466/G478</f>
        <v>0.430233082808396</v>
      </c>
    </row>
    <row r="482" customFormat="false" ht="17.15" hidden="false" customHeight="false" outlineLevel="0" collapsed="false">
      <c r="A482" s="0" t="s">
        <v>516</v>
      </c>
      <c r="B482" s="0" t="s">
        <v>53</v>
      </c>
      <c r="C482" s="15" t="n">
        <f aca="false">(C466+C470)/C478</f>
        <v>0.28</v>
      </c>
      <c r="D482" s="15" t="n">
        <f aca="false">(D466+D470)/D478</f>
        <v>0.385</v>
      </c>
      <c r="E482" s="15" t="n">
        <f aca="false">(E466+E470)/E478</f>
        <v>0.547123313593618</v>
      </c>
      <c r="F482" s="15" t="n">
        <f aca="false">(F466+F470)/F478</f>
        <v>0.59739776825673</v>
      </c>
      <c r="G482" s="15" t="n">
        <f aca="false">(G466+G470)/G478</f>
        <v>0.612741460696573</v>
      </c>
    </row>
    <row r="483" customFormat="false" ht="17.15" hidden="false" customHeight="false" outlineLevel="0" collapsed="false">
      <c r="A483" s="4" t="s">
        <v>462</v>
      </c>
      <c r="B483" s="0" t="s">
        <v>463</v>
      </c>
      <c r="D483" s="19" t="n">
        <f aca="false">(D466+D470)/fx/D459*1000</f>
        <v>388.927551924965</v>
      </c>
      <c r="E483" s="19" t="n">
        <f aca="false">(E466+E470)/fx/E459*1000</f>
        <v>471.59570257222</v>
      </c>
      <c r="F483" s="19" t="n">
        <f aca="false">(F466+F470)/fx/F459*1000</f>
        <v>502.423682986705</v>
      </c>
      <c r="G483" s="19" t="n">
        <f aca="false">(G466+G470)/fx/G459*1000</f>
        <v>508.737441946526</v>
      </c>
    </row>
    <row r="484" customFormat="false" ht="17.15" hidden="false" customHeight="false" outlineLevel="0" collapsed="false">
      <c r="A484" s="6" t="s">
        <v>517</v>
      </c>
    </row>
    <row r="485" customFormat="false" ht="17.15" hidden="false" customHeight="false" outlineLevel="0" collapsed="false">
      <c r="A485" s="4" t="s">
        <v>518</v>
      </c>
      <c r="B485" s="0" t="s">
        <v>53</v>
      </c>
      <c r="D485" s="15" t="n">
        <f aca="false">a26_gp/D478-d_ai*D481</f>
        <v>0.340474417690927</v>
      </c>
      <c r="H485" s="8" t="s">
        <v>519</v>
      </c>
    </row>
    <row r="486" customFormat="false" ht="15" hidden="false" customHeight="false" outlineLevel="0" collapsed="false">
      <c r="A486" s="4" t="s">
        <v>390</v>
      </c>
      <c r="B486" s="0" t="s">
        <v>209</v>
      </c>
      <c r="C486" s="20" t="n">
        <f aca="false">a25_gp</f>
        <v>190.2</v>
      </c>
      <c r="D486" s="20" t="n">
        <f aca="false">a26_gp</f>
        <v>273.276604</v>
      </c>
      <c r="E486" s="20" t="n">
        <f aca="false">$D$485*E478+d_ai*E466</f>
        <v>426.581603750796</v>
      </c>
      <c r="F486" s="20" t="n">
        <f aca="false">$D$485*F478+d_ai*F466</f>
        <v>532.013817827095</v>
      </c>
      <c r="G486" s="20" t="n">
        <f aca="false">$D$485*G478+d_ai*G466</f>
        <v>599.000345071418</v>
      </c>
    </row>
    <row r="487" customFormat="false" ht="15" hidden="false" customHeight="false" outlineLevel="0" collapsed="false">
      <c r="A487" s="4" t="s">
        <v>392</v>
      </c>
      <c r="B487" s="0" t="s">
        <v>53</v>
      </c>
      <c r="C487" s="15" t="n">
        <f aca="false">C486/C478</f>
        <v>0.342773727889563</v>
      </c>
      <c r="D487" s="15" t="n">
        <f aca="false">D486/D478</f>
        <v>0.361274417690927</v>
      </c>
      <c r="E487" s="15" t="n">
        <f aca="false">E486/E478</f>
        <v>0.371352408912948</v>
      </c>
      <c r="F487" s="15" t="n">
        <f aca="false">F486/F478</f>
        <v>0.374452879676343</v>
      </c>
      <c r="G487" s="15" t="n">
        <f aca="false">G486/G478</f>
        <v>0.374893064315599</v>
      </c>
    </row>
    <row r="488" customFormat="false" ht="15" hidden="false" customHeight="false" outlineLevel="0" collapsed="false">
      <c r="A488" s="4" t="s">
        <v>520</v>
      </c>
      <c r="B488" s="0" t="s">
        <v>209</v>
      </c>
      <c r="C488" s="20" t="n">
        <f aca="false">a25_opx</f>
        <v>106.3</v>
      </c>
      <c r="D488" s="20" t="n">
        <f aca="false">a26_opx</f>
        <v>141.924088166667</v>
      </c>
      <c r="E488" s="20" t="n">
        <f aca="false">D488*(1+MAX(0,phi*E480))</f>
        <v>200.808427973986</v>
      </c>
      <c r="F488" s="20" t="n">
        <f aca="false">E488*(1+MAX(0,phi*F480))</f>
        <v>238.854327108895</v>
      </c>
      <c r="G488" s="20" t="n">
        <f aca="false">F488*(1+MAX(0,phi*G480))</f>
        <v>262.661273052463</v>
      </c>
    </row>
    <row r="489" customFormat="false" ht="15" hidden="false" customHeight="false" outlineLevel="0" collapsed="false">
      <c r="A489" s="4" t="s">
        <v>394</v>
      </c>
      <c r="B489" s="0" t="s">
        <v>209</v>
      </c>
      <c r="C489" s="20" t="n">
        <f aca="false">C488</f>
        <v>106.3</v>
      </c>
      <c r="D489" s="20" t="n">
        <f aca="false">D488</f>
        <v>141.924088166667</v>
      </c>
      <c r="E489" s="20" t="n">
        <f aca="false">E488+0*E478</f>
        <v>200.808427973986</v>
      </c>
      <c r="F489" s="20" t="n">
        <f aca="false">F488+0*F478</f>
        <v>238.854327108895</v>
      </c>
      <c r="G489" s="20" t="n">
        <f aca="false">G488+0*G478</f>
        <v>262.661273052463</v>
      </c>
    </row>
    <row r="490" customFormat="false" ht="15" hidden="false" customHeight="false" outlineLevel="0" collapsed="false">
      <c r="A490" s="4" t="s">
        <v>396</v>
      </c>
      <c r="B490" s="0" t="s">
        <v>209</v>
      </c>
      <c r="C490" s="20" t="n">
        <f aca="false">C486-C489</f>
        <v>83.9</v>
      </c>
      <c r="D490" s="20" t="n">
        <f aca="false">D486-D489</f>
        <v>131.352515833333</v>
      </c>
      <c r="E490" s="20" t="n">
        <f aca="false">E486-E489</f>
        <v>225.773175776809</v>
      </c>
      <c r="F490" s="20" t="n">
        <f aca="false">F486-F489</f>
        <v>293.1594907182</v>
      </c>
      <c r="G490" s="20" t="n">
        <f aca="false">G486-G489</f>
        <v>336.339072018954</v>
      </c>
    </row>
    <row r="491" customFormat="false" ht="15" hidden="false" customHeight="false" outlineLevel="0" collapsed="false">
      <c r="A491" s="4" t="s">
        <v>398</v>
      </c>
      <c r="B491" s="0" t="s">
        <v>53</v>
      </c>
      <c r="C491" s="15" t="n">
        <f aca="false">C490/C478</f>
        <v>0.151202501419213</v>
      </c>
      <c r="D491" s="15" t="n">
        <f aca="false">D490/D478</f>
        <v>0.173649346396027</v>
      </c>
      <c r="E491" s="15" t="n">
        <f aca="false">E490/E478</f>
        <v>0.196542494930522</v>
      </c>
      <c r="F491" s="15" t="n">
        <f aca="false">F490/F478</f>
        <v>0.206337527006783</v>
      </c>
      <c r="G491" s="15" t="n">
        <f aca="false">G490/G478</f>
        <v>0.21050269235357</v>
      </c>
    </row>
    <row r="492" customFormat="false" ht="15" hidden="false" customHeight="false" outlineLevel="0" collapsed="false">
      <c r="A492" s="4" t="s">
        <v>400</v>
      </c>
      <c r="B492" s="0" t="s">
        <v>209</v>
      </c>
      <c r="C492" s="20" t="n">
        <f aca="false">a25_nop</f>
        <v>3.934</v>
      </c>
      <c r="D492" s="20" t="n">
        <f aca="false">a26_nop</f>
        <v>11.1666666666667</v>
      </c>
      <c r="E492" s="20" t="n">
        <f aca="false">nop_f</f>
        <v>8</v>
      </c>
      <c r="F492" s="20" t="n">
        <f aca="false">nop_f</f>
        <v>8</v>
      </c>
      <c r="G492" s="20" t="n">
        <f aca="false">nop_f</f>
        <v>8</v>
      </c>
    </row>
    <row r="493" customFormat="false" ht="17.15" hidden="false" customHeight="false" outlineLevel="0" collapsed="false">
      <c r="A493" s="4" t="s">
        <v>250</v>
      </c>
      <c r="B493" s="0" t="s">
        <v>53</v>
      </c>
      <c r="C493" s="15" t="n">
        <f aca="false">a25_ni/(a25_oi+a25_nop)</f>
        <v>0.684336361773345</v>
      </c>
      <c r="D493" s="15" t="n">
        <f aca="false">a26_ni/(a26_oi+a26_nop)</f>
        <v>0.690638510538748</v>
      </c>
      <c r="E493" s="15" t="n">
        <f aca="false">nir_f</f>
        <v>0.69</v>
      </c>
      <c r="F493" s="15" t="n">
        <f aca="false">nir_f</f>
        <v>0.69</v>
      </c>
      <c r="G493" s="15" t="n">
        <f aca="false">nir_f</f>
        <v>0.69</v>
      </c>
    </row>
    <row r="494" customFormat="false" ht="15" hidden="false" customHeight="false" outlineLevel="0" collapsed="false">
      <c r="A494" s="4" t="s">
        <v>403</v>
      </c>
      <c r="B494" s="0" t="s">
        <v>209</v>
      </c>
      <c r="C494" s="20" t="n">
        <f aca="false">a25_ni</f>
        <v>60.108</v>
      </c>
      <c r="D494" s="20" t="n">
        <f aca="false">a26_ni</f>
        <v>98.429235925</v>
      </c>
      <c r="E494" s="20" t="n">
        <f aca="false">(E490+E492)*E493</f>
        <v>161.303491285999</v>
      </c>
      <c r="F494" s="20" t="n">
        <f aca="false">(F490+F492)*F493</f>
        <v>207.800048595558</v>
      </c>
      <c r="G494" s="20" t="n">
        <f aca="false">(G490+G492)*G493</f>
        <v>237.593959693078</v>
      </c>
    </row>
    <row r="495" customFormat="false" ht="15" hidden="false" customHeight="false" outlineLevel="0" collapsed="false">
      <c r="A495" s="4" t="s">
        <v>521</v>
      </c>
      <c r="B495" s="4" t="s">
        <v>234</v>
      </c>
      <c r="C495" s="23" t="n">
        <f aca="false">a25_sh</f>
        <v>2.59757994814175</v>
      </c>
      <c r="D495" s="23" t="n">
        <f aca="false">a26_sh</f>
        <v>2.59806708357021</v>
      </c>
      <c r="E495" s="23" t="n">
        <f aca="false">D495*(1+sh_g)</f>
        <v>2.59806708357021</v>
      </c>
      <c r="F495" s="23" t="n">
        <f aca="false">E495*(1+sh_g)</f>
        <v>2.59806708357021</v>
      </c>
      <c r="G495" s="23" t="n">
        <f aca="false">F495*(1+sh_g)</f>
        <v>2.59806708357021</v>
      </c>
    </row>
    <row r="496" customFormat="false" ht="15" hidden="false" customHeight="false" outlineLevel="0" collapsed="false">
      <c r="A496" s="0" t="s">
        <v>408</v>
      </c>
      <c r="B496" s="0" t="s">
        <v>265</v>
      </c>
      <c r="C496" s="21" t="n">
        <f aca="false">C494/C495</f>
        <v>23.14</v>
      </c>
      <c r="D496" s="21" t="n">
        <f aca="false">D494/D495</f>
        <v>37.8855636744147</v>
      </c>
      <c r="E496" s="21" t="n">
        <f aca="false">E494/E495</f>
        <v>62.0859608691622</v>
      </c>
      <c r="F496" s="21" t="n">
        <f aca="false">F494/F495</f>
        <v>79.9825569977212</v>
      </c>
      <c r="G496" s="21" t="n">
        <f aca="false">G494/G495</f>
        <v>91.4502790153446</v>
      </c>
    </row>
    <row r="497" customFormat="false" ht="17.15" hidden="false" customHeight="false" outlineLevel="0" collapsed="false">
      <c r="A497" s="0" t="s">
        <v>522</v>
      </c>
      <c r="B497" s="0" t="s">
        <v>53</v>
      </c>
      <c r="D497" s="15" t="n">
        <f aca="false">D496/C496-1</f>
        <v>0.637232656629847</v>
      </c>
      <c r="E497" s="15" t="n">
        <f aca="false">E496/D496-1</f>
        <v>0.638776221009241</v>
      </c>
      <c r="F497" s="15" t="n">
        <f aca="false">F496/E496-1</f>
        <v>0.28825512044943</v>
      </c>
      <c r="G497" s="15" t="n">
        <f aca="false">G496/F496-1</f>
        <v>0.143377786958601</v>
      </c>
    </row>
    <row r="500" customFormat="false" ht="17.15" hidden="false" customHeight="false" outlineLevel="0" collapsed="false">
      <c r="A500" s="1" t="s">
        <v>869</v>
      </c>
    </row>
    <row r="501" customFormat="false" ht="17.15" hidden="false" customHeight="false" outlineLevel="0" collapsed="false">
      <c r="A501" s="5" t="s">
        <v>22</v>
      </c>
      <c r="B501" s="5" t="s">
        <v>23</v>
      </c>
      <c r="C501" s="12" t="s">
        <v>380</v>
      </c>
      <c r="D501" s="12" t="s">
        <v>468</v>
      </c>
      <c r="E501" s="12" t="s">
        <v>469</v>
      </c>
      <c r="F501" s="12" t="s">
        <v>470</v>
      </c>
      <c r="G501" s="12" t="s">
        <v>471</v>
      </c>
      <c r="H501" s="5" t="s">
        <v>365</v>
      </c>
    </row>
    <row r="502" customFormat="false" ht="17.15" hidden="false" customHeight="false" outlineLevel="0" collapsed="false">
      <c r="A502" s="6" t="s">
        <v>490</v>
      </c>
    </row>
    <row r="503" customFormat="false" ht="17.15" hidden="false" customHeight="false" outlineLevel="0" collapsed="false">
      <c r="A503" s="0" t="s">
        <v>491</v>
      </c>
      <c r="B503" s="0" t="s">
        <v>33</v>
      </c>
      <c r="D503" s="21" t="n">
        <f aca="false">itc_26*1</f>
        <v>781.872916666666</v>
      </c>
      <c r="E503" s="21" t="n">
        <f aca="false">itc_27*1*1</f>
        <v>1565.35</v>
      </c>
      <c r="F503" s="21" t="n">
        <f aca="false">itc_28*um28_A*1</f>
        <v>1984.26388888889</v>
      </c>
      <c r="G503" s="21" t="n">
        <f aca="false">itc_29*um29_A*1</f>
        <v>2260.39027777778</v>
      </c>
    </row>
    <row r="504" customFormat="false" ht="17.15" hidden="false" customHeight="false" outlineLevel="0" collapsed="false">
      <c r="A504" s="4" t="s">
        <v>492</v>
      </c>
      <c r="B504" s="0" t="s">
        <v>33</v>
      </c>
      <c r="D504" s="21" t="n">
        <f aca="false">itpg_gb*(1-vr26)+itpg_vr*vr26</f>
        <v>33.41403216</v>
      </c>
      <c r="E504" s="21" t="n">
        <f aca="false">itpg_vr</f>
        <v>37.586352</v>
      </c>
      <c r="F504" s="21" t="n">
        <f aca="false">itpg_vr</f>
        <v>37.586352</v>
      </c>
      <c r="G504" s="21" t="n">
        <f aca="false">itpg_vr</f>
        <v>37.586352</v>
      </c>
    </row>
    <row r="505" customFormat="false" ht="17.15" hidden="false" customHeight="false" outlineLevel="0" collapsed="false">
      <c r="A505" s="4" t="s">
        <v>493</v>
      </c>
      <c r="B505" s="0" t="s">
        <v>446</v>
      </c>
      <c r="D505" s="18" t="n">
        <f aca="false">D503/D504</f>
        <v>23.3995380420639</v>
      </c>
      <c r="E505" s="18" t="n">
        <f aca="false">E503/E504</f>
        <v>41.6467658260637</v>
      </c>
      <c r="F505" s="18" t="n">
        <f aca="false">F503/F504</f>
        <v>52.792138191248</v>
      </c>
      <c r="G505" s="18" t="n">
        <f aca="false">G503/G504</f>
        <v>60.1385917361116</v>
      </c>
    </row>
    <row r="506" customFormat="false" ht="17.15" hidden="false" customHeight="false" outlineLevel="0" collapsed="false">
      <c r="A506" s="0" t="s">
        <v>448</v>
      </c>
      <c r="B506" s="0" t="s">
        <v>96</v>
      </c>
      <c r="D506" s="19" t="n">
        <f aca="false">pkw_26</f>
        <v>450</v>
      </c>
      <c r="E506" s="19" t="n">
        <f aca="false">pkw_27</f>
        <v>600</v>
      </c>
      <c r="F506" s="19" t="n">
        <f aca="false">pkw_28</f>
        <v>680</v>
      </c>
      <c r="G506" s="19" t="n">
        <f aca="false">pkw_29</f>
        <v>720</v>
      </c>
    </row>
    <row r="507" customFormat="false" ht="17.15" hidden="false" customHeight="false" outlineLevel="0" collapsed="false">
      <c r="A507" s="0" t="s">
        <v>494</v>
      </c>
      <c r="B507" s="0" t="s">
        <v>33</v>
      </c>
      <c r="D507" s="21" t="n">
        <f aca="false">D505*D506/1000</f>
        <v>10.5297921189287</v>
      </c>
      <c r="E507" s="21" t="n">
        <f aca="false">E505*E506/1000</f>
        <v>24.9880594956382</v>
      </c>
      <c r="F507" s="21" t="n">
        <f aca="false">F505*F506/1000</f>
        <v>35.8986539700486</v>
      </c>
      <c r="G507" s="21" t="n">
        <f aca="false">G505*G506/1000</f>
        <v>43.2997860500003</v>
      </c>
    </row>
    <row r="508" customFormat="false" ht="17.15" hidden="false" customHeight="false" outlineLevel="0" collapsed="false">
      <c r="A508" s="0" t="s">
        <v>495</v>
      </c>
      <c r="B508" s="0" t="s">
        <v>209</v>
      </c>
      <c r="D508" s="20" t="n">
        <f aca="false">D507*fx</f>
        <v>336.95334780572</v>
      </c>
      <c r="E508" s="20" t="n">
        <f aca="false">E507*fx</f>
        <v>799.617903860422</v>
      </c>
      <c r="F508" s="20" t="n">
        <f aca="false">F507*fx</f>
        <v>1148.75692704156</v>
      </c>
      <c r="G508" s="20" t="n">
        <f aca="false">G507*fx</f>
        <v>1385.59315360001</v>
      </c>
    </row>
    <row r="509" customFormat="false" ht="17.15" hidden="false" customHeight="false" outlineLevel="0" collapsed="false">
      <c r="A509" s="4" t="s">
        <v>496</v>
      </c>
      <c r="B509" s="0" t="s">
        <v>53</v>
      </c>
      <c r="D509" s="15" t="n">
        <f aca="false">a26_aip/D508</f>
        <v>0.583671939396773</v>
      </c>
      <c r="H509" s="8" t="s">
        <v>497</v>
      </c>
    </row>
    <row r="510" customFormat="false" ht="17.15" hidden="false" customHeight="false" outlineLevel="0" collapsed="false">
      <c r="A510" s="4" t="s">
        <v>498</v>
      </c>
      <c r="B510" s="0" t="s">
        <v>69</v>
      </c>
      <c r="D510" s="16" t="n">
        <f aca="false">1</f>
        <v>1</v>
      </c>
      <c r="E510" s="16" t="n">
        <f aca="false">rel_27</f>
        <v>0.95</v>
      </c>
      <c r="F510" s="16" t="n">
        <f aca="false">rel_28</f>
        <v>0.9</v>
      </c>
      <c r="G510" s="16" t="n">
        <f aca="false">rel_29</f>
        <v>0.85</v>
      </c>
    </row>
    <row r="511" customFormat="false" ht="15" hidden="false" customHeight="false" outlineLevel="0" collapsed="false">
      <c r="A511" s="4" t="s">
        <v>455</v>
      </c>
      <c r="B511" s="0" t="s">
        <v>53</v>
      </c>
      <c r="D511" s="15" t="n">
        <f aca="false">$D$509*D510</f>
        <v>0.583671939396773</v>
      </c>
      <c r="E511" s="15" t="n">
        <f aca="false">$D$509*E510</f>
        <v>0.554488342426935</v>
      </c>
      <c r="F511" s="15" t="n">
        <f aca="false">$D$509*F510</f>
        <v>0.525304745457096</v>
      </c>
      <c r="G511" s="15" t="n">
        <f aca="false">$D$509*G510</f>
        <v>0.496121148487257</v>
      </c>
    </row>
    <row r="512" customFormat="false" ht="17.15" hidden="false" customHeight="false" outlineLevel="0" collapsed="false">
      <c r="A512" s="0" t="s">
        <v>499</v>
      </c>
      <c r="B512" s="0" t="s">
        <v>209</v>
      </c>
      <c r="C512" s="20" t="n">
        <f aca="false">a25_aip</f>
        <v>99.8793</v>
      </c>
      <c r="D512" s="20" t="n">
        <f aca="false">D508*D511</f>
        <v>196.670214</v>
      </c>
      <c r="E512" s="20" t="n">
        <f aca="false">E508*E511</f>
        <v>443.378806086466</v>
      </c>
      <c r="F512" s="20" t="n">
        <f aca="false">F508*F511</f>
        <v>603.447465151641</v>
      </c>
      <c r="G512" s="20" t="n">
        <f aca="false">G508*G511</f>
        <v>687.422066700118</v>
      </c>
    </row>
    <row r="513" customFormat="false" ht="17.15" hidden="false" customHeight="false" outlineLevel="0" collapsed="false">
      <c r="A513" s="6" t="s">
        <v>500</v>
      </c>
    </row>
    <row r="514" customFormat="false" ht="17.15" hidden="false" customHeight="false" outlineLevel="0" collapsed="false">
      <c r="A514" s="4" t="s">
        <v>501</v>
      </c>
      <c r="B514" s="0" t="s">
        <v>502</v>
      </c>
      <c r="D514" s="23" t="n">
        <f aca="false">a26_lc/D505</f>
        <v>4.04080573428535</v>
      </c>
    </row>
    <row r="515" customFormat="false" ht="17.15" hidden="false" customHeight="false" outlineLevel="0" collapsed="false">
      <c r="A515" s="4" t="s">
        <v>503</v>
      </c>
      <c r="B515" s="0" t="s">
        <v>69</v>
      </c>
      <c r="D515" s="16" t="n">
        <f aca="false">1</f>
        <v>1</v>
      </c>
      <c r="E515" s="16" t="n">
        <f aca="false">lcr_27</f>
        <v>1.1</v>
      </c>
      <c r="F515" s="16" t="n">
        <f aca="false">lcr_28</f>
        <v>1.15</v>
      </c>
      <c r="G515" s="16" t="n">
        <f aca="false">lcr_29</f>
        <v>1.2</v>
      </c>
    </row>
    <row r="516" customFormat="false" ht="15" hidden="false" customHeight="false" outlineLevel="0" collapsed="false">
      <c r="A516" s="4" t="s">
        <v>504</v>
      </c>
      <c r="B516" s="0" t="s">
        <v>209</v>
      </c>
      <c r="C516" s="20" t="n">
        <f aca="false">a25_lc</f>
        <v>55.4885</v>
      </c>
      <c r="D516" s="20" t="n">
        <f aca="false">D505*$D$514*D515</f>
        <v>94.5529875</v>
      </c>
      <c r="E516" s="20" t="n">
        <f aca="false">E505*$D$514*E515</f>
        <v>185.115139180837</v>
      </c>
      <c r="F516" s="20" t="n">
        <f aca="false">F505*$D$514*F515</f>
        <v>245.321190937637</v>
      </c>
      <c r="G516" s="20" t="n">
        <f aca="false">G505*$D$514*G515</f>
        <v>291.61003960695</v>
      </c>
    </row>
    <row r="517" customFormat="false" ht="17.15" hidden="false" customHeight="false" outlineLevel="0" collapsed="false">
      <c r="A517" s="4" t="s">
        <v>505</v>
      </c>
      <c r="B517" s="0" t="s">
        <v>209</v>
      </c>
      <c r="C517" s="20" t="n">
        <f aca="false">a25_pe-a25_aip</f>
        <v>177.5632</v>
      </c>
      <c r="D517" s="20" t="n">
        <f aca="false">a26_pe-a26_aip</f>
        <v>189.105975</v>
      </c>
      <c r="E517" s="20" t="n">
        <f aca="false">D517*(1+g_pe27)</f>
        <v>198.56127375</v>
      </c>
      <c r="F517" s="20" t="n">
        <f aca="false">E517*(1+g_pe28)</f>
        <v>206.5037247</v>
      </c>
      <c r="G517" s="20" t="n">
        <f aca="false">F517*(1+g_pe29)</f>
        <v>212.698836441</v>
      </c>
      <c r="H517" s="8" t="s">
        <v>506</v>
      </c>
    </row>
    <row r="518" customFormat="false" ht="17.15" hidden="false" customHeight="false" outlineLevel="0" collapsed="false">
      <c r="A518" s="4" t="s">
        <v>431</v>
      </c>
      <c r="B518" s="0" t="s">
        <v>209</v>
      </c>
      <c r="C518" s="20" t="n">
        <f aca="false">C512+C517</f>
        <v>277.4425</v>
      </c>
      <c r="D518" s="20" t="n">
        <f aca="false">D512+D517</f>
        <v>385.776189</v>
      </c>
      <c r="E518" s="20" t="n">
        <f aca="false">E512+E517</f>
        <v>641.940079836466</v>
      </c>
      <c r="F518" s="20" t="n">
        <f aca="false">F512+F517</f>
        <v>809.951189851641</v>
      </c>
      <c r="G518" s="20" t="n">
        <f aca="false">G512+G517</f>
        <v>900.120903141117</v>
      </c>
      <c r="H518" s="4" t="s">
        <v>507</v>
      </c>
    </row>
    <row r="519" customFormat="false" ht="17.15" hidden="false" customHeight="false" outlineLevel="0" collapsed="false">
      <c r="A519" s="4" t="s">
        <v>508</v>
      </c>
      <c r="B519" s="0" t="s">
        <v>209</v>
      </c>
      <c r="C519" s="20" t="n">
        <f aca="false">a25_inf-a25_lc</f>
        <v>127.62355</v>
      </c>
      <c r="D519" s="20" t="n">
        <f aca="false">a26_inf-a26_lc</f>
        <v>170.1953775</v>
      </c>
      <c r="E519" s="20" t="n">
        <f aca="false">D519*(1+g_inf27)</f>
        <v>185.512961475</v>
      </c>
      <c r="F519" s="20" t="n">
        <f aca="false">E519*(1+g_inf28)</f>
        <v>198.49886877825</v>
      </c>
      <c r="G519" s="20" t="n">
        <f aca="false">F519*(1+g_inf29)</f>
        <v>210.408800904945</v>
      </c>
      <c r="H519" s="4" t="s">
        <v>509</v>
      </c>
    </row>
    <row r="520" customFormat="false" ht="15" hidden="false" customHeight="false" outlineLevel="0" collapsed="false">
      <c r="A520" s="4" t="s">
        <v>437</v>
      </c>
      <c r="B520" s="0" t="s">
        <v>209</v>
      </c>
      <c r="C520" s="20" t="n">
        <f aca="false">C516+C519</f>
        <v>183.11205</v>
      </c>
      <c r="D520" s="20" t="n">
        <f aca="false">D516+D519</f>
        <v>264.748365</v>
      </c>
      <c r="E520" s="20" t="n">
        <f aca="false">E516+E519</f>
        <v>370.628100655837</v>
      </c>
      <c r="F520" s="20" t="n">
        <f aca="false">F516+F519</f>
        <v>443.820059715887</v>
      </c>
      <c r="G520" s="20" t="n">
        <f aca="false">G516+G519</f>
        <v>502.018840511895</v>
      </c>
      <c r="H520" s="4" t="s">
        <v>510</v>
      </c>
    </row>
    <row r="521" customFormat="false" ht="15" hidden="false" customHeight="false" outlineLevel="0" collapsed="false">
      <c r="A521" s="4" t="s">
        <v>436</v>
      </c>
      <c r="B521" s="0" t="s">
        <v>209</v>
      </c>
      <c r="C521" s="20" t="n">
        <f aca="false">a25_au</f>
        <v>55.4885</v>
      </c>
      <c r="D521" s="20" t="n">
        <f aca="false">a26_au</f>
        <v>60.513912</v>
      </c>
      <c r="E521" s="20" t="n">
        <f aca="false">D521*(1+g_au27)</f>
        <v>63.5396076</v>
      </c>
      <c r="F521" s="20" t="n">
        <f aca="false">E521*(1+g_au28)</f>
        <v>66.71658798</v>
      </c>
      <c r="G521" s="20" t="n">
        <f aca="false">F521*(1+g_au29)</f>
        <v>69.3852514992</v>
      </c>
    </row>
    <row r="522" customFormat="false" ht="15" hidden="false" customHeight="false" outlineLevel="0" collapsed="false">
      <c r="A522" s="4" t="s">
        <v>435</v>
      </c>
      <c r="B522" s="0" t="s">
        <v>209</v>
      </c>
      <c r="C522" s="20" t="n">
        <f aca="false">a25_mo</f>
        <v>38.84195</v>
      </c>
      <c r="D522" s="20" t="n">
        <f aca="false">a26_mo</f>
        <v>45.385434</v>
      </c>
      <c r="E522" s="20" t="n">
        <f aca="false">D522*(1+g_mo27)</f>
        <v>45.385434</v>
      </c>
      <c r="F522" s="20" t="n">
        <f aca="false">E522*(1+g_mo28)</f>
        <v>46.29314268</v>
      </c>
      <c r="G522" s="20" t="n">
        <f aca="false">F522*(1+g_mo29)</f>
        <v>47.2190055336</v>
      </c>
    </row>
    <row r="523" customFormat="false" ht="17.15" hidden="false" customHeight="false" outlineLevel="0" collapsed="false">
      <c r="A523" s="4" t="s">
        <v>511</v>
      </c>
      <c r="B523" s="0" t="s">
        <v>209</v>
      </c>
      <c r="C523" s="20" t="n">
        <f aca="false">C517+C519+C521+C522</f>
        <v>399.5172</v>
      </c>
      <c r="D523" s="20" t="n">
        <f aca="false">D517+D519+D521+D522</f>
        <v>465.2006985</v>
      </c>
      <c r="E523" s="20" t="n">
        <f aca="false">E517+E519+E521+E522</f>
        <v>492.999276825</v>
      </c>
      <c r="F523" s="20" t="n">
        <f aca="false">F517+F519+F521+F522</f>
        <v>518.01232413825</v>
      </c>
      <c r="G523" s="20" t="n">
        <f aca="false">G517+G519+G521+G522</f>
        <v>539.711894378745</v>
      </c>
    </row>
    <row r="524" customFormat="false" ht="15" hidden="false" customHeight="false" outlineLevel="0" collapsed="false">
      <c r="A524" s="4" t="s">
        <v>386</v>
      </c>
      <c r="B524" s="0" t="s">
        <v>209</v>
      </c>
      <c r="C524" s="20" t="n">
        <f aca="false">C518+C520+C521+C522</f>
        <v>554.885</v>
      </c>
      <c r="D524" s="20" t="n">
        <f aca="false">D518+D520+D521+D522</f>
        <v>756.4239</v>
      </c>
      <c r="E524" s="20" t="n">
        <f aca="false">E518+E520+E521+E522</f>
        <v>1121.4932220923</v>
      </c>
      <c r="F524" s="20" t="n">
        <f aca="false">F518+F520+F521+F522</f>
        <v>1366.78098022753</v>
      </c>
      <c r="G524" s="20" t="n">
        <f aca="false">G518+G520+G521+G522</f>
        <v>1518.74400068581</v>
      </c>
      <c r="H524" s="4" t="s">
        <v>512</v>
      </c>
    </row>
    <row r="525" customFormat="false" ht="17.15" hidden="false" customHeight="false" outlineLevel="0" collapsed="false">
      <c r="A525" s="4" t="s">
        <v>513</v>
      </c>
      <c r="B525" s="0" t="s">
        <v>209</v>
      </c>
      <c r="C525" s="23" t="n">
        <f aca="false">C524-a25_rev</f>
        <v>0</v>
      </c>
      <c r="D525" s="23" t="n">
        <f aca="false">D524-a26_rev</f>
        <v>0</v>
      </c>
    </row>
    <row r="526" customFormat="false" ht="15" hidden="false" customHeight="false" outlineLevel="0" collapsed="false">
      <c r="A526" s="4" t="s">
        <v>514</v>
      </c>
      <c r="B526" s="0" t="s">
        <v>53</v>
      </c>
      <c r="D526" s="15" t="n">
        <f aca="false">D524/C524-1</f>
        <v>0.363208412553953</v>
      </c>
      <c r="E526" s="15" t="n">
        <f aca="false">E524/D524-1</f>
        <v>0.482625313785435</v>
      </c>
      <c r="F526" s="15" t="n">
        <f aca="false">F524/E524-1</f>
        <v>0.218715328192181</v>
      </c>
      <c r="G526" s="15" t="n">
        <f aca="false">G524/F524-1</f>
        <v>0.111183154182456</v>
      </c>
    </row>
    <row r="527" customFormat="false" ht="17.15" hidden="false" customHeight="false" outlineLevel="0" collapsed="false">
      <c r="A527" s="0" t="s">
        <v>515</v>
      </c>
      <c r="B527" s="0" t="s">
        <v>53</v>
      </c>
      <c r="C527" s="15" t="n">
        <f aca="false">C512/C524</f>
        <v>0.18</v>
      </c>
      <c r="D527" s="15" t="n">
        <f aca="false">D512/D524</f>
        <v>0.26</v>
      </c>
      <c r="E527" s="15" t="n">
        <f aca="false">E512/E524</f>
        <v>0.395346844147021</v>
      </c>
      <c r="F527" s="15" t="n">
        <f aca="false">F512/F524</f>
        <v>0.441509996028175</v>
      </c>
      <c r="G527" s="15" t="n">
        <f aca="false">G512/G524</f>
        <v>0.452625370957647</v>
      </c>
    </row>
    <row r="528" customFormat="false" ht="17.15" hidden="false" customHeight="false" outlineLevel="0" collapsed="false">
      <c r="A528" s="0" t="s">
        <v>516</v>
      </c>
      <c r="B528" s="0" t="s">
        <v>53</v>
      </c>
      <c r="C528" s="15" t="n">
        <f aca="false">(C512+C516)/C524</f>
        <v>0.28</v>
      </c>
      <c r="D528" s="15" t="n">
        <f aca="false">(D512+D516)/D524</f>
        <v>0.385</v>
      </c>
      <c r="E528" s="15" t="n">
        <f aca="false">(E512+E516)/E524</f>
        <v>0.560408153064679</v>
      </c>
      <c r="F528" s="15" t="n">
        <f aca="false">(F512+F516)/F524</f>
        <v>0.620998293338837</v>
      </c>
      <c r="G528" s="15" t="n">
        <f aca="false">(G512+G516)/G524</f>
        <v>0.644632739859364</v>
      </c>
    </row>
    <row r="529" customFormat="false" ht="17.15" hidden="false" customHeight="false" outlineLevel="0" collapsed="false">
      <c r="A529" s="4" t="s">
        <v>462</v>
      </c>
      <c r="B529" s="0" t="s">
        <v>463</v>
      </c>
      <c r="D529" s="19" t="n">
        <f aca="false">(D512+D516)/fx/D505*1000</f>
        <v>388.927551924965</v>
      </c>
      <c r="E529" s="19" t="n">
        <f aca="false">(E512+E516)/fx/E505*1000</f>
        <v>471.59570257222</v>
      </c>
      <c r="F529" s="19" t="n">
        <f aca="false">(F512+F516)/fx/F505*1000</f>
        <v>502.423682986705</v>
      </c>
      <c r="G529" s="19" t="n">
        <f aca="false">(G512+G516)/fx/G505*1000</f>
        <v>508.737441946526</v>
      </c>
    </row>
    <row r="530" customFormat="false" ht="17.15" hidden="false" customHeight="false" outlineLevel="0" collapsed="false">
      <c r="A530" s="6" t="s">
        <v>517</v>
      </c>
    </row>
    <row r="531" customFormat="false" ht="17.15" hidden="false" customHeight="false" outlineLevel="0" collapsed="false">
      <c r="A531" s="4" t="s">
        <v>518</v>
      </c>
      <c r="B531" s="0" t="s">
        <v>53</v>
      </c>
      <c r="D531" s="15" t="n">
        <f aca="false">a26_gp/D524-d_ai_lo*D527</f>
        <v>0.350874417690927</v>
      </c>
      <c r="H531" s="8" t="s">
        <v>519</v>
      </c>
    </row>
    <row r="532" customFormat="false" ht="15" hidden="false" customHeight="false" outlineLevel="0" collapsed="false">
      <c r="A532" s="4" t="s">
        <v>390</v>
      </c>
      <c r="B532" s="0" t="s">
        <v>209</v>
      </c>
      <c r="C532" s="20" t="n">
        <f aca="false">a25_gp</f>
        <v>190.2</v>
      </c>
      <c r="D532" s="20" t="n">
        <f aca="false">a26_gp</f>
        <v>273.276604</v>
      </c>
      <c r="E532" s="20" t="n">
        <f aca="false">$D$531*E524+d_ai_lo*E512</f>
        <v>411.238433489417</v>
      </c>
      <c r="F532" s="20" t="n">
        <f aca="false">$D$531*F524+d_ai_lo*F512</f>
        <v>503.706379154434</v>
      </c>
      <c r="G532" s="20" t="n">
        <f aca="false">$D$531*G524+d_ai_lo*G512</f>
        <v>560.385299530228</v>
      </c>
    </row>
    <row r="533" customFormat="false" ht="15" hidden="false" customHeight="false" outlineLevel="0" collapsed="false">
      <c r="A533" s="4" t="s">
        <v>392</v>
      </c>
      <c r="B533" s="0" t="s">
        <v>53</v>
      </c>
      <c r="C533" s="15" t="n">
        <f aca="false">C532/C524</f>
        <v>0.342773727889563</v>
      </c>
      <c r="D533" s="15" t="n">
        <f aca="false">D532/D524</f>
        <v>0.361274417690927</v>
      </c>
      <c r="E533" s="15" t="n">
        <f aca="false">E532/E524</f>
        <v>0.366688291456808</v>
      </c>
      <c r="F533" s="15" t="n">
        <f aca="false">F532/F524</f>
        <v>0.368534817532054</v>
      </c>
      <c r="G533" s="15" t="n">
        <f aca="false">G532/G524</f>
        <v>0.368979432529233</v>
      </c>
    </row>
    <row r="534" customFormat="false" ht="15" hidden="false" customHeight="false" outlineLevel="0" collapsed="false">
      <c r="A534" s="4" t="s">
        <v>520</v>
      </c>
      <c r="B534" s="0" t="s">
        <v>209</v>
      </c>
      <c r="C534" s="20" t="n">
        <f aca="false">a25_opx</f>
        <v>106.3</v>
      </c>
      <c r="D534" s="20" t="n">
        <f aca="false">a26_opx</f>
        <v>141.924088166667</v>
      </c>
      <c r="E534" s="20" t="n">
        <f aca="false">D534*(1+MAX(0,phi*E526))</f>
        <v>196.721014234786</v>
      </c>
      <c r="F534" s="20" t="n">
        <f aca="false">E534*(1+MAX(0,phi*F526))</f>
        <v>231.141735187314</v>
      </c>
      <c r="G534" s="20" t="n">
        <f aca="false">F534*(1+MAX(0,phi*G526))</f>
        <v>251.700988932379</v>
      </c>
    </row>
    <row r="535" customFormat="false" ht="15" hidden="false" customHeight="false" outlineLevel="0" collapsed="false">
      <c r="A535" s="4" t="s">
        <v>394</v>
      </c>
      <c r="B535" s="0" t="s">
        <v>209</v>
      </c>
      <c r="C535" s="20" t="n">
        <f aca="false">C534</f>
        <v>106.3</v>
      </c>
      <c r="D535" s="20" t="n">
        <f aca="false">D534</f>
        <v>141.924088166667</v>
      </c>
      <c r="E535" s="20" t="n">
        <f aca="false">E534+0*E524</f>
        <v>196.721014234786</v>
      </c>
      <c r="F535" s="20" t="n">
        <f aca="false">F534+0*F524</f>
        <v>231.141735187314</v>
      </c>
      <c r="G535" s="20" t="n">
        <f aca="false">G534+0*G524</f>
        <v>251.700988932379</v>
      </c>
    </row>
    <row r="536" customFormat="false" ht="15" hidden="false" customHeight="false" outlineLevel="0" collapsed="false">
      <c r="A536" s="4" t="s">
        <v>396</v>
      </c>
      <c r="B536" s="0" t="s">
        <v>209</v>
      </c>
      <c r="C536" s="20" t="n">
        <f aca="false">C532-C535</f>
        <v>83.9</v>
      </c>
      <c r="D536" s="20" t="n">
        <f aca="false">D532-D535</f>
        <v>131.352515833333</v>
      </c>
      <c r="E536" s="20" t="n">
        <f aca="false">E532-E535</f>
        <v>214.517419254631</v>
      </c>
      <c r="F536" s="20" t="n">
        <f aca="false">F532-F535</f>
        <v>272.56464396712</v>
      </c>
      <c r="G536" s="20" t="n">
        <f aca="false">G532-G535</f>
        <v>308.684310597849</v>
      </c>
    </row>
    <row r="537" customFormat="false" ht="15" hidden="false" customHeight="false" outlineLevel="0" collapsed="false">
      <c r="A537" s="4" t="s">
        <v>398</v>
      </c>
      <c r="B537" s="0" t="s">
        <v>53</v>
      </c>
      <c r="C537" s="15" t="n">
        <f aca="false">C536/C524</f>
        <v>0.151202501419213</v>
      </c>
      <c r="D537" s="15" t="n">
        <f aca="false">D536/D524</f>
        <v>0.173649346396027</v>
      </c>
      <c r="E537" s="15" t="n">
        <f aca="false">E536/E524</f>
        <v>0.191278391192074</v>
      </c>
      <c r="F537" s="15" t="n">
        <f aca="false">F536/F524</f>
        <v>0.199420863993693</v>
      </c>
      <c r="G537" s="15" t="n">
        <f aca="false">G536/G524</f>
        <v>0.20324973165883</v>
      </c>
    </row>
    <row r="538" customFormat="false" ht="15" hidden="false" customHeight="false" outlineLevel="0" collapsed="false">
      <c r="A538" s="4" t="s">
        <v>400</v>
      </c>
      <c r="B538" s="0" t="s">
        <v>209</v>
      </c>
      <c r="C538" s="20" t="n">
        <f aca="false">a25_nop</f>
        <v>3.934</v>
      </c>
      <c r="D538" s="20" t="n">
        <f aca="false">a26_nop</f>
        <v>11.1666666666667</v>
      </c>
      <c r="E538" s="20" t="n">
        <f aca="false">nop_f</f>
        <v>8</v>
      </c>
      <c r="F538" s="20" t="n">
        <f aca="false">nop_f</f>
        <v>8</v>
      </c>
      <c r="G538" s="20" t="n">
        <f aca="false">nop_f</f>
        <v>8</v>
      </c>
    </row>
    <row r="539" customFormat="false" ht="17.15" hidden="false" customHeight="false" outlineLevel="0" collapsed="false">
      <c r="A539" s="4" t="s">
        <v>250</v>
      </c>
      <c r="B539" s="0" t="s">
        <v>53</v>
      </c>
      <c r="C539" s="15" t="n">
        <f aca="false">a25_ni/(a25_oi+a25_nop)</f>
        <v>0.684336361773345</v>
      </c>
      <c r="D539" s="15" t="n">
        <f aca="false">a26_ni/(a26_oi+a26_nop)</f>
        <v>0.690638510538748</v>
      </c>
      <c r="E539" s="15" t="n">
        <f aca="false">nir_f</f>
        <v>0.69</v>
      </c>
      <c r="F539" s="15" t="n">
        <f aca="false">nir_f</f>
        <v>0.69</v>
      </c>
      <c r="G539" s="15" t="n">
        <f aca="false">nir_f</f>
        <v>0.69</v>
      </c>
    </row>
    <row r="540" customFormat="false" ht="15" hidden="false" customHeight="false" outlineLevel="0" collapsed="false">
      <c r="A540" s="4" t="s">
        <v>403</v>
      </c>
      <c r="B540" s="0" t="s">
        <v>209</v>
      </c>
      <c r="C540" s="20" t="n">
        <f aca="false">a25_ni</f>
        <v>60.108</v>
      </c>
      <c r="D540" s="20" t="n">
        <f aca="false">a26_ni</f>
        <v>98.429235925</v>
      </c>
      <c r="E540" s="20" t="n">
        <f aca="false">(E536+E538)*E539</f>
        <v>153.537019285695</v>
      </c>
      <c r="F540" s="20" t="n">
        <f aca="false">(F536+F538)*F539</f>
        <v>193.589604337313</v>
      </c>
      <c r="G540" s="20" t="n">
        <f aca="false">(G536+G538)*G539</f>
        <v>218.512174312516</v>
      </c>
    </row>
    <row r="541" customFormat="false" ht="15" hidden="false" customHeight="false" outlineLevel="0" collapsed="false">
      <c r="A541" s="4" t="s">
        <v>521</v>
      </c>
      <c r="B541" s="4" t="s">
        <v>234</v>
      </c>
      <c r="C541" s="23" t="n">
        <f aca="false">a25_sh</f>
        <v>2.59757994814175</v>
      </c>
      <c r="D541" s="23" t="n">
        <f aca="false">a26_sh</f>
        <v>2.59806708357021</v>
      </c>
      <c r="E541" s="23" t="n">
        <f aca="false">D541*(1+sh_g)</f>
        <v>2.59806708357021</v>
      </c>
      <c r="F541" s="23" t="n">
        <f aca="false">E541*(1+sh_g)</f>
        <v>2.59806708357021</v>
      </c>
      <c r="G541" s="23" t="n">
        <f aca="false">F541*(1+sh_g)</f>
        <v>2.59806708357021</v>
      </c>
    </row>
    <row r="542" customFormat="false" ht="15" hidden="false" customHeight="false" outlineLevel="0" collapsed="false">
      <c r="A542" s="0" t="s">
        <v>408</v>
      </c>
      <c r="B542" s="0" t="s">
        <v>265</v>
      </c>
      <c r="C542" s="21" t="n">
        <f aca="false">C540/C541</f>
        <v>23.14</v>
      </c>
      <c r="D542" s="21" t="n">
        <f aca="false">D540/D541</f>
        <v>37.8855636744147</v>
      </c>
      <c r="E542" s="21" t="n">
        <f aca="false">E540/E541</f>
        <v>59.0966339001177</v>
      </c>
      <c r="F542" s="21" t="n">
        <f aca="false">F540/F541</f>
        <v>74.5129352361778</v>
      </c>
      <c r="G542" s="21" t="n">
        <f aca="false">G540/G541</f>
        <v>84.1056705942484</v>
      </c>
    </row>
    <row r="543" customFormat="false" ht="17.15" hidden="false" customHeight="false" outlineLevel="0" collapsed="false">
      <c r="A543" s="0" t="s">
        <v>522</v>
      </c>
      <c r="B543" s="0" t="s">
        <v>53</v>
      </c>
      <c r="D543" s="15" t="n">
        <f aca="false">D542/C542-1</f>
        <v>0.637232656629847</v>
      </c>
      <c r="E543" s="15" t="n">
        <f aca="false">E542/D542-1</f>
        <v>0.559872103474273</v>
      </c>
      <c r="F543" s="15" t="n">
        <f aca="false">F542/E542-1</f>
        <v>0.260865980321587</v>
      </c>
      <c r="G543" s="15" t="n">
        <f aca="false">G542/F542-1</f>
        <v>0.128739195787486</v>
      </c>
    </row>
    <row r="546" customFormat="false" ht="17.15" hidden="false" customHeight="false" outlineLevel="0" collapsed="false">
      <c r="A546" s="1" t="s">
        <v>870</v>
      </c>
    </row>
    <row r="547" customFormat="false" ht="17.15" hidden="false" customHeight="false" outlineLevel="0" collapsed="false">
      <c r="A547" s="5" t="s">
        <v>22</v>
      </c>
      <c r="B547" s="5" t="s">
        <v>23</v>
      </c>
      <c r="C547" s="12" t="s">
        <v>380</v>
      </c>
      <c r="D547" s="12" t="s">
        <v>468</v>
      </c>
      <c r="E547" s="12" t="s">
        <v>469</v>
      </c>
      <c r="F547" s="12" t="s">
        <v>470</v>
      </c>
      <c r="G547" s="12" t="s">
        <v>471</v>
      </c>
      <c r="H547" s="5" t="s">
        <v>365</v>
      </c>
    </row>
    <row r="548" customFormat="false" ht="17.15" hidden="false" customHeight="false" outlineLevel="0" collapsed="false">
      <c r="A548" s="6" t="s">
        <v>490</v>
      </c>
    </row>
    <row r="549" customFormat="false" ht="17.15" hidden="false" customHeight="false" outlineLevel="0" collapsed="false">
      <c r="A549" s="0" t="s">
        <v>491</v>
      </c>
      <c r="B549" s="0" t="s">
        <v>33</v>
      </c>
      <c r="D549" s="21" t="n">
        <f aca="false">itc_26*1</f>
        <v>781.872916666666</v>
      </c>
      <c r="E549" s="21" t="n">
        <f aca="false">itc_27*1*1</f>
        <v>1565.35</v>
      </c>
      <c r="F549" s="21" t="n">
        <f aca="false">itc_28*um28_A*1</f>
        <v>1984.26388888889</v>
      </c>
      <c r="G549" s="21" t="n">
        <f aca="false">itc_29*um29_A*1</f>
        <v>2260.39027777778</v>
      </c>
    </row>
    <row r="550" customFormat="false" ht="17.15" hidden="false" customHeight="false" outlineLevel="0" collapsed="false">
      <c r="A550" s="4" t="s">
        <v>492</v>
      </c>
      <c r="B550" s="0" t="s">
        <v>33</v>
      </c>
      <c r="D550" s="21" t="n">
        <f aca="false">itpg_gb*(1-vr26)+itpg_vr*vr26</f>
        <v>33.41403216</v>
      </c>
      <c r="E550" s="21" t="n">
        <f aca="false">itpg_vr</f>
        <v>37.586352</v>
      </c>
      <c r="F550" s="21" t="n">
        <f aca="false">itpg_vr</f>
        <v>37.586352</v>
      </c>
      <c r="G550" s="21" t="n">
        <f aca="false">itpg_vr</f>
        <v>37.586352</v>
      </c>
    </row>
    <row r="551" customFormat="false" ht="17.15" hidden="false" customHeight="false" outlineLevel="0" collapsed="false">
      <c r="A551" s="4" t="s">
        <v>493</v>
      </c>
      <c r="B551" s="0" t="s">
        <v>446</v>
      </c>
      <c r="D551" s="18" t="n">
        <f aca="false">D549/D550</f>
        <v>23.3995380420639</v>
      </c>
      <c r="E551" s="18" t="n">
        <f aca="false">E549/E550</f>
        <v>41.6467658260637</v>
      </c>
      <c r="F551" s="18" t="n">
        <f aca="false">F549/F550</f>
        <v>52.792138191248</v>
      </c>
      <c r="G551" s="18" t="n">
        <f aca="false">G549/G550</f>
        <v>60.1385917361116</v>
      </c>
    </row>
    <row r="552" customFormat="false" ht="17.15" hidden="false" customHeight="false" outlineLevel="0" collapsed="false">
      <c r="A552" s="0" t="s">
        <v>448</v>
      </c>
      <c r="B552" s="0" t="s">
        <v>96</v>
      </c>
      <c r="D552" s="19" t="n">
        <f aca="false">pkw_26</f>
        <v>450</v>
      </c>
      <c r="E552" s="19" t="n">
        <f aca="false">pkw_27</f>
        <v>600</v>
      </c>
      <c r="F552" s="19" t="n">
        <f aca="false">pkw_28</f>
        <v>680</v>
      </c>
      <c r="G552" s="19" t="n">
        <f aca="false">pkw_29</f>
        <v>720</v>
      </c>
    </row>
    <row r="553" customFormat="false" ht="17.15" hidden="false" customHeight="false" outlineLevel="0" collapsed="false">
      <c r="A553" s="0" t="s">
        <v>494</v>
      </c>
      <c r="B553" s="0" t="s">
        <v>33</v>
      </c>
      <c r="D553" s="21" t="n">
        <f aca="false">D551*D552/1000</f>
        <v>10.5297921189287</v>
      </c>
      <c r="E553" s="21" t="n">
        <f aca="false">E551*E552/1000</f>
        <v>24.9880594956382</v>
      </c>
      <c r="F553" s="21" t="n">
        <f aca="false">F551*F552/1000</f>
        <v>35.8986539700486</v>
      </c>
      <c r="G553" s="21" t="n">
        <f aca="false">G551*G552/1000</f>
        <v>43.2997860500003</v>
      </c>
    </row>
    <row r="554" customFormat="false" ht="17.15" hidden="false" customHeight="false" outlineLevel="0" collapsed="false">
      <c r="A554" s="0" t="s">
        <v>495</v>
      </c>
      <c r="B554" s="0" t="s">
        <v>209</v>
      </c>
      <c r="D554" s="20" t="n">
        <f aca="false">D553*fx</f>
        <v>336.95334780572</v>
      </c>
      <c r="E554" s="20" t="n">
        <f aca="false">E553*fx</f>
        <v>799.617903860422</v>
      </c>
      <c r="F554" s="20" t="n">
        <f aca="false">F553*fx</f>
        <v>1148.75692704156</v>
      </c>
      <c r="G554" s="20" t="n">
        <f aca="false">G553*fx</f>
        <v>1385.59315360001</v>
      </c>
    </row>
    <row r="555" customFormat="false" ht="17.15" hidden="false" customHeight="false" outlineLevel="0" collapsed="false">
      <c r="A555" s="4" t="s">
        <v>496</v>
      </c>
      <c r="B555" s="0" t="s">
        <v>53</v>
      </c>
      <c r="D555" s="15" t="n">
        <f aca="false">a26_aip/D554</f>
        <v>0.583671939396773</v>
      </c>
      <c r="H555" s="8" t="s">
        <v>497</v>
      </c>
    </row>
    <row r="556" customFormat="false" ht="17.15" hidden="false" customHeight="false" outlineLevel="0" collapsed="false">
      <c r="A556" s="4" t="s">
        <v>498</v>
      </c>
      <c r="B556" s="0" t="s">
        <v>69</v>
      </c>
      <c r="D556" s="16" t="n">
        <f aca="false">1</f>
        <v>1</v>
      </c>
      <c r="E556" s="16" t="n">
        <f aca="false">rel_27</f>
        <v>0.95</v>
      </c>
      <c r="F556" s="16" t="n">
        <f aca="false">rel_28</f>
        <v>0.9</v>
      </c>
      <c r="G556" s="16" t="n">
        <f aca="false">rel_29</f>
        <v>0.85</v>
      </c>
    </row>
    <row r="557" customFormat="false" ht="15" hidden="false" customHeight="false" outlineLevel="0" collapsed="false">
      <c r="A557" s="4" t="s">
        <v>455</v>
      </c>
      <c r="B557" s="0" t="s">
        <v>53</v>
      </c>
      <c r="D557" s="15" t="n">
        <f aca="false">$D$555*D556</f>
        <v>0.583671939396773</v>
      </c>
      <c r="E557" s="15" t="n">
        <f aca="false">$D$555*E556</f>
        <v>0.554488342426935</v>
      </c>
      <c r="F557" s="15" t="n">
        <f aca="false">$D$555*F556</f>
        <v>0.525304745457096</v>
      </c>
      <c r="G557" s="15" t="n">
        <f aca="false">$D$555*G556</f>
        <v>0.496121148487257</v>
      </c>
    </row>
    <row r="558" customFormat="false" ht="17.15" hidden="false" customHeight="false" outlineLevel="0" collapsed="false">
      <c r="A558" s="0" t="s">
        <v>499</v>
      </c>
      <c r="B558" s="0" t="s">
        <v>209</v>
      </c>
      <c r="C558" s="20" t="n">
        <f aca="false">a25_aip</f>
        <v>99.8793</v>
      </c>
      <c r="D558" s="20" t="n">
        <f aca="false">D554*D557</f>
        <v>196.670214</v>
      </c>
      <c r="E558" s="20" t="n">
        <f aca="false">E554*E557</f>
        <v>443.378806086466</v>
      </c>
      <c r="F558" s="20" t="n">
        <f aca="false">F554*F557</f>
        <v>603.447465151641</v>
      </c>
      <c r="G558" s="20" t="n">
        <f aca="false">G554*G557</f>
        <v>687.422066700118</v>
      </c>
    </row>
    <row r="559" customFormat="false" ht="17.15" hidden="false" customHeight="false" outlineLevel="0" collapsed="false">
      <c r="A559" s="6" t="s">
        <v>500</v>
      </c>
    </row>
    <row r="560" customFormat="false" ht="17.15" hidden="false" customHeight="false" outlineLevel="0" collapsed="false">
      <c r="A560" s="4" t="s">
        <v>501</v>
      </c>
      <c r="B560" s="0" t="s">
        <v>502</v>
      </c>
      <c r="D560" s="23" t="n">
        <f aca="false">a26_lc/D551</f>
        <v>4.04080573428535</v>
      </c>
    </row>
    <row r="561" customFormat="false" ht="17.15" hidden="false" customHeight="false" outlineLevel="0" collapsed="false">
      <c r="A561" s="4" t="s">
        <v>503</v>
      </c>
      <c r="B561" s="0" t="s">
        <v>69</v>
      </c>
      <c r="D561" s="16" t="n">
        <f aca="false">1</f>
        <v>1</v>
      </c>
      <c r="E561" s="16" t="n">
        <f aca="false">lcr_27</f>
        <v>1.1</v>
      </c>
      <c r="F561" s="16" t="n">
        <f aca="false">lcr_28</f>
        <v>1.15</v>
      </c>
      <c r="G561" s="16" t="n">
        <f aca="false">lcr_29</f>
        <v>1.2</v>
      </c>
    </row>
    <row r="562" customFormat="false" ht="15" hidden="false" customHeight="false" outlineLevel="0" collapsed="false">
      <c r="A562" s="4" t="s">
        <v>504</v>
      </c>
      <c r="B562" s="0" t="s">
        <v>209</v>
      </c>
      <c r="C562" s="20" t="n">
        <f aca="false">a25_lc</f>
        <v>55.4885</v>
      </c>
      <c r="D562" s="20" t="n">
        <f aca="false">D551*$D$560*D561</f>
        <v>94.5529875</v>
      </c>
      <c r="E562" s="20" t="n">
        <f aca="false">E551*$D$560*E561</f>
        <v>185.115139180837</v>
      </c>
      <c r="F562" s="20" t="n">
        <f aca="false">F551*$D$560*F561</f>
        <v>245.321190937637</v>
      </c>
      <c r="G562" s="20" t="n">
        <f aca="false">G551*$D$560*G561</f>
        <v>291.61003960695</v>
      </c>
    </row>
    <row r="563" customFormat="false" ht="17.15" hidden="false" customHeight="false" outlineLevel="0" collapsed="false">
      <c r="A563" s="4" t="s">
        <v>505</v>
      </c>
      <c r="B563" s="0" t="s">
        <v>209</v>
      </c>
      <c r="C563" s="20" t="n">
        <f aca="false">a25_pe-a25_aip</f>
        <v>177.5632</v>
      </c>
      <c r="D563" s="20" t="n">
        <f aca="false">a26_pe-a26_aip</f>
        <v>189.105975</v>
      </c>
      <c r="E563" s="20" t="n">
        <f aca="false">D563*(1+g_pe27)</f>
        <v>198.56127375</v>
      </c>
      <c r="F563" s="20" t="n">
        <f aca="false">E563*(1+g_pe28)</f>
        <v>206.5037247</v>
      </c>
      <c r="G563" s="20" t="n">
        <f aca="false">F563*(1+g_pe29)</f>
        <v>212.698836441</v>
      </c>
      <c r="H563" s="8" t="s">
        <v>506</v>
      </c>
    </row>
    <row r="564" customFormat="false" ht="17.15" hidden="false" customHeight="false" outlineLevel="0" collapsed="false">
      <c r="A564" s="4" t="s">
        <v>431</v>
      </c>
      <c r="B564" s="0" t="s">
        <v>209</v>
      </c>
      <c r="C564" s="20" t="n">
        <f aca="false">C558+C563</f>
        <v>277.4425</v>
      </c>
      <c r="D564" s="20" t="n">
        <f aca="false">D558+D563</f>
        <v>385.776189</v>
      </c>
      <c r="E564" s="20" t="n">
        <f aca="false">E558+E563</f>
        <v>641.940079836466</v>
      </c>
      <c r="F564" s="20" t="n">
        <f aca="false">F558+F563</f>
        <v>809.951189851641</v>
      </c>
      <c r="G564" s="20" t="n">
        <f aca="false">G558+G563</f>
        <v>900.120903141117</v>
      </c>
      <c r="H564" s="4" t="s">
        <v>507</v>
      </c>
    </row>
    <row r="565" customFormat="false" ht="17.15" hidden="false" customHeight="false" outlineLevel="0" collapsed="false">
      <c r="A565" s="4" t="s">
        <v>508</v>
      </c>
      <c r="B565" s="0" t="s">
        <v>209</v>
      </c>
      <c r="C565" s="20" t="n">
        <f aca="false">a25_inf-a25_lc</f>
        <v>127.62355</v>
      </c>
      <c r="D565" s="20" t="n">
        <f aca="false">a26_inf-a26_lc</f>
        <v>170.1953775</v>
      </c>
      <c r="E565" s="20" t="n">
        <f aca="false">D565*(1+g_inf27)</f>
        <v>185.512961475</v>
      </c>
      <c r="F565" s="20" t="n">
        <f aca="false">E565*(1+g_inf28)</f>
        <v>198.49886877825</v>
      </c>
      <c r="G565" s="20" t="n">
        <f aca="false">F565*(1+g_inf29)</f>
        <v>210.408800904945</v>
      </c>
      <c r="H565" s="4" t="s">
        <v>509</v>
      </c>
    </row>
    <row r="566" customFormat="false" ht="15" hidden="false" customHeight="false" outlineLevel="0" collapsed="false">
      <c r="A566" s="4" t="s">
        <v>437</v>
      </c>
      <c r="B566" s="0" t="s">
        <v>209</v>
      </c>
      <c r="C566" s="20" t="n">
        <f aca="false">C562+C565</f>
        <v>183.11205</v>
      </c>
      <c r="D566" s="20" t="n">
        <f aca="false">D562+D565</f>
        <v>264.748365</v>
      </c>
      <c r="E566" s="20" t="n">
        <f aca="false">E562+E565</f>
        <v>370.628100655837</v>
      </c>
      <c r="F566" s="20" t="n">
        <f aca="false">F562+F565</f>
        <v>443.820059715887</v>
      </c>
      <c r="G566" s="20" t="n">
        <f aca="false">G562+G565</f>
        <v>502.018840511895</v>
      </c>
      <c r="H566" s="4" t="s">
        <v>510</v>
      </c>
    </row>
    <row r="567" customFormat="false" ht="15" hidden="false" customHeight="false" outlineLevel="0" collapsed="false">
      <c r="A567" s="4" t="s">
        <v>436</v>
      </c>
      <c r="B567" s="0" t="s">
        <v>209</v>
      </c>
      <c r="C567" s="20" t="n">
        <f aca="false">a25_au</f>
        <v>55.4885</v>
      </c>
      <c r="D567" s="20" t="n">
        <f aca="false">a26_au</f>
        <v>60.513912</v>
      </c>
      <c r="E567" s="20" t="n">
        <f aca="false">D567*(1+g_au27)</f>
        <v>63.5396076</v>
      </c>
      <c r="F567" s="20" t="n">
        <f aca="false">E567*(1+g_au28)</f>
        <v>66.71658798</v>
      </c>
      <c r="G567" s="20" t="n">
        <f aca="false">F567*(1+g_au29)</f>
        <v>69.3852514992</v>
      </c>
    </row>
    <row r="568" customFormat="false" ht="15" hidden="false" customHeight="false" outlineLevel="0" collapsed="false">
      <c r="A568" s="4" t="s">
        <v>435</v>
      </c>
      <c r="B568" s="0" t="s">
        <v>209</v>
      </c>
      <c r="C568" s="20" t="n">
        <f aca="false">a25_mo</f>
        <v>38.84195</v>
      </c>
      <c r="D568" s="20" t="n">
        <f aca="false">a26_mo</f>
        <v>45.385434</v>
      </c>
      <c r="E568" s="20" t="n">
        <f aca="false">D568*(1+g_mo27)</f>
        <v>45.385434</v>
      </c>
      <c r="F568" s="20" t="n">
        <f aca="false">E568*(1+g_mo28)</f>
        <v>46.29314268</v>
      </c>
      <c r="G568" s="20" t="n">
        <f aca="false">F568*(1+g_mo29)</f>
        <v>47.2190055336</v>
      </c>
    </row>
    <row r="569" customFormat="false" ht="17.15" hidden="false" customHeight="false" outlineLevel="0" collapsed="false">
      <c r="A569" s="4" t="s">
        <v>511</v>
      </c>
      <c r="B569" s="0" t="s">
        <v>209</v>
      </c>
      <c r="C569" s="20" t="n">
        <f aca="false">C563+C565+C567+C568</f>
        <v>399.5172</v>
      </c>
      <c r="D569" s="20" t="n">
        <f aca="false">D563+D565+D567+D568</f>
        <v>465.2006985</v>
      </c>
      <c r="E569" s="20" t="n">
        <f aca="false">E563+E565+E567+E568</f>
        <v>492.999276825</v>
      </c>
      <c r="F569" s="20" t="n">
        <f aca="false">F563+F565+F567+F568</f>
        <v>518.01232413825</v>
      </c>
      <c r="G569" s="20" t="n">
        <f aca="false">G563+G565+G567+G568</f>
        <v>539.711894378745</v>
      </c>
    </row>
    <row r="570" customFormat="false" ht="15" hidden="false" customHeight="false" outlineLevel="0" collapsed="false">
      <c r="A570" s="4" t="s">
        <v>386</v>
      </c>
      <c r="B570" s="0" t="s">
        <v>209</v>
      </c>
      <c r="C570" s="20" t="n">
        <f aca="false">C564+C566+C567+C568</f>
        <v>554.885</v>
      </c>
      <c r="D570" s="20" t="n">
        <f aca="false">D564+D566+D567+D568</f>
        <v>756.4239</v>
      </c>
      <c r="E570" s="20" t="n">
        <f aca="false">E564+E566+E567+E568</f>
        <v>1121.4932220923</v>
      </c>
      <c r="F570" s="20" t="n">
        <f aca="false">F564+F566+F567+F568</f>
        <v>1366.78098022753</v>
      </c>
      <c r="G570" s="20" t="n">
        <f aca="false">G564+G566+G567+G568</f>
        <v>1518.74400068581</v>
      </c>
      <c r="H570" s="4" t="s">
        <v>512</v>
      </c>
    </row>
    <row r="571" customFormat="false" ht="17.15" hidden="false" customHeight="false" outlineLevel="0" collapsed="false">
      <c r="A571" s="4" t="s">
        <v>513</v>
      </c>
      <c r="B571" s="0" t="s">
        <v>209</v>
      </c>
      <c r="C571" s="23" t="n">
        <f aca="false">C570-a25_rev</f>
        <v>0</v>
      </c>
      <c r="D571" s="23" t="n">
        <f aca="false">D570-a26_rev</f>
        <v>0</v>
      </c>
    </row>
    <row r="572" customFormat="false" ht="15" hidden="false" customHeight="false" outlineLevel="0" collapsed="false">
      <c r="A572" s="4" t="s">
        <v>514</v>
      </c>
      <c r="B572" s="0" t="s">
        <v>53</v>
      </c>
      <c r="D572" s="15" t="n">
        <f aca="false">D570/C570-1</f>
        <v>0.363208412553953</v>
      </c>
      <c r="E572" s="15" t="n">
        <f aca="false">E570/D570-1</f>
        <v>0.482625313785435</v>
      </c>
      <c r="F572" s="15" t="n">
        <f aca="false">F570/E570-1</f>
        <v>0.218715328192181</v>
      </c>
      <c r="G572" s="15" t="n">
        <f aca="false">G570/F570-1</f>
        <v>0.111183154182456</v>
      </c>
    </row>
    <row r="573" customFormat="false" ht="17.15" hidden="false" customHeight="false" outlineLevel="0" collapsed="false">
      <c r="A573" s="0" t="s">
        <v>515</v>
      </c>
      <c r="B573" s="0" t="s">
        <v>53</v>
      </c>
      <c r="C573" s="15" t="n">
        <f aca="false">C558/C570</f>
        <v>0.18</v>
      </c>
      <c r="D573" s="15" t="n">
        <f aca="false">D558/D570</f>
        <v>0.26</v>
      </c>
      <c r="E573" s="15" t="n">
        <f aca="false">E558/E570</f>
        <v>0.395346844147021</v>
      </c>
      <c r="F573" s="15" t="n">
        <f aca="false">F558/F570</f>
        <v>0.441509996028175</v>
      </c>
      <c r="G573" s="15" t="n">
        <f aca="false">G558/G570</f>
        <v>0.452625370957647</v>
      </c>
    </row>
    <row r="574" customFormat="false" ht="17.15" hidden="false" customHeight="false" outlineLevel="0" collapsed="false">
      <c r="A574" s="0" t="s">
        <v>516</v>
      </c>
      <c r="B574" s="0" t="s">
        <v>53</v>
      </c>
      <c r="C574" s="15" t="n">
        <f aca="false">(C558+C562)/C570</f>
        <v>0.28</v>
      </c>
      <c r="D574" s="15" t="n">
        <f aca="false">(D558+D562)/D570</f>
        <v>0.385</v>
      </c>
      <c r="E574" s="15" t="n">
        <f aca="false">(E558+E562)/E570</f>
        <v>0.560408153064679</v>
      </c>
      <c r="F574" s="15" t="n">
        <f aca="false">(F558+F562)/F570</f>
        <v>0.620998293338837</v>
      </c>
      <c r="G574" s="15" t="n">
        <f aca="false">(G558+G562)/G570</f>
        <v>0.644632739859364</v>
      </c>
    </row>
    <row r="575" customFormat="false" ht="17.15" hidden="false" customHeight="false" outlineLevel="0" collapsed="false">
      <c r="A575" s="4" t="s">
        <v>462</v>
      </c>
      <c r="B575" s="0" t="s">
        <v>463</v>
      </c>
      <c r="D575" s="19" t="n">
        <f aca="false">(D558+D562)/fx/D551*1000</f>
        <v>388.927551924965</v>
      </c>
      <c r="E575" s="19" t="n">
        <f aca="false">(E558+E562)/fx/E551*1000</f>
        <v>471.59570257222</v>
      </c>
      <c r="F575" s="19" t="n">
        <f aca="false">(F558+F562)/fx/F551*1000</f>
        <v>502.423682986705</v>
      </c>
      <c r="G575" s="19" t="n">
        <f aca="false">(G558+G562)/fx/G551*1000</f>
        <v>508.737441946526</v>
      </c>
    </row>
    <row r="576" customFormat="false" ht="17.15" hidden="false" customHeight="false" outlineLevel="0" collapsed="false">
      <c r="A576" s="6" t="s">
        <v>517</v>
      </c>
    </row>
    <row r="577" customFormat="false" ht="17.15" hidden="false" customHeight="false" outlineLevel="0" collapsed="false">
      <c r="A577" s="4" t="s">
        <v>518</v>
      </c>
      <c r="B577" s="0" t="s">
        <v>53</v>
      </c>
      <c r="D577" s="15" t="n">
        <f aca="false">a26_gp/D570-d_ai_hi*D573</f>
        <v>0.330074417690927</v>
      </c>
      <c r="H577" s="8" t="s">
        <v>519</v>
      </c>
    </row>
    <row r="578" customFormat="false" ht="15" hidden="false" customHeight="false" outlineLevel="0" collapsed="false">
      <c r="A578" s="4" t="s">
        <v>390</v>
      </c>
      <c r="B578" s="0" t="s">
        <v>209</v>
      </c>
      <c r="C578" s="20" t="n">
        <f aca="false">a25_gp</f>
        <v>190.2</v>
      </c>
      <c r="D578" s="20" t="n">
        <f aca="false">a26_gp</f>
        <v>273.276604</v>
      </c>
      <c r="E578" s="20" t="n">
        <f aca="false">$D$577*E570+d_ai_hi*E558</f>
        <v>423.381678956814</v>
      </c>
      <c r="F578" s="20" t="n">
        <f aca="false">$D$577*F570+d_ai_hi*F558</f>
        <v>523.553131977832</v>
      </c>
      <c r="G578" s="20" t="n">
        <f aca="false">$D$577*G570+d_ai_hi*G558</f>
        <v>583.789189651973</v>
      </c>
    </row>
    <row r="579" customFormat="false" ht="15" hidden="false" customHeight="false" outlineLevel="0" collapsed="false">
      <c r="A579" s="4" t="s">
        <v>392</v>
      </c>
      <c r="B579" s="0" t="s">
        <v>53</v>
      </c>
      <c r="C579" s="15" t="n">
        <f aca="false">C578/C570</f>
        <v>0.342773727889563</v>
      </c>
      <c r="D579" s="15" t="n">
        <f aca="false">D578/D570</f>
        <v>0.361274417690927</v>
      </c>
      <c r="E579" s="15" t="n">
        <f aca="false">E578/E570</f>
        <v>0.37751603898857</v>
      </c>
      <c r="F579" s="15" t="n">
        <f aca="false">F578/F570</f>
        <v>0.383055617214308</v>
      </c>
      <c r="G579" s="15" t="n">
        <f aca="false">G578/G570</f>
        <v>0.384389462205845</v>
      </c>
    </row>
    <row r="580" customFormat="false" ht="15" hidden="false" customHeight="false" outlineLevel="0" collapsed="false">
      <c r="A580" s="4" t="s">
        <v>520</v>
      </c>
      <c r="B580" s="0" t="s">
        <v>209</v>
      </c>
      <c r="C580" s="20" t="n">
        <f aca="false">a25_opx</f>
        <v>106.3</v>
      </c>
      <c r="D580" s="20" t="n">
        <f aca="false">a26_opx</f>
        <v>141.924088166667</v>
      </c>
      <c r="E580" s="20" t="n">
        <f aca="false">D580*(1+MAX(0,phi*E572))</f>
        <v>196.721014234786</v>
      </c>
      <c r="F580" s="20" t="n">
        <f aca="false">E580*(1+MAX(0,phi*F572))</f>
        <v>231.141735187314</v>
      </c>
      <c r="G580" s="20" t="n">
        <f aca="false">F580*(1+MAX(0,phi*G572))</f>
        <v>251.700988932379</v>
      </c>
    </row>
    <row r="581" customFormat="false" ht="15" hidden="false" customHeight="false" outlineLevel="0" collapsed="false">
      <c r="A581" s="4" t="s">
        <v>394</v>
      </c>
      <c r="B581" s="0" t="s">
        <v>209</v>
      </c>
      <c r="C581" s="20" t="n">
        <f aca="false">C580</f>
        <v>106.3</v>
      </c>
      <c r="D581" s="20" t="n">
        <f aca="false">D580</f>
        <v>141.924088166667</v>
      </c>
      <c r="E581" s="20" t="n">
        <f aca="false">E580+0*E570</f>
        <v>196.721014234786</v>
      </c>
      <c r="F581" s="20" t="n">
        <f aca="false">F580+0*F570</f>
        <v>231.141735187314</v>
      </c>
      <c r="G581" s="20" t="n">
        <f aca="false">G580+0*G570</f>
        <v>251.700988932379</v>
      </c>
    </row>
    <row r="582" customFormat="false" ht="15" hidden="false" customHeight="false" outlineLevel="0" collapsed="false">
      <c r="A582" s="4" t="s">
        <v>396</v>
      </c>
      <c r="B582" s="0" t="s">
        <v>209</v>
      </c>
      <c r="C582" s="20" t="n">
        <f aca="false">C578-C581</f>
        <v>83.9</v>
      </c>
      <c r="D582" s="20" t="n">
        <f aca="false">D578-D581</f>
        <v>131.352515833333</v>
      </c>
      <c r="E582" s="20" t="n">
        <f aca="false">E578-E581</f>
        <v>226.660664722028</v>
      </c>
      <c r="F582" s="20" t="n">
        <f aca="false">F578-F581</f>
        <v>292.411396790518</v>
      </c>
      <c r="G582" s="20" t="n">
        <f aca="false">G578-G581</f>
        <v>332.088200719593</v>
      </c>
    </row>
    <row r="583" customFormat="false" ht="15" hidden="false" customHeight="false" outlineLevel="0" collapsed="false">
      <c r="A583" s="4" t="s">
        <v>398</v>
      </c>
      <c r="B583" s="0" t="s">
        <v>53</v>
      </c>
      <c r="C583" s="15" t="n">
        <f aca="false">C582/C570</f>
        <v>0.151202501419213</v>
      </c>
      <c r="D583" s="15" t="n">
        <f aca="false">D582/D570</f>
        <v>0.173649346396027</v>
      </c>
      <c r="E583" s="15" t="n">
        <f aca="false">E582/E570</f>
        <v>0.202106138723836</v>
      </c>
      <c r="F583" s="15" t="n">
        <f aca="false">F582/F570</f>
        <v>0.213941663675947</v>
      </c>
      <c r="G583" s="15" t="n">
        <f aca="false">G582/G570</f>
        <v>0.218659761335442</v>
      </c>
    </row>
    <row r="584" customFormat="false" ht="15" hidden="false" customHeight="false" outlineLevel="0" collapsed="false">
      <c r="A584" s="4" t="s">
        <v>400</v>
      </c>
      <c r="B584" s="0" t="s">
        <v>209</v>
      </c>
      <c r="C584" s="20" t="n">
        <f aca="false">a25_nop</f>
        <v>3.934</v>
      </c>
      <c r="D584" s="20" t="n">
        <f aca="false">a26_nop</f>
        <v>11.1666666666667</v>
      </c>
      <c r="E584" s="20" t="n">
        <f aca="false">nop_f</f>
        <v>8</v>
      </c>
      <c r="F584" s="20" t="n">
        <f aca="false">nop_f</f>
        <v>8</v>
      </c>
      <c r="G584" s="20" t="n">
        <f aca="false">nop_f</f>
        <v>8</v>
      </c>
    </row>
    <row r="585" customFormat="false" ht="17.15" hidden="false" customHeight="false" outlineLevel="0" collapsed="false">
      <c r="A585" s="4" t="s">
        <v>250</v>
      </c>
      <c r="B585" s="0" t="s">
        <v>53</v>
      </c>
      <c r="C585" s="15" t="n">
        <f aca="false">a25_ni/(a25_oi+a25_nop)</f>
        <v>0.684336361773345</v>
      </c>
      <c r="D585" s="15" t="n">
        <f aca="false">a26_ni/(a26_oi+a26_nop)</f>
        <v>0.690638510538748</v>
      </c>
      <c r="E585" s="15" t="n">
        <f aca="false">nir_f</f>
        <v>0.69</v>
      </c>
      <c r="F585" s="15" t="n">
        <f aca="false">nir_f</f>
        <v>0.69</v>
      </c>
      <c r="G585" s="15" t="n">
        <f aca="false">nir_f</f>
        <v>0.69</v>
      </c>
    </row>
    <row r="586" customFormat="false" ht="15" hidden="false" customHeight="false" outlineLevel="0" collapsed="false">
      <c r="A586" s="4" t="s">
        <v>403</v>
      </c>
      <c r="B586" s="0" t="s">
        <v>209</v>
      </c>
      <c r="C586" s="20" t="n">
        <f aca="false">a25_ni</f>
        <v>60.108</v>
      </c>
      <c r="D586" s="20" t="n">
        <f aca="false">a26_ni</f>
        <v>98.429235925</v>
      </c>
      <c r="E586" s="20" t="n">
        <f aca="false">(E582+E584)*E585</f>
        <v>161.915858658199</v>
      </c>
      <c r="F586" s="20" t="n">
        <f aca="false">(F582+F584)*F585</f>
        <v>207.283863785458</v>
      </c>
      <c r="G586" s="20" t="n">
        <f aca="false">(G582+G584)*G585</f>
        <v>234.660858496519</v>
      </c>
    </row>
    <row r="587" customFormat="false" ht="15" hidden="false" customHeight="false" outlineLevel="0" collapsed="false">
      <c r="A587" s="4" t="s">
        <v>521</v>
      </c>
      <c r="B587" s="4" t="s">
        <v>234</v>
      </c>
      <c r="C587" s="23" t="n">
        <f aca="false">a25_sh</f>
        <v>2.59757994814175</v>
      </c>
      <c r="D587" s="23" t="n">
        <f aca="false">a26_sh</f>
        <v>2.59806708357021</v>
      </c>
      <c r="E587" s="23" t="n">
        <f aca="false">D587*(1+sh_g)</f>
        <v>2.59806708357021</v>
      </c>
      <c r="F587" s="23" t="n">
        <f aca="false">E587*(1+sh_g)</f>
        <v>2.59806708357021</v>
      </c>
      <c r="G587" s="23" t="n">
        <f aca="false">F587*(1+sh_g)</f>
        <v>2.59806708357021</v>
      </c>
    </row>
    <row r="588" customFormat="false" ht="15" hidden="false" customHeight="false" outlineLevel="0" collapsed="false">
      <c r="A588" s="0" t="s">
        <v>408</v>
      </c>
      <c r="B588" s="0" t="s">
        <v>265</v>
      </c>
      <c r="C588" s="21" t="n">
        <f aca="false">C586/C587</f>
        <v>23.14</v>
      </c>
      <c r="D588" s="21" t="n">
        <f aca="false">D586/D587</f>
        <v>37.8855636744147</v>
      </c>
      <c r="E588" s="21" t="n">
        <f aca="false">E586/E587</f>
        <v>62.321662008703</v>
      </c>
      <c r="F588" s="21" t="n">
        <f aca="false">F586/F587</f>
        <v>79.7838766736587</v>
      </c>
      <c r="G588" s="21" t="n">
        <f aca="false">G586/G587</f>
        <v>90.3213238720739</v>
      </c>
    </row>
    <row r="589" customFormat="false" ht="17.15" hidden="false" customHeight="false" outlineLevel="0" collapsed="false">
      <c r="A589" s="0" t="s">
        <v>522</v>
      </c>
      <c r="B589" s="0" t="s">
        <v>53</v>
      </c>
      <c r="D589" s="15" t="n">
        <f aca="false">D588/C588-1</f>
        <v>0.637232656629847</v>
      </c>
      <c r="E589" s="15" t="n">
        <f aca="false">E588/D588-1</f>
        <v>0.644997618203338</v>
      </c>
      <c r="F589" s="15" t="n">
        <f aca="false">F588/E588-1</f>
        <v>0.280194945098176</v>
      </c>
      <c r="G589" s="15" t="n">
        <f aca="false">G588/F588-1</f>
        <v>0.132074895802779</v>
      </c>
    </row>
    <row r="592" customFormat="false" ht="17.15" hidden="false" customHeight="false" outlineLevel="0" collapsed="false">
      <c r="A592" s="1" t="s">
        <v>871</v>
      </c>
    </row>
    <row r="593" customFormat="false" ht="17.15" hidden="false" customHeight="false" outlineLevel="0" collapsed="false">
      <c r="A593" s="5" t="s">
        <v>22</v>
      </c>
      <c r="B593" s="5" t="s">
        <v>23</v>
      </c>
      <c r="C593" s="12" t="s">
        <v>380</v>
      </c>
      <c r="D593" s="12" t="s">
        <v>468</v>
      </c>
      <c r="E593" s="12" t="s">
        <v>469</v>
      </c>
      <c r="F593" s="12" t="s">
        <v>470</v>
      </c>
      <c r="G593" s="12" t="s">
        <v>471</v>
      </c>
      <c r="H593" s="5" t="s">
        <v>365</v>
      </c>
    </row>
    <row r="594" customFormat="false" ht="17.15" hidden="false" customHeight="false" outlineLevel="0" collapsed="false">
      <c r="A594" s="6" t="s">
        <v>490</v>
      </c>
    </row>
    <row r="595" customFormat="false" ht="17.15" hidden="false" customHeight="false" outlineLevel="0" collapsed="false">
      <c r="A595" s="0" t="s">
        <v>491</v>
      </c>
      <c r="B595" s="0" t="s">
        <v>33</v>
      </c>
      <c r="D595" s="21" t="n">
        <f aca="false">itc_26*1</f>
        <v>781.872916666666</v>
      </c>
      <c r="E595" s="21" t="n">
        <f aca="false">itc_27*1*1</f>
        <v>1565.35</v>
      </c>
      <c r="F595" s="21" t="n">
        <f aca="false">itc_28*um28_A*1</f>
        <v>1984.26388888889</v>
      </c>
      <c r="G595" s="21" t="n">
        <f aca="false">itc_29*um29_A*1</f>
        <v>2260.39027777778</v>
      </c>
    </row>
    <row r="596" customFormat="false" ht="17.15" hidden="false" customHeight="false" outlineLevel="0" collapsed="false">
      <c r="A596" s="4" t="s">
        <v>492</v>
      </c>
      <c r="B596" s="0" t="s">
        <v>33</v>
      </c>
      <c r="D596" s="21" t="n">
        <f aca="false">itpg_gb*(1-vr26)+itpg_vr*vr26</f>
        <v>33.41403216</v>
      </c>
      <c r="E596" s="21" t="n">
        <f aca="false">itpg_vr</f>
        <v>37.586352</v>
      </c>
      <c r="F596" s="21" t="n">
        <f aca="false">itpg_vr</f>
        <v>37.586352</v>
      </c>
      <c r="G596" s="21" t="n">
        <f aca="false">itpg_vr</f>
        <v>37.586352</v>
      </c>
    </row>
    <row r="597" customFormat="false" ht="17.15" hidden="false" customHeight="false" outlineLevel="0" collapsed="false">
      <c r="A597" s="4" t="s">
        <v>493</v>
      </c>
      <c r="B597" s="0" t="s">
        <v>446</v>
      </c>
      <c r="D597" s="18" t="n">
        <f aca="false">D595/D596</f>
        <v>23.3995380420639</v>
      </c>
      <c r="E597" s="18" t="n">
        <f aca="false">E595/E596</f>
        <v>41.6467658260637</v>
      </c>
      <c r="F597" s="18" t="n">
        <f aca="false">F595/F596</f>
        <v>52.792138191248</v>
      </c>
      <c r="G597" s="18" t="n">
        <f aca="false">G595/G596</f>
        <v>60.1385917361116</v>
      </c>
    </row>
    <row r="598" customFormat="false" ht="17.15" hidden="false" customHeight="false" outlineLevel="0" collapsed="false">
      <c r="A598" s="0" t="s">
        <v>448</v>
      </c>
      <c r="B598" s="0" t="s">
        <v>96</v>
      </c>
      <c r="D598" s="19" t="n">
        <f aca="false">pkw_26</f>
        <v>450</v>
      </c>
      <c r="E598" s="19" t="n">
        <f aca="false">pkw_27</f>
        <v>600</v>
      </c>
      <c r="F598" s="19" t="n">
        <f aca="false">pkw_28</f>
        <v>680</v>
      </c>
      <c r="G598" s="19" t="n">
        <f aca="false">pkw_29</f>
        <v>720</v>
      </c>
    </row>
    <row r="599" customFormat="false" ht="17.15" hidden="false" customHeight="false" outlineLevel="0" collapsed="false">
      <c r="A599" s="0" t="s">
        <v>494</v>
      </c>
      <c r="B599" s="0" t="s">
        <v>33</v>
      </c>
      <c r="D599" s="21" t="n">
        <f aca="false">D597*D598/1000</f>
        <v>10.5297921189287</v>
      </c>
      <c r="E599" s="21" t="n">
        <f aca="false">E597*E598/1000</f>
        <v>24.9880594956382</v>
      </c>
      <c r="F599" s="21" t="n">
        <f aca="false">F597*F598/1000</f>
        <v>35.8986539700486</v>
      </c>
      <c r="G599" s="21" t="n">
        <f aca="false">G597*G598/1000</f>
        <v>43.2997860500003</v>
      </c>
    </row>
    <row r="600" customFormat="false" ht="17.15" hidden="false" customHeight="false" outlineLevel="0" collapsed="false">
      <c r="A600" s="0" t="s">
        <v>495</v>
      </c>
      <c r="B600" s="0" t="s">
        <v>209</v>
      </c>
      <c r="D600" s="20" t="n">
        <f aca="false">D599*fx</f>
        <v>336.95334780572</v>
      </c>
      <c r="E600" s="20" t="n">
        <f aca="false">E599*fx</f>
        <v>799.617903860422</v>
      </c>
      <c r="F600" s="20" t="n">
        <f aca="false">F599*fx</f>
        <v>1148.75692704156</v>
      </c>
      <c r="G600" s="20" t="n">
        <f aca="false">G599*fx</f>
        <v>1385.59315360001</v>
      </c>
    </row>
    <row r="601" customFormat="false" ht="17.15" hidden="false" customHeight="false" outlineLevel="0" collapsed="false">
      <c r="A601" s="4" t="s">
        <v>496</v>
      </c>
      <c r="B601" s="0" t="s">
        <v>53</v>
      </c>
      <c r="D601" s="15" t="n">
        <f aca="false">a26_aip/D600</f>
        <v>0.583671939396773</v>
      </c>
      <c r="H601" s="8" t="s">
        <v>497</v>
      </c>
    </row>
    <row r="602" customFormat="false" ht="17.15" hidden="false" customHeight="false" outlineLevel="0" collapsed="false">
      <c r="A602" s="4" t="s">
        <v>498</v>
      </c>
      <c r="B602" s="0" t="s">
        <v>69</v>
      </c>
      <c r="D602" s="16" t="n">
        <f aca="false">1</f>
        <v>1</v>
      </c>
      <c r="E602" s="16" t="n">
        <f aca="false">rel_27</f>
        <v>0.95</v>
      </c>
      <c r="F602" s="16" t="n">
        <f aca="false">rel_28</f>
        <v>0.9</v>
      </c>
      <c r="G602" s="16" t="n">
        <f aca="false">rel_29</f>
        <v>0.85</v>
      </c>
    </row>
    <row r="603" customFormat="false" ht="15" hidden="false" customHeight="false" outlineLevel="0" collapsed="false">
      <c r="A603" s="4" t="s">
        <v>455</v>
      </c>
      <c r="B603" s="0" t="s">
        <v>53</v>
      </c>
      <c r="D603" s="15" t="n">
        <f aca="false">$D$601*D602</f>
        <v>0.583671939396773</v>
      </c>
      <c r="E603" s="15" t="n">
        <f aca="false">$D$601*E602</f>
        <v>0.554488342426935</v>
      </c>
      <c r="F603" s="15" t="n">
        <f aca="false">$D$601*F602</f>
        <v>0.525304745457096</v>
      </c>
      <c r="G603" s="15" t="n">
        <f aca="false">$D$601*G602</f>
        <v>0.496121148487257</v>
      </c>
    </row>
    <row r="604" customFormat="false" ht="17.15" hidden="false" customHeight="false" outlineLevel="0" collapsed="false">
      <c r="A604" s="0" t="s">
        <v>499</v>
      </c>
      <c r="B604" s="0" t="s">
        <v>209</v>
      </c>
      <c r="C604" s="20" t="n">
        <f aca="false">a25_aip</f>
        <v>99.8793</v>
      </c>
      <c r="D604" s="20" t="n">
        <f aca="false">D600*D603</f>
        <v>196.670214</v>
      </c>
      <c r="E604" s="20" t="n">
        <f aca="false">E600*E603</f>
        <v>443.378806086466</v>
      </c>
      <c r="F604" s="20" t="n">
        <f aca="false">F600*F603</f>
        <v>603.447465151641</v>
      </c>
      <c r="G604" s="20" t="n">
        <f aca="false">G600*G603</f>
        <v>687.422066700118</v>
      </c>
    </row>
    <row r="605" customFormat="false" ht="17.15" hidden="false" customHeight="false" outlineLevel="0" collapsed="false">
      <c r="A605" s="6" t="s">
        <v>500</v>
      </c>
    </row>
    <row r="606" customFormat="false" ht="17.15" hidden="false" customHeight="false" outlineLevel="0" collapsed="false">
      <c r="A606" s="4" t="s">
        <v>501</v>
      </c>
      <c r="B606" s="0" t="s">
        <v>502</v>
      </c>
      <c r="D606" s="23" t="n">
        <f aca="false">a26_lc/D597</f>
        <v>4.04080573428535</v>
      </c>
    </row>
    <row r="607" customFormat="false" ht="17.15" hidden="false" customHeight="false" outlineLevel="0" collapsed="false">
      <c r="A607" s="4" t="s">
        <v>503</v>
      </c>
      <c r="B607" s="0" t="s">
        <v>69</v>
      </c>
      <c r="D607" s="16" t="n">
        <f aca="false">1</f>
        <v>1</v>
      </c>
      <c r="E607" s="16" t="n">
        <f aca="false">lcr_27</f>
        <v>1.1</v>
      </c>
      <c r="F607" s="16" t="n">
        <f aca="false">lcr_28</f>
        <v>1.15</v>
      </c>
      <c r="G607" s="16" t="n">
        <f aca="false">lcr_29</f>
        <v>1.2</v>
      </c>
    </row>
    <row r="608" customFormat="false" ht="15" hidden="false" customHeight="false" outlineLevel="0" collapsed="false">
      <c r="A608" s="4" t="s">
        <v>504</v>
      </c>
      <c r="B608" s="0" t="s">
        <v>209</v>
      </c>
      <c r="C608" s="20" t="n">
        <f aca="false">a25_lc</f>
        <v>55.4885</v>
      </c>
      <c r="D608" s="20" t="n">
        <f aca="false">D597*$D$606*D607</f>
        <v>94.5529875</v>
      </c>
      <c r="E608" s="20" t="n">
        <f aca="false">E597*$D$606*E607</f>
        <v>185.115139180837</v>
      </c>
      <c r="F608" s="20" t="n">
        <f aca="false">F597*$D$606*F607</f>
        <v>245.321190937637</v>
      </c>
      <c r="G608" s="20" t="n">
        <f aca="false">G597*$D$606*G607</f>
        <v>291.61003960695</v>
      </c>
    </row>
    <row r="609" customFormat="false" ht="17.15" hidden="false" customHeight="false" outlineLevel="0" collapsed="false">
      <c r="A609" s="4" t="s">
        <v>505</v>
      </c>
      <c r="B609" s="0" t="s">
        <v>209</v>
      </c>
      <c r="C609" s="20" t="n">
        <f aca="false">a25_pe-a25_aip</f>
        <v>177.5632</v>
      </c>
      <c r="D609" s="20" t="n">
        <f aca="false">a26_pe-a26_aip</f>
        <v>189.105975</v>
      </c>
      <c r="E609" s="20" t="n">
        <f aca="false">D609*(1+g_pe27)</f>
        <v>198.56127375</v>
      </c>
      <c r="F609" s="20" t="n">
        <f aca="false">E609*(1+g_pe28)</f>
        <v>206.5037247</v>
      </c>
      <c r="G609" s="20" t="n">
        <f aca="false">F609*(1+g_pe29)</f>
        <v>212.698836441</v>
      </c>
      <c r="H609" s="8" t="s">
        <v>506</v>
      </c>
    </row>
    <row r="610" customFormat="false" ht="17.15" hidden="false" customHeight="false" outlineLevel="0" collapsed="false">
      <c r="A610" s="4" t="s">
        <v>431</v>
      </c>
      <c r="B610" s="0" t="s">
        <v>209</v>
      </c>
      <c r="C610" s="20" t="n">
        <f aca="false">C604+C609</f>
        <v>277.4425</v>
      </c>
      <c r="D610" s="20" t="n">
        <f aca="false">D604+D609</f>
        <v>385.776189</v>
      </c>
      <c r="E610" s="20" t="n">
        <f aca="false">E604+E609</f>
        <v>641.940079836466</v>
      </c>
      <c r="F610" s="20" t="n">
        <f aca="false">F604+F609</f>
        <v>809.951189851641</v>
      </c>
      <c r="G610" s="20" t="n">
        <f aca="false">G604+G609</f>
        <v>900.120903141117</v>
      </c>
      <c r="H610" s="4" t="s">
        <v>507</v>
      </c>
    </row>
    <row r="611" customFormat="false" ht="17.15" hidden="false" customHeight="false" outlineLevel="0" collapsed="false">
      <c r="A611" s="4" t="s">
        <v>508</v>
      </c>
      <c r="B611" s="0" t="s">
        <v>209</v>
      </c>
      <c r="C611" s="20" t="n">
        <f aca="false">a25_inf-a25_lc</f>
        <v>127.62355</v>
      </c>
      <c r="D611" s="20" t="n">
        <f aca="false">a26_inf-a26_lc</f>
        <v>170.1953775</v>
      </c>
      <c r="E611" s="20" t="n">
        <f aca="false">D611*(1+g_inf27)</f>
        <v>185.512961475</v>
      </c>
      <c r="F611" s="20" t="n">
        <f aca="false">E611*(1+g_inf28)</f>
        <v>198.49886877825</v>
      </c>
      <c r="G611" s="20" t="n">
        <f aca="false">F611*(1+g_inf29)</f>
        <v>210.408800904945</v>
      </c>
      <c r="H611" s="4" t="s">
        <v>509</v>
      </c>
    </row>
    <row r="612" customFormat="false" ht="15" hidden="false" customHeight="false" outlineLevel="0" collapsed="false">
      <c r="A612" s="4" t="s">
        <v>437</v>
      </c>
      <c r="B612" s="0" t="s">
        <v>209</v>
      </c>
      <c r="C612" s="20" t="n">
        <f aca="false">C608+C611</f>
        <v>183.11205</v>
      </c>
      <c r="D612" s="20" t="n">
        <f aca="false">D608+D611</f>
        <v>264.748365</v>
      </c>
      <c r="E612" s="20" t="n">
        <f aca="false">E608+E611</f>
        <v>370.628100655837</v>
      </c>
      <c r="F612" s="20" t="n">
        <f aca="false">F608+F611</f>
        <v>443.820059715887</v>
      </c>
      <c r="G612" s="20" t="n">
        <f aca="false">G608+G611</f>
        <v>502.018840511895</v>
      </c>
      <c r="H612" s="4" t="s">
        <v>510</v>
      </c>
    </row>
    <row r="613" customFormat="false" ht="15" hidden="false" customHeight="false" outlineLevel="0" collapsed="false">
      <c r="A613" s="4" t="s">
        <v>436</v>
      </c>
      <c r="B613" s="0" t="s">
        <v>209</v>
      </c>
      <c r="C613" s="20" t="n">
        <f aca="false">a25_au</f>
        <v>55.4885</v>
      </c>
      <c r="D613" s="20" t="n">
        <f aca="false">a26_au</f>
        <v>60.513912</v>
      </c>
      <c r="E613" s="20" t="n">
        <f aca="false">D613*(1+g_au27)</f>
        <v>63.5396076</v>
      </c>
      <c r="F613" s="20" t="n">
        <f aca="false">E613*(1+g_au28)</f>
        <v>66.71658798</v>
      </c>
      <c r="G613" s="20" t="n">
        <f aca="false">F613*(1+g_au29)</f>
        <v>69.3852514992</v>
      </c>
    </row>
    <row r="614" customFormat="false" ht="15" hidden="false" customHeight="false" outlineLevel="0" collapsed="false">
      <c r="A614" s="4" t="s">
        <v>435</v>
      </c>
      <c r="B614" s="0" t="s">
        <v>209</v>
      </c>
      <c r="C614" s="20" t="n">
        <f aca="false">a25_mo</f>
        <v>38.84195</v>
      </c>
      <c r="D614" s="20" t="n">
        <f aca="false">a26_mo</f>
        <v>45.385434</v>
      </c>
      <c r="E614" s="20" t="n">
        <f aca="false">D614*(1+g_mo27)</f>
        <v>45.385434</v>
      </c>
      <c r="F614" s="20" t="n">
        <f aca="false">E614*(1+g_mo28)</f>
        <v>46.29314268</v>
      </c>
      <c r="G614" s="20" t="n">
        <f aca="false">F614*(1+g_mo29)</f>
        <v>47.2190055336</v>
      </c>
    </row>
    <row r="615" customFormat="false" ht="17.15" hidden="false" customHeight="false" outlineLevel="0" collapsed="false">
      <c r="A615" s="4" t="s">
        <v>511</v>
      </c>
      <c r="B615" s="0" t="s">
        <v>209</v>
      </c>
      <c r="C615" s="20" t="n">
        <f aca="false">C609+C611+C613+C614</f>
        <v>399.5172</v>
      </c>
      <c r="D615" s="20" t="n">
        <f aca="false">D609+D611+D613+D614</f>
        <v>465.2006985</v>
      </c>
      <c r="E615" s="20" t="n">
        <f aca="false">E609+E611+E613+E614</f>
        <v>492.999276825</v>
      </c>
      <c r="F615" s="20" t="n">
        <f aca="false">F609+F611+F613+F614</f>
        <v>518.01232413825</v>
      </c>
      <c r="G615" s="20" t="n">
        <f aca="false">G609+G611+G613+G614</f>
        <v>539.711894378745</v>
      </c>
    </row>
    <row r="616" customFormat="false" ht="15" hidden="false" customHeight="false" outlineLevel="0" collapsed="false">
      <c r="A616" s="4" t="s">
        <v>386</v>
      </c>
      <c r="B616" s="0" t="s">
        <v>209</v>
      </c>
      <c r="C616" s="20" t="n">
        <f aca="false">C610+C612+C613+C614</f>
        <v>554.885</v>
      </c>
      <c r="D616" s="20" t="n">
        <f aca="false">D610+D612+D613+D614</f>
        <v>756.4239</v>
      </c>
      <c r="E616" s="20" t="n">
        <f aca="false">E610+E612+E613+E614</f>
        <v>1121.4932220923</v>
      </c>
      <c r="F616" s="20" t="n">
        <f aca="false">F610+F612+F613+F614</f>
        <v>1366.78098022753</v>
      </c>
      <c r="G616" s="20" t="n">
        <f aca="false">G610+G612+G613+G614</f>
        <v>1518.74400068581</v>
      </c>
      <c r="H616" s="4" t="s">
        <v>512</v>
      </c>
    </row>
    <row r="617" customFormat="false" ht="17.15" hidden="false" customHeight="false" outlineLevel="0" collapsed="false">
      <c r="A617" s="4" t="s">
        <v>513</v>
      </c>
      <c r="B617" s="0" t="s">
        <v>209</v>
      </c>
      <c r="C617" s="23" t="n">
        <f aca="false">C616-a25_rev</f>
        <v>0</v>
      </c>
      <c r="D617" s="23" t="n">
        <f aca="false">D616-a26_rev</f>
        <v>0</v>
      </c>
    </row>
    <row r="618" customFormat="false" ht="15" hidden="false" customHeight="false" outlineLevel="0" collapsed="false">
      <c r="A618" s="4" t="s">
        <v>514</v>
      </c>
      <c r="B618" s="0" t="s">
        <v>53</v>
      </c>
      <c r="D618" s="15" t="n">
        <f aca="false">D616/C616-1</f>
        <v>0.363208412553953</v>
      </c>
      <c r="E618" s="15" t="n">
        <f aca="false">E616/D616-1</f>
        <v>0.482625313785435</v>
      </c>
      <c r="F618" s="15" t="n">
        <f aca="false">F616/E616-1</f>
        <v>0.218715328192181</v>
      </c>
      <c r="G618" s="15" t="n">
        <f aca="false">G616/F616-1</f>
        <v>0.111183154182456</v>
      </c>
    </row>
    <row r="619" customFormat="false" ht="17.15" hidden="false" customHeight="false" outlineLevel="0" collapsed="false">
      <c r="A619" s="0" t="s">
        <v>515</v>
      </c>
      <c r="B619" s="0" t="s">
        <v>53</v>
      </c>
      <c r="C619" s="15" t="n">
        <f aca="false">C604/C616</f>
        <v>0.18</v>
      </c>
      <c r="D619" s="15" t="n">
        <f aca="false">D604/D616</f>
        <v>0.26</v>
      </c>
      <c r="E619" s="15" t="n">
        <f aca="false">E604/E616</f>
        <v>0.395346844147021</v>
      </c>
      <c r="F619" s="15" t="n">
        <f aca="false">F604/F616</f>
        <v>0.441509996028175</v>
      </c>
      <c r="G619" s="15" t="n">
        <f aca="false">G604/G616</f>
        <v>0.452625370957647</v>
      </c>
    </row>
    <row r="620" customFormat="false" ht="17.15" hidden="false" customHeight="false" outlineLevel="0" collapsed="false">
      <c r="A620" s="0" t="s">
        <v>516</v>
      </c>
      <c r="B620" s="0" t="s">
        <v>53</v>
      </c>
      <c r="C620" s="15" t="n">
        <f aca="false">(C604+C608)/C616</f>
        <v>0.28</v>
      </c>
      <c r="D620" s="15" t="n">
        <f aca="false">(D604+D608)/D616</f>
        <v>0.385</v>
      </c>
      <c r="E620" s="15" t="n">
        <f aca="false">(E604+E608)/E616</f>
        <v>0.560408153064679</v>
      </c>
      <c r="F620" s="15" t="n">
        <f aca="false">(F604+F608)/F616</f>
        <v>0.620998293338837</v>
      </c>
      <c r="G620" s="15" t="n">
        <f aca="false">(G604+G608)/G616</f>
        <v>0.644632739859364</v>
      </c>
    </row>
    <row r="621" customFormat="false" ht="17.15" hidden="false" customHeight="false" outlineLevel="0" collapsed="false">
      <c r="A621" s="4" t="s">
        <v>462</v>
      </c>
      <c r="B621" s="0" t="s">
        <v>463</v>
      </c>
      <c r="D621" s="19" t="n">
        <f aca="false">(D604+D608)/fx/D597*1000</f>
        <v>388.927551924965</v>
      </c>
      <c r="E621" s="19" t="n">
        <f aca="false">(E604+E608)/fx/E597*1000</f>
        <v>471.59570257222</v>
      </c>
      <c r="F621" s="19" t="n">
        <f aca="false">(F604+F608)/fx/F597*1000</f>
        <v>502.423682986705</v>
      </c>
      <c r="G621" s="19" t="n">
        <f aca="false">(G604+G608)/fx/G597*1000</f>
        <v>508.737441946526</v>
      </c>
    </row>
    <row r="622" customFormat="false" ht="17.15" hidden="false" customHeight="false" outlineLevel="0" collapsed="false">
      <c r="A622" s="6" t="s">
        <v>517</v>
      </c>
    </row>
    <row r="623" customFormat="false" ht="17.15" hidden="false" customHeight="false" outlineLevel="0" collapsed="false">
      <c r="A623" s="4" t="s">
        <v>518</v>
      </c>
      <c r="B623" s="0" t="s">
        <v>53</v>
      </c>
      <c r="D623" s="15" t="n">
        <f aca="false">a26_gp/D616-d_ai*D619</f>
        <v>0.340474417690927</v>
      </c>
      <c r="H623" s="8" t="s">
        <v>519</v>
      </c>
    </row>
    <row r="624" customFormat="false" ht="15" hidden="false" customHeight="false" outlineLevel="0" collapsed="false">
      <c r="A624" s="4" t="s">
        <v>390</v>
      </c>
      <c r="B624" s="0" t="s">
        <v>209</v>
      </c>
      <c r="C624" s="20" t="n">
        <f aca="false">a25_gp</f>
        <v>190.2</v>
      </c>
      <c r="D624" s="20" t="n">
        <f aca="false">a26_gp</f>
        <v>273.276604</v>
      </c>
      <c r="E624" s="20" t="n">
        <f aca="false">$D$623*E616+d_ai*E604</f>
        <v>417.310056223116</v>
      </c>
      <c r="F624" s="20" t="n">
        <f aca="false">$D$623*F616+d_ai*F604</f>
        <v>513.629755566133</v>
      </c>
      <c r="G624" s="20" t="n">
        <f aca="false">$D$623*G616+d_ai*G604</f>
        <v>572.0872445911</v>
      </c>
    </row>
    <row r="625" customFormat="false" ht="15" hidden="false" customHeight="false" outlineLevel="0" collapsed="false">
      <c r="A625" s="4" t="s">
        <v>392</v>
      </c>
      <c r="B625" s="0" t="s">
        <v>53</v>
      </c>
      <c r="C625" s="15" t="n">
        <f aca="false">C624/C616</f>
        <v>0.342773727889563</v>
      </c>
      <c r="D625" s="15" t="n">
        <f aca="false">D624/D616</f>
        <v>0.361274417690927</v>
      </c>
      <c r="E625" s="15" t="n">
        <f aca="false">E624/E616</f>
        <v>0.372102165222689</v>
      </c>
      <c r="F625" s="15" t="n">
        <f aca="false">F624/F616</f>
        <v>0.375795217373181</v>
      </c>
      <c r="G625" s="15" t="n">
        <f aca="false">G624/G616</f>
        <v>0.376684447367539</v>
      </c>
    </row>
    <row r="626" customFormat="false" ht="15" hidden="false" customHeight="false" outlineLevel="0" collapsed="false">
      <c r="A626" s="4" t="s">
        <v>520</v>
      </c>
      <c r="B626" s="0" t="s">
        <v>209</v>
      </c>
      <c r="C626" s="20" t="n">
        <f aca="false">a25_opx</f>
        <v>106.3</v>
      </c>
      <c r="D626" s="20" t="n">
        <f aca="false">a26_opx</f>
        <v>141.924088166667</v>
      </c>
      <c r="E626" s="20" t="n">
        <f aca="false">D626*(1+MAX(0,phi*E618))</f>
        <v>196.721014234786</v>
      </c>
      <c r="F626" s="20" t="n">
        <f aca="false">E626*(1+MAX(0,phi*F618))</f>
        <v>231.141735187314</v>
      </c>
      <c r="G626" s="20" t="n">
        <f aca="false">F626*(1+MAX(0,phi*G618))</f>
        <v>251.700988932379</v>
      </c>
    </row>
    <row r="627" customFormat="false" ht="15" hidden="false" customHeight="false" outlineLevel="0" collapsed="false">
      <c r="A627" s="4" t="s">
        <v>394</v>
      </c>
      <c r="B627" s="0" t="s">
        <v>209</v>
      </c>
      <c r="C627" s="20" t="n">
        <f aca="false">C626</f>
        <v>106.3</v>
      </c>
      <c r="D627" s="20" t="n">
        <f aca="false">D626</f>
        <v>141.924088166667</v>
      </c>
      <c r="E627" s="20" t="n">
        <f aca="false">E626+opx_adj_hi*E616</f>
        <v>219.150878676632</v>
      </c>
      <c r="F627" s="20" t="n">
        <f aca="false">F626+opx_adj_hi*F616</f>
        <v>258.477354791865</v>
      </c>
      <c r="G627" s="20" t="n">
        <f aca="false">G626+opx_adj_hi*G616</f>
        <v>282.075868946096</v>
      </c>
    </row>
    <row r="628" customFormat="false" ht="15" hidden="false" customHeight="false" outlineLevel="0" collapsed="false">
      <c r="A628" s="4" t="s">
        <v>396</v>
      </c>
      <c r="B628" s="0" t="s">
        <v>209</v>
      </c>
      <c r="C628" s="20" t="n">
        <f aca="false">C624-C627</f>
        <v>83.9</v>
      </c>
      <c r="D628" s="20" t="n">
        <f aca="false">D624-D627</f>
        <v>131.352515833333</v>
      </c>
      <c r="E628" s="20" t="n">
        <f aca="false">E624-E627</f>
        <v>198.159177546483</v>
      </c>
      <c r="F628" s="20" t="n">
        <f aca="false">F624-F627</f>
        <v>255.152400774269</v>
      </c>
      <c r="G628" s="20" t="n">
        <f aca="false">G624-G627</f>
        <v>290.011375645005</v>
      </c>
    </row>
    <row r="629" customFormat="false" ht="15" hidden="false" customHeight="false" outlineLevel="0" collapsed="false">
      <c r="A629" s="4" t="s">
        <v>398</v>
      </c>
      <c r="B629" s="0" t="s">
        <v>53</v>
      </c>
      <c r="C629" s="15" t="n">
        <f aca="false">C628/C616</f>
        <v>0.151202501419213</v>
      </c>
      <c r="D629" s="15" t="n">
        <f aca="false">D628/D616</f>
        <v>0.173649346396027</v>
      </c>
      <c r="E629" s="15" t="n">
        <f aca="false">E628/E616</f>
        <v>0.176692264957955</v>
      </c>
      <c r="F629" s="15" t="n">
        <f aca="false">F628/F616</f>
        <v>0.18668126383482</v>
      </c>
      <c r="G629" s="15" t="n">
        <f aca="false">G628/G616</f>
        <v>0.190954746497136</v>
      </c>
    </row>
    <row r="630" customFormat="false" ht="15" hidden="false" customHeight="false" outlineLevel="0" collapsed="false">
      <c r="A630" s="4" t="s">
        <v>400</v>
      </c>
      <c r="B630" s="0" t="s">
        <v>209</v>
      </c>
      <c r="C630" s="20" t="n">
        <f aca="false">a25_nop</f>
        <v>3.934</v>
      </c>
      <c r="D630" s="20" t="n">
        <f aca="false">a26_nop</f>
        <v>11.1666666666667</v>
      </c>
      <c r="E630" s="20" t="n">
        <f aca="false">nop_f</f>
        <v>8</v>
      </c>
      <c r="F630" s="20" t="n">
        <f aca="false">nop_f</f>
        <v>8</v>
      </c>
      <c r="G630" s="20" t="n">
        <f aca="false">nop_f</f>
        <v>8</v>
      </c>
    </row>
    <row r="631" customFormat="false" ht="17.15" hidden="false" customHeight="false" outlineLevel="0" collapsed="false">
      <c r="A631" s="4" t="s">
        <v>250</v>
      </c>
      <c r="B631" s="0" t="s">
        <v>53</v>
      </c>
      <c r="C631" s="15" t="n">
        <f aca="false">a25_ni/(a25_oi+a25_nop)</f>
        <v>0.684336361773345</v>
      </c>
      <c r="D631" s="15" t="n">
        <f aca="false">a26_ni/(a26_oi+a26_nop)</f>
        <v>0.690638510538748</v>
      </c>
      <c r="E631" s="15" t="n">
        <f aca="false">nir_f</f>
        <v>0.69</v>
      </c>
      <c r="F631" s="15" t="n">
        <f aca="false">nir_f</f>
        <v>0.69</v>
      </c>
      <c r="G631" s="15" t="n">
        <f aca="false">nir_f</f>
        <v>0.69</v>
      </c>
    </row>
    <row r="632" customFormat="false" ht="15" hidden="false" customHeight="false" outlineLevel="0" collapsed="false">
      <c r="A632" s="4" t="s">
        <v>403</v>
      </c>
      <c r="B632" s="0" t="s">
        <v>209</v>
      </c>
      <c r="C632" s="20" t="n">
        <f aca="false">a25_ni</f>
        <v>60.108</v>
      </c>
      <c r="D632" s="20" t="n">
        <f aca="false">a26_ni</f>
        <v>98.429235925</v>
      </c>
      <c r="E632" s="20" t="n">
        <f aca="false">(E628+E630)*E631</f>
        <v>142.249832507074</v>
      </c>
      <c r="F632" s="20" t="n">
        <f aca="false">(F628+F630)*F631</f>
        <v>181.575156534245</v>
      </c>
      <c r="G632" s="20" t="n">
        <f aca="false">(G628+G630)*G631</f>
        <v>205.627849195053</v>
      </c>
    </row>
    <row r="633" customFormat="false" ht="15" hidden="false" customHeight="false" outlineLevel="0" collapsed="false">
      <c r="A633" s="4" t="s">
        <v>521</v>
      </c>
      <c r="B633" s="4" t="s">
        <v>234</v>
      </c>
      <c r="C633" s="23" t="n">
        <f aca="false">a25_sh</f>
        <v>2.59757994814175</v>
      </c>
      <c r="D633" s="23" t="n">
        <f aca="false">a26_sh</f>
        <v>2.59806708357021</v>
      </c>
      <c r="E633" s="23" t="n">
        <f aca="false">D633*(1+sh_g)</f>
        <v>2.59806708357021</v>
      </c>
      <c r="F633" s="23" t="n">
        <f aca="false">E633*(1+sh_g)</f>
        <v>2.59806708357021</v>
      </c>
      <c r="G633" s="23" t="n">
        <f aca="false">F633*(1+sh_g)</f>
        <v>2.59806708357021</v>
      </c>
    </row>
    <row r="634" customFormat="false" ht="15" hidden="false" customHeight="false" outlineLevel="0" collapsed="false">
      <c r="A634" s="0" t="s">
        <v>408</v>
      </c>
      <c r="B634" s="0" t="s">
        <v>265</v>
      </c>
      <c r="C634" s="21" t="n">
        <f aca="false">C632/C633</f>
        <v>23.14</v>
      </c>
      <c r="D634" s="21" t="n">
        <f aca="false">D632/D633</f>
        <v>37.8855636744147</v>
      </c>
      <c r="E634" s="21" t="n">
        <f aca="false">E632/E633</f>
        <v>54.7521784201187</v>
      </c>
      <c r="F634" s="21" t="n">
        <f aca="false">F632/F633</f>
        <v>69.8885558739032</v>
      </c>
      <c r="G634" s="21" t="n">
        <f aca="false">G632/G633</f>
        <v>79.146474121247</v>
      </c>
    </row>
    <row r="635" customFormat="false" ht="17.15" hidden="false" customHeight="false" outlineLevel="0" collapsed="false">
      <c r="A635" s="0" t="s">
        <v>522</v>
      </c>
      <c r="B635" s="0" t="s">
        <v>53</v>
      </c>
      <c r="D635" s="15" t="n">
        <f aca="false">D634/C634-1</f>
        <v>0.637232656629847</v>
      </c>
      <c r="E635" s="15" t="n">
        <f aca="false">E634/D634-1</f>
        <v>0.445198991643738</v>
      </c>
      <c r="F635" s="15" t="n">
        <f aca="false">F634/E634-1</f>
        <v>0.276452515507997</v>
      </c>
      <c r="G635" s="15" t="n">
        <f aca="false">G634/F634-1</f>
        <v>0.132466870027298</v>
      </c>
    </row>
    <row r="638" customFormat="false" ht="17.15" hidden="false" customHeight="false" outlineLevel="0" collapsed="false">
      <c r="A638" s="1" t="s">
        <v>872</v>
      </c>
    </row>
    <row r="639" customFormat="false" ht="17.15" hidden="false" customHeight="false" outlineLevel="0" collapsed="false">
      <c r="A639" s="5" t="s">
        <v>22</v>
      </c>
      <c r="B639" s="5" t="s">
        <v>23</v>
      </c>
      <c r="C639" s="12" t="s">
        <v>380</v>
      </c>
      <c r="D639" s="12" t="s">
        <v>468</v>
      </c>
      <c r="E639" s="12" t="s">
        <v>469</v>
      </c>
      <c r="F639" s="12" t="s">
        <v>470</v>
      </c>
      <c r="G639" s="12" t="s">
        <v>471</v>
      </c>
      <c r="H639" s="5" t="s">
        <v>365</v>
      </c>
    </row>
    <row r="640" customFormat="false" ht="17.15" hidden="false" customHeight="false" outlineLevel="0" collapsed="false">
      <c r="A640" s="6" t="s">
        <v>490</v>
      </c>
    </row>
    <row r="641" customFormat="false" ht="17.15" hidden="false" customHeight="false" outlineLevel="0" collapsed="false">
      <c r="A641" s="0" t="s">
        <v>491</v>
      </c>
      <c r="B641" s="0" t="s">
        <v>33</v>
      </c>
      <c r="D641" s="21" t="n">
        <f aca="false">itc_26*1</f>
        <v>781.872916666666</v>
      </c>
      <c r="E641" s="21" t="n">
        <f aca="false">itc_27*1*1</f>
        <v>1565.35</v>
      </c>
      <c r="F641" s="21" t="n">
        <f aca="false">itc_28*um28_A*1</f>
        <v>1984.26388888889</v>
      </c>
      <c r="G641" s="21" t="n">
        <f aca="false">itc_29*um29_A*1</f>
        <v>2260.39027777778</v>
      </c>
    </row>
    <row r="642" customFormat="false" ht="17.15" hidden="false" customHeight="false" outlineLevel="0" collapsed="false">
      <c r="A642" s="4" t="s">
        <v>492</v>
      </c>
      <c r="B642" s="0" t="s">
        <v>33</v>
      </c>
      <c r="D642" s="21" t="n">
        <f aca="false">itpg_gb*(1-vr26)+itpg_vr*vr26</f>
        <v>33.41403216</v>
      </c>
      <c r="E642" s="21" t="n">
        <f aca="false">itpg_vr</f>
        <v>37.586352</v>
      </c>
      <c r="F642" s="21" t="n">
        <f aca="false">itpg_vr</f>
        <v>37.586352</v>
      </c>
      <c r="G642" s="21" t="n">
        <f aca="false">itpg_vr</f>
        <v>37.586352</v>
      </c>
    </row>
    <row r="643" customFormat="false" ht="17.15" hidden="false" customHeight="false" outlineLevel="0" collapsed="false">
      <c r="A643" s="4" t="s">
        <v>493</v>
      </c>
      <c r="B643" s="0" t="s">
        <v>446</v>
      </c>
      <c r="D643" s="18" t="n">
        <f aca="false">D641/D642</f>
        <v>23.3995380420639</v>
      </c>
      <c r="E643" s="18" t="n">
        <f aca="false">E641/E642</f>
        <v>41.6467658260637</v>
      </c>
      <c r="F643" s="18" t="n">
        <f aca="false">F641/F642</f>
        <v>52.792138191248</v>
      </c>
      <c r="G643" s="18" t="n">
        <f aca="false">G641/G642</f>
        <v>60.1385917361116</v>
      </c>
    </row>
    <row r="644" customFormat="false" ht="17.15" hidden="false" customHeight="false" outlineLevel="0" collapsed="false">
      <c r="A644" s="0" t="s">
        <v>448</v>
      </c>
      <c r="B644" s="0" t="s">
        <v>96</v>
      </c>
      <c r="D644" s="19" t="n">
        <f aca="false">pkw_26</f>
        <v>450</v>
      </c>
      <c r="E644" s="19" t="n">
        <f aca="false">pkw_27</f>
        <v>600</v>
      </c>
      <c r="F644" s="19" t="n">
        <f aca="false">pkw_28</f>
        <v>680</v>
      </c>
      <c r="G644" s="19" t="n">
        <f aca="false">pkw_29</f>
        <v>720</v>
      </c>
    </row>
    <row r="645" customFormat="false" ht="17.15" hidden="false" customHeight="false" outlineLevel="0" collapsed="false">
      <c r="A645" s="0" t="s">
        <v>494</v>
      </c>
      <c r="B645" s="0" t="s">
        <v>33</v>
      </c>
      <c r="D645" s="21" t="n">
        <f aca="false">D643*D644/1000</f>
        <v>10.5297921189287</v>
      </c>
      <c r="E645" s="21" t="n">
        <f aca="false">E643*E644/1000</f>
        <v>24.9880594956382</v>
      </c>
      <c r="F645" s="21" t="n">
        <f aca="false">F643*F644/1000</f>
        <v>35.8986539700486</v>
      </c>
      <c r="G645" s="21" t="n">
        <f aca="false">G643*G644/1000</f>
        <v>43.2997860500003</v>
      </c>
    </row>
    <row r="646" customFormat="false" ht="17.15" hidden="false" customHeight="false" outlineLevel="0" collapsed="false">
      <c r="A646" s="0" t="s">
        <v>495</v>
      </c>
      <c r="B646" s="0" t="s">
        <v>209</v>
      </c>
      <c r="D646" s="20" t="n">
        <f aca="false">D645*fx</f>
        <v>336.95334780572</v>
      </c>
      <c r="E646" s="20" t="n">
        <f aca="false">E645*fx</f>
        <v>799.617903860422</v>
      </c>
      <c r="F646" s="20" t="n">
        <f aca="false">F645*fx</f>
        <v>1148.75692704156</v>
      </c>
      <c r="G646" s="20" t="n">
        <f aca="false">G645*fx</f>
        <v>1385.59315360001</v>
      </c>
    </row>
    <row r="647" customFormat="false" ht="17.15" hidden="false" customHeight="false" outlineLevel="0" collapsed="false">
      <c r="A647" s="4" t="s">
        <v>496</v>
      </c>
      <c r="B647" s="0" t="s">
        <v>53</v>
      </c>
      <c r="D647" s="15" t="n">
        <f aca="false">a26_aipx/D646</f>
        <v>0.303060430071401</v>
      </c>
      <c r="H647" s="8" t="s">
        <v>497</v>
      </c>
    </row>
    <row r="648" customFormat="false" ht="17.15" hidden="false" customHeight="false" outlineLevel="0" collapsed="false">
      <c r="A648" s="4" t="s">
        <v>498</v>
      </c>
      <c r="B648" s="0" t="s">
        <v>69</v>
      </c>
      <c r="D648" s="16" t="n">
        <f aca="false">1</f>
        <v>1</v>
      </c>
      <c r="E648" s="16" t="n">
        <f aca="false">rel_27</f>
        <v>0.95</v>
      </c>
      <c r="F648" s="16" t="n">
        <f aca="false">rel_28</f>
        <v>0.9</v>
      </c>
      <c r="G648" s="16" t="n">
        <f aca="false">rel_29</f>
        <v>0.85</v>
      </c>
    </row>
    <row r="649" customFormat="false" ht="15" hidden="false" customHeight="false" outlineLevel="0" collapsed="false">
      <c r="A649" s="4" t="s">
        <v>455</v>
      </c>
      <c r="B649" s="0" t="s">
        <v>53</v>
      </c>
      <c r="D649" s="15" t="n">
        <f aca="false">$D$647*D648</f>
        <v>0.303060430071401</v>
      </c>
      <c r="E649" s="15" t="n">
        <f aca="false">$D$647*E648</f>
        <v>0.287907408567831</v>
      </c>
      <c r="F649" s="15" t="n">
        <f aca="false">$D$647*F648</f>
        <v>0.272754387064261</v>
      </c>
      <c r="G649" s="15" t="n">
        <f aca="false">$D$647*G648</f>
        <v>0.257601365560691</v>
      </c>
    </row>
    <row r="650" customFormat="false" ht="17.15" hidden="false" customHeight="false" outlineLevel="0" collapsed="false">
      <c r="A650" s="0" t="s">
        <v>499</v>
      </c>
      <c r="B650" s="0" t="s">
        <v>209</v>
      </c>
      <c r="C650" s="20" t="n">
        <f aca="false">a25_aipx</f>
        <v>44.3908</v>
      </c>
      <c r="D650" s="20" t="n">
        <f aca="false">D646*D649</f>
        <v>102.1172265</v>
      </c>
      <c r="E650" s="20" t="n">
        <f aca="false">E646*E649</f>
        <v>230.215918544896</v>
      </c>
      <c r="F650" s="20" t="n">
        <f aca="false">F646*F649</f>
        <v>313.328491521044</v>
      </c>
      <c r="G650" s="20" t="n">
        <f aca="false">G646*G649</f>
        <v>356.930688478907</v>
      </c>
    </row>
    <row r="651" customFormat="false" ht="17.15" hidden="false" customHeight="false" outlineLevel="0" collapsed="false">
      <c r="A651" s="6" t="s">
        <v>500</v>
      </c>
    </row>
    <row r="652" customFormat="false" ht="17.15" hidden="false" customHeight="false" outlineLevel="0" collapsed="false">
      <c r="A652" s="4" t="s">
        <v>501</v>
      </c>
      <c r="B652" s="0" t="s">
        <v>502</v>
      </c>
      <c r="D652" s="23" t="n">
        <f aca="false">a26_lc/D643</f>
        <v>4.04080573428535</v>
      </c>
    </row>
    <row r="653" customFormat="false" ht="17.15" hidden="false" customHeight="false" outlineLevel="0" collapsed="false">
      <c r="A653" s="4" t="s">
        <v>503</v>
      </c>
      <c r="B653" s="0" t="s">
        <v>69</v>
      </c>
      <c r="D653" s="16" t="n">
        <f aca="false">1</f>
        <v>1</v>
      </c>
      <c r="E653" s="16" t="n">
        <f aca="false">lcr_27</f>
        <v>1.1</v>
      </c>
      <c r="F653" s="16" t="n">
        <f aca="false">lcr_28</f>
        <v>1.15</v>
      </c>
      <c r="G653" s="16" t="n">
        <f aca="false">lcr_29</f>
        <v>1.2</v>
      </c>
    </row>
    <row r="654" customFormat="false" ht="15" hidden="false" customHeight="false" outlineLevel="0" collapsed="false">
      <c r="A654" s="4" t="s">
        <v>504</v>
      </c>
      <c r="B654" s="0" t="s">
        <v>209</v>
      </c>
      <c r="C654" s="20" t="n">
        <f aca="false">a25_lc</f>
        <v>55.4885</v>
      </c>
      <c r="D654" s="20" t="n">
        <f aca="false">D643*$D$652*D653</f>
        <v>94.5529875</v>
      </c>
      <c r="E654" s="20" t="n">
        <f aca="false">E643*$D$652*E653</f>
        <v>185.115139180837</v>
      </c>
      <c r="F654" s="20" t="n">
        <f aca="false">F643*$D$652*F653</f>
        <v>245.321190937637</v>
      </c>
      <c r="G654" s="20" t="n">
        <f aca="false">G643*$D$652*G653</f>
        <v>291.61003960695</v>
      </c>
    </row>
    <row r="655" customFormat="false" ht="17.15" hidden="false" customHeight="false" outlineLevel="0" collapsed="false">
      <c r="A655" s="4" t="s">
        <v>505</v>
      </c>
      <c r="B655" s="0" t="s">
        <v>209</v>
      </c>
      <c r="C655" s="20" t="n">
        <f aca="false">a25_pe-a25_aipx</f>
        <v>233.0517</v>
      </c>
      <c r="D655" s="20" t="n">
        <f aca="false">a26_pe-a26_aipx</f>
        <v>283.6589625</v>
      </c>
      <c r="E655" s="20" t="n">
        <f aca="false">D655*(1+g_pe27)</f>
        <v>297.841910625</v>
      </c>
      <c r="F655" s="20" t="n">
        <f aca="false">E655*(1+g_pe28)</f>
        <v>309.75558705</v>
      </c>
      <c r="G655" s="20" t="n">
        <f aca="false">F655*(1+g_pe29)</f>
        <v>319.0482546615</v>
      </c>
      <c r="H655" s="8" t="s">
        <v>506</v>
      </c>
    </row>
    <row r="656" customFormat="false" ht="17.15" hidden="false" customHeight="false" outlineLevel="0" collapsed="false">
      <c r="A656" s="4" t="s">
        <v>431</v>
      </c>
      <c r="B656" s="0" t="s">
        <v>209</v>
      </c>
      <c r="C656" s="20" t="n">
        <f aca="false">C650+C655</f>
        <v>277.4425</v>
      </c>
      <c r="D656" s="20" t="n">
        <f aca="false">D650+D655</f>
        <v>385.776189</v>
      </c>
      <c r="E656" s="20" t="n">
        <f aca="false">E650+E655</f>
        <v>528.057829169896</v>
      </c>
      <c r="F656" s="20" t="n">
        <f aca="false">F650+F655</f>
        <v>623.084078571044</v>
      </c>
      <c r="G656" s="20" t="n">
        <f aca="false">G650+G655</f>
        <v>675.978943140407</v>
      </c>
      <c r="H656" s="4" t="s">
        <v>507</v>
      </c>
    </row>
    <row r="657" customFormat="false" ht="17.15" hidden="false" customHeight="false" outlineLevel="0" collapsed="false">
      <c r="A657" s="4" t="s">
        <v>508</v>
      </c>
      <c r="B657" s="0" t="s">
        <v>209</v>
      </c>
      <c r="C657" s="20" t="n">
        <f aca="false">a25_inf-a25_lc</f>
        <v>127.62355</v>
      </c>
      <c r="D657" s="20" t="n">
        <f aca="false">a26_inf-a26_lc</f>
        <v>170.1953775</v>
      </c>
      <c r="E657" s="20" t="n">
        <f aca="false">D657*(1+g_inf27)</f>
        <v>185.512961475</v>
      </c>
      <c r="F657" s="20" t="n">
        <f aca="false">E657*(1+g_inf28)</f>
        <v>198.49886877825</v>
      </c>
      <c r="G657" s="20" t="n">
        <f aca="false">F657*(1+g_inf29)</f>
        <v>210.408800904945</v>
      </c>
      <c r="H657" s="4" t="s">
        <v>509</v>
      </c>
    </row>
    <row r="658" customFormat="false" ht="15" hidden="false" customHeight="false" outlineLevel="0" collapsed="false">
      <c r="A658" s="4" t="s">
        <v>437</v>
      </c>
      <c r="B658" s="0" t="s">
        <v>209</v>
      </c>
      <c r="C658" s="20" t="n">
        <f aca="false">C654+C657</f>
        <v>183.11205</v>
      </c>
      <c r="D658" s="20" t="n">
        <f aca="false">D654+D657</f>
        <v>264.748365</v>
      </c>
      <c r="E658" s="20" t="n">
        <f aca="false">E654+E657</f>
        <v>370.628100655837</v>
      </c>
      <c r="F658" s="20" t="n">
        <f aca="false">F654+F657</f>
        <v>443.820059715887</v>
      </c>
      <c r="G658" s="20" t="n">
        <f aca="false">G654+G657</f>
        <v>502.018840511895</v>
      </c>
      <c r="H658" s="4" t="s">
        <v>510</v>
      </c>
    </row>
    <row r="659" customFormat="false" ht="15" hidden="false" customHeight="false" outlineLevel="0" collapsed="false">
      <c r="A659" s="4" t="s">
        <v>436</v>
      </c>
      <c r="B659" s="0" t="s">
        <v>209</v>
      </c>
      <c r="C659" s="20" t="n">
        <f aca="false">a25_au</f>
        <v>55.4885</v>
      </c>
      <c r="D659" s="20" t="n">
        <f aca="false">a26_au</f>
        <v>60.513912</v>
      </c>
      <c r="E659" s="20" t="n">
        <f aca="false">D659*(1+g_au27)</f>
        <v>63.5396076</v>
      </c>
      <c r="F659" s="20" t="n">
        <f aca="false">E659*(1+g_au28)</f>
        <v>66.71658798</v>
      </c>
      <c r="G659" s="20" t="n">
        <f aca="false">F659*(1+g_au29)</f>
        <v>69.3852514992</v>
      </c>
    </row>
    <row r="660" customFormat="false" ht="15" hidden="false" customHeight="false" outlineLevel="0" collapsed="false">
      <c r="A660" s="4" t="s">
        <v>435</v>
      </c>
      <c r="B660" s="0" t="s">
        <v>209</v>
      </c>
      <c r="C660" s="20" t="n">
        <f aca="false">a25_mo</f>
        <v>38.84195</v>
      </c>
      <c r="D660" s="20" t="n">
        <f aca="false">a26_mo</f>
        <v>45.385434</v>
      </c>
      <c r="E660" s="20" t="n">
        <f aca="false">D660*(1+g_mo27)</f>
        <v>45.385434</v>
      </c>
      <c r="F660" s="20" t="n">
        <f aca="false">E660*(1+g_mo28)</f>
        <v>46.29314268</v>
      </c>
      <c r="G660" s="20" t="n">
        <f aca="false">F660*(1+g_mo29)</f>
        <v>47.2190055336</v>
      </c>
    </row>
    <row r="661" customFormat="false" ht="17.15" hidden="false" customHeight="false" outlineLevel="0" collapsed="false">
      <c r="A661" s="4" t="s">
        <v>511</v>
      </c>
      <c r="B661" s="0" t="s">
        <v>209</v>
      </c>
      <c r="C661" s="20" t="n">
        <f aca="false">C655+C657+C659+C660</f>
        <v>455.0057</v>
      </c>
      <c r="D661" s="20" t="n">
        <f aca="false">D655+D657+D659+D660</f>
        <v>559.753686</v>
      </c>
      <c r="E661" s="20" t="n">
        <f aca="false">E655+E657+E659+E660</f>
        <v>592.2799137</v>
      </c>
      <c r="F661" s="20" t="n">
        <f aca="false">F655+F657+F659+F660</f>
        <v>621.26418648825</v>
      </c>
      <c r="G661" s="20" t="n">
        <f aca="false">G655+G657+G659+G660</f>
        <v>646.061312599245</v>
      </c>
    </row>
    <row r="662" customFormat="false" ht="15" hidden="false" customHeight="false" outlineLevel="0" collapsed="false">
      <c r="A662" s="4" t="s">
        <v>386</v>
      </c>
      <c r="B662" s="0" t="s">
        <v>209</v>
      </c>
      <c r="C662" s="20" t="n">
        <f aca="false">C656+C658+C659+C660</f>
        <v>554.885</v>
      </c>
      <c r="D662" s="20" t="n">
        <f aca="false">D656+D658+D659+D660</f>
        <v>756.4239</v>
      </c>
      <c r="E662" s="20" t="n">
        <f aca="false">E656+E658+E659+E660</f>
        <v>1007.61097142573</v>
      </c>
      <c r="F662" s="20" t="n">
        <f aca="false">F656+F658+F659+F660</f>
        <v>1179.91386894693</v>
      </c>
      <c r="G662" s="20" t="n">
        <f aca="false">G656+G658+G659+G660</f>
        <v>1294.6020406851</v>
      </c>
      <c r="H662" s="4" t="s">
        <v>512</v>
      </c>
    </row>
    <row r="663" customFormat="false" ht="17.15" hidden="false" customHeight="false" outlineLevel="0" collapsed="false">
      <c r="A663" s="4" t="s">
        <v>513</v>
      </c>
      <c r="B663" s="0" t="s">
        <v>209</v>
      </c>
      <c r="C663" s="23" t="n">
        <f aca="false">C662-a25_rev</f>
        <v>0</v>
      </c>
      <c r="D663" s="23" t="n">
        <f aca="false">D662-a26_rev</f>
        <v>0</v>
      </c>
    </row>
    <row r="664" customFormat="false" ht="15" hidden="false" customHeight="false" outlineLevel="0" collapsed="false">
      <c r="A664" s="4" t="s">
        <v>514</v>
      </c>
      <c r="B664" s="0" t="s">
        <v>53</v>
      </c>
      <c r="D664" s="15" t="n">
        <f aca="false">D662/C662-1</f>
        <v>0.363208412553953</v>
      </c>
      <c r="E664" s="15" t="n">
        <f aca="false">E662/D662-1</f>
        <v>0.332071833565455</v>
      </c>
      <c r="F664" s="15" t="n">
        <f aca="false">F662/E662-1</f>
        <v>0.171001410670822</v>
      </c>
      <c r="G664" s="15" t="n">
        <f aca="false">G662/F662-1</f>
        <v>0.0972004607764554</v>
      </c>
    </row>
    <row r="665" customFormat="false" ht="17.15" hidden="false" customHeight="false" outlineLevel="0" collapsed="false">
      <c r="A665" s="0" t="s">
        <v>515</v>
      </c>
      <c r="B665" s="0" t="s">
        <v>53</v>
      </c>
      <c r="C665" s="15" t="n">
        <f aca="false">C650/C662</f>
        <v>0.08</v>
      </c>
      <c r="D665" s="15" t="n">
        <f aca="false">D650/D662</f>
        <v>0.135</v>
      </c>
      <c r="E665" s="15" t="n">
        <f aca="false">E650/E662</f>
        <v>0.228476986727475</v>
      </c>
      <c r="F665" s="15" t="n">
        <f aca="false">F650/F662</f>
        <v>0.265552003215869</v>
      </c>
      <c r="G665" s="15" t="n">
        <f aca="false">G650/G662</f>
        <v>0.27570687922755</v>
      </c>
    </row>
    <row r="666" customFormat="false" ht="17.15" hidden="false" customHeight="false" outlineLevel="0" collapsed="false">
      <c r="A666" s="0" t="s">
        <v>516</v>
      </c>
      <c r="B666" s="0" t="s">
        <v>53</v>
      </c>
      <c r="C666" s="15" t="n">
        <f aca="false">(C650+C654)/C662</f>
        <v>0.18</v>
      </c>
      <c r="D666" s="15" t="n">
        <f aca="false">(D650+D654)/D662</f>
        <v>0.26</v>
      </c>
      <c r="E666" s="15" t="n">
        <f aca="false">(E650+E654)/E662</f>
        <v>0.412193862020036</v>
      </c>
      <c r="F666" s="15" t="n">
        <f aca="false">(F650+F654)/F662</f>
        <v>0.47346649375117</v>
      </c>
      <c r="G666" s="15" t="n">
        <f aca="false">(G650+G654)/G662</f>
        <v>0.500957597550712</v>
      </c>
    </row>
    <row r="667" customFormat="false" ht="17.15" hidden="false" customHeight="false" outlineLevel="0" collapsed="false">
      <c r="A667" s="4" t="s">
        <v>462</v>
      </c>
      <c r="B667" s="0" t="s">
        <v>463</v>
      </c>
      <c r="D667" s="19" t="n">
        <f aca="false">(D650+D654)/fx/D643*1000</f>
        <v>262.652372728548</v>
      </c>
      <c r="E667" s="19" t="n">
        <f aca="false">(E650+E654)/fx/E643*1000</f>
        <v>311.647142256758</v>
      </c>
      <c r="F667" s="19" t="n">
        <f aca="false">(F650+F654)/fx/F643*1000</f>
        <v>330.689439279578</v>
      </c>
      <c r="G667" s="19" t="n">
        <f aca="false">(G650+G654)/fx/G643*1000</f>
        <v>337.003198239398</v>
      </c>
    </row>
    <row r="668" customFormat="false" ht="17.15" hidden="false" customHeight="false" outlineLevel="0" collapsed="false">
      <c r="A668" s="6" t="s">
        <v>517</v>
      </c>
    </row>
    <row r="669" customFormat="false" ht="17.15" hidden="false" customHeight="false" outlineLevel="0" collapsed="false">
      <c r="A669" s="4" t="s">
        <v>518</v>
      </c>
      <c r="B669" s="0" t="s">
        <v>53</v>
      </c>
      <c r="D669" s="15" t="n">
        <f aca="false">a26_gp/D662-d_ai*D665</f>
        <v>0.350474417690927</v>
      </c>
      <c r="H669" s="8" t="s">
        <v>519</v>
      </c>
    </row>
    <row r="670" customFormat="false" ht="15" hidden="false" customHeight="false" outlineLevel="0" collapsed="false">
      <c r="A670" s="4" t="s">
        <v>390</v>
      </c>
      <c r="B670" s="0" t="s">
        <v>209</v>
      </c>
      <c r="C670" s="20" t="n">
        <f aca="false">a25_gp</f>
        <v>190.2</v>
      </c>
      <c r="D670" s="20" t="n">
        <f aca="false">a26_gp</f>
        <v>273.276604</v>
      </c>
      <c r="E670" s="20" t="n">
        <f aca="false">$D$669*E662+d_ai*E650</f>
        <v>371.559141953015</v>
      </c>
      <c r="F670" s="20" t="n">
        <f aca="false">$D$669*F662+d_ai*F650</f>
        <v>438.595905466308</v>
      </c>
      <c r="G670" s="20" t="n">
        <f aca="false">$D$669*G662+d_ai*G650</f>
        <v>482.27935142891</v>
      </c>
    </row>
    <row r="671" customFormat="false" ht="15" hidden="false" customHeight="false" outlineLevel="0" collapsed="false">
      <c r="A671" s="4" t="s">
        <v>392</v>
      </c>
      <c r="B671" s="0" t="s">
        <v>53</v>
      </c>
      <c r="C671" s="15" t="n">
        <f aca="false">C670/C662</f>
        <v>0.342773727889563</v>
      </c>
      <c r="D671" s="15" t="n">
        <f aca="false">D670/D662</f>
        <v>0.361274417690927</v>
      </c>
      <c r="E671" s="15" t="n">
        <f aca="false">E670/E662</f>
        <v>0.368752576629125</v>
      </c>
      <c r="F671" s="15" t="n">
        <f aca="false">F670/F662</f>
        <v>0.371718577948197</v>
      </c>
      <c r="G671" s="15" t="n">
        <f aca="false">G670/G662</f>
        <v>0.372530968029131</v>
      </c>
    </row>
    <row r="672" customFormat="false" ht="15" hidden="false" customHeight="false" outlineLevel="0" collapsed="false">
      <c r="A672" s="4" t="s">
        <v>520</v>
      </c>
      <c r="B672" s="0" t="s">
        <v>209</v>
      </c>
      <c r="C672" s="20" t="n">
        <f aca="false">a25_opx</f>
        <v>106.3</v>
      </c>
      <c r="D672" s="20" t="n">
        <f aca="false">a26_opx</f>
        <v>141.924088166667</v>
      </c>
      <c r="E672" s="20" t="n">
        <f aca="false">D672*(1+MAX(0,phi*E664))</f>
        <v>179.627281914355</v>
      </c>
      <c r="F672" s="20" t="n">
        <f aca="false">E672*(1+MAX(0,phi*F664))</f>
        <v>204.200496796211</v>
      </c>
      <c r="G672" s="20" t="n">
        <f aca="false">F672*(1+MAX(0,phi*G664))</f>
        <v>220.079202699709</v>
      </c>
    </row>
    <row r="673" customFormat="false" ht="15" hidden="false" customHeight="false" outlineLevel="0" collapsed="false">
      <c r="A673" s="4" t="s">
        <v>394</v>
      </c>
      <c r="B673" s="0" t="s">
        <v>209</v>
      </c>
      <c r="C673" s="20" t="n">
        <f aca="false">C672</f>
        <v>106.3</v>
      </c>
      <c r="D673" s="20" t="n">
        <f aca="false">D672</f>
        <v>141.924088166667</v>
      </c>
      <c r="E673" s="20" t="n">
        <f aca="false">E672+0*E662</f>
        <v>179.627281914355</v>
      </c>
      <c r="F673" s="20" t="n">
        <f aca="false">F672+0*F662</f>
        <v>204.200496796211</v>
      </c>
      <c r="G673" s="20" t="n">
        <f aca="false">G672+0*G662</f>
        <v>220.079202699709</v>
      </c>
    </row>
    <row r="674" customFormat="false" ht="15" hidden="false" customHeight="false" outlineLevel="0" collapsed="false">
      <c r="A674" s="4" t="s">
        <v>396</v>
      </c>
      <c r="B674" s="0" t="s">
        <v>209</v>
      </c>
      <c r="C674" s="20" t="n">
        <f aca="false">C670-C673</f>
        <v>83.9</v>
      </c>
      <c r="D674" s="20" t="n">
        <f aca="false">D670-D673</f>
        <v>131.352515833333</v>
      </c>
      <c r="E674" s="20" t="n">
        <f aca="false">E670-E673</f>
        <v>191.93186003866</v>
      </c>
      <c r="F674" s="20" t="n">
        <f aca="false">F670-F673</f>
        <v>234.395408670097</v>
      </c>
      <c r="G674" s="20" t="n">
        <f aca="false">G670-G673</f>
        <v>262.2001487292</v>
      </c>
    </row>
    <row r="675" customFormat="false" ht="15" hidden="false" customHeight="false" outlineLevel="0" collapsed="false">
      <c r="A675" s="4" t="s">
        <v>398</v>
      </c>
      <c r="B675" s="0" t="s">
        <v>53</v>
      </c>
      <c r="C675" s="15" t="n">
        <f aca="false">C674/C662</f>
        <v>0.151202501419213</v>
      </c>
      <c r="D675" s="15" t="n">
        <f aca="false">D674/D662</f>
        <v>0.173649346396027</v>
      </c>
      <c r="E675" s="15" t="n">
        <f aca="false">E674/E662</f>
        <v>0.190482106171475</v>
      </c>
      <c r="F675" s="15" t="n">
        <f aca="false">F674/F662</f>
        <v>0.198654677124267</v>
      </c>
      <c r="G675" s="15" t="n">
        <f aca="false">G674/G662</f>
        <v>0.202533396742094</v>
      </c>
    </row>
    <row r="676" customFormat="false" ht="15" hidden="false" customHeight="false" outlineLevel="0" collapsed="false">
      <c r="A676" s="4" t="s">
        <v>400</v>
      </c>
      <c r="B676" s="0" t="s">
        <v>209</v>
      </c>
      <c r="C676" s="20" t="n">
        <f aca="false">a25_nop</f>
        <v>3.934</v>
      </c>
      <c r="D676" s="20" t="n">
        <f aca="false">a26_nop</f>
        <v>11.1666666666667</v>
      </c>
      <c r="E676" s="20" t="n">
        <f aca="false">nop_f</f>
        <v>8</v>
      </c>
      <c r="F676" s="20" t="n">
        <f aca="false">nop_f</f>
        <v>8</v>
      </c>
      <c r="G676" s="20" t="n">
        <f aca="false">nop_f</f>
        <v>8</v>
      </c>
    </row>
    <row r="677" customFormat="false" ht="17.15" hidden="false" customHeight="false" outlineLevel="0" collapsed="false">
      <c r="A677" s="4" t="s">
        <v>250</v>
      </c>
      <c r="B677" s="0" t="s">
        <v>53</v>
      </c>
      <c r="C677" s="15" t="n">
        <f aca="false">a25_ni/(a25_oi+a25_nop)</f>
        <v>0.684336361773345</v>
      </c>
      <c r="D677" s="15" t="n">
        <f aca="false">a26_ni/(a26_oi+a26_nop)</f>
        <v>0.690638510538748</v>
      </c>
      <c r="E677" s="15" t="n">
        <f aca="false">nir_f</f>
        <v>0.69</v>
      </c>
      <c r="F677" s="15" t="n">
        <f aca="false">nir_f</f>
        <v>0.69</v>
      </c>
      <c r="G677" s="15" t="n">
        <f aca="false">nir_f</f>
        <v>0.69</v>
      </c>
    </row>
    <row r="678" customFormat="false" ht="15" hidden="false" customHeight="false" outlineLevel="0" collapsed="false">
      <c r="A678" s="4" t="s">
        <v>403</v>
      </c>
      <c r="B678" s="0" t="s">
        <v>209</v>
      </c>
      <c r="C678" s="20" t="n">
        <f aca="false">a25_ni</f>
        <v>60.108</v>
      </c>
      <c r="D678" s="20" t="n">
        <f aca="false">a26_ni</f>
        <v>98.429235925</v>
      </c>
      <c r="E678" s="20" t="n">
        <f aca="false">(E674+E676)*E677</f>
        <v>137.952983426675</v>
      </c>
      <c r="F678" s="20" t="n">
        <f aca="false">(F674+F676)*F677</f>
        <v>167.252831982367</v>
      </c>
      <c r="G678" s="20" t="n">
        <f aca="false">(G674+G676)*G677</f>
        <v>186.438102623148</v>
      </c>
    </row>
    <row r="679" customFormat="false" ht="15" hidden="false" customHeight="false" outlineLevel="0" collapsed="false">
      <c r="A679" s="4" t="s">
        <v>521</v>
      </c>
      <c r="B679" s="4" t="s">
        <v>234</v>
      </c>
      <c r="C679" s="23" t="n">
        <f aca="false">a25_sh</f>
        <v>2.59757994814175</v>
      </c>
      <c r="D679" s="23" t="n">
        <f aca="false">a26_sh</f>
        <v>2.59806708357021</v>
      </c>
      <c r="E679" s="23" t="n">
        <f aca="false">D679*(1+sh_g)</f>
        <v>2.59806708357021</v>
      </c>
      <c r="F679" s="23" t="n">
        <f aca="false">E679*(1+sh_g)</f>
        <v>2.59806708357021</v>
      </c>
      <c r="G679" s="23" t="n">
        <f aca="false">F679*(1+sh_g)</f>
        <v>2.59806708357021</v>
      </c>
    </row>
    <row r="680" customFormat="false" ht="15" hidden="false" customHeight="false" outlineLevel="0" collapsed="false">
      <c r="A680" s="0" t="s">
        <v>408</v>
      </c>
      <c r="B680" s="0" t="s">
        <v>265</v>
      </c>
      <c r="C680" s="21" t="n">
        <f aca="false">C678/C679</f>
        <v>23.14</v>
      </c>
      <c r="D680" s="21" t="n">
        <f aca="false">D678/D679</f>
        <v>37.8855636744147</v>
      </c>
      <c r="E680" s="21" t="n">
        <f aca="false">E678/E679</f>
        <v>53.0983146274665</v>
      </c>
      <c r="F680" s="21" t="n">
        <f aca="false">F678/F679</f>
        <v>64.3758712159701</v>
      </c>
      <c r="G680" s="21" t="n">
        <f aca="false">G678/G679</f>
        <v>71.7603112722358</v>
      </c>
    </row>
    <row r="681" customFormat="false" ht="17.15" hidden="false" customHeight="false" outlineLevel="0" collapsed="false">
      <c r="A681" s="0" t="s">
        <v>522</v>
      </c>
      <c r="B681" s="0" t="s">
        <v>53</v>
      </c>
      <c r="D681" s="15" t="n">
        <f aca="false">D680/C680-1</f>
        <v>0.637232656629847</v>
      </c>
      <c r="E681" s="15" t="n">
        <f aca="false">E680/D680-1</f>
        <v>0.401544796424013</v>
      </c>
      <c r="F681" s="15" t="n">
        <f aca="false">F680/E680-1</f>
        <v>0.212390104424708</v>
      </c>
      <c r="G681" s="15" t="n">
        <f aca="false">G680/F680-1</f>
        <v>0.114708196048986</v>
      </c>
    </row>
    <row r="684" customFormat="false" ht="17.15" hidden="false" customHeight="false" outlineLevel="0" collapsed="false">
      <c r="A684" s="1" t="s">
        <v>873</v>
      </c>
    </row>
    <row r="685" customFormat="false" ht="17.15" hidden="false" customHeight="false" outlineLevel="0" collapsed="false">
      <c r="A685" s="5" t="s">
        <v>814</v>
      </c>
      <c r="B685" s="5" t="s">
        <v>815</v>
      </c>
      <c r="C685" s="12" t="s">
        <v>874</v>
      </c>
      <c r="D685" s="12" t="s">
        <v>758</v>
      </c>
      <c r="E685" s="5" t="s">
        <v>875</v>
      </c>
      <c r="F685" s="5" t="s">
        <v>876</v>
      </c>
    </row>
    <row r="686" customFormat="false" ht="17.15" hidden="false" customHeight="false" outlineLevel="0" collapsed="false">
      <c r="A686" s="4" t="s">
        <v>25</v>
      </c>
      <c r="B686" s="0" t="s">
        <v>877</v>
      </c>
      <c r="C686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1000.53914114097</v>
      </c>
      <c r="D686" s="19" t="n">
        <f aca="false">tp_comp_adj</f>
        <v>1473.15620504192</v>
      </c>
      <c r="E686" s="19" t="n">
        <f aca="false">tp_w_dcf*C686+(1-tp_w_dcf)*D686</f>
        <v>1236.84767309145</v>
      </c>
      <c r="F686" s="15" t="n">
        <f aca="false">E686/E$686-1</f>
        <v>0</v>
      </c>
    </row>
    <row r="687" customFormat="false" ht="17.15" hidden="false" customHeight="false" outlineLevel="0" collapsed="false">
      <c r="A687" s="4" t="s">
        <v>878</v>
      </c>
      <c r="B687" s="0" t="s">
        <v>879</v>
      </c>
      <c r="C687" s="19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863.834749246065</v>
      </c>
      <c r="D687" s="19" t="n">
        <f aca="false">tp_comp_adj</f>
        <v>1473.15620504192</v>
      </c>
      <c r="E687" s="19" t="n">
        <f aca="false">tp_w_dcf*C687+(1-tp_w_dcf)*D687</f>
        <v>1168.49547714399</v>
      </c>
      <c r="F687" s="15" t="n">
        <f aca="false">E687/E$686-1</f>
        <v>-0.0552632287989092</v>
      </c>
    </row>
    <row r="688" customFormat="false" ht="17.15" hidden="false" customHeight="false" outlineLevel="0" collapsed="false">
      <c r="A688" s="4" t="s">
        <v>880</v>
      </c>
      <c r="B688" s="0" t="s">
        <v>881</v>
      </c>
      <c r="C688" s="19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1191.92315874621</v>
      </c>
      <c r="D688" s="19" t="n">
        <f aca="false">tp_comp_adj</f>
        <v>1473.15620504192</v>
      </c>
      <c r="E688" s="19" t="n">
        <f aca="false">tp_w_dcf*C688+(1-tp_w_dcf)*D688</f>
        <v>1332.53968189407</v>
      </c>
      <c r="F688" s="15" t="n">
        <f aca="false">E688/E$686-1</f>
        <v>0.0773676588350158</v>
      </c>
    </row>
    <row r="689" customFormat="false" ht="17.15" hidden="false" customHeight="false" outlineLevel="0" collapsed="false">
      <c r="A689" s="4" t="s">
        <v>882</v>
      </c>
      <c r="B689" s="0" t="s">
        <v>883</v>
      </c>
      <c r="C689" s="19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1072.10805966928</v>
      </c>
      <c r="D689" s="19" t="n">
        <f aca="false">tp_comp_adj</f>
        <v>1473.15620504192</v>
      </c>
      <c r="E689" s="19" t="n">
        <f aca="false">tp_w_dcf*C689+(1-tp_w_dcf)*D689</f>
        <v>1272.6321323556</v>
      </c>
      <c r="F689" s="15" t="n">
        <f aca="false">E689/E$686-1</f>
        <v>0.0289319857591794</v>
      </c>
    </row>
    <row r="690" customFormat="false" ht="17.15" hidden="false" customHeight="false" outlineLevel="0" collapsed="false">
      <c r="A690" s="4" t="s">
        <v>884</v>
      </c>
      <c r="B690" s="0" t="s">
        <v>885</v>
      </c>
      <c r="C690" s="19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954.173205413817</v>
      </c>
      <c r="D690" s="19" t="n">
        <f aca="false">tp_comp_adj</f>
        <v>1473.15620504192</v>
      </c>
      <c r="E690" s="19" t="n">
        <f aca="false">tp_w_dcf*C690+(1-tp_w_dcf)*D690</f>
        <v>1213.66470522787</v>
      </c>
      <c r="F690" s="15" t="n">
        <f aca="false">E690/E$686-1</f>
        <v>-0.0187435917679585</v>
      </c>
    </row>
    <row r="691" customFormat="false" ht="17.15" hidden="false" customHeight="false" outlineLevel="0" collapsed="false">
      <c r="A691" s="0" t="s">
        <v>886</v>
      </c>
      <c r="B691" s="0" t="s">
        <v>887</v>
      </c>
      <c r="C691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1000.53914114097</v>
      </c>
      <c r="D691" s="19" t="n">
        <f aca="false">tp_comp_adj</f>
        <v>1473.15620504192</v>
      </c>
      <c r="E691" s="19" t="n">
        <f aca="false">0.4*C691+(1-0.4)*D691</f>
        <v>1284.10937948154</v>
      </c>
      <c r="F691" s="15" t="n">
        <f aca="false">E691/E$686-1</f>
        <v>0.0382114203861235</v>
      </c>
    </row>
    <row r="692" customFormat="false" ht="17.15" hidden="false" customHeight="false" outlineLevel="0" collapsed="false">
      <c r="A692" s="0" t="s">
        <v>888</v>
      </c>
      <c r="B692" s="0" t="s">
        <v>889</v>
      </c>
      <c r="C692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1000.53914114097</v>
      </c>
      <c r="D692" s="19" t="n">
        <f aca="false">tp_comp_adj</f>
        <v>1473.15620504192</v>
      </c>
      <c r="E692" s="19" t="n">
        <f aca="false">0.8*C692+(1-0.8)*D692</f>
        <v>1095.06255392116</v>
      </c>
      <c r="F692" s="15" t="n">
        <f aca="false">E692/E$686-1</f>
        <v>-0.11463426115837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890</v>
      </c>
    </row>
    <row r="2" customFormat="false" ht="17.15" hidden="false" customHeight="false" outlineLevel="0" collapsed="false">
      <c r="A2" s="4" t="s">
        <v>891</v>
      </c>
      <c r="B2" s="0" t="s">
        <v>892</v>
      </c>
    </row>
    <row r="3" customFormat="false" ht="17.15" hidden="false" customHeight="false" outlineLevel="0" collapsed="false">
      <c r="A3" s="4" t="s">
        <v>893</v>
      </c>
      <c r="B3" s="0" t="s">
        <v>894</v>
      </c>
    </row>
    <row r="4" customFormat="false" ht="17.15" hidden="false" customHeight="false" outlineLevel="0" collapsed="false">
      <c r="A4" s="4" t="s">
        <v>895</v>
      </c>
      <c r="B4" s="0" t="s">
        <v>896</v>
      </c>
    </row>
    <row r="5" customFormat="false" ht="17.15" hidden="false" customHeight="false" outlineLevel="0" collapsed="false">
      <c r="A5" s="4" t="s">
        <v>897</v>
      </c>
      <c r="B5" s="0" t="s">
        <v>898</v>
      </c>
    </row>
    <row r="6" customFormat="false" ht="17.15" hidden="false" customHeight="false" outlineLevel="0" collapsed="false">
      <c r="A6" s="4" t="s">
        <v>899</v>
      </c>
      <c r="B6" s="0" t="s">
        <v>900</v>
      </c>
    </row>
    <row r="7" customFormat="false" ht="17.15" hidden="false" customHeight="false" outlineLevel="0" collapsed="false">
      <c r="A7" s="4" t="s">
        <v>901</v>
      </c>
      <c r="B7" s="0" t="s">
        <v>902</v>
      </c>
    </row>
    <row r="8" customFormat="false" ht="17.15" hidden="false" customHeight="false" outlineLevel="0" collapsed="false">
      <c r="A8" s="4" t="s">
        <v>903</v>
      </c>
      <c r="B8" s="0" t="s">
        <v>904</v>
      </c>
    </row>
    <row r="9" customFormat="false" ht="17.15" hidden="false" customHeight="false" outlineLevel="0" collapsed="false">
      <c r="A9" s="4" t="s">
        <v>905</v>
      </c>
      <c r="B9" s="0" t="s">
        <v>906</v>
      </c>
    </row>
    <row r="10" customFormat="false" ht="17.15" hidden="false" customHeight="false" outlineLevel="0" collapsed="false">
      <c r="A10" s="4" t="s">
        <v>907</v>
      </c>
      <c r="B10" s="0" t="s">
        <v>908</v>
      </c>
    </row>
    <row r="11" customFormat="false" ht="17.15" hidden="false" customHeight="false" outlineLevel="0" collapsed="false">
      <c r="A11" s="4" t="s">
        <v>909</v>
      </c>
      <c r="B11" s="0" t="s">
        <v>910</v>
      </c>
    </row>
    <row r="12" customFormat="false" ht="17.15" hidden="false" customHeight="false" outlineLevel="0" collapsed="false">
      <c r="A12" s="4" t="s">
        <v>911</v>
      </c>
      <c r="B12" s="0" t="s">
        <v>912</v>
      </c>
    </row>
    <row r="13" customFormat="false" ht="17.15" hidden="false" customHeight="false" outlineLevel="0" collapsed="false">
      <c r="A13" s="4" t="s">
        <v>913</v>
      </c>
      <c r="B13" s="0" t="s">
        <v>914</v>
      </c>
    </row>
    <row r="14" customFormat="false" ht="17.15" hidden="false" customHeight="false" outlineLevel="0" collapsed="false">
      <c r="A14" s="4" t="s">
        <v>915</v>
      </c>
    </row>
    <row r="15" customFormat="false" ht="17.15" hidden="false" customHeight="false" outlineLevel="0" collapsed="false">
      <c r="A15" s="4" t="s">
        <v>916</v>
      </c>
      <c r="B15" s="4" t="s">
        <v>917</v>
      </c>
    </row>
    <row r="16" customFormat="false" ht="15" hidden="false" customHeight="false" outlineLevel="0" collapsed="false">
      <c r="A16" s="0" t="s">
        <v>918</v>
      </c>
      <c r="B16" s="4" t="s">
        <v>919</v>
      </c>
    </row>
    <row r="17" customFormat="false" ht="17.15" hidden="false" customHeight="false" outlineLevel="0" collapsed="false">
      <c r="A17" s="0" t="s">
        <v>920</v>
      </c>
      <c r="B17" s="0" t="s">
        <v>921</v>
      </c>
    </row>
    <row r="18" customFormat="false" ht="17.15" hidden="false" customHeight="false" outlineLevel="0" collapsed="false">
      <c r="A18" s="0" t="s">
        <v>922</v>
      </c>
      <c r="B18" s="4" t="s">
        <v>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2026-10-30T00:24:44Z</dcterms:created>
  <dc:creator>openpyxl</dc:creator>
  <dc:description/>
  <dc:language>en-US</dc:language>
  <cp:lastModifiedBy/>
  <dcterms:modified xsi:type="dcterms:W3CDTF">2026-10-30T00:24:44Z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