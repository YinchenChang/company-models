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p" vbProcedure="false">Q!$B$17</definedName>
    <definedName function="false" hidden="false" name="a25_aipx" vbProcedure="false">Q!$B$20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lc" vbProcedure="false">Q!$B$18</definedName>
    <definedName function="false" hidden="false" name="a25_nai" vbProcedure="false">Q!$B$19</definedName>
    <definedName function="false" hidden="false" name="a25_naix" vbProcedure="false">Q!$B$21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p" vbProcedure="false">Q!$F$17</definedName>
    <definedName function="false" hidden="false" name="a26_aipx" vbProcedure="false">Q!$F$20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lc" vbProcedure="false">Q!$F$18</definedName>
    <definedName function="false" hidden="false" name="a26_nai" vbProcedure="false">Q!$F$19</definedName>
    <definedName function="false" hidden="false" name="a26_naix" vbProcedure="false">Q!$F$21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In!$E$33</definedName>
    <definedName function="false" hidden="false" name="ai_26" vbProcedure="false">In!$E$34</definedName>
    <definedName function="false" hidden="false" name="ai_26_hi" vbProcedure="false">In!$F$34</definedName>
    <definedName function="false" hidden="false" name="ai_26_lo" vbProcedure="false">In!$D$34</definedName>
    <definedName function="false" hidden="false" name="b_eps26a" vbProcedure="false">In!$E$59</definedName>
    <definedName function="false" hidden="false" name="b_eps26b" vbProcedure="false">In!$E$60</definedName>
    <definedName function="false" hidden="false" name="b_eps27a" vbProcedure="false">In!$E$61</definedName>
    <definedName function="false" hidden="false" name="b_eps27b" vbProcedure="false">In!$E$62</definedName>
    <definedName function="false" hidden="false" name="b_eps27c" vbProcedure="false">In!$E$63</definedName>
    <definedName function="false" hidden="false" name="b_rev26" vbProcedure="false">In!$E$58</definedName>
    <definedName function="false" hidden="false" name="b_rev27" vbProcedure="false">In!$E$64</definedName>
    <definedName function="false" hidden="false" name="cool_vr" vbProcedure="false">In!$E$13</definedName>
    <definedName function="false" hidden="false" name="d_ai" vbProcedure="false">In!$E$41</definedName>
    <definedName function="false" hidden="false" name="d_ai_hi" vbProcedure="false">In!$F$41</definedName>
    <definedName function="false" hidden="false" name="d_ai_lo" vbProcedure="false">In!$D$41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NHI27" vbProcedure="false">In!$F$37</definedName>
    <definedName function="false" hidden="false" name="GNHI28" vbProcedure="false">In!$F$38</definedName>
    <definedName function="false" hidden="false" name="GNHI29" vbProcedure="false">In!$F$39</definedName>
    <definedName function="false" hidden="false" name="GNLO27" vbProcedure="false">In!$D$37</definedName>
    <definedName function="false" hidden="false" name="GNLO28" vbProcedure="false">In!$D$38</definedName>
    <definedName function="false" hidden="false" name="GNLO29" vbProcedure="false">In!$D$39</definedName>
    <definedName function="false" hidden="false" name="g_nai27" vbProcedure="false">In!$E$37</definedName>
    <definedName function="false" hidden="false" name="g_nai27_hi" vbProcedure="false">In!$F$37</definedName>
    <definedName function="false" hidden="false" name="g_nai27_lo" vbProcedure="false">In!$D$37</definedName>
    <definedName function="false" hidden="false" name="g_nai28" vbProcedure="false">In!$E$38</definedName>
    <definedName function="false" hidden="false" name="g_nai28_hi" vbProcedure="false">In!$F$38</definedName>
    <definedName function="false" hidden="false" name="g_nai28_lo" vbProcedure="false">In!$D$38</definedName>
    <definedName function="false" hidden="false" name="g_nai29" vbProcedure="false">In!$E$39</definedName>
    <definedName function="false" hidden="false" name="g_nai29_hi" vbProcedure="false">In!$F$39</definedName>
    <definedName function="false" hidden="false" name="g_nai29_lo" vbProcedure="false">In!$D$39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gi_sh" vbProcedure="false">In!$E$67</definedName>
    <definedName function="false" hidden="false" name="LCHI_27" vbProcedure="false">In!$F$29</definedName>
    <definedName function="false" hidden="false" name="LCHI_28" vbProcedure="false">In!$F$30</definedName>
    <definedName function="false" hidden="false" name="LCHI_29" vbProcedure="false">In!$F$31</definedName>
    <definedName function="false" hidden="false" name="LCLO_27" vbProcedure="false">In!$D$29</definedName>
    <definedName function="false" hidden="false" name="LCLO_28" vbProcedure="false">In!$D$30</definedName>
    <definedName function="false" hidden="false" name="LCLO_29" vbProcedure="false">In!$D$31</definedName>
    <definedName function="false" hidden="false" name="lcr_27" vbProcedure="false">In!$E$29</definedName>
    <definedName function="false" hidden="false" name="lcr_27_hi" vbProcedure="false">In!$F$29</definedName>
    <definedName function="false" hidden="false" name="lcr_27_lo" vbProcedure="false">In!$D$29</definedName>
    <definedName function="false" hidden="false" name="lcr_28" vbProcedure="false">In!$E$30</definedName>
    <definedName function="false" hidden="false" name="lcr_28_hi" vbProcedure="false">In!$F$30</definedName>
    <definedName function="false" hidden="false" name="lcr_28_lo" vbProcedure="false">In!$D$30</definedName>
    <definedName function="false" hidden="false" name="lcr_29" vbProcedure="false">In!$E$31</definedName>
    <definedName function="false" hidden="false" name="lcr_29_hi" vbProcedure="false">In!$F$31</definedName>
    <definedName function="false" hidden="false" name="lcr_29_lo" vbProcedure="false">In!$D$31</definedName>
    <definedName function="false" hidden="false" name="lc_25" vbProcedure="false">In!$E$35</definedName>
    <definedName function="false" hidden="false" name="lc_26" vbProcedure="false">In!$E$36</definedName>
    <definedName function="false" hidden="false" name="lc_26_hi" vbProcedure="false">In!$F$36</definedName>
    <definedName function="false" hidden="false" name="lc_26_lo" vbProcedure="false">In!$D$36</definedName>
    <definedName function="false" hidden="false" name="mf" vbProcedure="false">In!$E$56</definedName>
    <definedName function="false" hidden="false" name="mf_hi" vbProcedure="false">In!$F$56</definedName>
    <definedName function="false" hidden="false" name="mf_lo" vbProcedure="false">In!$D$56</definedName>
    <definedName function="false" hidden="false" name="nir_f" vbProcedure="false">In!$E$54</definedName>
    <definedName function="false" hidden="false" name="nir_f_hi" vbProcedure="false">In!$F$54</definedName>
    <definedName function="false" hidden="false" name="nir_f_lo" vbProcedure="false">In!$D$54</definedName>
    <definedName function="false" hidden="false" name="nop_f" vbProcedure="false">In!$E$53</definedName>
    <definedName function="false" hidden="false" name="nop_f_hi" vbProcedure="false">In!$F$53</definedName>
    <definedName function="false" hidden="false" name="nop_f_lo" vbProcedure="false">In!$D$53</definedName>
    <definedName function="false" hidden="false" name="opx_adj" vbProcedure="false">In!$E$52</definedName>
    <definedName function="false" hidden="false" name="opx_adj_hi" vbProcedure="false">In!$F$52</definedName>
    <definedName function="false" hidden="false" name="opx_adj_lo" vbProcedure="false">In!$D$52</definedName>
    <definedName function="false" hidden="false" name="pe_fair_andy" vbProcedure="false">In!$E$68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In!$E$71</definedName>
    <definedName function="false" hidden="false" name="phi" vbProcedure="false">In!$E$51</definedName>
    <definedName function="false" hidden="false" name="phi_hi" vbProcedure="false">In!$F$51</definedName>
    <definedName function="false" hidden="false" name="phi_lo" vbProcedure="false">In!$D$51</definedName>
    <definedName function="false" hidden="false" name="PKHI_26" vbProcedure="false">In!$F$22</definedName>
    <definedName function="false" hidden="false" name="PKHI_27" vbProcedure="false">In!$F$23</definedName>
    <definedName function="false" hidden="false" name="PKHI_28" vbProcedure="false">In!$F$24</definedName>
    <definedName function="false" hidden="false" name="PKHI_29" vbProcedure="false">In!$F$25</definedName>
    <definedName function="false" hidden="false" name="PKLO_26" vbProcedure="false">In!$D$22</definedName>
    <definedName function="false" hidden="false" name="PKLO_27" vbProcedure="false">In!$D$23</definedName>
    <definedName function="false" hidden="false" name="PKLO_28" vbProcedure="false">In!$D$24</definedName>
    <definedName function="false" hidden="false" name="PKLO_29" vbProcedure="false">In!$D$25</definedName>
    <definedName function="false" hidden="false" name="pkw_26" vbProcedure="false">In!$E$22</definedName>
    <definedName function="false" hidden="false" name="pkw_26_hi" vbProcedure="false">In!$F$22</definedName>
    <definedName function="false" hidden="false" name="pkw_26_lo" vbProcedure="false">In!$D$22</definedName>
    <definedName function="false" hidden="false" name="pkw_27" vbProcedure="false">In!$E$23</definedName>
    <definedName function="false" hidden="false" name="pkw_27_hi" vbProcedure="false">In!$F$23</definedName>
    <definedName function="false" hidden="false" name="pkw_27_lo" vbProcedure="false">In!$D$23</definedName>
    <definedName function="false" hidden="false" name="pkw_28" vbProcedure="false">In!$E$24</definedName>
    <definedName function="false" hidden="false" name="pkw_28_hi" vbProcedure="false">In!$F$24</definedName>
    <definedName function="false" hidden="false" name="pkw_28_lo" vbProcedure="false">In!$D$24</definedName>
    <definedName function="false" hidden="false" name="pkw_29" vbProcedure="false">In!$E$25</definedName>
    <definedName function="false" hidden="false" name="pkw_29_hi" vbProcedure="false">In!$F$25</definedName>
    <definedName function="false" hidden="false" name="pkw_29_lo" vbProcedure="false">In!$D$25</definedName>
    <definedName function="false" hidden="false" name="px" vbProcedure="false">In!$E$70</definedName>
    <definedName function="false" hidden="false" name="q3_rev" vbProcedure="false">In!$E$43</definedName>
    <definedName function="false" hidden="false" name="q4g" vbProcedure="false">In!$E$44</definedName>
    <definedName function="false" hidden="false" name="q4g_hi" vbProcedure="false">In!$F$44</definedName>
    <definedName function="false" hidden="false" name="q4g_lo" vbProcedure="false">In!$D$44</definedName>
    <definedName function="false" hidden="false" name="q_gm" vbProcedure="false">In!$E$45</definedName>
    <definedName function="false" hidden="false" name="q_gm_hi" vbProcedure="false">In!$F$45</definedName>
    <definedName function="false" hidden="false" name="q_gm_lo" vbProcedure="false">In!$D$45</definedName>
    <definedName function="false" hidden="false" name="q_nir" vbProcedure="false">In!$E$48</definedName>
    <definedName function="false" hidden="false" name="q_nir_hi" vbProcedure="false">In!$F$48</definedName>
    <definedName function="false" hidden="false" name="q_nir_lo" vbProcedure="false">In!$D$48</definedName>
    <definedName function="false" hidden="false" name="q_nop" vbProcedure="false">In!$E$47</definedName>
    <definedName function="false" hidden="false" name="q_nop_hi" vbProcedure="false">In!$F$47</definedName>
    <definedName function="false" hidden="false" name="q_nop_lo" vbProcedure="false">In!$D$47</definedName>
    <definedName function="false" hidden="false" name="q_opx" vbProcedure="false">In!$E$46</definedName>
    <definedName function="false" hidden="false" name="q_opx_hi" vbProcedure="false">In!$F$46</definedName>
    <definedName function="false" hidden="false" name="q_opx_lo" vbProcedure="false">In!$D$46</definedName>
    <definedName function="false" hidden="false" name="q_sh" vbProcedure="false">In!$E$49</definedName>
    <definedName function="false" hidden="false" name="racks_vr" vbProcedure="false">In!$E$12</definedName>
    <definedName function="false" hidden="false" name="rel_27" vbProcedure="false">In!$E$26</definedName>
    <definedName function="false" hidden="false" name="rel_27_hi" vbProcedure="false">In!$F$26</definedName>
    <definedName function="false" hidden="false" name="rel_27_lo" vbProcedure="false">In!$D$26</definedName>
    <definedName function="false" hidden="false" name="rel_28" vbProcedure="false">In!$E$27</definedName>
    <definedName function="false" hidden="false" name="rel_28_hi" vbProcedure="false">In!$F$27</definedName>
    <definedName function="false" hidden="false" name="rel_28_lo" vbProcedure="false">In!$D$27</definedName>
    <definedName function="false" hidden="false" name="rel_29" vbProcedure="false">In!$E$28</definedName>
    <definedName function="false" hidden="false" name="rel_29_hi" vbProcedure="false">In!$F$28</definedName>
    <definedName function="false" hidden="false" name="rel_29_lo" vbProcedure="false">In!$D$28</definedName>
    <definedName function="false" hidden="false" name="RHI_27" vbProcedure="false">In!$F$26</definedName>
    <definedName function="false" hidden="false" name="RHI_28" vbProcedure="false">In!$F$27</definedName>
    <definedName function="false" hidden="false" name="RHI_29" vbProcedure="false">In!$F$28</definedName>
    <definedName function="false" hidden="false" name="RLO_27" vbProcedure="false">In!$D$26</definedName>
    <definedName function="false" hidden="false" name="RLO_28" vbProcedure="false">In!$D$27</definedName>
    <definedName function="false" hidden="false" name="RLO_29" vbProcedure="false">In!$D$28</definedName>
    <definedName function="false" hidden="false" name="sh_g" vbProcedure="false">In!$E$55</definedName>
    <definedName function="false" hidden="false" name="sh_g_hi" vbProcedure="false">In!$F$55</definedName>
    <definedName function="false" hidden="false" name="sh_g_lo" vbProcedure="false">In!$D$55</definedName>
    <definedName function="false" hidden="false" name="tp_price" vbProcedure="false">Val!$B$42</definedName>
    <definedName function="false" hidden="false" name="tp_upside" vbProcedure="false">Val!$B$43</definedName>
    <definedName function="false" hidden="false" name="tp_wA" vbProcedure="false">In!$E$73</definedName>
    <definedName function="false" hidden="false" name="tp_wB" vbProcedure="false">In!$E$74</definedName>
    <definedName function="false" hidden="false" name="tp_wC" vbProcedure="false">In!$E$75</definedName>
    <definedName function="false" hidden="false" name="ubs_26" vbProcedure="false">In!$E$65</definedName>
    <definedName function="false" hidden="false" name="ubs_27" vbProcedure="false">In!$E$66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<sst xmlns="http://schemas.openxmlformats.org/spreadsheetml/2006/main" count="2203" uniqueCount="621">
  <si>
    <r>
      <rPr>
        <b val="true"/>
        <sz val="11"/>
        <rFont val="Noto Sans CJK SC"/>
        <family val="2"/>
      </rPr>
      <t xml:space="preserve">台達電（</t>
    </r>
    <r>
      <rPr>
        <b val="true"/>
        <sz val="11"/>
        <rFont val="Cambria"/>
        <family val="0"/>
        <charset val="1"/>
      </rPr>
      <t xml:space="preserve">2308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</si>
  <si>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內容、台達電份額、液冷每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條）；奇鋐等散熱廠之後讀這條液冷線。</t>
    </r>
  </si>
  <si>
    <r>
      <rPr>
        <sz val="11"/>
        <rFont val="Noto Sans CJK SC"/>
        <family val="2"/>
      </rPr>
      <t xml:space="preserve">模型命題：台達電的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台達電份額＋液冷每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營收）。</t>
    </r>
    <r>
      <rPr>
        <sz val="11"/>
        <rFont val="Cambria"/>
        <family val="0"/>
        <charset val="1"/>
      </rPr>
      <t xml:space="preserve">800V HVDC </t>
    </r>
    <r>
      <rPr>
        <sz val="11"/>
        <rFont val="Noto Sans CJK SC"/>
        <family val="2"/>
      </rPr>
      <t xml:space="preserve">把交流轉直流移到機架外，每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可做的金額變大；同時光寶、</t>
    </r>
    <r>
      <rPr>
        <sz val="11"/>
        <rFont val="Cambria"/>
        <family val="0"/>
        <charset val="1"/>
      </rPr>
      <t xml:space="preserve">Flex</t>
    </r>
    <r>
      <rPr>
        <sz val="11"/>
        <rFont val="Noto Sans CJK SC"/>
        <family val="2"/>
      </rPr>
      <t xml:space="preserve">、中國廠追趕份額。股價兩週跌約兩成後，約 </t>
    </r>
    <r>
      <rPr>
        <sz val="11"/>
        <rFont val="Cambria"/>
        <family val="0"/>
        <charset val="1"/>
      </rPr>
      <t xml:space="preserve">22–28 </t>
    </r>
    <r>
      <rPr>
        <sz val="11"/>
        <rFont val="Noto Sans CJK SC"/>
        <family val="2"/>
      </rPr>
      <t xml:space="preserve">倍未來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</si>
  <si>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電源內容上升（</t>
    </r>
    <r>
      <rPr>
        <sz val="11"/>
        <rFont val="Cambria"/>
        <family val="0"/>
        <charset val="1"/>
      </rPr>
      <t xml:space="preserve">800V</t>
    </r>
    <r>
      <rPr>
        <sz val="11"/>
        <rFont val="Noto Sans CJK SC"/>
        <family val="2"/>
      </rPr>
      <t xml:space="preserve">）能不能抵銷份額流失與零組件成本，讓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營收在 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年維持高成長；現價隱含的路徑合不合理。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</si>
  <si>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</si>
  <si>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</si>
  <si>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電源內容（凱基推導、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台達電有效份額（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</si>
  <si>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以公司液冷占比校準每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電源比其他營收高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</si>
  <si>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</si>
  <si>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規則值（單一資料商來源）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；循環位置以本模型營收最高年判定（台達電不套設備股見頂年）。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</si>
  <si>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未使用。公司原文＝法說簡報與逐字稿；券商皆未具名或單一來源。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</si>
  <si>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</t>
    </r>
    <r>
      <rPr>
        <sz val="11"/>
        <rFont val="Noto Sans CJK SC"/>
        <family val="2"/>
      </rPr>
      <t xml:space="preserve">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相關」是否含液冷，公司說法不一致（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相關含液冷」）；</t>
    </r>
    <r>
      <rPr>
        <sz val="11"/>
        <rFont val="Cambria"/>
        <family val="0"/>
        <charset val="1"/>
      </rPr>
      <t xml:space="preserve">(2) 2028 </t>
    </r>
    <r>
      <rPr>
        <sz val="11"/>
        <rFont val="Noto Sans CJK SC"/>
        <family val="2"/>
      </rPr>
      <t xml:space="preserve">年起每 </t>
    </r>
    <r>
      <rPr>
        <sz val="11"/>
        <rFont val="Cambria"/>
        <family val="0"/>
        <charset val="1"/>
      </rPr>
      <t xml:space="preserve">kW </t>
    </r>
    <r>
      <rPr>
        <sz val="11"/>
        <rFont val="Noto Sans CJK SC"/>
        <family val="2"/>
      </rPr>
      <t xml:space="preserve">內容（</t>
    </r>
    <r>
      <rPr>
        <sz val="11"/>
        <rFont val="Cambria"/>
        <family val="0"/>
        <charset val="1"/>
      </rPr>
      <t xml:space="preserve">800V</t>
    </r>
    <r>
      <rPr>
        <sz val="11"/>
        <rFont val="Noto Sans CJK SC"/>
        <family val="2"/>
      </rPr>
      <t xml:space="preserve">）與份額相對值為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只有一個來源，且 </t>
    </r>
    <r>
      <rPr>
        <sz val="11"/>
        <rFont val="Cambria"/>
        <family val="0"/>
        <charset val="1"/>
      </rPr>
      <t xml:space="preserve">2016–2019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前的低倍數；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未計 </t>
    </r>
    <r>
      <rPr>
        <sz val="11"/>
        <rFont val="Cambria"/>
        <family val="0"/>
        <charset val="1"/>
      </rPr>
      <t xml:space="preserve">Vicor 337 </t>
    </r>
    <r>
      <rPr>
        <sz val="11"/>
        <rFont val="Noto Sans CJK SC"/>
        <family val="2"/>
      </rPr>
      <t xml:space="preserve">調查（垂直供電）與零組件短缺的下檔；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法說（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</si>
  <si>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</si>
  <si>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未使用。公司原文＝台達電法說簡報與逐字稿（</t>
    </r>
    <r>
      <rPr>
        <sz val="11"/>
        <color theme="1"/>
        <rFont val="Calibri"/>
        <family val="2"/>
        <charset val="1"/>
      </rPr>
      <t xml:space="preserve">filecenter.deltaww.com</t>
    </r>
    <r>
      <rPr>
        <sz val="11"/>
        <color theme="1"/>
        <rFont val="Noto Sans CJK SC"/>
        <family val="2"/>
      </rPr>
      <t xml:space="preserve">）、月營收公告；公司的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占比與毛利率說法為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</si>
  <si>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</si>
  <si>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</si>
  <si>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</si>
  <si>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</si>
  <si>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</si>
  <si>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</si>
  <si>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</si>
  <si>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</si>
  <si>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</si>
  <si>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</si>
  <si>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</si>
  <si>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</si>
  <si>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</si>
  <si>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</si>
  <si>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</si>
  <si>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</si>
  <si>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</si>
  <si>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</si>
  <si>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</si>
  <si>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</si>
  <si>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</si>
  <si>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</si>
  <si>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</si>
  <si>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</si>
  <si>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</si>
  <si>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</si>
  <si>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</si>
  <si>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</si>
  <si>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</si>
  <si>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</si>
  <si>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</si>
  <si>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</si>
  <si>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</si>
  <si>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</si>
  <si>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</si>
  <si>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出貨遠大於 </t>
    </r>
    <r>
      <rPr>
        <sz val="11"/>
        <color theme="1"/>
        <rFont val="Calibri"/>
        <family val="2"/>
        <charset val="1"/>
      </rPr>
      <t xml:space="preserve">Rubin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</si>
  <si>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</si>
  <si>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</si>
  <si>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</si>
  <si>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</si>
  <si>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用：每架內容換算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</si>
  <si>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</si>
  <si>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每架機架內液冷（冷板等，橋接表）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</si>
  <si>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</si>
  <si>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</si>
  <si>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VR NVL144 </t>
    </r>
    <r>
      <rPr>
        <sz val="11"/>
        <color theme="1"/>
        <rFont val="Noto Sans CJK SC"/>
        <family val="2"/>
      </rPr>
      <t xml:space="preserve">機架內冷卻 </t>
    </r>
    <r>
      <rPr>
        <sz val="11"/>
        <color theme="1"/>
        <rFont val="Calibri"/>
        <family val="2"/>
        <charset val="1"/>
      </rPr>
      <t xml:space="preserve">BOM US$55.7K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</si>
  <si>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</si>
  <si>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</si>
  <si>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</si>
  <si>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</si>
  <si>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</si>
  <si>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</si>
  <si>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</si>
  <si>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</si>
  <si>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</si>
  <si>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</si>
  <si>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</si>
  <si>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</si>
  <si>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</si>
  <si>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</si>
  <si>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</si>
  <si>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</si>
  <si>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</si>
  <si>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</si>
  <si>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</si>
  <si>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</si>
  <si>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</si>
  <si>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</si>
  <si>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</si>
  <si>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</si>
  <si>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 </t>
    </r>
    <r>
      <rPr>
        <sz val="11"/>
        <color theme="1"/>
        <rFont val="Calibri"/>
        <family val="2"/>
        <charset val="1"/>
      </rPr>
      <t xml:space="preserve">NT$183.2B ≈ US$5.6B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</si>
  <si>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（〈台幣〉開紅盤，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</si>
  <si>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電源內容與台達電份額（本專案為權威：每架電源與液冷內容、台達電份額，規則第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</si>
  <si>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</si>
  <si>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</si>
  <si>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</si>
  <si>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</si>
  <si>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</si>
  <si>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</si>
  <si>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</si>
  <si>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</si>
  <si>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</si>
  <si>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</si>
  <si>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</si>
  <si>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</si>
  <si>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</si>
  <si>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</si>
  <si>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</si>
  <si>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—</t>
  </si>
  <si>
    <t xml:space="preserve">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</si>
  <si>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</si>
  <si>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</si>
  <si>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</si>
  <si>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</si>
  <si>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</si>
  <si>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</si>
  <si>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</si>
  <si>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lcr_27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</si>
  <si>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÷ 2026</t>
    </r>
  </si>
  <si>
    <r>
      <rPr>
        <sz val="11"/>
        <color theme="1"/>
        <rFont val="Noto Sans CJK SC"/>
        <family val="2"/>
      </rPr>
      <t xml:space="preserve">橋接表：機架內液冷 </t>
    </r>
    <r>
      <rPr>
        <sz val="11"/>
        <color theme="1"/>
        <rFont val="Calibri"/>
        <family val="2"/>
        <charset val="1"/>
      </rPr>
      <t xml:space="preserve">GB300 US$50K → VR200 US$56K</t>
    </r>
    <r>
      <rPr>
        <sz val="11"/>
        <color theme="1"/>
        <rFont val="Noto Sans CJK SC"/>
        <family val="2"/>
      </rPr>
      <t xml:space="preserve">／架（每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下降：架數 </t>
    </r>
    <r>
      <rPr>
        <sz val="11"/>
        <color theme="1"/>
        <rFont val="Calibri"/>
        <family val="2"/>
        <charset val="1"/>
      </rPr>
      <t xml:space="preserve">6,764 → 4,052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</si>
  <si>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公司：液冷占營收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10% → 2026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Liquid-to-Air </t>
    </r>
    <r>
      <rPr>
        <sz val="11"/>
        <color theme="1"/>
        <rFont val="Noto Sans CJK SC"/>
        <family val="2"/>
      </rPr>
      <t xml:space="preserve">使用期比市場預期長（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</si>
  <si>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lcr_28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</si>
  <si>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</si>
  <si>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lcr_29</t>
  </si>
  <si>
    <r>
      <rPr>
        <sz val="11"/>
        <color theme="1"/>
        <rFont val="Noto Sans CJK SC"/>
        <family val="2"/>
      </rPr>
      <t xml:space="preserve">台達電液冷每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</si>
  <si>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</si>
  <si>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</si>
  <si>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營收（讀為不含液冷）</t>
    </r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</si>
  <si>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</si>
  <si>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數位時代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、液冷約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、合計約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（口徑不同，未採用）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</si>
  <si>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</si>
  <si>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營收（讀為不含液冷）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</si>
  <si>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「一定超過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摘要：朝 </t>
    </r>
    <r>
      <rPr>
        <sz val="11"/>
        <color theme="1"/>
        <rFont val="Calibri"/>
        <family val="2"/>
        <charset val="1"/>
      </rPr>
      <t xml:space="preserve">28% </t>
    </r>
    <r>
      <rPr>
        <sz val="11"/>
        <color theme="1"/>
        <rFont val="Noto Sans CJK SC"/>
        <family val="2"/>
      </rPr>
      <t xml:space="preserve">目標</t>
    </r>
  </si>
  <si>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電源，不含液冷；另一讀法見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相關含液冷」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</si>
  <si>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</si>
  <si>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</si>
  <si>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：液冷約占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</si>
  <si>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數位時代：約 </t>
    </r>
    <r>
      <rPr>
        <sz val="11"/>
        <color theme="1"/>
        <rFont val="Calibri"/>
        <family val="2"/>
        <charset val="1"/>
      </rPr>
      <t xml:space="preserve">9%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</si>
  <si>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</si>
  <si>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</si>
  <si>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</si>
  <si>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：液冷產品可望超過 </t>
    </r>
    <r>
      <rPr>
        <sz val="11"/>
        <color theme="1"/>
        <rFont val="Calibri"/>
        <family val="2"/>
        <charset val="1"/>
      </rPr>
      <t xml:space="preserve">12%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</si>
  <si>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</si>
  <si>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</si>
  <si>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頁；含非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資料中心、電源零組件）；自動化 </t>
    </r>
    <r>
      <rPr>
        <sz val="11"/>
        <color theme="1"/>
        <rFont val="Calibri"/>
        <family val="2"/>
        <charset val="1"/>
      </rPr>
      <t xml:space="preserve">2Q26 +15% </t>
    </r>
    <r>
      <rPr>
        <sz val="11"/>
        <color theme="1"/>
        <rFont val="Noto Sans CJK SC"/>
        <family val="2"/>
      </rPr>
      <t xml:space="preserve">但虧損、交通衰退（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</si>
  <si>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：自動化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、交通 −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</si>
  <si>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</si>
  <si>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</si>
  <si>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</si>
  <si>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</si>
  <si>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</si>
  <si>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</si>
  <si>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</si>
  <si>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</si>
  <si>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18kW 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電源櫃毛利率約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）；公司整體 </t>
    </r>
    <r>
      <rPr>
        <sz val="11"/>
        <color theme="1"/>
        <rFont val="Calibri"/>
        <family val="2"/>
        <charset val="1"/>
      </rPr>
      <t xml:space="preserve">1H26 36.3%</t>
    </r>
  </si>
  <si>
    <r>
      <rPr>
        <sz val="11"/>
        <color theme="1"/>
        <rFont val="Noto Sans CJK SC"/>
        <family val="2"/>
      </rPr>
      <t xml:space="preserve">部門別毛利率未揭露：未找到；電源及零組件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部門利益率 </t>
    </r>
    <r>
      <rPr>
        <sz val="11"/>
        <color theme="1"/>
        <rFont val="Calibri"/>
        <family val="2"/>
        <charset val="1"/>
      </rPr>
      <t xml:space="preserve">20.1% vs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15.6%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</si>
  <si>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</si>
  <si>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</si>
  <si>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</si>
  <si>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</si>
  <si>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</si>
  <si>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https://finance.technews.tw/2026/10/12/delta-electronics-q3-revenue-nears-200-billion-record-high-q4-double-digit-growth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1,970.59 </t>
    </r>
    <r>
      <rPr>
        <sz val="11"/>
        <color theme="1"/>
        <rFont val="Noto Sans CJK SC"/>
        <family val="2"/>
      </rPr>
      <t xml:space="preserve">億元、前三季 </t>
    </r>
    <r>
      <rPr>
        <sz val="11"/>
        <color theme="1"/>
        <rFont val="Calibri"/>
        <family val="2"/>
        <charset val="1"/>
      </rPr>
      <t xml:space="preserve">5,396.68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</si>
  <si>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Noto Sans CJK SC"/>
        <family val="2"/>
      </rPr>
      <t xml:space="preserve">時報資訊 </t>
    </r>
    <r>
      <rPr>
        <sz val="11"/>
        <color theme="1"/>
        <rFont val="Calibri"/>
        <family val="2"/>
        <charset val="1"/>
      </rPr>
      <t xml:space="preserve">2026-10-12 </t>
    </r>
    <r>
      <rPr>
        <sz val="11"/>
        <color theme="1"/>
        <rFont val="Noto Sans CJK SC"/>
        <family val="2"/>
      </rPr>
      <t xml:space="preserve">同值（含更正稿）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</si>
  <si>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</si>
  <si>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</si>
  <si>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法人：第四季雙位數季增（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</si>
  <si>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2,511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3Q 2,093 </t>
    </r>
    <r>
      <rPr>
        <sz val="11"/>
        <color theme="1"/>
        <rFont val="Noto Sans CJK SC"/>
        <family val="2"/>
      </rPr>
      <t xml:space="preserve">億為基礎；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1,971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</si>
  <si>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</si>
  <si>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</si>
  <si>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  <r>
      <rPr>
        <sz val="11"/>
        <color theme="1"/>
        <rFont val="Noto Sans CJK SC"/>
        <family val="2"/>
      </rPr>
      <t xml:space="preserve">：董事長「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左右合理」、下半年優於上半年；</t>
    </r>
    <r>
      <rPr>
        <sz val="11"/>
        <color theme="1"/>
        <rFont val="Calibri"/>
        <family val="2"/>
        <charset val="1"/>
      </rPr>
      <t xml:space="preserve">2Q26 35.6%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</si>
  <si>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38.7%</t>
    </r>
    <r>
      <rPr>
        <sz val="11"/>
        <color theme="1"/>
        <rFont val="Noto Sans CJK SC"/>
        <family val="2"/>
      </rPr>
      <t xml:space="preserve">（新高）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</si>
  <si>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</si>
  <si>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</si>
  <si>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 19.1%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18.3%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</si>
  <si>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+33%</t>
    </r>
    <r>
      <rPr>
        <sz val="11"/>
        <color theme="1"/>
        <rFont val="Noto Sans CJK SC"/>
        <family val="2"/>
      </rPr>
      <t xml:space="preserve">、銷管 </t>
    </r>
    <r>
      <rPr>
        <sz val="11"/>
        <color theme="1"/>
        <rFont val="Calibri"/>
        <family val="2"/>
        <charset val="1"/>
      </rPr>
      <t xml:space="preserve">+40%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年增）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</si>
  <si>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</si>
  <si>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</si>
  <si>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2Q26 4.4</t>
    </r>
    <r>
      <rPr>
        <sz val="11"/>
        <color theme="1"/>
        <rFont val="Noto Sans CJK SC"/>
        <family val="2"/>
      </rPr>
      <t xml:space="preserve">（部分為未實現投資利益）、</t>
    </r>
    <r>
      <rPr>
        <sz val="11"/>
        <color theme="1"/>
        <rFont val="Calibri"/>
        <family val="2"/>
        <charset val="1"/>
      </rPr>
      <t xml:space="preserve">4Q25 −0.8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</si>
  <si>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FY2025 3.9</t>
    </r>
    <r>
      <rPr>
        <sz val="11"/>
        <color theme="1"/>
        <rFont val="Noto Sans CJK SC"/>
        <family val="2"/>
      </rPr>
      <t xml:space="preserve">（公司）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</si>
  <si>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</si>
  <si>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</si>
  <si>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 45.7 ÷ 66.1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60.1 ÷ 87.9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0.684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</si>
  <si>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22% </t>
    </r>
    <r>
      <rPr>
        <sz val="11"/>
        <color theme="1"/>
        <rFont val="Noto Sans CJK SC"/>
        <family val="2"/>
      </rPr>
      <t xml:space="preserve">與非控制權益（台達泰國等）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</si>
  <si>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</si>
  <si>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</si>
  <si>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</si>
  <si>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45.7 ÷ EPS 17.59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</si>
  <si>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已發行 </t>
    </r>
    <r>
      <rPr>
        <sz val="11"/>
        <color theme="1"/>
        <rFont val="Calibri"/>
        <family val="2"/>
        <charset val="1"/>
      </rPr>
      <t xml:space="preserve">2,597,543,329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</si>
  <si>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</si>
  <si>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</si>
  <si>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</si>
  <si>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</si>
  <si>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+20%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+32%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</si>
  <si>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</si>
  <si>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</si>
  <si>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</si>
  <si>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</si>
  <si>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</si>
  <si>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</si>
  <si>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3.9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7.2</t>
    </r>
    <r>
      <rPr>
        <sz val="11"/>
        <color theme="1"/>
        <rFont val="Noto Sans CJK SC"/>
        <family val="2"/>
      </rPr>
      <t xml:space="preserve">（公司）</t>
    </r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</si>
  <si>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</si>
  <si>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</si>
  <si>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</si>
  <si>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</si>
  <si>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</si>
  <si>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2.598 → 1H26 2.598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</si>
  <si>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</si>
  <si>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</si>
  <si>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</si>
  <si>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</si>
  <si>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</si>
  <si>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</si>
  <si>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</si>
  <si>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（本土投顧，未具名；由 </t>
    </r>
    <r>
      <rPr>
        <sz val="11"/>
        <color theme="1"/>
        <rFont val="Calibri"/>
        <family val="2"/>
        <charset val="1"/>
      </rPr>
      <t xml:space="preserve">826.4 </t>
    </r>
    <r>
      <rPr>
        <sz val="11"/>
        <color theme="1"/>
        <rFont val="Noto Sans CJK SC"/>
        <family val="2"/>
      </rPr>
      <t xml:space="preserve">下修）</t>
    </r>
  </si>
  <si>
    <t xml:space="preserve">b_eps26a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</si>
  <si>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（本土，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</si>
  <si>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</si>
  <si>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</si>
  <si>
    <t xml:space="preserve">b_eps26b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</si>
  <si>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（美系，</t>
    </r>
    <r>
      <rPr>
        <sz val="11"/>
        <color theme="1"/>
        <rFont val="Calibri"/>
        <family val="2"/>
        <charset val="1"/>
      </rPr>
      <t xml:space="preserve">2026-05-04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</si>
  <si>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（美系大行，未具名）</t>
    </r>
  </si>
  <si>
    <t xml:space="preserve">b_eps27a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</si>
  <si>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（本土，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</si>
  <si>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EPS 121.6</t>
    </r>
  </si>
  <si>
    <t xml:space="preserve">b_eps27b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</si>
  <si>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（美系，</t>
    </r>
    <r>
      <rPr>
        <sz val="11"/>
        <color theme="1"/>
        <rFont val="Calibri"/>
        <family val="2"/>
        <charset val="1"/>
      </rPr>
      <t xml:space="preserve">2026-05-04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</si>
  <si>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EPS 98.5</t>
    </r>
  </si>
  <si>
    <t xml:space="preserve">b_eps27c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</si>
  <si>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（投顧研究團隊，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</si>
  <si>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（台達電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337 </t>
    </r>
    <r>
      <rPr>
        <sz val="11"/>
        <color theme="1"/>
        <rFont val="Noto Sans CJK SC"/>
        <family val="2"/>
      </rPr>
      <t xml:space="preserve">調查）：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62.68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38x</t>
    </r>
  </si>
  <si>
    <t xml:space="preserve">b_rev27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</si>
  <si>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</si>
  <si>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鉅亨：「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上看兆元」</t>
    </r>
  </si>
  <si>
    <t xml:space="preserve">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</si>
  <si>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</si>
  <si>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</si>
  <si>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</si>
  <si>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</si>
  <si>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</si>
  <si>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kgi_sh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</si>
  <si>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</si>
  <si>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</si>
  <si>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第二個量化來源：未找到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</si>
  <si>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</si>
  <si>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</si>
  <si>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</t>
    </r>
    <r>
      <rPr>
        <sz val="11"/>
        <color theme="1"/>
        <rFont val="Noto Sans CJK SC"/>
        <family val="2"/>
      </rPr>
      <t xml:space="preserve">台達電</t>
    </r>
    <r>
      <rPr>
        <sz val="11"/>
        <color theme="1"/>
        <rFont val="Calibri"/>
        <family val="2"/>
        <charset val="1"/>
      </rPr>
      <t xml:space="preserve">_20261024 D10b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</si>
  <si>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</si>
  <si>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</si>
  <si>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</si>
  <si>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</si>
  <si>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10-24 </t>
    </r>
    <r>
      <rPr>
        <sz val="11"/>
        <color theme="1"/>
        <rFont val="Noto Sans CJK SC"/>
        <family val="2"/>
      </rPr>
      <t xml:space="preserve">頁面「昨收」</t>
    </r>
    <r>
      <rPr>
        <sz val="11"/>
        <color theme="1"/>
        <rFont val="Calibri"/>
        <family val="2"/>
        <charset val="1"/>
      </rPr>
      <t xml:space="preserve">1,605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</si>
  <si>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1,560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4.0%</t>
    </r>
    <r>
      <rPr>
        <sz val="11"/>
        <color theme="1"/>
        <rFont val="Noto Sans CJK SC"/>
        <family val="2"/>
      </rPr>
      <t xml:space="preserve">）；兩週 −</t>
    </r>
    <r>
      <rPr>
        <sz val="11"/>
        <color theme="1"/>
        <rFont val="Calibri"/>
        <family val="2"/>
        <charset val="1"/>
      </rPr>
      <t xml:space="preserve">20.6%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</si>
  <si>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</si>
  <si>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</si>
  <si>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</si>
  <si>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HiStock 49.65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</si>
  <si>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</si>
  <si>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</si>
  <si>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（樂觀）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</si>
  <si>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</si>
  <si>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</si>
  <si>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；目標價＝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情境隱含價（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</si>
  <si>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</si>
  <si>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（基準）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</si>
  <si>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</si>
  <si>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（下檔）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</si>
  <si>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為新台幣；股數為十億股）。藍字＝輸入；黑字＝公式。實績取自台達電法說簡報、逐字稿與月營收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</si>
  <si>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2Q26 30.6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÷ 1.08</t>
    </r>
    <r>
      <rPr>
        <sz val="11"/>
        <color theme="1"/>
        <rFont val="Noto Sans CJK SC"/>
        <family val="2"/>
      </rPr>
      <t xml:space="preserve">；公司稱季增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）。部門別損益只有年度簡報數字，季度部門數字只在簡報畫面：未找到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</si>
  <si>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</si>
  <si>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</si>
  <si>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</si>
  <si>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</si>
  <si>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</si>
  <si>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</si>
  <si>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</si>
  <si>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</si>
  <si>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https://filecenter.deltaww.com/ir/download/calendar/4Q25_Analyst Meeting.pdf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https://filecenter.deltaww.com/IR/download/calendar/2Q26_Transcript.pdf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</si>
  <si>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</si>
  <si>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</si>
  <si>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</si>
  <si>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</si>
  <si>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34.3%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36.3%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</si>
  <si>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</si>
  <si>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</si>
  <si>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</si>
  <si>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</si>
  <si>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</si>
  <si>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15.1%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17.2%</t>
    </r>
    <r>
      <rPr>
        <sz val="11"/>
        <color theme="1"/>
        <rFont val="Noto Sans CJK SC"/>
        <family val="2"/>
      </rPr>
      <t xml:space="preserve">（公司）</t>
    </r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</si>
  <si>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</si>
  <si>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</si>
  <si>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87.9</t>
    </r>
    <r>
      <rPr>
        <sz val="11"/>
        <color theme="1"/>
        <rFont val="Noto Sans CJK SC"/>
        <family val="2"/>
      </rPr>
      <t xml:space="preserve">（四捨五入差）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</si>
  <si>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</si>
  <si>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</si>
  <si>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</si>
  <si>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</si>
  <si>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</si>
  <si>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</si>
  <si>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</si>
  <si>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</si>
  <si>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2Q26 9.68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</si>
  <si>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</si>
  <si>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</si>
  <si>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</si>
  <si>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營收未揭露：未找到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</si>
  <si>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</si>
  <si>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t xml:space="preserve">公司液冷占比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</si>
  <si>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− 液冷）</t>
    </r>
  </si>
  <si>
    <r>
      <rPr>
        <sz val="11"/>
        <color theme="1"/>
        <rFont val="Noto Sans CJK SC"/>
        <family val="2"/>
      </rPr>
      <t xml:space="preserve">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資料中心、電源零組件、自動化、交通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</si>
  <si>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電源（另一讀法：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 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− 液冷））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</si>
  <si>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</si>
  <si>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（另一讀法）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</si>
  <si>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</si>
  <si>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</si>
  <si>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</si>
  <si>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</si>
  <si>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</si>
  <si>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券商（本土 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</si>
  <si>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</si>
  <si>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電源市場、台達電份額、每架內容（本專案權威，規則第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</si>
  <si>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</si>
  <si>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</si>
  <si>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</si>
  <si>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</si>
  <si>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</si>
  <si>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</si>
  <si>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</si>
  <si>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</si>
  <si>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</si>
  <si>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2026–27 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</si>
  <si>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</si>
  <si>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</si>
  <si>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1 GW ÷ 4,052 </t>
    </r>
    <r>
      <rPr>
        <sz val="11"/>
        <color theme="1"/>
        <rFont val="Noto Sans CJK SC"/>
        <family val="2"/>
      </rPr>
      <t xml:space="preserve">架 ≈ </t>
    </r>
    <r>
      <rPr>
        <sz val="11"/>
        <color theme="1"/>
        <rFont val="Calibri"/>
        <family val="2"/>
        <charset val="1"/>
      </rPr>
      <t xml:space="preserve">247 kW</t>
    </r>
    <r>
      <rPr>
        <sz val="11"/>
        <color theme="1"/>
        <rFont val="Noto Sans CJK SC"/>
        <family val="2"/>
      </rPr>
      <t xml:space="preserve">／架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</si>
  <si>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</si>
  <si>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內容相同）</t>
    </r>
  </si>
  <si>
    <t xml:space="preserve">台達電有效份額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</si>
  <si>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相關占比校準</t>
    </r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</si>
  <si>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</si>
  <si>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t xml:space="preserve">台達電液冷營收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</si>
  <si>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以公司液冷占比校準</t>
    </r>
  </si>
  <si>
    <r>
      <rPr>
        <sz val="11"/>
        <color theme="1"/>
        <rFont val="Noto Sans CJK SC"/>
        <family val="2"/>
      </rPr>
      <t xml:space="preserve">台達電液冷每架營收（以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</si>
  <si>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Noto Sans CJK SC"/>
        <family val="2"/>
      </rPr>
      <t xml:space="preserve">對照：橋接表機架內液冷 </t>
    </r>
    <r>
      <rPr>
        <sz val="11"/>
        <color theme="1"/>
        <rFont val="Calibri"/>
        <family val="2"/>
        <charset val="1"/>
      </rPr>
      <t xml:space="preserve">VR200 US$56K</t>
    </r>
    <r>
      <rPr>
        <sz val="11"/>
        <color theme="1"/>
        <rFont val="Noto Sans CJK SC"/>
        <family val="2"/>
      </rPr>
      <t xml:space="preserve">（台達電多做機架外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</si>
  <si>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營收（電源＋液冷）</t>
    </r>
  </si>
  <si>
    <t xml:space="preserve">US$M/GW</t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</si>
  <si>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電源（光寶、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、麥格米特、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等）＝ 市場 − 台達電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</si>
  <si>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有效份額低於凱基的 </t>
    </r>
    <r>
      <rPr>
        <b val="true"/>
        <sz val="11"/>
        <rFont val="Cambria"/>
        <family val="0"/>
        <charset val="1"/>
      </rPr>
      <t xml:space="preserve">Blackwell PSU </t>
    </r>
    <r>
      <rPr>
        <b val="true"/>
        <sz val="11"/>
        <rFont val="Noto Sans CJK SC"/>
        <family val="2"/>
      </rPr>
      <t xml:space="preserve">約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，因為本模型分母含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機架與 </t>
    </r>
    <r>
      <rPr>
        <b val="true"/>
        <sz val="11"/>
        <rFont val="Cambria"/>
        <family val="0"/>
        <charset val="1"/>
      </rPr>
      <t xml:space="preserve">HVDC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BBU</t>
    </r>
    <r>
      <rPr>
        <b val="true"/>
        <sz val="11"/>
        <rFont val="Noto Sans CJK SC"/>
        <family val="2"/>
      </rPr>
      <t xml:space="preserve">；份額路徑（相對值）與 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年起的每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</si>
  <si>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台達電損益（十億新台幣；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</si>
  <si>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</si>
  <si>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</si>
  <si>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</si>
  <si>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</si>
  <si>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</si>
  <si>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</si>
  <si>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</si>
  <si>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電源營收</t>
    </r>
  </si>
  <si>
    <t xml:space="preserve">  液冷營收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</si>
  <si>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</si>
  <si>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</si>
  <si>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</si>
  <si>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</si>
  <si>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</si>
  <si>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</si>
  <si>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</si>
  <si>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</si>
  <si>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</si>
  <si>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</si>
  <si>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部署與電源市場（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</si>
  <si>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</si>
  <si>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</si>
  <si>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</si>
  <si>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</si>
  <si>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電源市場（新台幣）</t>
    </r>
  </si>
  <si>
    <r>
      <rPr>
        <sz val="11"/>
        <color theme="1"/>
        <rFont val="Noto Sans CJK SC"/>
        <family val="2"/>
      </rPr>
      <t xml:space="preserve">台達電有效份額（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</si>
  <si>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</si>
  <si>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</si>
  <si>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</si>
  <si>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</si>
  <si>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</si>
  <si>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NT$B/GW</t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</si>
  <si>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</si>
  <si>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</si>
  <si>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</si>
  <si>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</si>
  <si>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</si>
  <si>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</si>
  <si>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</si>
  <si>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電源占比（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</si>
  <si>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</si>
  <si>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</si>
  <si>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</si>
  <si>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</si>
  <si>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</si>
  <si>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</si>
  <si>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</si>
  <si>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循環位置：台達電不是設備股，不套設備市場見頂年；以本模型營收最高的會計年度為見頂年（比照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</si>
  <si>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目標價與上檔空間：見第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新增，為了不位移既有列而放在空白列）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</si>
  <si>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</si>
  <si>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</si>
  <si>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</si>
  <si>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</si>
  <si>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</si>
  <si>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</si>
  <si>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</si>
  <si>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</si>
  <si>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</si>
  <si>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</si>
  <si>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</si>
  <si>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</si>
  <si>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 </t>
    </r>
    <r>
      <rPr>
        <sz val="11"/>
        <color theme="1"/>
        <rFont val="Calibri"/>
        <family val="2"/>
        <charset val="1"/>
      </rPr>
      <t xml:space="preserve">D10a </t>
    </r>
    <r>
      <rPr>
        <sz val="11"/>
        <color theme="1"/>
        <rFont val="Noto Sans CJK SC"/>
        <family val="2"/>
      </rPr>
      <t xml:space="preserve">答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（未來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</si>
  <si>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</si>
  <si>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</si>
  <si>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</si>
  <si>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</si>
  <si>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</si>
  <si>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</si>
  <si>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</si>
  <si>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</si>
  <si>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</si>
  <si>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</si>
  <si>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</si>
  <si>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</si>
  <si>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</si>
  <si>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</si>
  <si>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</si>
  <si>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</si>
  <si>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</si>
  <si>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</si>
  <si>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</si>
  <si>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</si>
  <si>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</si>
  <si>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</si>
  <si>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</si>
  <si>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× 25x</t>
  </si>
  <si>
    <t xml:space="preserve">FY2028 EPS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</si>
  <si>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個月，情境加權；權重為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</si>
  <si>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</si>
  <si>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</si>
  <si>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</si>
  <si>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</si>
  <si>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</si>
  <si>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</si>
  <si>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</si>
  <si>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</si>
  <si>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</si>
  <si>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</si>
  <si>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</si>
  <si>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</si>
  <si>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</si>
  <si>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一個來源）。隱含價約為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年低成長電源期低倍數（約 </t>
    </r>
    <r>
      <rPr>
        <sz val="11"/>
        <color theme="1"/>
        <rFont val="Calibri"/>
        <family val="2"/>
        <charset val="1"/>
      </rPr>
      <t xml:space="preserve">15–17x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</si>
  <si>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</si>
  <si>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依循環位置取分位。只有一個來源（第二來源：未找到；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歷年加權平均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20.96–44.37 </t>
    </r>
    <r>
      <rPr>
        <sz val="11"/>
        <color theme="1"/>
        <rFont val="Noto Sans CJK SC"/>
        <family val="2"/>
      </rPr>
      <t xml:space="preserve">只作量級核對）。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年台達電為低成長電源零組件公司（約 </t>
    </r>
    <r>
      <rPr>
        <sz val="11"/>
        <color theme="1"/>
        <rFont val="Calibri"/>
        <family val="2"/>
        <charset val="1"/>
      </rPr>
      <t xml:space="preserve">15–17x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</si>
  <si>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</si>
  <si>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</si>
  <si>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</si>
  <si>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</si>
  <si>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</si>
  <si>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</si>
  <si>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</si>
  <si>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</si>
  <si>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</si>
  <si>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</si>
  <si>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</si>
  <si>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</si>
  <si>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</si>
  <si>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</si>
  <si>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</si>
  <si>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</si>
  <si>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</si>
  <si>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</si>
  <si>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</si>
  <si>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</si>
  <si>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</si>
  <si>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</si>
  <si>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</si>
  <si>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</si>
  <si>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</si>
  <si>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</si>
  <si>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</si>
  <si>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</si>
  <si>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</si>
  <si>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</si>
  <si>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</si>
  <si>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</si>
  <si>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</si>
  <si>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</si>
  <si>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</si>
  <si>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</si>
  <si>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</si>
  <si>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</si>
  <si>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</si>
  <si>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券商估計、研調市場與份額。只作事後對照，不為對上數字而調參數。券商皆未具名或單一來源；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</si>
  <si>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</si>
  <si>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</si>
  <si>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</si>
  <si>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</si>
  <si>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</si>
  <si>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</si>
  <si>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</si>
  <si>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</si>
  <si>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</si>
  <si>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</si>
  <si>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2,093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1,971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</si>
  <si>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本土券商（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</si>
  <si>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05-04</t>
    </r>
    <r>
      <rPr>
        <sz val="11"/>
        <color theme="1"/>
        <rFont val="Noto Sans CJK SC"/>
        <family val="2"/>
      </rPr>
      <t xml:space="preserve">）</t>
    </r>
  </si>
  <si>
    <t xml:space="preserve">CMoney 2026-05-04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</si>
  <si>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投顧研究團隊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</si>
  <si>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</si>
  <si>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投顧研究團隊（</t>
    </r>
    <r>
      <rPr>
        <sz val="11"/>
        <color theme="1"/>
        <rFont val="Calibri"/>
        <family val="2"/>
        <charset val="1"/>
      </rPr>
      <t xml:space="preserve">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</si>
  <si>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05-04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</si>
  <si>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本土券商（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</si>
  <si>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三家區間 </t>
    </r>
    <r>
      <rPr>
        <sz val="11"/>
        <color theme="1"/>
        <rFont val="Calibri"/>
        <family val="2"/>
        <charset val="1"/>
      </rPr>
      <t xml:space="preserve">62.7–80.8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</si>
  <si>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</si>
  <si>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市場與份額（先驗比對的機制檢查）</t>
    </r>
  </si>
  <si>
    <r>
      <rPr>
        <sz val="11"/>
        <color theme="1"/>
        <rFont val="Calibri"/>
        <family val="2"/>
        <charset val="1"/>
      </rPr>
      <t xml:space="preserve">CY2026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UBS</t>
    </r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</si>
  <si>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</si>
  <si>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口徑未知（是否含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</si>
  <si>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UBS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</si>
  <si>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台達電有效份額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</si>
  <si>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2025-07</t>
    </r>
  </si>
  <si>
    <r>
      <rPr>
        <sz val="11"/>
        <color theme="1"/>
        <rFont val="Noto Sans CJK SC"/>
        <family val="2"/>
      </rPr>
      <t xml:space="preserve">口徑不同：本模型分母含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</si>
  <si>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</si>
  <si>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先驗比對推導約 </t>
    </r>
    <r>
      <rPr>
        <sz val="11"/>
        <color theme="1"/>
        <rFont val="Calibri"/>
        <family val="2"/>
        <charset val="1"/>
      </rPr>
      <t xml:space="preserve">300–550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</si>
  <si>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台達電液冷每架（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橋接表機架內液冷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</si>
  <si>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</si>
  <si>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台達電液冷多在機架外（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），所以兩者不是同一個東西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</si>
  <si>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電源＋液冷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</si>
  <si>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</si>
  <si>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</si>
  <si>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</si>
  <si>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</si>
  <si>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</si>
  <si>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</si>
  <si>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電源占比上升使毛利率上升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</si>
  <si>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</si>
  <si>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10-01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14.7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2,511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</si>
  <si>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</si>
  <si>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</si>
  <si>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</si>
  <si>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；有效份額、液冷每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</si>
  <si>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</si>
  <si>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</si>
  <si>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</si>
  <si>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</si>
  <si>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</si>
  <si>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</si>
  <si>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</si>
  <si>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電源營收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</si>
  <si>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</si>
  <si>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</si>
  <si>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</si>
  <si>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</si>
  <si>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</si>
  <si>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  <r>
      <rPr>
        <sz val="11"/>
        <color theme="1"/>
        <rFont val="Noto Sans CJK SC"/>
        <family val="2"/>
      </rPr>
      <t xml:space="preserve">（光寶、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、中國廠追趕）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</si>
  <si>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</si>
  <si>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</t>
    </r>
  </si>
  <si>
    <t xml:space="preserve">電源內容 低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</si>
  <si>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2026 380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2028–29 550</t>
    </r>
  </si>
  <si>
    <t xml:space="preserve">電源內容 高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</si>
  <si>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2026 520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2027 700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2029 850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</si>
  <si>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</si>
  <si>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</si>
  <si>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</si>
  <si>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</si>
  <si>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</si>
  <si>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</si>
  <si>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</si>
  <si>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</si>
  <si>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</si>
  <si>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0%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</si>
  <si>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</si>
  <si>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+8%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</si>
  <si>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4pt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</si>
  <si>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電源毛利率只高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</si>
  <si>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</si>
  <si>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</si>
  <si>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</si>
  <si>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</si>
  <si>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相關含液冷（讀法）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</si>
  <si>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電源＝營收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26% − 12.5%</t>
    </r>
    <r>
      <rPr>
        <sz val="11"/>
        <color theme="1"/>
        <rFont val="Noto Sans CJK SC"/>
        <family val="2"/>
      </rPr>
      <t xml:space="preserve">）；份額分子變小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</si>
  <si>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</si>
  <si>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</si>
  <si>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</si>
  <si>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</si>
  <si>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有效份額與液冷每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恆等於錨點。「電源內容」案例的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份額會反向調整（內容低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</si>
  <si>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</si>
  <si>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</si>
  <si>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</si>
  <si>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案例區塊：電源內容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</si>
  <si>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</si>
  <si>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</si>
  <si>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</si>
  <si>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</si>
  <si>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</si>
  <si>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</si>
  <si>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</si>
  <si>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</si>
  <si>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</si>
  <si>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相關含液冷（讀法）（情境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</si>
  <si>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來源（公司原文＝台達電法說簡報與逐字稿，已逐份抓取；券商與研調皆為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</si>
  <si>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法說簡報（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損益、部門營收與利益）</t>
    </r>
  </si>
  <si>
    <t xml:space="preserve">https://filecenter.deltaww.com/ir/download/calendar/4Q25_Analyst Meeting.pdf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</si>
  <si>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占比、液冷占比、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時程、資本支出、零組件短缺）</t>
    </r>
  </si>
  <si>
    <t xml:space="preserve">https://filecenter.deltaww.com/IR/download/calendar/2Q26_Transcript.pdf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</si>
  <si>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BigGo 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相關朝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；對手名單）</t>
    </r>
  </si>
  <si>
    <t xml:space="preserve">https://finance.biggo.com/news/TW_2308.TW_2026-07-30</t>
  </si>
  <si>
    <r>
      <rPr>
        <sz val="11"/>
        <color theme="1"/>
        <rFont val="Noto Sans CJK SC"/>
        <family val="2"/>
      </rPr>
      <t xml:space="preserve">二手：數位時代 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部門營收比重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）</t>
    </r>
  </si>
  <si>
    <t xml:space="preserve">https://www.bnext.com.tw/article/90178/2026-delta-earnings-call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</si>
  <si>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AI </t>
    </r>
    <r>
      <rPr>
        <sz val="11"/>
        <color theme="1"/>
        <rFont val="Noto Sans CJK SC"/>
        <family val="2"/>
      </rPr>
      <t xml:space="preserve">伺服器電源市場）</t>
    </r>
  </si>
  <si>
    <t xml:space="preserve">https://finance.technews.tw/2026/10/12/delta-electronics-q3-revenue-nears-200-billion-record-high-q4-double-digit-growth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</si>
  <si>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Power supply sector 2025-07-01</t>
    </r>
    <r>
      <rPr>
        <sz val="11"/>
        <color theme="1"/>
        <rFont val="Noto Sans CJK SC"/>
        <family val="2"/>
      </rPr>
      <t xml:space="preserve">（每架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內容、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份額約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</si>
  <si>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t xml:space="preserve">https://www.kgi.com.hk/en/-/media/files/kgishk/research-reports/tw-reports/power-supply-industry_01072025.pdf</t>
  </si>
  <si>
    <r>
      <rPr>
        <sz val="11"/>
        <color theme="1"/>
        <rFont val="Noto Sans CJK SC"/>
        <family val="2"/>
      </rPr>
      <t xml:space="preserve">券商：旺得富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估計、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18kW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</si>
  <si>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https://wantrich.chinatimes.com/news/20261001900208-420101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</si>
  <si>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CMoney 2026-05-04</t>
    </r>
    <r>
      <rPr>
        <sz val="11"/>
        <color theme="1"/>
        <rFont val="Noto Sans CJK SC"/>
        <family val="2"/>
      </rPr>
      <t xml:space="preserve">（美系 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）</t>
    </r>
  </si>
  <si>
    <t xml:space="preserve">https://www.cmoney.tw/notes/note-detail.aspx?nid=1180676</t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</si>
  <si>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新聞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（投顧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EPS 62.68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Vicor 337 </t>
    </r>
    <r>
      <rPr>
        <sz val="11"/>
        <color theme="1"/>
        <rFont val="Noto Sans CJK SC"/>
        <family val="2"/>
      </rPr>
      <t xml:space="preserve">調查）</t>
    </r>
  </si>
  <si>
    <t xml:space="preserve">https://tw.news.yahoo.com/%E5%8F%B0%E9%81%94%E9%9B%BBq3%E7%87%9F%E6%94%B6%E5%89%B5%E6%96%B0%E9%AB%98-337%E8%AA%BF%E6%9F%A5%E8%A1%9D%E6%93%8A-%E6%B3%95%E4%BA%BA%E9%80%99%E6%A8%A3%E7%9C%8B-035400801.html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</si>
  <si>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Morgan Stanley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</t>
    </r>
  </si>
  <si>
    <t xml:space="preserve">https://finance.yahoo.com/news/cooling-system-single-nvidia-blackwell-154500100.html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</si>
  <si>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</si>
  <si>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https://tw.stock.yahoo.com/quote/2308.TW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</si>
  <si>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</si>
  <si>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https://companiesmarketcap.com/delta-electronics/pe-ratio/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</si>
  <si>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</si>
  <si>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月底）；部門季度損益；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電源與液冷的季度金額；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</si>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</sst>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0"/>
    <numFmt numFmtId="166" formatCode="0.0%"/>
    <numFmt numFmtId="167" formatCode="0.00"/>
    <numFmt numFmtId="168" formatCode="0.0"/>
    <numFmt numFmtId="169" formatCode="#,##0"/>
    <numFmt numFmtId="170" formatCode="#,##0.0"/>
    <numFmt numFmtId="171" formatCode="#,##0.00"/>
    <numFmt numFmtId="172" formatCode="0.0000"/>
    <numFmt numFmtId="173" formatCode="0.000"/>
    <numFmt numFmtId="174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4" t="s">
        <v>13</v>
      </c>
    </row>
    <row r="3" customFormat="false" ht="17.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</row>
    <row r="4" customFormat="false" ht="17.15" hidden="false" customHeight="false" outlineLevel="0" collapsed="false">
      <c r="A4" s="6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E5" s="7" t="n">
        <v>781.872916666667</v>
      </c>
      <c r="G5" s="8" t="s">
        <v>27</v>
      </c>
      <c r="H5" s="8" t="s">
        <v>28</v>
      </c>
      <c r="I5" s="4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26</v>
      </c>
      <c r="E6" s="7" t="n">
        <v>1565.35</v>
      </c>
      <c r="G6" s="8" t="s">
        <v>27</v>
      </c>
      <c r="H6" s="8" t="s">
        <v>28</v>
      </c>
      <c r="I6" s="4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26</v>
      </c>
      <c r="E7" s="7" t="n">
        <v>1984.26388888889</v>
      </c>
      <c r="G7" s="8" t="s">
        <v>27</v>
      </c>
      <c r="H7" s="8" t="s">
        <v>28</v>
      </c>
      <c r="I7" s="4" t="s">
        <v>32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26</v>
      </c>
      <c r="E8" s="7" t="n">
        <v>2260.39027777778</v>
      </c>
      <c r="G8" s="8" t="s">
        <v>27</v>
      </c>
      <c r="H8" s="8" t="s">
        <v>28</v>
      </c>
      <c r="I8" s="4" t="s">
        <v>32</v>
      </c>
    </row>
    <row r="9" customFormat="false" ht="17.15" hidden="false" customHeight="false" outlineLevel="0" collapsed="false">
      <c r="A9" s="0" t="s">
        <v>37</v>
      </c>
      <c r="B9" s="4" t="s">
        <v>38</v>
      </c>
      <c r="C9" s="0" t="s">
        <v>26</v>
      </c>
      <c r="E9" s="7" t="n">
        <v>32.237224</v>
      </c>
      <c r="G9" s="8" t="s">
        <v>27</v>
      </c>
      <c r="H9" s="8" t="s">
        <v>39</v>
      </c>
      <c r="I9" s="8" t="s">
        <v>40</v>
      </c>
    </row>
    <row r="10" customFormat="false" ht="17.15" hidden="false" customHeight="false" outlineLevel="0" collapsed="false">
      <c r="A10" s="0" t="s">
        <v>41</v>
      </c>
      <c r="B10" s="4" t="s">
        <v>42</v>
      </c>
      <c r="C10" s="0" t="s">
        <v>26</v>
      </c>
      <c r="E10" s="7" t="n">
        <v>37.586352</v>
      </c>
      <c r="G10" s="8" t="s">
        <v>27</v>
      </c>
      <c r="H10" s="8" t="s">
        <v>39</v>
      </c>
      <c r="I10" s="4" t="s">
        <v>43</v>
      </c>
    </row>
    <row r="11" customFormat="false" ht="17.15" hidden="false" customHeight="false" outlineLevel="0" collapsed="false">
      <c r="A11" s="0" t="s">
        <v>44</v>
      </c>
      <c r="B11" s="0" t="s">
        <v>45</v>
      </c>
      <c r="C11" s="0" t="s">
        <v>46</v>
      </c>
      <c r="D11" s="7" t="n">
        <v>0.15</v>
      </c>
      <c r="E11" s="7" t="n">
        <v>0.22</v>
      </c>
      <c r="F11" s="7" t="n">
        <v>0.3</v>
      </c>
      <c r="G11" s="8" t="s">
        <v>47</v>
      </c>
      <c r="H11" s="8" t="s">
        <v>48</v>
      </c>
      <c r="I11" s="4" t="s">
        <v>49</v>
      </c>
    </row>
    <row r="12" customFormat="false" ht="17.15" hidden="false" customHeight="false" outlineLevel="0" collapsed="false">
      <c r="A12" s="0" t="s">
        <v>50</v>
      </c>
      <c r="B12" s="4" t="s">
        <v>51</v>
      </c>
      <c r="C12" s="4" t="s">
        <v>52</v>
      </c>
      <c r="E12" s="7" t="n">
        <v>4052</v>
      </c>
      <c r="G12" s="8" t="s">
        <v>27</v>
      </c>
      <c r="H12" s="8" t="s">
        <v>53</v>
      </c>
      <c r="I12" s="8" t="s">
        <v>54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0" t="s">
        <v>57</v>
      </c>
      <c r="E13" s="7" t="n">
        <v>56</v>
      </c>
      <c r="G13" s="8" t="s">
        <v>47</v>
      </c>
      <c r="H13" s="8" t="s">
        <v>58</v>
      </c>
      <c r="I13" s="8" t="s">
        <v>59</v>
      </c>
    </row>
    <row r="14" customFormat="false" ht="17.15" hidden="false" customHeight="false" outlineLevel="0" collapsed="false">
      <c r="A14" s="0" t="s">
        <v>60</v>
      </c>
      <c r="B14" s="4" t="s">
        <v>61</v>
      </c>
      <c r="C14" s="0" t="s">
        <v>62</v>
      </c>
      <c r="E14" s="7" t="n">
        <v>1</v>
      </c>
      <c r="G14" s="8" t="s">
        <v>63</v>
      </c>
      <c r="H14" s="8" t="s">
        <v>64</v>
      </c>
      <c r="I14" s="8" t="s">
        <v>65</v>
      </c>
    </row>
    <row r="15" customFormat="false" ht="17.15" hidden="false" customHeight="false" outlineLevel="0" collapsed="false">
      <c r="A15" s="0" t="s">
        <v>66</v>
      </c>
      <c r="B15" s="4" t="s">
        <v>67</v>
      </c>
      <c r="C15" s="0" t="s">
        <v>62</v>
      </c>
      <c r="E15" s="7" t="n">
        <v>1</v>
      </c>
      <c r="G15" s="8" t="s">
        <v>63</v>
      </c>
      <c r="H15" s="8" t="s">
        <v>68</v>
      </c>
      <c r="I15" s="4" t="s">
        <v>32</v>
      </c>
    </row>
    <row r="16" customFormat="false" ht="17.15" hidden="false" customHeight="false" outlineLevel="0" collapsed="false">
      <c r="A16" s="0" t="s">
        <v>69</v>
      </c>
      <c r="B16" s="4" t="s">
        <v>70</v>
      </c>
      <c r="C16" s="0" t="s">
        <v>62</v>
      </c>
      <c r="E16" s="7" t="n">
        <v>0.8</v>
      </c>
      <c r="G16" s="8" t="s">
        <v>63</v>
      </c>
      <c r="H16" s="8" t="s">
        <v>71</v>
      </c>
      <c r="I16" s="8" t="s">
        <v>65</v>
      </c>
    </row>
    <row r="17" customFormat="false" ht="17.15" hidden="false" customHeight="false" outlineLevel="0" collapsed="false">
      <c r="A17" s="0" t="s">
        <v>72</v>
      </c>
      <c r="B17" s="4" t="s">
        <v>73</v>
      </c>
      <c r="C17" s="0" t="s">
        <v>62</v>
      </c>
      <c r="E17" s="7" t="n">
        <v>0.85</v>
      </c>
      <c r="G17" s="8" t="s">
        <v>63</v>
      </c>
      <c r="H17" s="8" t="s">
        <v>74</v>
      </c>
      <c r="I17" s="4" t="s">
        <v>32</v>
      </c>
    </row>
    <row r="18" customFormat="false" ht="17.15" hidden="false" customHeight="false" outlineLevel="0" collapsed="false">
      <c r="A18" s="0" t="s">
        <v>75</v>
      </c>
      <c r="B18" s="4" t="s">
        <v>76</v>
      </c>
      <c r="C18" s="0" t="s">
        <v>62</v>
      </c>
      <c r="E18" s="7" t="n">
        <v>0.6</v>
      </c>
      <c r="G18" s="8" t="s">
        <v>63</v>
      </c>
      <c r="H18" s="8" t="s">
        <v>77</v>
      </c>
      <c r="I18" s="8" t="s">
        <v>65</v>
      </c>
    </row>
    <row r="19" customFormat="false" ht="17.15" hidden="false" customHeight="false" outlineLevel="0" collapsed="false">
      <c r="A19" s="0" t="s">
        <v>78</v>
      </c>
      <c r="B19" s="4" t="s">
        <v>79</v>
      </c>
      <c r="C19" s="0" t="s">
        <v>62</v>
      </c>
      <c r="E19" s="7" t="n">
        <v>0.6</v>
      </c>
      <c r="G19" s="8" t="s">
        <v>63</v>
      </c>
      <c r="H19" s="8" t="s">
        <v>80</v>
      </c>
      <c r="I19" s="4" t="s">
        <v>32</v>
      </c>
    </row>
    <row r="20" customFormat="false" ht="17.15" hidden="false" customHeight="false" outlineLevel="0" collapsed="false">
      <c r="A20" s="0" t="s">
        <v>81</v>
      </c>
      <c r="B20" s="4" t="s">
        <v>82</v>
      </c>
      <c r="C20" s="0" t="s">
        <v>83</v>
      </c>
      <c r="D20" s="7" t="n">
        <v>30.5</v>
      </c>
      <c r="E20" s="7" t="n">
        <v>32</v>
      </c>
      <c r="F20" s="7" t="n">
        <v>33</v>
      </c>
      <c r="G20" s="8" t="s">
        <v>27</v>
      </c>
      <c r="H20" s="4" t="s">
        <v>84</v>
      </c>
      <c r="I20" s="8" t="s">
        <v>85</v>
      </c>
    </row>
    <row r="21" customFormat="false" ht="17.15" hidden="false" customHeight="false" outlineLevel="0" collapsed="false">
      <c r="A21" s="6" t="s">
        <v>86</v>
      </c>
    </row>
    <row r="22" customFormat="false" ht="17.15" hidden="false" customHeight="false" outlineLevel="0" collapsed="false">
      <c r="A22" s="0" t="s">
        <v>87</v>
      </c>
      <c r="B22" s="0" t="s">
        <v>88</v>
      </c>
      <c r="C22" s="0" t="s">
        <v>89</v>
      </c>
      <c r="D22" s="7" t="n">
        <v>380</v>
      </c>
      <c r="E22" s="7" t="n">
        <v>450</v>
      </c>
      <c r="F22" s="7" t="n">
        <v>520</v>
      </c>
      <c r="G22" s="8" t="s">
        <v>27</v>
      </c>
      <c r="H22" s="8" t="s">
        <v>90</v>
      </c>
      <c r="I22" s="8" t="s">
        <v>91</v>
      </c>
    </row>
    <row r="23" customFormat="false" ht="17.15" hidden="false" customHeight="false" outlineLevel="0" collapsed="false">
      <c r="A23" s="0" t="s">
        <v>92</v>
      </c>
      <c r="B23" s="0" t="s">
        <v>93</v>
      </c>
      <c r="C23" s="0" t="s">
        <v>89</v>
      </c>
      <c r="D23" s="7" t="n">
        <v>500</v>
      </c>
      <c r="E23" s="7" t="n">
        <v>600</v>
      </c>
      <c r="F23" s="7" t="n">
        <v>700</v>
      </c>
      <c r="G23" s="8" t="s">
        <v>27</v>
      </c>
      <c r="H23" s="8" t="s">
        <v>94</v>
      </c>
      <c r="I23" s="4" t="s">
        <v>95</v>
      </c>
    </row>
    <row r="24" customFormat="false" ht="17.15" hidden="false" customHeight="false" outlineLevel="0" collapsed="false">
      <c r="A24" s="0" t="s">
        <v>96</v>
      </c>
      <c r="B24" s="0" t="s">
        <v>97</v>
      </c>
      <c r="C24" s="0" t="s">
        <v>89</v>
      </c>
      <c r="D24" s="7" t="n">
        <v>550</v>
      </c>
      <c r="E24" s="7" t="n">
        <v>680</v>
      </c>
      <c r="F24" s="7" t="n">
        <v>800</v>
      </c>
      <c r="G24" s="8" t="s">
        <v>63</v>
      </c>
      <c r="H24" s="4" t="s">
        <v>98</v>
      </c>
      <c r="I24" s="8" t="s">
        <v>99</v>
      </c>
    </row>
    <row r="25" customFormat="false" ht="17.15" hidden="false" customHeight="false" outlineLevel="0" collapsed="false">
      <c r="A25" s="0" t="s">
        <v>100</v>
      </c>
      <c r="B25" s="0" t="s">
        <v>101</v>
      </c>
      <c r="C25" s="0" t="s">
        <v>89</v>
      </c>
      <c r="D25" s="7" t="n">
        <v>550</v>
      </c>
      <c r="E25" s="7" t="n">
        <v>720</v>
      </c>
      <c r="F25" s="7" t="n">
        <v>850</v>
      </c>
      <c r="G25" s="8" t="s">
        <v>63</v>
      </c>
      <c r="H25" s="4" t="s">
        <v>32</v>
      </c>
      <c r="I25" s="8" t="s">
        <v>102</v>
      </c>
    </row>
    <row r="26" customFormat="false" ht="17.15" hidden="false" customHeight="false" outlineLevel="0" collapsed="false">
      <c r="A26" s="0" t="s">
        <v>103</v>
      </c>
      <c r="B26" s="4" t="s">
        <v>104</v>
      </c>
      <c r="C26" s="0" t="s">
        <v>62</v>
      </c>
      <c r="D26" s="7" t="n">
        <v>0.85</v>
      </c>
      <c r="E26" s="7" t="n">
        <v>0.95</v>
      </c>
      <c r="F26" s="7" t="n">
        <v>1</v>
      </c>
      <c r="G26" s="8" t="s">
        <v>63</v>
      </c>
      <c r="H26" s="8" t="s">
        <v>105</v>
      </c>
      <c r="I26" s="4" t="s">
        <v>106</v>
      </c>
    </row>
    <row r="27" customFormat="false" ht="17.15" hidden="false" customHeight="false" outlineLevel="0" collapsed="false">
      <c r="A27" s="0" t="s">
        <v>107</v>
      </c>
      <c r="B27" s="4" t="s">
        <v>108</v>
      </c>
      <c r="C27" s="0" t="s">
        <v>62</v>
      </c>
      <c r="D27" s="7" t="n">
        <v>0.7</v>
      </c>
      <c r="E27" s="7" t="n">
        <v>0.9</v>
      </c>
      <c r="F27" s="7" t="n">
        <v>1</v>
      </c>
      <c r="G27" s="8" t="s">
        <v>63</v>
      </c>
      <c r="H27" s="4" t="s">
        <v>32</v>
      </c>
      <c r="I27" s="8" t="s">
        <v>102</v>
      </c>
    </row>
    <row r="28" customFormat="false" ht="17.15" hidden="false" customHeight="false" outlineLevel="0" collapsed="false">
      <c r="A28" s="0" t="s">
        <v>109</v>
      </c>
      <c r="B28" s="4" t="s">
        <v>110</v>
      </c>
      <c r="C28" s="0" t="s">
        <v>62</v>
      </c>
      <c r="D28" s="7" t="n">
        <v>0.65</v>
      </c>
      <c r="E28" s="7" t="n">
        <v>0.85</v>
      </c>
      <c r="F28" s="7" t="n">
        <v>1</v>
      </c>
      <c r="G28" s="8" t="s">
        <v>63</v>
      </c>
      <c r="H28" s="4" t="s">
        <v>32</v>
      </c>
      <c r="I28" s="8" t="s">
        <v>102</v>
      </c>
    </row>
    <row r="29" customFormat="false" ht="17.15" hidden="false" customHeight="false" outlineLevel="0" collapsed="false">
      <c r="A29" s="0" t="s">
        <v>111</v>
      </c>
      <c r="B29" s="4" t="s">
        <v>112</v>
      </c>
      <c r="C29" s="0" t="s">
        <v>62</v>
      </c>
      <c r="D29" s="7" t="n">
        <v>0.9</v>
      </c>
      <c r="E29" s="7" t="n">
        <v>1.1</v>
      </c>
      <c r="F29" s="7" t="n">
        <v>1.3</v>
      </c>
      <c r="G29" s="8" t="s">
        <v>63</v>
      </c>
      <c r="H29" s="4" t="s">
        <v>113</v>
      </c>
      <c r="I29" s="4" t="s">
        <v>114</v>
      </c>
    </row>
    <row r="30" customFormat="false" ht="17.15" hidden="false" customHeight="false" outlineLevel="0" collapsed="false">
      <c r="A30" s="0" t="s">
        <v>115</v>
      </c>
      <c r="B30" s="4" t="s">
        <v>116</v>
      </c>
      <c r="C30" s="0" t="s">
        <v>62</v>
      </c>
      <c r="D30" s="7" t="n">
        <v>0.85</v>
      </c>
      <c r="E30" s="7" t="n">
        <v>1.15</v>
      </c>
      <c r="F30" s="7" t="n">
        <v>1.4</v>
      </c>
      <c r="G30" s="8" t="s">
        <v>63</v>
      </c>
      <c r="H30" s="4" t="s">
        <v>32</v>
      </c>
      <c r="I30" s="8" t="s">
        <v>102</v>
      </c>
    </row>
    <row r="31" customFormat="false" ht="17.15" hidden="false" customHeight="false" outlineLevel="0" collapsed="false">
      <c r="A31" s="0" t="s">
        <v>117</v>
      </c>
      <c r="B31" s="4" t="s">
        <v>118</v>
      </c>
      <c r="C31" s="0" t="s">
        <v>62</v>
      </c>
      <c r="D31" s="7" t="n">
        <v>0.8</v>
      </c>
      <c r="E31" s="7" t="n">
        <v>1.2</v>
      </c>
      <c r="F31" s="7" t="n">
        <v>1.5</v>
      </c>
      <c r="G31" s="8" t="s">
        <v>63</v>
      </c>
      <c r="H31" s="4" t="s">
        <v>32</v>
      </c>
      <c r="I31" s="8" t="s">
        <v>102</v>
      </c>
    </row>
    <row r="32" customFormat="false" ht="17.15" hidden="false" customHeight="false" outlineLevel="0" collapsed="false">
      <c r="A32" s="6" t="s">
        <v>119</v>
      </c>
    </row>
    <row r="33" customFormat="false" ht="17.15" hidden="false" customHeight="false" outlineLevel="0" collapsed="false">
      <c r="A33" s="0" t="s">
        <v>120</v>
      </c>
      <c r="B33" s="0" t="s">
        <v>121</v>
      </c>
      <c r="C33" s="0" t="s">
        <v>46</v>
      </c>
      <c r="E33" s="7" t="n">
        <v>0.18</v>
      </c>
      <c r="G33" s="8" t="s">
        <v>47</v>
      </c>
      <c r="H33" s="8" t="s">
        <v>122</v>
      </c>
      <c r="I33" s="4" t="s">
        <v>123</v>
      </c>
    </row>
    <row r="34" customFormat="false" ht="17.15" hidden="false" customHeight="false" outlineLevel="0" collapsed="false">
      <c r="A34" s="0" t="s">
        <v>124</v>
      </c>
      <c r="B34" s="0" t="s">
        <v>125</v>
      </c>
      <c r="C34" s="0" t="s">
        <v>46</v>
      </c>
      <c r="D34" s="7" t="n">
        <v>0.25</v>
      </c>
      <c r="E34" s="7" t="n">
        <v>0.26</v>
      </c>
      <c r="F34" s="7" t="n">
        <v>0.28</v>
      </c>
      <c r="G34" s="8" t="s">
        <v>47</v>
      </c>
      <c r="H34" s="8" t="s">
        <v>126</v>
      </c>
      <c r="I34" s="4" t="s">
        <v>127</v>
      </c>
    </row>
    <row r="35" customFormat="false" ht="17.15" hidden="false" customHeight="false" outlineLevel="0" collapsed="false">
      <c r="A35" s="0" t="s">
        <v>128</v>
      </c>
      <c r="B35" s="0" t="s">
        <v>129</v>
      </c>
      <c r="C35" s="0" t="s">
        <v>46</v>
      </c>
      <c r="E35" s="7" t="n">
        <v>0.1</v>
      </c>
      <c r="G35" s="8" t="s">
        <v>47</v>
      </c>
      <c r="H35" s="8" t="s">
        <v>130</v>
      </c>
      <c r="I35" s="4" t="s">
        <v>131</v>
      </c>
    </row>
    <row r="36" customFormat="false" ht="17.15" hidden="false" customHeight="false" outlineLevel="0" collapsed="false">
      <c r="A36" s="0" t="s">
        <v>132</v>
      </c>
      <c r="B36" s="0" t="s">
        <v>133</v>
      </c>
      <c r="C36" s="0" t="s">
        <v>46</v>
      </c>
      <c r="D36" s="7" t="n">
        <v>0.12</v>
      </c>
      <c r="E36" s="7" t="n">
        <v>0.125</v>
      </c>
      <c r="F36" s="7" t="n">
        <v>0.13</v>
      </c>
      <c r="G36" s="8" t="s">
        <v>47</v>
      </c>
      <c r="H36" s="8" t="s">
        <v>134</v>
      </c>
      <c r="I36" s="8" t="s">
        <v>135</v>
      </c>
    </row>
    <row r="37" customFormat="false" ht="17.15" hidden="false" customHeight="false" outlineLevel="0" collapsed="false">
      <c r="A37" s="0" t="s">
        <v>136</v>
      </c>
      <c r="B37" s="4" t="s">
        <v>137</v>
      </c>
      <c r="C37" s="0" t="s">
        <v>46</v>
      </c>
      <c r="D37" s="7" t="n">
        <v>0</v>
      </c>
      <c r="E37" s="7" t="n">
        <v>0.06</v>
      </c>
      <c r="F37" s="7" t="n">
        <v>0.1</v>
      </c>
      <c r="G37" s="8" t="s">
        <v>63</v>
      </c>
      <c r="H37" s="8" t="s">
        <v>138</v>
      </c>
      <c r="I37" s="8" t="s">
        <v>139</v>
      </c>
    </row>
    <row r="38" customFormat="false" ht="17.15" hidden="false" customHeight="false" outlineLevel="0" collapsed="false">
      <c r="A38" s="0" t="s">
        <v>140</v>
      </c>
      <c r="B38" s="4" t="s">
        <v>141</v>
      </c>
      <c r="C38" s="0" t="s">
        <v>46</v>
      </c>
      <c r="D38" s="7" t="n">
        <v>0</v>
      </c>
      <c r="E38" s="7" t="n">
        <v>0.05</v>
      </c>
      <c r="F38" s="7" t="n">
        <v>0.1</v>
      </c>
      <c r="G38" s="8" t="s">
        <v>63</v>
      </c>
      <c r="H38" s="4" t="s">
        <v>32</v>
      </c>
      <c r="I38" s="8" t="s">
        <v>102</v>
      </c>
    </row>
    <row r="39" customFormat="false" ht="17.15" hidden="false" customHeight="false" outlineLevel="0" collapsed="false">
      <c r="A39" s="0" t="s">
        <v>142</v>
      </c>
      <c r="B39" s="4" t="s">
        <v>143</v>
      </c>
      <c r="C39" s="0" t="s">
        <v>46</v>
      </c>
      <c r="D39" s="7" t="n">
        <v>0</v>
      </c>
      <c r="E39" s="7" t="n">
        <v>0.04</v>
      </c>
      <c r="F39" s="7" t="n">
        <v>0.08</v>
      </c>
      <c r="G39" s="8" t="s">
        <v>63</v>
      </c>
      <c r="H39" s="4" t="s">
        <v>32</v>
      </c>
      <c r="I39" s="8" t="s">
        <v>102</v>
      </c>
    </row>
    <row r="40" customFormat="false" ht="17.15" hidden="false" customHeight="false" outlineLevel="0" collapsed="false">
      <c r="A40" s="6" t="s">
        <v>144</v>
      </c>
    </row>
    <row r="41" customFormat="false" ht="17.15" hidden="false" customHeight="false" outlineLevel="0" collapsed="false">
      <c r="A41" s="0" t="s">
        <v>145</v>
      </c>
      <c r="B41" s="0" t="s">
        <v>146</v>
      </c>
      <c r="C41" s="0" t="s">
        <v>147</v>
      </c>
      <c r="D41" s="7" t="n">
        <v>0.04</v>
      </c>
      <c r="E41" s="7" t="n">
        <v>0.08</v>
      </c>
      <c r="F41" s="7" t="n">
        <v>0.12</v>
      </c>
      <c r="G41" s="8" t="s">
        <v>63</v>
      </c>
      <c r="H41" s="4" t="s">
        <v>148</v>
      </c>
      <c r="I41" s="4" t="s">
        <v>149</v>
      </c>
    </row>
    <row r="42" customFormat="false" ht="17.15" hidden="false" customHeight="false" outlineLevel="0" collapsed="false">
      <c r="A42" s="6" t="s">
        <v>150</v>
      </c>
    </row>
    <row r="43" customFormat="false" ht="17.15" hidden="false" customHeight="false" outlineLevel="0" collapsed="false">
      <c r="A43" s="0" t="s">
        <v>151</v>
      </c>
      <c r="B43" s="0" t="s">
        <v>152</v>
      </c>
      <c r="C43" s="0" t="s">
        <v>153</v>
      </c>
      <c r="E43" s="7" t="n">
        <v>197.059</v>
      </c>
      <c r="G43" s="8" t="s">
        <v>154</v>
      </c>
      <c r="H43" s="8" t="s">
        <v>155</v>
      </c>
      <c r="I43" s="4" t="s">
        <v>156</v>
      </c>
    </row>
    <row r="44" customFormat="false" ht="17.15" hidden="false" customHeight="false" outlineLevel="0" collapsed="false">
      <c r="A44" s="0" t="s">
        <v>157</v>
      </c>
      <c r="B44" s="0" t="s">
        <v>158</v>
      </c>
      <c r="C44" s="0" t="s">
        <v>46</v>
      </c>
      <c r="D44" s="7" t="n">
        <v>0.05</v>
      </c>
      <c r="E44" s="7" t="n">
        <v>0.1</v>
      </c>
      <c r="F44" s="7" t="n">
        <v>0.2</v>
      </c>
      <c r="G44" s="8" t="s">
        <v>47</v>
      </c>
      <c r="H44" s="4" t="s">
        <v>159</v>
      </c>
      <c r="I44" s="4" t="s">
        <v>160</v>
      </c>
    </row>
    <row r="45" customFormat="false" ht="17.15" hidden="false" customHeight="false" outlineLevel="0" collapsed="false">
      <c r="A45" s="0" t="s">
        <v>161</v>
      </c>
      <c r="B45" s="0" t="s">
        <v>162</v>
      </c>
      <c r="C45" s="0" t="s">
        <v>46</v>
      </c>
      <c r="D45" s="7" t="n">
        <v>0.35</v>
      </c>
      <c r="E45" s="7" t="n">
        <v>0.36</v>
      </c>
      <c r="F45" s="7" t="n">
        <v>0.38</v>
      </c>
      <c r="G45" s="8" t="s">
        <v>47</v>
      </c>
      <c r="H45" s="8" t="s">
        <v>163</v>
      </c>
      <c r="I45" s="4" t="s">
        <v>164</v>
      </c>
    </row>
    <row r="46" customFormat="false" ht="17.15" hidden="false" customHeight="false" outlineLevel="0" collapsed="false">
      <c r="A46" s="0" t="s">
        <v>165</v>
      </c>
      <c r="B46" s="0" t="s">
        <v>166</v>
      </c>
      <c r="C46" s="0" t="s">
        <v>46</v>
      </c>
      <c r="D46" s="7" t="n">
        <v>0.175</v>
      </c>
      <c r="E46" s="7" t="n">
        <v>0.185</v>
      </c>
      <c r="F46" s="7" t="n">
        <v>0.195</v>
      </c>
      <c r="G46" s="8" t="s">
        <v>63</v>
      </c>
      <c r="H46" s="8" t="s">
        <v>167</v>
      </c>
      <c r="I46" s="4" t="s">
        <v>168</v>
      </c>
    </row>
    <row r="47" customFormat="false" ht="17.15" hidden="false" customHeight="false" outlineLevel="0" collapsed="false">
      <c r="A47" s="0" t="s">
        <v>169</v>
      </c>
      <c r="B47" s="0" t="s">
        <v>170</v>
      </c>
      <c r="C47" s="0" t="s">
        <v>153</v>
      </c>
      <c r="D47" s="7" t="n">
        <v>0</v>
      </c>
      <c r="E47" s="7" t="n">
        <v>2</v>
      </c>
      <c r="F47" s="7" t="n">
        <v>4.4</v>
      </c>
      <c r="G47" s="8" t="s">
        <v>27</v>
      </c>
      <c r="H47" s="8" t="s">
        <v>171</v>
      </c>
      <c r="I47" s="8" t="s">
        <v>172</v>
      </c>
    </row>
    <row r="48" customFormat="false" ht="17.15" hidden="false" customHeight="false" outlineLevel="0" collapsed="false">
      <c r="A48" s="0" t="s">
        <v>173</v>
      </c>
      <c r="B48" s="0" t="s">
        <v>174</v>
      </c>
      <c r="C48" s="0" t="s">
        <v>46</v>
      </c>
      <c r="D48" s="7" t="n">
        <v>0.67</v>
      </c>
      <c r="E48" s="7" t="n">
        <v>0.69</v>
      </c>
      <c r="F48" s="7" t="n">
        <v>0.71</v>
      </c>
      <c r="G48" s="8" t="s">
        <v>27</v>
      </c>
      <c r="H48" s="8" t="s">
        <v>175</v>
      </c>
      <c r="I48" s="4" t="s">
        <v>176</v>
      </c>
    </row>
    <row r="49" customFormat="false" ht="17.15" hidden="false" customHeight="false" outlineLevel="0" collapsed="false">
      <c r="A49" s="0" t="s">
        <v>177</v>
      </c>
      <c r="B49" s="4" t="s">
        <v>178</v>
      </c>
      <c r="C49" s="4" t="s">
        <v>179</v>
      </c>
      <c r="E49" s="0" t="n">
        <f aca="false">45.7/17.59</f>
        <v>2.59806708357021</v>
      </c>
      <c r="G49" s="0" t="s">
        <v>27</v>
      </c>
      <c r="H49" s="0" t="s">
        <v>180</v>
      </c>
      <c r="I49" s="4" t="s">
        <v>181</v>
      </c>
    </row>
    <row r="50" customFormat="false" ht="17.15" hidden="false" customHeight="false" outlineLevel="0" collapsed="false">
      <c r="A50" s="6" t="s">
        <v>182</v>
      </c>
    </row>
    <row r="51" customFormat="false" ht="17.15" hidden="false" customHeight="false" outlineLevel="0" collapsed="false">
      <c r="A51" s="0" t="s">
        <v>183</v>
      </c>
      <c r="B51" s="4" t="s">
        <v>184</v>
      </c>
      <c r="C51" s="0" t="s">
        <v>62</v>
      </c>
      <c r="D51" s="7" t="n">
        <v>0.6</v>
      </c>
      <c r="E51" s="7" t="n">
        <v>0.8</v>
      </c>
      <c r="F51" s="7" t="n">
        <v>1</v>
      </c>
      <c r="G51" s="8" t="s">
        <v>27</v>
      </c>
      <c r="H51" s="8" t="s">
        <v>185</v>
      </c>
      <c r="I51" s="8" t="s">
        <v>186</v>
      </c>
    </row>
    <row r="52" customFormat="false" ht="17.15" hidden="false" customHeight="false" outlineLevel="0" collapsed="false">
      <c r="A52" s="0" t="s">
        <v>187</v>
      </c>
      <c r="B52" s="4" t="s">
        <v>188</v>
      </c>
      <c r="C52" s="0" t="s">
        <v>147</v>
      </c>
      <c r="D52" s="7" t="n">
        <v>-0.02</v>
      </c>
      <c r="E52" s="7" t="n">
        <v>0</v>
      </c>
      <c r="F52" s="7" t="n">
        <v>0.02</v>
      </c>
      <c r="G52" s="8" t="s">
        <v>63</v>
      </c>
      <c r="H52" s="4" t="s">
        <v>189</v>
      </c>
      <c r="I52" s="8" t="s">
        <v>190</v>
      </c>
    </row>
    <row r="53" customFormat="false" ht="17.15" hidden="false" customHeight="false" outlineLevel="0" collapsed="false">
      <c r="A53" s="0" t="s">
        <v>191</v>
      </c>
      <c r="B53" s="4" t="s">
        <v>192</v>
      </c>
      <c r="C53" s="0" t="s">
        <v>153</v>
      </c>
      <c r="D53" s="7" t="n">
        <v>4</v>
      </c>
      <c r="E53" s="7" t="n">
        <v>8</v>
      </c>
      <c r="F53" s="7" t="n">
        <v>12</v>
      </c>
      <c r="G53" s="8" t="s">
        <v>63</v>
      </c>
      <c r="H53" s="8" t="s">
        <v>193</v>
      </c>
      <c r="I53" s="8" t="s">
        <v>102</v>
      </c>
    </row>
    <row r="54" customFormat="false" ht="17.15" hidden="false" customHeight="false" outlineLevel="0" collapsed="false">
      <c r="A54" s="0" t="s">
        <v>194</v>
      </c>
      <c r="B54" s="4" t="s">
        <v>195</v>
      </c>
      <c r="C54" s="0" t="s">
        <v>46</v>
      </c>
      <c r="D54" s="7" t="n">
        <v>0.66</v>
      </c>
      <c r="E54" s="7" t="n">
        <v>0.69</v>
      </c>
      <c r="F54" s="7" t="n">
        <v>0.71</v>
      </c>
      <c r="G54" s="8" t="s">
        <v>27</v>
      </c>
      <c r="H54" s="4" t="s">
        <v>196</v>
      </c>
      <c r="I54" s="8" t="s">
        <v>102</v>
      </c>
    </row>
    <row r="55" customFormat="false" ht="17.15" hidden="false" customHeight="false" outlineLevel="0" collapsed="false">
      <c r="A55" s="0" t="s">
        <v>197</v>
      </c>
      <c r="B55" s="4" t="s">
        <v>198</v>
      </c>
      <c r="C55" s="0" t="s">
        <v>46</v>
      </c>
      <c r="D55" s="7" t="n">
        <v>0</v>
      </c>
      <c r="E55" s="7" t="n">
        <v>0</v>
      </c>
      <c r="F55" s="7" t="n">
        <v>0.005</v>
      </c>
      <c r="G55" s="8" t="s">
        <v>63</v>
      </c>
      <c r="H55" s="8" t="s">
        <v>199</v>
      </c>
      <c r="I55" s="8" t="s">
        <v>102</v>
      </c>
    </row>
    <row r="56" customFormat="false" ht="17.15" hidden="false" customHeight="false" outlineLevel="0" collapsed="false">
      <c r="A56" s="0" t="s">
        <v>200</v>
      </c>
      <c r="B56" s="0" t="s">
        <v>201</v>
      </c>
      <c r="C56" s="0" t="s">
        <v>62</v>
      </c>
      <c r="D56" s="7" t="n">
        <v>0.8</v>
      </c>
      <c r="E56" s="7" t="n">
        <v>1</v>
      </c>
      <c r="F56" s="7" t="n">
        <v>1.2</v>
      </c>
      <c r="G56" s="8" t="s">
        <v>63</v>
      </c>
      <c r="H56" s="4" t="s">
        <v>202</v>
      </c>
      <c r="I56" s="8" t="s">
        <v>203</v>
      </c>
    </row>
    <row r="57" customFormat="false" ht="17.15" hidden="false" customHeight="false" outlineLevel="0" collapsed="false">
      <c r="A57" s="6" t="s">
        <v>204</v>
      </c>
    </row>
    <row r="58" customFormat="false" ht="17.15" hidden="false" customHeight="false" outlineLevel="0" collapsed="false">
      <c r="A58" s="0" t="s">
        <v>205</v>
      </c>
      <c r="B58" s="4" t="s">
        <v>206</v>
      </c>
      <c r="C58" s="0" t="s">
        <v>153</v>
      </c>
      <c r="E58" s="7" t="n">
        <v>803</v>
      </c>
      <c r="G58" s="8" t="s">
        <v>47</v>
      </c>
      <c r="H58" s="4" t="s">
        <v>207</v>
      </c>
      <c r="I58" s="8" t="s">
        <v>102</v>
      </c>
    </row>
    <row r="59" customFormat="false" ht="17.15" hidden="false" customHeight="false" outlineLevel="0" collapsed="false">
      <c r="A59" s="0" t="s">
        <v>208</v>
      </c>
      <c r="B59" s="4" t="s">
        <v>209</v>
      </c>
      <c r="C59" s="0" t="s">
        <v>210</v>
      </c>
      <c r="E59" s="7" t="n">
        <v>43.1</v>
      </c>
      <c r="G59" s="8" t="s">
        <v>47</v>
      </c>
      <c r="H59" s="4" t="s">
        <v>211</v>
      </c>
      <c r="I59" s="8" t="s">
        <v>102</v>
      </c>
    </row>
    <row r="60" customFormat="false" ht="17.15" hidden="false" customHeight="false" outlineLevel="0" collapsed="false">
      <c r="A60" s="0" t="s">
        <v>212</v>
      </c>
      <c r="B60" s="4" t="s">
        <v>213</v>
      </c>
      <c r="C60" s="0" t="s">
        <v>210</v>
      </c>
      <c r="E60" s="7" t="n">
        <v>41.5</v>
      </c>
      <c r="G60" s="8" t="s">
        <v>47</v>
      </c>
      <c r="H60" s="8" t="s">
        <v>214</v>
      </c>
      <c r="I60" s="8" t="s">
        <v>102</v>
      </c>
    </row>
    <row r="61" customFormat="false" ht="17.15" hidden="false" customHeight="false" outlineLevel="0" collapsed="false">
      <c r="A61" s="0" t="s">
        <v>215</v>
      </c>
      <c r="B61" s="4" t="s">
        <v>216</v>
      </c>
      <c r="C61" s="0" t="s">
        <v>210</v>
      </c>
      <c r="E61" s="7" t="n">
        <v>80.8</v>
      </c>
      <c r="G61" s="8" t="s">
        <v>47</v>
      </c>
      <c r="H61" s="4" t="s">
        <v>217</v>
      </c>
      <c r="I61" s="8" t="s">
        <v>102</v>
      </c>
    </row>
    <row r="62" customFormat="false" ht="17.15" hidden="false" customHeight="false" outlineLevel="0" collapsed="false">
      <c r="A62" s="0" t="s">
        <v>218</v>
      </c>
      <c r="B62" s="4" t="s">
        <v>219</v>
      </c>
      <c r="C62" s="0" t="s">
        <v>210</v>
      </c>
      <c r="E62" s="7" t="n">
        <v>65.1</v>
      </c>
      <c r="G62" s="8" t="s">
        <v>47</v>
      </c>
      <c r="H62" s="8" t="s">
        <v>220</v>
      </c>
      <c r="I62" s="8" t="s">
        <v>102</v>
      </c>
    </row>
    <row r="63" customFormat="false" ht="17.15" hidden="false" customHeight="false" outlineLevel="0" collapsed="false">
      <c r="A63" s="0" t="s">
        <v>221</v>
      </c>
      <c r="B63" s="4" t="s">
        <v>222</v>
      </c>
      <c r="C63" s="0" t="s">
        <v>210</v>
      </c>
      <c r="E63" s="7" t="n">
        <v>62.68</v>
      </c>
      <c r="G63" s="8" t="s">
        <v>47</v>
      </c>
      <c r="H63" s="8" t="s">
        <v>223</v>
      </c>
      <c r="I63" s="8" t="s">
        <v>102</v>
      </c>
    </row>
    <row r="64" customFormat="false" ht="17.15" hidden="false" customHeight="false" outlineLevel="0" collapsed="false">
      <c r="A64" s="0" t="s">
        <v>224</v>
      </c>
      <c r="B64" s="4" t="s">
        <v>225</v>
      </c>
      <c r="C64" s="0" t="s">
        <v>153</v>
      </c>
      <c r="E64" s="7" t="n">
        <v>1050</v>
      </c>
      <c r="G64" s="8" t="s">
        <v>47</v>
      </c>
      <c r="H64" s="4" t="s">
        <v>32</v>
      </c>
      <c r="I64" s="4" t="s">
        <v>226</v>
      </c>
    </row>
    <row r="65" customFormat="false" ht="17.15" hidden="false" customHeight="false" outlineLevel="0" collapsed="false">
      <c r="A65" s="0" t="s">
        <v>227</v>
      </c>
      <c r="B65" s="0" t="s">
        <v>228</v>
      </c>
      <c r="C65" s="0" t="s">
        <v>26</v>
      </c>
      <c r="E65" s="7" t="n">
        <v>17.7</v>
      </c>
      <c r="G65" s="8" t="s">
        <v>47</v>
      </c>
      <c r="H65" s="8" t="s">
        <v>229</v>
      </c>
      <c r="I65" s="4" t="s">
        <v>230</v>
      </c>
    </row>
    <row r="66" customFormat="false" ht="17.15" hidden="false" customHeight="false" outlineLevel="0" collapsed="false">
      <c r="A66" s="0" t="s">
        <v>231</v>
      </c>
      <c r="B66" s="0" t="s">
        <v>232</v>
      </c>
      <c r="C66" s="0" t="s">
        <v>26</v>
      </c>
      <c r="E66" s="7" t="n">
        <v>38.2</v>
      </c>
      <c r="G66" s="8" t="s">
        <v>47</v>
      </c>
      <c r="H66" s="4" t="s">
        <v>32</v>
      </c>
      <c r="I66" s="8" t="s">
        <v>102</v>
      </c>
    </row>
    <row r="67" customFormat="false" ht="17.15" hidden="false" customHeight="false" outlineLevel="0" collapsed="false">
      <c r="A67" s="0" t="s">
        <v>233</v>
      </c>
      <c r="B67" s="4" t="s">
        <v>234</v>
      </c>
      <c r="C67" s="0" t="s">
        <v>46</v>
      </c>
      <c r="E67" s="7" t="n">
        <v>0.7</v>
      </c>
      <c r="G67" s="8" t="s">
        <v>47</v>
      </c>
      <c r="H67" s="4" t="s">
        <v>235</v>
      </c>
      <c r="I67" s="4" t="s">
        <v>236</v>
      </c>
    </row>
    <row r="68" customFormat="false" ht="17.15" hidden="false" customHeight="false" outlineLevel="0" collapsed="false">
      <c r="A68" s="0" t="s">
        <v>237</v>
      </c>
      <c r="B68" s="0" t="s">
        <v>238</v>
      </c>
      <c r="C68" s="0" t="s">
        <v>62</v>
      </c>
      <c r="E68" s="7" t="n">
        <v>25</v>
      </c>
      <c r="G68" s="8" t="s">
        <v>63</v>
      </c>
      <c r="H68" s="4" t="s">
        <v>239</v>
      </c>
      <c r="I68" s="4" t="s">
        <v>240</v>
      </c>
    </row>
    <row r="69" customFormat="false" ht="17.15" hidden="false" customHeight="false" outlineLevel="0" collapsed="false">
      <c r="A69" s="6" t="s">
        <v>241</v>
      </c>
    </row>
    <row r="70" customFormat="false" ht="17.15" hidden="false" customHeight="false" outlineLevel="0" collapsed="false">
      <c r="A70" s="0" t="s">
        <v>242</v>
      </c>
      <c r="B70" s="4" t="s">
        <v>243</v>
      </c>
      <c r="C70" s="0" t="s">
        <v>210</v>
      </c>
      <c r="E70" s="7" t="n">
        <v>1605</v>
      </c>
      <c r="G70" s="8" t="s">
        <v>47</v>
      </c>
      <c r="H70" s="8" t="s">
        <v>244</v>
      </c>
      <c r="I70" s="8" t="s">
        <v>245</v>
      </c>
    </row>
    <row r="71" customFormat="false" ht="17.15" hidden="false" customHeight="false" outlineLevel="0" collapsed="false">
      <c r="A71" s="0" t="s">
        <v>246</v>
      </c>
      <c r="B71" s="4" t="s">
        <v>247</v>
      </c>
      <c r="C71" s="0" t="s">
        <v>62</v>
      </c>
      <c r="E71" s="7" t="n">
        <v>49.65</v>
      </c>
      <c r="G71" s="8" t="s">
        <v>47</v>
      </c>
      <c r="H71" s="8" t="s">
        <v>248</v>
      </c>
      <c r="I71" s="8" t="s">
        <v>249</v>
      </c>
    </row>
    <row r="72" customFormat="false" ht="17.15" hidden="false" customHeight="false" outlineLevel="0" collapsed="false">
      <c r="A72" s="6" t="s">
        <v>250</v>
      </c>
    </row>
    <row r="73" customFormat="false" ht="17.15" hidden="false" customHeight="false" outlineLevel="0" collapsed="false">
      <c r="A73" s="0" t="s">
        <v>251</v>
      </c>
      <c r="B73" s="4" t="s">
        <v>252</v>
      </c>
      <c r="C73" s="4" t="s">
        <v>253</v>
      </c>
      <c r="E73" s="7" t="n">
        <v>0.3</v>
      </c>
      <c r="G73" s="8" t="s">
        <v>63</v>
      </c>
      <c r="H73" s="8" t="s">
        <v>254</v>
      </c>
      <c r="I73" s="4" t="s">
        <v>255</v>
      </c>
    </row>
    <row r="74" customFormat="false" ht="17.15" hidden="false" customHeight="false" outlineLevel="0" collapsed="false">
      <c r="A74" s="0" t="s">
        <v>256</v>
      </c>
      <c r="B74" s="4" t="s">
        <v>257</v>
      </c>
      <c r="C74" s="4" t="s">
        <v>253</v>
      </c>
      <c r="E74" s="7" t="n">
        <v>0.5</v>
      </c>
      <c r="G74" s="8" t="s">
        <v>63</v>
      </c>
      <c r="H74" s="8" t="s">
        <v>254</v>
      </c>
      <c r="I74" s="4" t="s">
        <v>255</v>
      </c>
    </row>
    <row r="75" customFormat="false" ht="17.15" hidden="false" customHeight="false" outlineLevel="0" collapsed="false">
      <c r="A75" s="0" t="s">
        <v>258</v>
      </c>
      <c r="B75" s="4" t="s">
        <v>259</v>
      </c>
      <c r="C75" s="4" t="s">
        <v>253</v>
      </c>
      <c r="E75" s="7" t="n">
        <v>0.2</v>
      </c>
      <c r="G75" s="8" t="s">
        <v>63</v>
      </c>
      <c r="H75" s="8" t="s">
        <v>254</v>
      </c>
      <c r="I75" s="4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260</v>
      </c>
    </row>
    <row r="2" customFormat="false" ht="17.15" hidden="false" customHeight="false" outlineLevel="0" collapsed="false">
      <c r="A2" s="0" t="s">
        <v>261</v>
      </c>
    </row>
    <row r="3" customFormat="false" ht="17.15" hidden="false" customHeight="false" outlineLevel="0" collapsed="false">
      <c r="A3" s="5" t="s">
        <v>15</v>
      </c>
      <c r="B3" s="9" t="s">
        <v>262</v>
      </c>
      <c r="C3" s="9" t="s">
        <v>263</v>
      </c>
      <c r="D3" s="9" t="s">
        <v>264</v>
      </c>
      <c r="E3" s="9" t="s">
        <v>265</v>
      </c>
      <c r="F3" s="9" t="s">
        <v>266</v>
      </c>
      <c r="G3" s="5" t="s">
        <v>20</v>
      </c>
      <c r="H3" s="5" t="s">
        <v>267</v>
      </c>
      <c r="I3" s="5" t="s">
        <v>22</v>
      </c>
    </row>
    <row r="4" customFormat="false" ht="17.15" hidden="false" customHeight="false" outlineLevel="0" collapsed="false">
      <c r="A4" s="4" t="s">
        <v>268</v>
      </c>
      <c r="B4" s="10" t="n">
        <v>554.885</v>
      </c>
      <c r="C4" s="10" t="n">
        <v>342.6</v>
      </c>
      <c r="D4" s="11" t="n">
        <f aca="false">q3_rev</f>
        <v>197.059</v>
      </c>
      <c r="E4" s="11" t="n">
        <f aca="false">D4*(1+q4g)</f>
        <v>216.7649</v>
      </c>
      <c r="F4" s="11" t="n">
        <f aca="false">SUM(C4:E4)</f>
        <v>756.4239</v>
      </c>
      <c r="G4" s="8" t="s">
        <v>269</v>
      </c>
      <c r="H4" s="8" t="s">
        <v>270</v>
      </c>
      <c r="I4" s="8" t="s">
        <v>271</v>
      </c>
    </row>
    <row r="5" customFormat="false" ht="17.15" hidden="false" customHeight="false" outlineLevel="0" collapsed="false">
      <c r="A5" s="4" t="s">
        <v>272</v>
      </c>
      <c r="B5" s="10" t="n">
        <v>190.2</v>
      </c>
      <c r="C5" s="10" t="n">
        <v>124.3</v>
      </c>
      <c r="D5" s="11" t="n">
        <f aca="false">D4*q_gm</f>
        <v>70.94124</v>
      </c>
      <c r="E5" s="11" t="n">
        <f aca="false">E4*q_gm</f>
        <v>78.035364</v>
      </c>
      <c r="F5" s="11" t="n">
        <f aca="false">SUM(C5:E5)</f>
        <v>273.276604</v>
      </c>
      <c r="G5" s="8" t="s">
        <v>273</v>
      </c>
      <c r="H5" s="8" t="s">
        <v>270</v>
      </c>
      <c r="I5" s="8" t="s">
        <v>271</v>
      </c>
    </row>
    <row r="6" customFormat="false" ht="17.15" hidden="false" customHeight="false" outlineLevel="0" collapsed="false">
      <c r="A6" s="4" t="s">
        <v>274</v>
      </c>
      <c r="B6" s="12" t="n">
        <f aca="false">B5/B4</f>
        <v>0.342773727889563</v>
      </c>
      <c r="C6" s="12" t="n">
        <f aca="false">C5/C4</f>
        <v>0.362813776999416</v>
      </c>
      <c r="D6" s="12" t="n">
        <f aca="false">D5/D4</f>
        <v>0.36</v>
      </c>
      <c r="E6" s="12" t="n">
        <f aca="false">E5/E4</f>
        <v>0.36</v>
      </c>
      <c r="F6" s="12" t="n">
        <f aca="false">F5/F4</f>
        <v>0.361274417690927</v>
      </c>
      <c r="G6" s="8" t="s">
        <v>27</v>
      </c>
      <c r="H6" s="8" t="s">
        <v>102</v>
      </c>
      <c r="I6" s="8" t="s">
        <v>275</v>
      </c>
    </row>
    <row r="7" customFormat="false" ht="17.15" hidden="false" customHeight="false" outlineLevel="0" collapsed="false">
      <c r="A7" s="4" t="s">
        <v>276</v>
      </c>
      <c r="B7" s="11" t="n">
        <f aca="false">B5-B8</f>
        <v>106.3</v>
      </c>
      <c r="C7" s="11" t="n">
        <f aca="false">C5-C8</f>
        <v>65.3666666666667</v>
      </c>
      <c r="D7" s="11" t="n">
        <f aca="false">D4*q_opx</f>
        <v>36.455915</v>
      </c>
      <c r="E7" s="11" t="n">
        <f aca="false">E4*q_opx</f>
        <v>40.1015065</v>
      </c>
      <c r="F7" s="11" t="n">
        <f aca="false">SUM(C7:E7)</f>
        <v>141.924088166667</v>
      </c>
      <c r="G7" s="8" t="s">
        <v>277</v>
      </c>
      <c r="H7" s="8" t="s">
        <v>270</v>
      </c>
      <c r="I7" s="8" t="s">
        <v>271</v>
      </c>
    </row>
    <row r="8" customFormat="false" ht="17.15" hidden="false" customHeight="false" outlineLevel="0" collapsed="false">
      <c r="A8" s="4" t="s">
        <v>278</v>
      </c>
      <c r="B8" s="10" t="n">
        <v>83.9</v>
      </c>
      <c r="C8" s="11" t="n">
        <f aca="false">30.6+30.6/1.08</f>
        <v>58.9333333333333</v>
      </c>
      <c r="D8" s="11" t="n">
        <f aca="false">D5-D7</f>
        <v>34.485325</v>
      </c>
      <c r="E8" s="11" t="n">
        <f aca="false">E5-E7</f>
        <v>37.9338575</v>
      </c>
      <c r="F8" s="11" t="n">
        <f aca="false">SUM(C8:E8)</f>
        <v>131.352515833333</v>
      </c>
      <c r="G8" s="8" t="s">
        <v>279</v>
      </c>
      <c r="H8" s="8" t="s">
        <v>270</v>
      </c>
      <c r="I8" s="8" t="s">
        <v>271</v>
      </c>
    </row>
    <row r="9" customFormat="false" ht="17.15" hidden="false" customHeight="false" outlineLevel="0" collapsed="false">
      <c r="A9" s="4" t="s">
        <v>280</v>
      </c>
      <c r="B9" s="12" t="n">
        <f aca="false">B8/B4</f>
        <v>0.151202501419213</v>
      </c>
      <c r="C9" s="12" t="n">
        <f aca="false">C8/C4</f>
        <v>0.172017902315626</v>
      </c>
      <c r="D9" s="12" t="n">
        <f aca="false">D8/D4</f>
        <v>0.175</v>
      </c>
      <c r="E9" s="12" t="n">
        <f aca="false">E8/E4</f>
        <v>0.175</v>
      </c>
      <c r="F9" s="12" t="n">
        <f aca="false">F8/F4</f>
        <v>0.173649346396027</v>
      </c>
      <c r="G9" s="8" t="s">
        <v>27</v>
      </c>
      <c r="H9" s="8" t="s">
        <v>102</v>
      </c>
      <c r="I9" s="8" t="s">
        <v>281</v>
      </c>
    </row>
    <row r="10" customFormat="false" ht="17.15" hidden="false" customHeight="false" outlineLevel="0" collapsed="false">
      <c r="A10" s="4" t="s">
        <v>282</v>
      </c>
      <c r="B10" s="10" t="n">
        <v>3.934</v>
      </c>
      <c r="C10" s="11" t="n">
        <f aca="false">C11-C8</f>
        <v>7.16666666666666</v>
      </c>
      <c r="D10" s="11" t="n">
        <f aca="false">q_nop</f>
        <v>2</v>
      </c>
      <c r="E10" s="11" t="n">
        <f aca="false">q_nop</f>
        <v>2</v>
      </c>
      <c r="F10" s="11" t="n">
        <f aca="false">SUM(C10:E10)</f>
        <v>11.1666666666667</v>
      </c>
      <c r="G10" s="8" t="s">
        <v>279</v>
      </c>
      <c r="H10" s="8" t="s">
        <v>270</v>
      </c>
      <c r="I10" s="8" t="s">
        <v>271</v>
      </c>
    </row>
    <row r="11" customFormat="false" ht="17.15" hidden="false" customHeight="false" outlineLevel="0" collapsed="false">
      <c r="A11" s="4" t="s">
        <v>283</v>
      </c>
      <c r="B11" s="11" t="n">
        <f aca="false">B8+B10</f>
        <v>87.834</v>
      </c>
      <c r="C11" s="10" t="n">
        <v>66.1</v>
      </c>
      <c r="D11" s="11" t="n">
        <f aca="false">D8+D10</f>
        <v>36.485325</v>
      </c>
      <c r="E11" s="11" t="n">
        <f aca="false">E8+E10</f>
        <v>39.9338575</v>
      </c>
      <c r="F11" s="11" t="n">
        <f aca="false">SUM(C11:E11)</f>
        <v>142.5191825</v>
      </c>
      <c r="G11" s="8" t="s">
        <v>279</v>
      </c>
      <c r="H11" s="8" t="s">
        <v>270</v>
      </c>
      <c r="I11" s="8" t="s">
        <v>284</v>
      </c>
    </row>
    <row r="12" customFormat="false" ht="17.15" hidden="false" customHeight="false" outlineLevel="0" collapsed="false">
      <c r="A12" s="4" t="s">
        <v>285</v>
      </c>
      <c r="B12" s="10" t="n">
        <v>60.108</v>
      </c>
      <c r="C12" s="10" t="n">
        <v>45.7</v>
      </c>
      <c r="D12" s="11" t="n">
        <f aca="false">D11*q_nir</f>
        <v>25.17487425</v>
      </c>
      <c r="E12" s="11" t="n">
        <f aca="false">E11*q_nir</f>
        <v>27.554361675</v>
      </c>
      <c r="F12" s="11" t="n">
        <f aca="false">SUM(C12:E12)</f>
        <v>98.429235925</v>
      </c>
      <c r="G12" s="8" t="s">
        <v>286</v>
      </c>
      <c r="H12" s="8" t="s">
        <v>270</v>
      </c>
      <c r="I12" s="8" t="s">
        <v>271</v>
      </c>
    </row>
    <row r="13" customFormat="false" ht="17.15" hidden="false" customHeight="false" outlineLevel="0" collapsed="false">
      <c r="A13" s="4" t="s">
        <v>287</v>
      </c>
      <c r="B13" s="12" t="n">
        <f aca="false">B12/B11</f>
        <v>0.684336361773345</v>
      </c>
      <c r="C13" s="12" t="n">
        <f aca="false">C12/C11</f>
        <v>0.691376701966717</v>
      </c>
      <c r="D13" s="12" t="n">
        <f aca="false">D12/D11</f>
        <v>0.69</v>
      </c>
      <c r="E13" s="12" t="n">
        <f aca="false">E12/E11</f>
        <v>0.69</v>
      </c>
      <c r="F13" s="12" t="n">
        <f aca="false">F12/F11</f>
        <v>0.690638510538748</v>
      </c>
      <c r="G13" s="8" t="s">
        <v>27</v>
      </c>
      <c r="H13" s="8" t="s">
        <v>102</v>
      </c>
      <c r="I13" s="8" t="s">
        <v>102</v>
      </c>
    </row>
    <row r="14" customFormat="false" ht="17.15" hidden="false" customHeight="false" outlineLevel="0" collapsed="false">
      <c r="A14" s="4" t="s">
        <v>288</v>
      </c>
      <c r="B14" s="11" t="n">
        <f aca="false">60.108/23.14</f>
        <v>2.59757994814175</v>
      </c>
      <c r="C14" s="11" t="n">
        <f aca="false">q_sh</f>
        <v>2.59806708357021</v>
      </c>
      <c r="D14" s="11" t="n">
        <f aca="false">q_sh</f>
        <v>2.59806708357021</v>
      </c>
      <c r="E14" s="11" t="n">
        <f aca="false">q_sh</f>
        <v>2.59806708357021</v>
      </c>
      <c r="F14" s="11" t="n">
        <f aca="false">q_sh</f>
        <v>2.59806708357021</v>
      </c>
      <c r="G14" s="8" t="s">
        <v>27</v>
      </c>
      <c r="H14" s="8" t="s">
        <v>270</v>
      </c>
      <c r="I14" s="4" t="s">
        <v>289</v>
      </c>
    </row>
    <row r="15" customFormat="false" ht="17.15" hidden="false" customHeight="false" outlineLevel="0" collapsed="false">
      <c r="A15" s="0" t="s">
        <v>290</v>
      </c>
      <c r="B15" s="13" t="n">
        <f aca="false">B12/B14</f>
        <v>23.14</v>
      </c>
      <c r="C15" s="13" t="n">
        <f aca="false">C12/C14</f>
        <v>17.59</v>
      </c>
      <c r="D15" s="13" t="n">
        <f aca="false">D12/D14</f>
        <v>9.68984765990153</v>
      </c>
      <c r="E15" s="13" t="n">
        <f aca="false">E12/E14</f>
        <v>10.6057160145131</v>
      </c>
      <c r="F15" s="13" t="n">
        <f aca="false">F12/F14</f>
        <v>37.8855636744147</v>
      </c>
      <c r="G15" s="8" t="s">
        <v>27</v>
      </c>
      <c r="H15" s="4" t="s">
        <v>291</v>
      </c>
      <c r="I15" s="8" t="s">
        <v>102</v>
      </c>
    </row>
    <row r="16" customFormat="false" ht="17.15" hidden="false" customHeight="false" outlineLevel="0" collapsed="false">
      <c r="A16" s="4" t="s">
        <v>292</v>
      </c>
      <c r="B16" s="14" t="n">
        <v>23.14</v>
      </c>
      <c r="C16" s="14" t="n">
        <v>17.59</v>
      </c>
      <c r="G16" s="8" t="s">
        <v>154</v>
      </c>
      <c r="H16" s="8" t="s">
        <v>270</v>
      </c>
      <c r="I16" s="8" t="s">
        <v>293</v>
      </c>
    </row>
    <row r="17" customFormat="false" ht="17.15" hidden="false" customHeight="false" outlineLevel="0" collapsed="false">
      <c r="A17" s="0" t="s">
        <v>294</v>
      </c>
      <c r="B17" s="11" t="n">
        <f aca="false">B4*ai_25</f>
        <v>99.8793</v>
      </c>
      <c r="F17" s="11" t="n">
        <f aca="false">F4*ai_26</f>
        <v>196.670214</v>
      </c>
      <c r="G17" s="8" t="s">
        <v>295</v>
      </c>
      <c r="H17" s="4" t="s">
        <v>296</v>
      </c>
      <c r="I17" s="4" t="s">
        <v>297</v>
      </c>
    </row>
    <row r="18" customFormat="false" ht="17.15" hidden="false" customHeight="false" outlineLevel="0" collapsed="false">
      <c r="A18" s="4" t="s">
        <v>298</v>
      </c>
      <c r="B18" s="11" t="n">
        <f aca="false">B4*lc_25</f>
        <v>55.4885</v>
      </c>
      <c r="F18" s="11" t="n">
        <f aca="false">F4*lc_26</f>
        <v>94.5529875</v>
      </c>
      <c r="G18" s="8" t="s">
        <v>295</v>
      </c>
      <c r="H18" s="4" t="s">
        <v>299</v>
      </c>
      <c r="I18" s="8" t="s">
        <v>102</v>
      </c>
    </row>
    <row r="19" customFormat="false" ht="17.15" hidden="false" customHeight="false" outlineLevel="0" collapsed="false">
      <c r="A19" s="4" t="s">
        <v>300</v>
      </c>
      <c r="B19" s="11" t="n">
        <f aca="false">B4-B17-B18</f>
        <v>399.5172</v>
      </c>
      <c r="F19" s="11" t="n">
        <f aca="false">F4-F17-F18</f>
        <v>465.2006985</v>
      </c>
      <c r="G19" s="8" t="s">
        <v>27</v>
      </c>
      <c r="H19" s="8" t="s">
        <v>102</v>
      </c>
      <c r="I19" s="4" t="s">
        <v>301</v>
      </c>
    </row>
    <row r="20" customFormat="false" ht="17.15" hidden="false" customHeight="false" outlineLevel="0" collapsed="false">
      <c r="A20" s="0" t="s">
        <v>302</v>
      </c>
      <c r="B20" s="11" t="n">
        <f aca="false">B4*(ai_25-lc_25)</f>
        <v>44.3908</v>
      </c>
      <c r="F20" s="11" t="n">
        <f aca="false">F4*(ai_26-lc_26)</f>
        <v>102.1172265</v>
      </c>
      <c r="G20" s="8" t="s">
        <v>27</v>
      </c>
      <c r="H20" s="8" t="s">
        <v>303</v>
      </c>
      <c r="I20" s="8" t="s">
        <v>102</v>
      </c>
    </row>
    <row r="21" customFormat="false" ht="17.15" hidden="false" customHeight="false" outlineLevel="0" collapsed="false">
      <c r="A21" s="4" t="s">
        <v>304</v>
      </c>
      <c r="B21" s="11" t="n">
        <f aca="false">B4-B20-B18</f>
        <v>455.0057</v>
      </c>
      <c r="F21" s="11" t="n">
        <f aca="false">F4-F20-F18</f>
        <v>559.753686</v>
      </c>
      <c r="G21" s="8" t="s">
        <v>27</v>
      </c>
      <c r="H21" s="8" t="s">
        <v>303</v>
      </c>
      <c r="I21" s="8" t="s">
        <v>102</v>
      </c>
    </row>
    <row r="23" customFormat="false" ht="17.15" hidden="false" customHeight="false" outlineLevel="0" collapsed="false">
      <c r="A23" s="6" t="s">
        <v>305</v>
      </c>
    </row>
    <row r="24" customFormat="false" ht="17.15" hidden="false" customHeight="false" outlineLevel="0" collapsed="false">
      <c r="A24" s="0" t="s">
        <v>306</v>
      </c>
      <c r="B24" s="12" t="n">
        <f aca="false">F4/B4-1</f>
        <v>0.363208412553953</v>
      </c>
    </row>
    <row r="25" customFormat="false" ht="17.15" hidden="false" customHeight="false" outlineLevel="0" collapsed="false">
      <c r="A25" s="0" t="s">
        <v>307</v>
      </c>
      <c r="B25" s="12" t="n">
        <f aca="false">F7/B7-1</f>
        <v>0.335127828472876</v>
      </c>
    </row>
    <row r="26" customFormat="false" ht="17.15" hidden="false" customHeight="false" outlineLevel="0" collapsed="false">
      <c r="A26" s="4" t="s">
        <v>308</v>
      </c>
      <c r="B26" s="13" t="n">
        <f aca="false">B25/B24</f>
        <v>0.922687407255728</v>
      </c>
    </row>
    <row r="27" customFormat="false" ht="17.15" hidden="false" customHeight="false" outlineLevel="0" collapsed="false">
      <c r="A27" s="0" t="s">
        <v>309</v>
      </c>
      <c r="B27" s="12" t="n">
        <f aca="false">F4/b_rev26-1</f>
        <v>-0.0580026151930262</v>
      </c>
    </row>
    <row r="28" customFormat="false" ht="17.15" hidden="false" customHeight="false" outlineLevel="0" collapsed="false">
      <c r="A28" s="0" t="s">
        <v>310</v>
      </c>
      <c r="B28" s="12" t="n">
        <f aca="false">F15/b_eps26a-1</f>
        <v>-0.120984601521702</v>
      </c>
    </row>
    <row r="29" customFormat="false" ht="17.15" hidden="false" customHeight="false" outlineLevel="0" collapsed="false">
      <c r="A29" s="4" t="s">
        <v>311</v>
      </c>
      <c r="B29" s="12" t="n">
        <f aca="false">F19/B19-1</f>
        <v>0.164407185723168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312</v>
      </c>
    </row>
    <row r="3" customFormat="false" ht="15" hidden="false" customHeight="false" outlineLevel="0" collapsed="false">
      <c r="A3" s="5" t="s">
        <v>15</v>
      </c>
      <c r="B3" s="5" t="s">
        <v>16</v>
      </c>
      <c r="C3" s="9" t="s">
        <v>313</v>
      </c>
      <c r="D3" s="9" t="s">
        <v>314</v>
      </c>
      <c r="E3" s="9" t="s">
        <v>315</v>
      </c>
      <c r="F3" s="9" t="s">
        <v>316</v>
      </c>
      <c r="G3" s="5" t="s">
        <v>317</v>
      </c>
    </row>
    <row r="4" customFormat="false" ht="17.15" hidden="false" customHeight="false" outlineLevel="0" collapsed="false">
      <c r="A4" s="4" t="s">
        <v>318</v>
      </c>
      <c r="B4" s="0" t="s">
        <v>319</v>
      </c>
      <c r="C4" s="15" t="n">
        <f aca="false">PL!D65</f>
        <v>23.3995380420639</v>
      </c>
      <c r="D4" s="15" t="n">
        <f aca="false">PL!E65</f>
        <v>41.6467658260637</v>
      </c>
      <c r="E4" s="15" t="n">
        <f aca="false">PL!F65</f>
        <v>52.792138191248</v>
      </c>
      <c r="F4" s="15" t="n">
        <f aca="false">PL!G65</f>
        <v>60.1385917361116</v>
      </c>
      <c r="G4" s="8" t="s">
        <v>320</v>
      </c>
    </row>
    <row r="5" customFormat="false" ht="17.15" hidden="false" customHeight="false" outlineLevel="0" collapsed="false">
      <c r="A5" s="0" t="s">
        <v>321</v>
      </c>
      <c r="B5" s="0" t="s">
        <v>89</v>
      </c>
      <c r="C5" s="16" t="n">
        <f aca="false">PL!D66</f>
        <v>450</v>
      </c>
      <c r="D5" s="16" t="n">
        <f aca="false">PL!E66</f>
        <v>600</v>
      </c>
      <c r="E5" s="16" t="n">
        <f aca="false">PL!F66</f>
        <v>680</v>
      </c>
      <c r="F5" s="16" t="n">
        <f aca="false">PL!G66</f>
        <v>720</v>
      </c>
      <c r="G5" s="8" t="s">
        <v>322</v>
      </c>
    </row>
    <row r="6" customFormat="false" ht="17.15" hidden="false" customHeight="false" outlineLevel="0" collapsed="false">
      <c r="A6" s="4" t="s">
        <v>323</v>
      </c>
      <c r="B6" s="0" t="s">
        <v>324</v>
      </c>
      <c r="C6" s="16" t="n">
        <f aca="false">PL!D66*1000000/racks_vr/1000</f>
        <v>111.056268509378</v>
      </c>
      <c r="D6" s="16" t="n">
        <f aca="false">PL!E66*1000000/racks_vr/1000</f>
        <v>148.075024679171</v>
      </c>
      <c r="E6" s="16" t="n">
        <f aca="false">PL!F66*1000000/racks_vr/1000</f>
        <v>167.81836130306</v>
      </c>
      <c r="F6" s="16" t="n">
        <f aca="false">PL!G66*1000000/racks_vr/1000</f>
        <v>177.690029615005</v>
      </c>
      <c r="G6" s="8" t="s">
        <v>325</v>
      </c>
    </row>
    <row r="7" customFormat="false" ht="17.15" hidden="false" customHeight="false" outlineLevel="0" collapsed="false">
      <c r="A7" s="0" t="s">
        <v>326</v>
      </c>
      <c r="B7" s="0" t="s">
        <v>26</v>
      </c>
      <c r="C7" s="17" t="n">
        <f aca="false">PL!D67</f>
        <v>10.5297921189288</v>
      </c>
      <c r="D7" s="17" t="n">
        <f aca="false">PL!E67</f>
        <v>24.9880594956382</v>
      </c>
      <c r="E7" s="17" t="n">
        <f aca="false">PL!F67</f>
        <v>35.8986539700486</v>
      </c>
      <c r="F7" s="17" t="n">
        <f aca="false">PL!G67</f>
        <v>43.2997860500003</v>
      </c>
      <c r="G7" s="4" t="s">
        <v>327</v>
      </c>
    </row>
    <row r="8" customFormat="false" ht="17.15" hidden="false" customHeight="false" outlineLevel="0" collapsed="false">
      <c r="A8" s="4" t="s">
        <v>328</v>
      </c>
      <c r="B8" s="0" t="s">
        <v>46</v>
      </c>
      <c r="C8" s="12" t="n">
        <f aca="false">PL!D71</f>
        <v>0.583671939396772</v>
      </c>
      <c r="D8" s="12" t="n">
        <f aca="false">PL!E71</f>
        <v>0.554488342426934</v>
      </c>
      <c r="E8" s="12" t="n">
        <f aca="false">PL!F71</f>
        <v>0.525304745457095</v>
      </c>
      <c r="F8" s="12" t="n">
        <f aca="false">PL!G71</f>
        <v>0.496121148487257</v>
      </c>
      <c r="G8" s="8" t="s">
        <v>329</v>
      </c>
    </row>
    <row r="9" customFormat="false" ht="17.15" hidden="false" customHeight="false" outlineLevel="0" collapsed="false">
      <c r="A9" s="4" t="s">
        <v>330</v>
      </c>
      <c r="B9" s="0" t="s">
        <v>26</v>
      </c>
      <c r="C9" s="18" t="n">
        <f aca="false">PL!D72/fx</f>
        <v>6.1459441875</v>
      </c>
      <c r="D9" s="18" t="n">
        <f aca="false">PL!E72/fx</f>
        <v>13.855587690202</v>
      </c>
      <c r="E9" s="18" t="n">
        <f aca="false">PL!F72/fx</f>
        <v>18.8577332859887</v>
      </c>
      <c r="F9" s="18" t="n">
        <f aca="false">PL!G72/fx</f>
        <v>21.4819395843786</v>
      </c>
    </row>
    <row r="10" customFormat="false" ht="17.15" hidden="false" customHeight="false" outlineLevel="0" collapsed="false">
      <c r="A10" s="4" t="s">
        <v>331</v>
      </c>
      <c r="B10" s="0" t="s">
        <v>26</v>
      </c>
      <c r="C10" s="18" t="n">
        <f aca="false">PL!D76/fx</f>
        <v>2.954780859375</v>
      </c>
      <c r="D10" s="18" t="n">
        <f aca="false">PL!E76/fx</f>
        <v>5.78484809940115</v>
      </c>
      <c r="E10" s="18" t="n">
        <f aca="false">PL!F76/fx</f>
        <v>7.66628721680113</v>
      </c>
      <c r="F10" s="18" t="n">
        <f aca="false">PL!G76/fx</f>
        <v>9.11281373771718</v>
      </c>
      <c r="G10" s="8" t="s">
        <v>332</v>
      </c>
    </row>
    <row r="11" customFormat="false" ht="17.15" hidden="false" customHeight="false" outlineLevel="0" collapsed="false">
      <c r="A11" s="4" t="s">
        <v>333</v>
      </c>
      <c r="B11" s="0" t="s">
        <v>324</v>
      </c>
      <c r="C11" s="16" t="n">
        <f aca="false">PL!D76/fx/PL!D65/racks_vr*1000000</f>
        <v>31.1636671264603</v>
      </c>
      <c r="D11" s="16" t="n">
        <f aca="false">PL!E76/fx/PL!E65/racks_vr*1000000</f>
        <v>34.2800338391063</v>
      </c>
      <c r="E11" s="16" t="n">
        <f aca="false">PL!F76/fx/PL!F65/racks_vr*1000000</f>
        <v>35.8382171954293</v>
      </c>
      <c r="F11" s="16" t="n">
        <f aca="false">PL!G76/fx/PL!G65/racks_vr*1000000</f>
        <v>37.3964005517523</v>
      </c>
      <c r="G11" s="4" t="s">
        <v>334</v>
      </c>
    </row>
    <row r="12" customFormat="false" ht="17.15" hidden="false" customHeight="false" outlineLevel="0" collapsed="false">
      <c r="A12" s="4" t="s">
        <v>335</v>
      </c>
      <c r="B12" s="0" t="s">
        <v>336</v>
      </c>
      <c r="C12" s="16" t="n">
        <f aca="false">PL!D82</f>
        <v>388.927551924965</v>
      </c>
      <c r="D12" s="16" t="n">
        <f aca="false">PL!E82</f>
        <v>471.595702572219</v>
      </c>
      <c r="E12" s="16" t="n">
        <f aca="false">PL!F82</f>
        <v>502.423682986704</v>
      </c>
      <c r="F12" s="16" t="n">
        <f aca="false">PL!G82</f>
        <v>508.737441946525</v>
      </c>
    </row>
    <row r="13" customFormat="false" ht="17.15" hidden="false" customHeight="false" outlineLevel="0" collapsed="false">
      <c r="A13" s="4" t="s">
        <v>337</v>
      </c>
      <c r="B13" s="0" t="s">
        <v>26</v>
      </c>
      <c r="C13" s="17" t="n">
        <f aca="false">PL!D67-PL!D72/fx</f>
        <v>4.38384793142876</v>
      </c>
      <c r="D13" s="17" t="n">
        <f aca="false">PL!E67-PL!E72/fx</f>
        <v>11.1324718054362</v>
      </c>
      <c r="E13" s="17" t="n">
        <f aca="false">PL!F67-PL!F72/fx</f>
        <v>17.0409206840599</v>
      </c>
      <c r="F13" s="17" t="n">
        <f aca="false">PL!G67-PL!G72/fx</f>
        <v>21.8178464656217</v>
      </c>
    </row>
    <row r="15" customFormat="false" ht="17.15" hidden="false" customHeight="false" outlineLevel="0" collapsed="false">
      <c r="A15" s="1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339</v>
      </c>
    </row>
    <row r="3" customFormat="false" ht="17.15" hidden="false" customHeight="false" outlineLevel="0" collapsed="false">
      <c r="A3" s="5" t="s">
        <v>340</v>
      </c>
      <c r="B3" s="5" t="s">
        <v>16</v>
      </c>
      <c r="C3" s="9" t="s">
        <v>262</v>
      </c>
      <c r="D3" s="9" t="s">
        <v>341</v>
      </c>
      <c r="E3" s="9" t="s">
        <v>342</v>
      </c>
      <c r="F3" s="9" t="s">
        <v>343</v>
      </c>
      <c r="G3" s="9" t="s">
        <v>344</v>
      </c>
      <c r="H3" s="5" t="s">
        <v>317</v>
      </c>
    </row>
    <row r="4" customFormat="false" ht="17.15" hidden="false" customHeight="false" outlineLevel="0" collapsed="false">
      <c r="A4" s="1" t="s">
        <v>345</v>
      </c>
    </row>
    <row r="5" customFormat="false" ht="15" hidden="false" customHeight="false" outlineLevel="0" collapsed="false">
      <c r="A5" s="4" t="s">
        <v>268</v>
      </c>
      <c r="B5" s="0" t="s">
        <v>153</v>
      </c>
      <c r="C5" s="17" t="n">
        <f aca="false">C78</f>
        <v>554.885</v>
      </c>
      <c r="D5" s="17" t="n">
        <f aca="false">D78</f>
        <v>756.4239</v>
      </c>
      <c r="E5" s="17" t="n">
        <f aca="false">E78</f>
        <v>1121.6066856773</v>
      </c>
      <c r="F5" s="17" t="n">
        <f aca="false">F78</f>
        <v>1366.53703351978</v>
      </c>
      <c r="G5" s="17" t="n">
        <f aca="false">G78</f>
        <v>1517.51121883479</v>
      </c>
    </row>
    <row r="6" customFormat="false" ht="15" hidden="false" customHeight="false" outlineLevel="0" collapsed="false">
      <c r="A6" s="4" t="s">
        <v>346</v>
      </c>
      <c r="B6" s="0" t="s">
        <v>46</v>
      </c>
      <c r="D6" s="12" t="n">
        <f aca="false">D79</f>
        <v>0.363208412553953</v>
      </c>
      <c r="E6" s="12" t="n">
        <f aca="false">E79</f>
        <v>0.482775313785434</v>
      </c>
      <c r="F6" s="12" t="n">
        <f aca="false">F79</f>
        <v>0.218374543385116</v>
      </c>
      <c r="G6" s="12" t="n">
        <f aca="false">G79</f>
        <v>0.110479395443933</v>
      </c>
    </row>
    <row r="7" customFormat="false" ht="17.15" hidden="false" customHeight="false" outlineLevel="0" collapsed="false">
      <c r="A7" s="0" t="s">
        <v>347</v>
      </c>
      <c r="B7" s="0" t="s">
        <v>153</v>
      </c>
      <c r="C7" s="17" t="n">
        <f aca="false">C72</f>
        <v>99.8793</v>
      </c>
      <c r="D7" s="17" t="n">
        <f aca="false">D72</f>
        <v>196.670214</v>
      </c>
      <c r="E7" s="17" t="n">
        <f aca="false">E72</f>
        <v>443.378806086465</v>
      </c>
      <c r="F7" s="17" t="n">
        <f aca="false">F72</f>
        <v>603.44746515164</v>
      </c>
      <c r="G7" s="17" t="n">
        <f aca="false">G72</f>
        <v>687.422066700117</v>
      </c>
    </row>
    <row r="8" customFormat="false" ht="15" hidden="false" customHeight="false" outlineLevel="0" collapsed="false">
      <c r="A8" s="4" t="s">
        <v>348</v>
      </c>
      <c r="B8" s="0" t="s">
        <v>153</v>
      </c>
      <c r="C8" s="17" t="n">
        <f aca="false">C76</f>
        <v>55.4885</v>
      </c>
      <c r="D8" s="17" t="n">
        <f aca="false">D76</f>
        <v>94.5529875</v>
      </c>
      <c r="E8" s="17" t="n">
        <f aca="false">E76</f>
        <v>185.115139180837</v>
      </c>
      <c r="F8" s="17" t="n">
        <f aca="false">F76</f>
        <v>245.321190937636</v>
      </c>
      <c r="G8" s="17" t="n">
        <f aca="false">G76</f>
        <v>291.61003960695</v>
      </c>
    </row>
    <row r="9" customFormat="false" ht="17.15" hidden="false" customHeight="false" outlineLevel="0" collapsed="false">
      <c r="A9" s="4" t="s">
        <v>349</v>
      </c>
      <c r="B9" s="0" t="s">
        <v>153</v>
      </c>
      <c r="C9" s="17" t="n">
        <f aca="false">C77</f>
        <v>399.5172</v>
      </c>
      <c r="D9" s="17" t="n">
        <f aca="false">D77</f>
        <v>465.2006985</v>
      </c>
      <c r="E9" s="17" t="n">
        <f aca="false">E77</f>
        <v>493.11274041</v>
      </c>
      <c r="F9" s="17" t="n">
        <f aca="false">F77</f>
        <v>517.7683774305</v>
      </c>
      <c r="G9" s="17" t="n">
        <f aca="false">G77</f>
        <v>538.47911252772</v>
      </c>
    </row>
    <row r="10" customFormat="false" ht="17.15" hidden="false" customHeight="false" outlineLevel="0" collapsed="false">
      <c r="A10" s="0" t="s">
        <v>350</v>
      </c>
      <c r="B10" s="0" t="s">
        <v>46</v>
      </c>
      <c r="C10" s="12" t="n">
        <f aca="false">C81</f>
        <v>0.28</v>
      </c>
      <c r="D10" s="12" t="n">
        <f aca="false">D81</f>
        <v>0.385</v>
      </c>
      <c r="E10" s="12" t="n">
        <f aca="false">E81</f>
        <v>0.560351461250229</v>
      </c>
      <c r="F10" s="12" t="n">
        <f aca="false">F81</f>
        <v>0.621109150553433</v>
      </c>
      <c r="G10" s="12" t="n">
        <f aca="false">G81</f>
        <v>0.645156420694413</v>
      </c>
    </row>
    <row r="11" customFormat="false" ht="15" hidden="false" customHeight="false" outlineLevel="0" collapsed="false">
      <c r="A11" s="4" t="s">
        <v>274</v>
      </c>
      <c r="B11" s="0" t="s">
        <v>46</v>
      </c>
      <c r="C11" s="12" t="n">
        <f aca="false">C86</f>
        <v>0.342773727889563</v>
      </c>
      <c r="D11" s="12" t="n">
        <f aca="false">D86</f>
        <v>0.361274417690927</v>
      </c>
      <c r="E11" s="12" t="n">
        <f aca="false">E86</f>
        <v>0.372098965707506</v>
      </c>
      <c r="F11" s="12" t="n">
        <f aca="false">F86</f>
        <v>0.375801522648915</v>
      </c>
      <c r="G11" s="12" t="n">
        <f aca="false">G86</f>
        <v>0.376713863339465</v>
      </c>
    </row>
    <row r="12" customFormat="false" ht="15" hidden="false" customHeight="false" outlineLevel="0" collapsed="false">
      <c r="A12" s="4" t="s">
        <v>280</v>
      </c>
      <c r="B12" s="0" t="s">
        <v>46</v>
      </c>
      <c r="C12" s="12" t="n">
        <f aca="false">C90</f>
        <v>0.151202501419213</v>
      </c>
      <c r="D12" s="12" t="n">
        <f aca="false">D90</f>
        <v>0.173649346396027</v>
      </c>
      <c r="E12" s="12" t="n">
        <f aca="false">E90</f>
        <v>0.196691625828319</v>
      </c>
      <c r="F12" s="12" t="n">
        <f aca="false">F90</f>
        <v>0.206681986132083</v>
      </c>
      <c r="G12" s="12" t="n">
        <f aca="false">G90</f>
        <v>0.210959400362726</v>
      </c>
    </row>
    <row r="13" customFormat="false" ht="15" hidden="false" customHeight="false" outlineLevel="0" collapsed="false">
      <c r="A13" s="4" t="s">
        <v>285</v>
      </c>
      <c r="B13" s="0" t="s">
        <v>153</v>
      </c>
      <c r="C13" s="17" t="n">
        <f aca="false">C93</f>
        <v>60.108</v>
      </c>
      <c r="D13" s="17" t="n">
        <f aca="false">D93</f>
        <v>98.429235925</v>
      </c>
      <c r="E13" s="17" t="n">
        <f aca="false">E93</f>
        <v>157.741343356589</v>
      </c>
      <c r="F13" s="17" t="n">
        <f aca="false">F93</f>
        <v>200.402625865529</v>
      </c>
      <c r="G13" s="17" t="n">
        <f aca="false">G93</f>
        <v>226.411947170676</v>
      </c>
    </row>
    <row r="14" customFormat="false" ht="15" hidden="false" customHeight="false" outlineLevel="0" collapsed="false">
      <c r="A14" s="0" t="s">
        <v>290</v>
      </c>
      <c r="B14" s="0" t="s">
        <v>210</v>
      </c>
      <c r="C14" s="13" t="n">
        <f aca="false">C95</f>
        <v>23.14</v>
      </c>
      <c r="D14" s="13" t="n">
        <f aca="false">D95</f>
        <v>37.8855636744147</v>
      </c>
      <c r="E14" s="13" t="n">
        <f aca="false">E95</f>
        <v>60.7148846748884</v>
      </c>
      <c r="F14" s="13" t="n">
        <f aca="false">F95</f>
        <v>77.1352776580889</v>
      </c>
      <c r="G14" s="13" t="n">
        <f aca="false">G95</f>
        <v>87.1463052676629</v>
      </c>
    </row>
    <row r="15" customFormat="false" ht="17.15" hidden="false" customHeight="false" outlineLevel="0" collapsed="false">
      <c r="A15" s="0" t="s">
        <v>351</v>
      </c>
      <c r="B15" s="0" t="s">
        <v>46</v>
      </c>
      <c r="D15" s="12" t="n">
        <f aca="false">D96</f>
        <v>0.637232656629847</v>
      </c>
      <c r="E15" s="12" t="n">
        <f aca="false">E96</f>
        <v>0.602586283172848</v>
      </c>
      <c r="F15" s="12" t="n">
        <f aca="false">F96</f>
        <v>0.270450863427101</v>
      </c>
      <c r="G15" s="12" t="n">
        <f aca="false">G96</f>
        <v>0.129785331867852</v>
      </c>
    </row>
    <row r="17" customFormat="false" ht="17.15" hidden="false" customHeight="false" outlineLevel="0" collapsed="false">
      <c r="A17" s="1" t="s">
        <v>352</v>
      </c>
    </row>
    <row r="18" customFormat="false" ht="15" hidden="false" customHeight="false" outlineLevel="0" collapsed="false">
      <c r="A18" s="4" t="s">
        <v>268</v>
      </c>
      <c r="B18" s="0" t="s">
        <v>153</v>
      </c>
      <c r="C18" s="17" t="n">
        <f aca="false">C117</f>
        <v>554.885</v>
      </c>
      <c r="D18" s="17" t="n">
        <f aca="false">D117</f>
        <v>756.4239</v>
      </c>
      <c r="E18" s="17" t="n">
        <f aca="false">E117</f>
        <v>1121.6066856773</v>
      </c>
      <c r="F18" s="17" t="n">
        <f aca="false">F117</f>
        <v>1196.78330230192</v>
      </c>
      <c r="G18" s="17" t="n">
        <f aca="false">G117</f>
        <v>1370.65640288873</v>
      </c>
    </row>
    <row r="19" customFormat="false" ht="15" hidden="false" customHeight="false" outlineLevel="0" collapsed="false">
      <c r="A19" s="4" t="s">
        <v>346</v>
      </c>
      <c r="B19" s="0" t="s">
        <v>46</v>
      </c>
      <c r="D19" s="12" t="n">
        <f aca="false">D118</f>
        <v>0.363208412553953</v>
      </c>
      <c r="E19" s="12" t="n">
        <f aca="false">E118</f>
        <v>0.482775313785434</v>
      </c>
      <c r="F19" s="12" t="n">
        <f aca="false">F118</f>
        <v>0.0670258278455447</v>
      </c>
      <c r="G19" s="12" t="n">
        <f aca="false">G118</f>
        <v>0.145283695262437</v>
      </c>
    </row>
    <row r="20" customFormat="false" ht="17.15" hidden="false" customHeight="false" outlineLevel="0" collapsed="false">
      <c r="A20" s="0" t="s">
        <v>347</v>
      </c>
      <c r="B20" s="0" t="s">
        <v>153</v>
      </c>
      <c r="C20" s="17" t="n">
        <f aca="false">C111</f>
        <v>99.8793</v>
      </c>
      <c r="D20" s="17" t="n">
        <f aca="false">D111</f>
        <v>196.670214</v>
      </c>
      <c r="E20" s="17" t="n">
        <f aca="false">E111</f>
        <v>443.378806086465</v>
      </c>
      <c r="F20" s="17" t="n">
        <f aca="false">F111</f>
        <v>482.757972121312</v>
      </c>
      <c r="G20" s="17" t="n">
        <f aca="false">G111</f>
        <v>584.308756695099</v>
      </c>
    </row>
    <row r="21" customFormat="false" ht="15" hidden="false" customHeight="false" outlineLevel="0" collapsed="false">
      <c r="A21" s="4" t="s">
        <v>348</v>
      </c>
      <c r="B21" s="0" t="s">
        <v>153</v>
      </c>
      <c r="C21" s="17" t="n">
        <f aca="false">C115</f>
        <v>55.4885</v>
      </c>
      <c r="D21" s="17" t="n">
        <f aca="false">D115</f>
        <v>94.5529875</v>
      </c>
      <c r="E21" s="17" t="n">
        <f aca="false">E115</f>
        <v>185.115139180837</v>
      </c>
      <c r="F21" s="17" t="n">
        <f aca="false">F115</f>
        <v>196.256952750109</v>
      </c>
      <c r="G21" s="17" t="n">
        <f aca="false">G115</f>
        <v>247.868533665907</v>
      </c>
    </row>
    <row r="22" customFormat="false" ht="17.15" hidden="false" customHeight="false" outlineLevel="0" collapsed="false">
      <c r="A22" s="4" t="s">
        <v>349</v>
      </c>
      <c r="B22" s="0" t="s">
        <v>153</v>
      </c>
      <c r="C22" s="17" t="n">
        <f aca="false">C116</f>
        <v>399.5172</v>
      </c>
      <c r="D22" s="17" t="n">
        <f aca="false">D116</f>
        <v>465.2006985</v>
      </c>
      <c r="E22" s="17" t="n">
        <f aca="false">E116</f>
        <v>493.11274041</v>
      </c>
      <c r="F22" s="17" t="n">
        <f aca="false">F116</f>
        <v>517.7683774305</v>
      </c>
      <c r="G22" s="17" t="n">
        <f aca="false">G116</f>
        <v>538.47911252772</v>
      </c>
    </row>
    <row r="23" customFormat="false" ht="17.15" hidden="false" customHeight="false" outlineLevel="0" collapsed="false">
      <c r="A23" s="0" t="s">
        <v>350</v>
      </c>
      <c r="B23" s="0" t="s">
        <v>46</v>
      </c>
      <c r="C23" s="12" t="n">
        <f aca="false">C120</f>
        <v>0.28</v>
      </c>
      <c r="D23" s="12" t="n">
        <f aca="false">D120</f>
        <v>0.385</v>
      </c>
      <c r="E23" s="12" t="n">
        <f aca="false">E120</f>
        <v>0.560351461250229</v>
      </c>
      <c r="F23" s="12" t="n">
        <f aca="false">F120</f>
        <v>0.567366643205489</v>
      </c>
      <c r="G23" s="12" t="n">
        <f aca="false">G120</f>
        <v>0.607137783478888</v>
      </c>
    </row>
    <row r="24" customFormat="false" ht="15" hidden="false" customHeight="false" outlineLevel="0" collapsed="false">
      <c r="A24" s="4" t="s">
        <v>274</v>
      </c>
      <c r="B24" s="0" t="s">
        <v>46</v>
      </c>
      <c r="C24" s="12" t="n">
        <f aca="false">C125</f>
        <v>0.342773727889563</v>
      </c>
      <c r="D24" s="12" t="n">
        <f aca="false">D125</f>
        <v>0.361274417690927</v>
      </c>
      <c r="E24" s="12" t="n">
        <f aca="false">E125</f>
        <v>0.372098965707506</v>
      </c>
      <c r="F24" s="12" t="n">
        <f aca="false">F125</f>
        <v>0.372744785848154</v>
      </c>
      <c r="G24" s="12" t="n">
        <f aca="false">G125</f>
        <v>0.374578296998018</v>
      </c>
    </row>
    <row r="25" customFormat="false" ht="15" hidden="false" customHeight="false" outlineLevel="0" collapsed="false">
      <c r="A25" s="4" t="s">
        <v>280</v>
      </c>
      <c r="B25" s="0" t="s">
        <v>46</v>
      </c>
      <c r="C25" s="12" t="n">
        <f aca="false">C129</f>
        <v>0.151202501419213</v>
      </c>
      <c r="D25" s="12" t="n">
        <f aca="false">D129</f>
        <v>0.173649346396027</v>
      </c>
      <c r="E25" s="12" t="n">
        <f aca="false">E129</f>
        <v>0.196691625828319</v>
      </c>
      <c r="F25" s="12" t="n">
        <f aca="false">F129</f>
        <v>0.199541108121988</v>
      </c>
      <c r="G25" s="12" t="n">
        <f aca="false">G129</f>
        <v>0.205768931429999</v>
      </c>
    </row>
    <row r="26" customFormat="false" ht="15" hidden="false" customHeight="false" outlineLevel="0" collapsed="false">
      <c r="A26" s="4" t="s">
        <v>285</v>
      </c>
      <c r="B26" s="0" t="s">
        <v>153</v>
      </c>
      <c r="C26" s="17" t="n">
        <f aca="false">C132</f>
        <v>60.108</v>
      </c>
      <c r="D26" s="17" t="n">
        <f aca="false">D132</f>
        <v>98.429235925</v>
      </c>
      <c r="E26" s="17" t="n">
        <f aca="false">E132</f>
        <v>157.741343356589</v>
      </c>
      <c r="F26" s="17" t="n">
        <f aca="false">F132</f>
        <v>170.29715176302</v>
      </c>
      <c r="G26" s="17" t="n">
        <f aca="false">G132</f>
        <v>200.126567332269</v>
      </c>
    </row>
    <row r="27" customFormat="false" ht="15" hidden="false" customHeight="false" outlineLevel="0" collapsed="false">
      <c r="A27" s="0" t="s">
        <v>290</v>
      </c>
      <c r="B27" s="0" t="s">
        <v>210</v>
      </c>
      <c r="C27" s="13" t="n">
        <f aca="false">C134</f>
        <v>23.14</v>
      </c>
      <c r="D27" s="13" t="n">
        <f aca="false">D134</f>
        <v>37.8855636744147</v>
      </c>
      <c r="E27" s="13" t="n">
        <f aca="false">E134</f>
        <v>60.7148846748884</v>
      </c>
      <c r="F27" s="13" t="n">
        <f aca="false">F134</f>
        <v>65.5476345626152</v>
      </c>
      <c r="G27" s="13" t="n">
        <f aca="false">G134</f>
        <v>77.02902230579</v>
      </c>
    </row>
    <row r="28" customFormat="false" ht="17.15" hidden="false" customHeight="false" outlineLevel="0" collapsed="false">
      <c r="A28" s="0" t="s">
        <v>351</v>
      </c>
      <c r="B28" s="0" t="s">
        <v>46</v>
      </c>
      <c r="D28" s="12" t="n">
        <f aca="false">D135</f>
        <v>0.637232656629847</v>
      </c>
      <c r="E28" s="12" t="n">
        <f aca="false">E135</f>
        <v>0.602586283172848</v>
      </c>
      <c r="F28" s="12" t="n">
        <f aca="false">F135</f>
        <v>0.0795974481975024</v>
      </c>
      <c r="G28" s="12" t="n">
        <f aca="false">G135</f>
        <v>0.175160977505711</v>
      </c>
    </row>
    <row r="30" customFormat="false" ht="17.15" hidden="false" customHeight="false" outlineLevel="0" collapsed="false">
      <c r="A30" s="1" t="s">
        <v>353</v>
      </c>
    </row>
    <row r="31" customFormat="false" ht="15" hidden="false" customHeight="false" outlineLevel="0" collapsed="false">
      <c r="A31" s="4" t="s">
        <v>268</v>
      </c>
      <c r="B31" s="0" t="s">
        <v>153</v>
      </c>
      <c r="C31" s="17" t="n">
        <f aca="false">C156</f>
        <v>554.885</v>
      </c>
      <c r="D31" s="17" t="n">
        <f aca="false">D156</f>
        <v>756.4239</v>
      </c>
      <c r="E31" s="17" t="n">
        <f aca="false">E156</f>
        <v>1121.6066856773</v>
      </c>
      <c r="F31" s="17" t="n">
        <f aca="false">F156</f>
        <v>1027.02957108407</v>
      </c>
      <c r="G31" s="17" t="n">
        <f aca="false">G156</f>
        <v>1125.89837631196</v>
      </c>
    </row>
    <row r="32" customFormat="false" ht="15" hidden="false" customHeight="false" outlineLevel="0" collapsed="false">
      <c r="A32" s="4" t="s">
        <v>346</v>
      </c>
      <c r="B32" s="0" t="s">
        <v>46</v>
      </c>
      <c r="D32" s="12" t="n">
        <f aca="false">D157</f>
        <v>0.363208412553953</v>
      </c>
      <c r="E32" s="12" t="n">
        <f aca="false">E157</f>
        <v>0.482775313785434</v>
      </c>
      <c r="F32" s="12" t="n">
        <f aca="false">F157</f>
        <v>-0.0843228876940264</v>
      </c>
      <c r="G32" s="12" t="n">
        <f aca="false">G157</f>
        <v>0.0962667561008346</v>
      </c>
    </row>
    <row r="33" customFormat="false" ht="17.15" hidden="false" customHeight="false" outlineLevel="0" collapsed="false">
      <c r="A33" s="0" t="s">
        <v>347</v>
      </c>
      <c r="B33" s="0" t="s">
        <v>153</v>
      </c>
      <c r="C33" s="17" t="n">
        <f aca="false">C150</f>
        <v>99.8793</v>
      </c>
      <c r="D33" s="17" t="n">
        <f aca="false">D150</f>
        <v>196.670214</v>
      </c>
      <c r="E33" s="17" t="n">
        <f aca="false">E150</f>
        <v>443.378806086465</v>
      </c>
      <c r="F33" s="17" t="n">
        <f aca="false">F150</f>
        <v>362.068479090984</v>
      </c>
      <c r="G33" s="17" t="n">
        <f aca="false">G150</f>
        <v>412.45324002007</v>
      </c>
    </row>
    <row r="34" customFormat="false" ht="15" hidden="false" customHeight="false" outlineLevel="0" collapsed="false">
      <c r="A34" s="4" t="s">
        <v>348</v>
      </c>
      <c r="B34" s="0" t="s">
        <v>153</v>
      </c>
      <c r="C34" s="17" t="n">
        <f aca="false">C154</f>
        <v>55.4885</v>
      </c>
      <c r="D34" s="17" t="n">
        <f aca="false">D154</f>
        <v>94.5529875</v>
      </c>
      <c r="E34" s="17" t="n">
        <f aca="false">E154</f>
        <v>185.115139180837</v>
      </c>
      <c r="F34" s="17" t="n">
        <f aca="false">F154</f>
        <v>147.192714562582</v>
      </c>
      <c r="G34" s="17" t="n">
        <f aca="false">G154</f>
        <v>174.96602376417</v>
      </c>
    </row>
    <row r="35" customFormat="false" ht="17.15" hidden="false" customHeight="false" outlineLevel="0" collapsed="false">
      <c r="A35" s="4" t="s">
        <v>349</v>
      </c>
      <c r="B35" s="0" t="s">
        <v>153</v>
      </c>
      <c r="C35" s="17" t="n">
        <f aca="false">C155</f>
        <v>399.5172</v>
      </c>
      <c r="D35" s="17" t="n">
        <f aca="false">D155</f>
        <v>465.2006985</v>
      </c>
      <c r="E35" s="17" t="n">
        <f aca="false">E155</f>
        <v>493.11274041</v>
      </c>
      <c r="F35" s="17" t="n">
        <f aca="false">F155</f>
        <v>517.7683774305</v>
      </c>
      <c r="G35" s="17" t="n">
        <f aca="false">G155</f>
        <v>538.47911252772</v>
      </c>
    </row>
    <row r="36" customFormat="false" ht="17.15" hidden="false" customHeight="false" outlineLevel="0" collapsed="false">
      <c r="A36" s="0" t="s">
        <v>350</v>
      </c>
      <c r="B36" s="0" t="s">
        <v>46</v>
      </c>
      <c r="C36" s="12" t="n">
        <f aca="false">C159</f>
        <v>0.28</v>
      </c>
      <c r="D36" s="12" t="n">
        <f aca="false">D159</f>
        <v>0.385</v>
      </c>
      <c r="E36" s="12" t="n">
        <f aca="false">E159</f>
        <v>0.560351461250229</v>
      </c>
      <c r="F36" s="12" t="n">
        <f aca="false">F159</f>
        <v>0.495858354999479</v>
      </c>
      <c r="G36" s="12" t="n">
        <f aca="false">G159</f>
        <v>0.521733822646068</v>
      </c>
    </row>
    <row r="37" customFormat="false" ht="15" hidden="false" customHeight="false" outlineLevel="0" collapsed="false">
      <c r="A37" s="4" t="s">
        <v>274</v>
      </c>
      <c r="B37" s="0" t="s">
        <v>46</v>
      </c>
      <c r="C37" s="12" t="n">
        <f aca="false">C164</f>
        <v>0.342773727889563</v>
      </c>
      <c r="D37" s="12" t="n">
        <f aca="false">D164</f>
        <v>0.361274417690927</v>
      </c>
      <c r="E37" s="12" t="n">
        <f aca="false">E164</f>
        <v>0.372098965707506</v>
      </c>
      <c r="F37" s="12" t="n">
        <f aca="false">F164</f>
        <v>0.368677576726265</v>
      </c>
      <c r="G37" s="12" t="n">
        <f aca="false">G164</f>
        <v>0.369781022883564</v>
      </c>
    </row>
    <row r="38" customFormat="false" ht="15" hidden="false" customHeight="false" outlineLevel="0" collapsed="false">
      <c r="A38" s="4" t="s">
        <v>280</v>
      </c>
      <c r="B38" s="0" t="s">
        <v>46</v>
      </c>
      <c r="C38" s="12" t="n">
        <f aca="false">C168</f>
        <v>0.151202501419213</v>
      </c>
      <c r="D38" s="12" t="n">
        <f aca="false">D168</f>
        <v>0.173649346396027</v>
      </c>
      <c r="E38" s="12" t="n">
        <f aca="false">E168</f>
        <v>0.196691625828319</v>
      </c>
      <c r="F38" s="12" t="n">
        <f aca="false">F168</f>
        <v>0.177117323093351</v>
      </c>
      <c r="G38" s="12" t="n">
        <f aca="false">G168</f>
        <v>0.18158507526695</v>
      </c>
    </row>
    <row r="39" customFormat="false" ht="15" hidden="false" customHeight="false" outlineLevel="0" collapsed="false">
      <c r="A39" s="4" t="s">
        <v>285</v>
      </c>
      <c r="B39" s="0" t="s">
        <v>153</v>
      </c>
      <c r="C39" s="17" t="n">
        <f aca="false">C171</f>
        <v>60.108</v>
      </c>
      <c r="D39" s="17" t="n">
        <f aca="false">D171</f>
        <v>98.429235925</v>
      </c>
      <c r="E39" s="17" t="n">
        <f aca="false">E171</f>
        <v>157.741343356589</v>
      </c>
      <c r="F39" s="17" t="n">
        <f aca="false">F171</f>
        <v>131.034262574005</v>
      </c>
      <c r="G39" s="17" t="n">
        <f aca="false">G171</f>
        <v>146.587975569825</v>
      </c>
    </row>
    <row r="40" customFormat="false" ht="15" hidden="false" customHeight="false" outlineLevel="0" collapsed="false">
      <c r="A40" s="0" t="s">
        <v>290</v>
      </c>
      <c r="B40" s="0" t="s">
        <v>210</v>
      </c>
      <c r="C40" s="13" t="n">
        <f aca="false">C173</f>
        <v>23.14</v>
      </c>
      <c r="D40" s="13" t="n">
        <f aca="false">D173</f>
        <v>37.8855636744147</v>
      </c>
      <c r="E40" s="13" t="n">
        <f aca="false">E173</f>
        <v>60.7148846748884</v>
      </c>
      <c r="F40" s="13" t="n">
        <f aca="false">F173</f>
        <v>50.4352883736705</v>
      </c>
      <c r="G40" s="13" t="n">
        <f aca="false">G173</f>
        <v>56.4219363298298</v>
      </c>
    </row>
    <row r="41" customFormat="false" ht="17.15" hidden="false" customHeight="false" outlineLevel="0" collapsed="false">
      <c r="A41" s="0" t="s">
        <v>351</v>
      </c>
      <c r="B41" s="0" t="s">
        <v>46</v>
      </c>
      <c r="D41" s="12" t="n">
        <f aca="false">D174</f>
        <v>0.637232656629847</v>
      </c>
      <c r="E41" s="12" t="n">
        <f aca="false">E174</f>
        <v>0.602586283172848</v>
      </c>
      <c r="F41" s="12" t="n">
        <f aca="false">F174</f>
        <v>-0.16930932762637</v>
      </c>
      <c r="G41" s="12" t="n">
        <f aca="false">G174</f>
        <v>0.118699588109913</v>
      </c>
    </row>
    <row r="43" customFormat="false" ht="17.15" hidden="false" customHeight="false" outlineLevel="0" collapsed="false">
      <c r="A43" s="1" t="s">
        <v>354</v>
      </c>
    </row>
    <row r="44" customFormat="false" ht="17.15" hidden="false" customHeight="false" outlineLevel="0" collapsed="false">
      <c r="A44" s="4" t="s">
        <v>355</v>
      </c>
      <c r="D44" s="19" t="n">
        <f aca="false">D78-a26_rev</f>
        <v>0</v>
      </c>
    </row>
    <row r="45" customFormat="false" ht="17.15" hidden="false" customHeight="false" outlineLevel="0" collapsed="false">
      <c r="A45" s="4" t="s">
        <v>356</v>
      </c>
      <c r="D45" s="19" t="n">
        <f aca="false">D72-a26_aip</f>
        <v>0</v>
      </c>
    </row>
    <row r="46" customFormat="false" ht="17.15" hidden="false" customHeight="false" outlineLevel="0" collapsed="false">
      <c r="A46" s="4" t="s">
        <v>357</v>
      </c>
      <c r="D46" s="19" t="n">
        <f aca="false">D84*D78+d_ai*D72-a26_gp</f>
        <v>0</v>
      </c>
    </row>
    <row r="60" customFormat="false" ht="17.15" hidden="false" customHeight="false" outlineLevel="0" collapsed="false">
      <c r="A60" s="1" t="s">
        <v>358</v>
      </c>
    </row>
    <row r="61" customFormat="false" ht="17.15" hidden="false" customHeight="false" outlineLevel="0" collapsed="false">
      <c r="A61" s="5" t="s">
        <v>15</v>
      </c>
      <c r="B61" s="5" t="s">
        <v>16</v>
      </c>
      <c r="C61" s="9" t="s">
        <v>262</v>
      </c>
      <c r="D61" s="9" t="s">
        <v>341</v>
      </c>
      <c r="E61" s="9" t="s">
        <v>342</v>
      </c>
      <c r="F61" s="9" t="s">
        <v>343</v>
      </c>
      <c r="G61" s="9" t="s">
        <v>344</v>
      </c>
      <c r="H61" s="5" t="s">
        <v>317</v>
      </c>
    </row>
    <row r="62" customFormat="false" ht="17.15" hidden="false" customHeight="false" outlineLevel="0" collapsed="false">
      <c r="A62" s="6" t="s">
        <v>359</v>
      </c>
    </row>
    <row r="63" customFormat="false" ht="17.15" hidden="false" customHeight="false" outlineLevel="0" collapsed="false">
      <c r="A63" s="0" t="s">
        <v>360</v>
      </c>
      <c r="B63" s="0" t="s">
        <v>26</v>
      </c>
      <c r="D63" s="18" t="n">
        <f aca="false">itc_26*1</f>
        <v>781.872916666667</v>
      </c>
      <c r="E63" s="18" t="n">
        <f aca="false">itc_27*1*1</f>
        <v>1565.35</v>
      </c>
      <c r="F63" s="18" t="n">
        <f aca="false">itc_28*um28_A*1</f>
        <v>1984.26388888889</v>
      </c>
      <c r="G63" s="18" t="n">
        <f aca="false">itc_29*um29_A*1</f>
        <v>2260.39027777778</v>
      </c>
    </row>
    <row r="64" customFormat="false" ht="17.15" hidden="false" customHeight="false" outlineLevel="0" collapsed="false">
      <c r="A64" s="4" t="s">
        <v>361</v>
      </c>
      <c r="B64" s="0" t="s">
        <v>26</v>
      </c>
      <c r="D64" s="18" t="n">
        <f aca="false">itpg_gb*(1-vr26)+itpg_vr*vr26</f>
        <v>33.41403216</v>
      </c>
      <c r="E64" s="18" t="n">
        <f aca="false">itpg_vr</f>
        <v>37.586352</v>
      </c>
      <c r="F64" s="18" t="n">
        <f aca="false">itpg_vr</f>
        <v>37.586352</v>
      </c>
      <c r="G64" s="18" t="n">
        <f aca="false">itpg_vr</f>
        <v>37.586352</v>
      </c>
    </row>
    <row r="65" customFormat="false" ht="17.15" hidden="false" customHeight="false" outlineLevel="0" collapsed="false">
      <c r="A65" s="4" t="s">
        <v>362</v>
      </c>
      <c r="B65" s="0" t="s">
        <v>319</v>
      </c>
      <c r="D65" s="15" t="n">
        <f aca="false">D63/D64</f>
        <v>23.3995380420639</v>
      </c>
      <c r="E65" s="15" t="n">
        <f aca="false">E63/E64</f>
        <v>41.6467658260637</v>
      </c>
      <c r="F65" s="15" t="n">
        <f aca="false">F63/F64</f>
        <v>52.792138191248</v>
      </c>
      <c r="G65" s="15" t="n">
        <f aca="false">G63/G64</f>
        <v>60.1385917361116</v>
      </c>
    </row>
    <row r="66" customFormat="false" ht="17.15" hidden="false" customHeight="false" outlineLevel="0" collapsed="false">
      <c r="A66" s="0" t="s">
        <v>321</v>
      </c>
      <c r="B66" s="0" t="s">
        <v>89</v>
      </c>
      <c r="D66" s="16" t="n">
        <f aca="false">pkw_26</f>
        <v>450</v>
      </c>
      <c r="E66" s="16" t="n">
        <f aca="false">pkw_27</f>
        <v>600</v>
      </c>
      <c r="F66" s="16" t="n">
        <f aca="false">pkw_28</f>
        <v>680</v>
      </c>
      <c r="G66" s="16" t="n">
        <f aca="false">pkw_29</f>
        <v>720</v>
      </c>
    </row>
    <row r="67" customFormat="false" ht="17.15" hidden="false" customHeight="false" outlineLevel="0" collapsed="false">
      <c r="A67" s="0" t="s">
        <v>363</v>
      </c>
      <c r="B67" s="0" t="s">
        <v>26</v>
      </c>
      <c r="D67" s="18" t="n">
        <f aca="false">D65*D66/1000</f>
        <v>10.5297921189288</v>
      </c>
      <c r="E67" s="18" t="n">
        <f aca="false">E65*E66/1000</f>
        <v>24.9880594956382</v>
      </c>
      <c r="F67" s="18" t="n">
        <f aca="false">F65*F66/1000</f>
        <v>35.8986539700486</v>
      </c>
      <c r="G67" s="18" t="n">
        <f aca="false">G65*G66/1000</f>
        <v>43.2997860500003</v>
      </c>
    </row>
    <row r="68" customFormat="false" ht="17.15" hidden="false" customHeight="false" outlineLevel="0" collapsed="false">
      <c r="A68" s="0" t="s">
        <v>364</v>
      </c>
      <c r="B68" s="0" t="s">
        <v>153</v>
      </c>
      <c r="D68" s="17" t="n">
        <f aca="false">D67*fx</f>
        <v>336.95334780572</v>
      </c>
      <c r="E68" s="17" t="n">
        <f aca="false">E67*fx</f>
        <v>799.617903860422</v>
      </c>
      <c r="F68" s="17" t="n">
        <f aca="false">F67*fx</f>
        <v>1148.75692704156</v>
      </c>
      <c r="G68" s="17" t="n">
        <f aca="false">G67*fx</f>
        <v>1385.59315360001</v>
      </c>
    </row>
    <row r="69" customFormat="false" ht="17.15" hidden="false" customHeight="false" outlineLevel="0" collapsed="false">
      <c r="A69" s="4" t="s">
        <v>365</v>
      </c>
      <c r="B69" s="0" t="s">
        <v>46</v>
      </c>
      <c r="D69" s="12" t="n">
        <f aca="false">a26_aip/D68</f>
        <v>0.583671939396772</v>
      </c>
      <c r="H69" s="8" t="s">
        <v>366</v>
      </c>
    </row>
    <row r="70" customFormat="false" ht="17.15" hidden="false" customHeight="false" outlineLevel="0" collapsed="false">
      <c r="A70" s="4" t="s">
        <v>367</v>
      </c>
      <c r="B70" s="0" t="s">
        <v>62</v>
      </c>
      <c r="D70" s="13" t="n">
        <f aca="false">1</f>
        <v>1</v>
      </c>
      <c r="E70" s="13" t="n">
        <f aca="false">rel_27</f>
        <v>0.95</v>
      </c>
      <c r="F70" s="13" t="n">
        <f aca="false">rel_28</f>
        <v>0.9</v>
      </c>
      <c r="G70" s="13" t="n">
        <f aca="false">rel_29</f>
        <v>0.85</v>
      </c>
    </row>
    <row r="71" customFormat="false" ht="15" hidden="false" customHeight="false" outlineLevel="0" collapsed="false">
      <c r="A71" s="4" t="s">
        <v>328</v>
      </c>
      <c r="B71" s="0" t="s">
        <v>46</v>
      </c>
      <c r="D71" s="12" t="n">
        <f aca="false">$D$69*D70</f>
        <v>0.583671939396772</v>
      </c>
      <c r="E71" s="12" t="n">
        <f aca="false">$D$69*E70</f>
        <v>0.554488342426934</v>
      </c>
      <c r="F71" s="12" t="n">
        <f aca="false">$D$69*F70</f>
        <v>0.525304745457095</v>
      </c>
      <c r="G71" s="12" t="n">
        <f aca="false">$D$69*G70</f>
        <v>0.496121148487257</v>
      </c>
    </row>
    <row r="72" customFormat="false" ht="17.15" hidden="false" customHeight="false" outlineLevel="0" collapsed="false">
      <c r="A72" s="0" t="s">
        <v>368</v>
      </c>
      <c r="B72" s="0" t="s">
        <v>153</v>
      </c>
      <c r="C72" s="17" t="n">
        <f aca="false">a25_aip</f>
        <v>99.8793</v>
      </c>
      <c r="D72" s="17" t="n">
        <f aca="false">D68*D71</f>
        <v>196.670214</v>
      </c>
      <c r="E72" s="17" t="n">
        <f aca="false">E68*E71</f>
        <v>443.378806086465</v>
      </c>
      <c r="F72" s="17" t="n">
        <f aca="false">F68*F71</f>
        <v>603.44746515164</v>
      </c>
      <c r="G72" s="17" t="n">
        <f aca="false">G68*G71</f>
        <v>687.422066700117</v>
      </c>
    </row>
    <row r="73" customFormat="false" ht="17.15" hidden="false" customHeight="false" outlineLevel="0" collapsed="false">
      <c r="A73" s="6" t="s">
        <v>369</v>
      </c>
    </row>
    <row r="74" customFormat="false" ht="17.15" hidden="false" customHeight="false" outlineLevel="0" collapsed="false">
      <c r="A74" s="4" t="s">
        <v>370</v>
      </c>
      <c r="B74" s="0" t="s">
        <v>371</v>
      </c>
      <c r="D74" s="20" t="n">
        <f aca="false">a26_lc/D65</f>
        <v>4.04080573428535</v>
      </c>
    </row>
    <row r="75" customFormat="false" ht="17.15" hidden="false" customHeight="false" outlineLevel="0" collapsed="false">
      <c r="A75" s="4" t="s">
        <v>372</v>
      </c>
      <c r="B75" s="0" t="s">
        <v>62</v>
      </c>
      <c r="D75" s="13" t="n">
        <f aca="false">1</f>
        <v>1</v>
      </c>
      <c r="E75" s="13" t="n">
        <f aca="false">lcr_27</f>
        <v>1.1</v>
      </c>
      <c r="F75" s="13" t="n">
        <f aca="false">lcr_28</f>
        <v>1.15</v>
      </c>
      <c r="G75" s="13" t="n">
        <f aca="false">lcr_29</f>
        <v>1.2</v>
      </c>
    </row>
    <row r="76" customFormat="false" ht="15" hidden="false" customHeight="false" outlineLevel="0" collapsed="false">
      <c r="A76" s="4" t="s">
        <v>373</v>
      </c>
      <c r="B76" s="0" t="s">
        <v>153</v>
      </c>
      <c r="C76" s="17" t="n">
        <f aca="false">a25_lc</f>
        <v>55.4885</v>
      </c>
      <c r="D76" s="17" t="n">
        <f aca="false">D65*$D$74*D75</f>
        <v>94.5529875</v>
      </c>
      <c r="E76" s="17" t="n">
        <f aca="false">E65*$D$74*E75</f>
        <v>185.115139180837</v>
      </c>
      <c r="F76" s="17" t="n">
        <f aca="false">F65*$D$74*F75</f>
        <v>245.321190937636</v>
      </c>
      <c r="G76" s="17" t="n">
        <f aca="false">G65*$D$74*G75</f>
        <v>291.61003960695</v>
      </c>
    </row>
    <row r="77" customFormat="false" ht="17.15" hidden="false" customHeight="false" outlineLevel="0" collapsed="false">
      <c r="A77" s="4" t="s">
        <v>374</v>
      </c>
      <c r="B77" s="0" t="s">
        <v>153</v>
      </c>
      <c r="C77" s="17" t="n">
        <f aca="false">a25_nai</f>
        <v>399.5172</v>
      </c>
      <c r="D77" s="17" t="n">
        <f aca="false">a26_nai</f>
        <v>465.2006985</v>
      </c>
      <c r="E77" s="17" t="n">
        <f aca="false">D77*(1+g_nai27)</f>
        <v>493.11274041</v>
      </c>
      <c r="F77" s="17" t="n">
        <f aca="false">E77*(1+g_nai28)</f>
        <v>517.7683774305</v>
      </c>
      <c r="G77" s="17" t="n">
        <f aca="false">F77*(1+g_nai29)</f>
        <v>538.47911252772</v>
      </c>
    </row>
    <row r="78" customFormat="false" ht="15" hidden="false" customHeight="false" outlineLevel="0" collapsed="false">
      <c r="A78" s="4" t="s">
        <v>268</v>
      </c>
      <c r="B78" s="0" t="s">
        <v>153</v>
      </c>
      <c r="C78" s="17" t="n">
        <f aca="false">C72+C76+C77</f>
        <v>554.885</v>
      </c>
      <c r="D78" s="17" t="n">
        <f aca="false">D72+D76+D77</f>
        <v>756.4239</v>
      </c>
      <c r="E78" s="17" t="n">
        <f aca="false">E72+E76+E77</f>
        <v>1121.6066856773</v>
      </c>
      <c r="F78" s="17" t="n">
        <f aca="false">F72+F76+F77</f>
        <v>1366.53703351978</v>
      </c>
      <c r="G78" s="17" t="n">
        <f aca="false">G72+G76+G77</f>
        <v>1517.51121883479</v>
      </c>
    </row>
    <row r="79" customFormat="false" ht="15" hidden="false" customHeight="false" outlineLevel="0" collapsed="false">
      <c r="A79" s="4" t="s">
        <v>375</v>
      </c>
      <c r="B79" s="0" t="s">
        <v>46</v>
      </c>
      <c r="D79" s="12" t="n">
        <f aca="false">D78/C78-1</f>
        <v>0.363208412553953</v>
      </c>
      <c r="E79" s="12" t="n">
        <f aca="false">E78/D78-1</f>
        <v>0.482775313785434</v>
      </c>
      <c r="F79" s="12" t="n">
        <f aca="false">F78/E78-1</f>
        <v>0.218374543385116</v>
      </c>
      <c r="G79" s="12" t="n">
        <f aca="false">G78/F78-1</f>
        <v>0.110479395443933</v>
      </c>
    </row>
    <row r="80" customFormat="false" ht="17.15" hidden="false" customHeight="false" outlineLevel="0" collapsed="false">
      <c r="A80" s="0" t="s">
        <v>376</v>
      </c>
      <c r="B80" s="0" t="s">
        <v>46</v>
      </c>
      <c r="C80" s="12" t="n">
        <f aca="false">C72/C78</f>
        <v>0.18</v>
      </c>
      <c r="D80" s="12" t="n">
        <f aca="false">D72/D78</f>
        <v>0.26</v>
      </c>
      <c r="E80" s="12" t="n">
        <f aca="false">E72/E78</f>
        <v>0.39530685020723</v>
      </c>
      <c r="F80" s="12" t="n">
        <f aca="false">F72/F78</f>
        <v>0.441588811974854</v>
      </c>
      <c r="G80" s="12" t="n">
        <f aca="false">G72/G78</f>
        <v>0.45299307060672</v>
      </c>
    </row>
    <row r="81" customFormat="false" ht="17.15" hidden="false" customHeight="false" outlineLevel="0" collapsed="false">
      <c r="A81" s="0" t="s">
        <v>377</v>
      </c>
      <c r="B81" s="0" t="s">
        <v>46</v>
      </c>
      <c r="C81" s="12" t="n">
        <f aca="false">(C72+C76)/C78</f>
        <v>0.28</v>
      </c>
      <c r="D81" s="12" t="n">
        <f aca="false">(D72+D76)/D78</f>
        <v>0.385</v>
      </c>
      <c r="E81" s="12" t="n">
        <f aca="false">(E72+E76)/E78</f>
        <v>0.560351461250229</v>
      </c>
      <c r="F81" s="12" t="n">
        <f aca="false">(F72+F76)/F78</f>
        <v>0.621109150553433</v>
      </c>
      <c r="G81" s="12" t="n">
        <f aca="false">(G72+G76)/G78</f>
        <v>0.645156420694413</v>
      </c>
    </row>
    <row r="82" customFormat="false" ht="17.15" hidden="false" customHeight="false" outlineLevel="0" collapsed="false">
      <c r="A82" s="4" t="s">
        <v>335</v>
      </c>
      <c r="B82" s="0" t="s">
        <v>336</v>
      </c>
      <c r="D82" s="16" t="n">
        <f aca="false">(D72+D76)/fx/D65*1000</f>
        <v>388.927551924965</v>
      </c>
      <c r="E82" s="16" t="n">
        <f aca="false">(E72+E76)/fx/E65*1000</f>
        <v>471.595702572219</v>
      </c>
      <c r="F82" s="16" t="n">
        <f aca="false">(F72+F76)/fx/F65*1000</f>
        <v>502.423682986704</v>
      </c>
      <c r="G82" s="16" t="n">
        <f aca="false">(G72+G76)/fx/G65*1000</f>
        <v>508.737441946525</v>
      </c>
    </row>
    <row r="83" customFormat="false" ht="17.15" hidden="false" customHeight="false" outlineLevel="0" collapsed="false">
      <c r="A83" s="6" t="s">
        <v>378</v>
      </c>
    </row>
    <row r="84" customFormat="false" ht="17.15" hidden="false" customHeight="false" outlineLevel="0" collapsed="false">
      <c r="A84" s="4" t="s">
        <v>379</v>
      </c>
      <c r="B84" s="0" t="s">
        <v>46</v>
      </c>
      <c r="D84" s="12" t="n">
        <f aca="false">a26_gp/D78-d_ai*D80</f>
        <v>0.340474417690927</v>
      </c>
      <c r="H84" s="8" t="s">
        <v>380</v>
      </c>
    </row>
    <row r="85" customFormat="false" ht="15" hidden="false" customHeight="false" outlineLevel="0" collapsed="false">
      <c r="A85" s="4" t="s">
        <v>272</v>
      </c>
      <c r="B85" s="0" t="s">
        <v>153</v>
      </c>
      <c r="C85" s="17" t="n">
        <f aca="false">a25_gp</f>
        <v>190.2</v>
      </c>
      <c r="D85" s="17" t="n">
        <f aca="false">a26_gp</f>
        <v>273.276604</v>
      </c>
      <c r="E85" s="17" t="n">
        <f aca="false">$D$84*E78+d_ai*E72</f>
        <v>417.348687671147</v>
      </c>
      <c r="F85" s="17" t="n">
        <f aca="false">$D$84*F78+d_ai*F72</f>
        <v>513.546697952864</v>
      </c>
      <c r="G85" s="17" t="n">
        <f aca="false">$D$84*G78+d_ai*G72</f>
        <v>571.667513908232</v>
      </c>
    </row>
    <row r="86" customFormat="false" ht="15" hidden="false" customHeight="false" outlineLevel="0" collapsed="false">
      <c r="A86" s="4" t="s">
        <v>274</v>
      </c>
      <c r="B86" s="0" t="s">
        <v>46</v>
      </c>
      <c r="C86" s="12" t="n">
        <f aca="false">C85/C78</f>
        <v>0.342773727889563</v>
      </c>
      <c r="D86" s="12" t="n">
        <f aca="false">D85/D78</f>
        <v>0.361274417690927</v>
      </c>
      <c r="E86" s="12" t="n">
        <f aca="false">E85/E78</f>
        <v>0.372098965707506</v>
      </c>
      <c r="F86" s="12" t="n">
        <f aca="false">F85/F78</f>
        <v>0.375801522648915</v>
      </c>
      <c r="G86" s="12" t="n">
        <f aca="false">G85/G78</f>
        <v>0.376713863339465</v>
      </c>
    </row>
    <row r="87" customFormat="false" ht="15" hidden="false" customHeight="false" outlineLevel="0" collapsed="false">
      <c r="A87" s="4" t="s">
        <v>381</v>
      </c>
      <c r="B87" s="0" t="s">
        <v>153</v>
      </c>
      <c r="C87" s="17" t="n">
        <f aca="false">a25_opx</f>
        <v>106.3</v>
      </c>
      <c r="D87" s="17" t="n">
        <f aca="false">a26_opx</f>
        <v>141.924088166667</v>
      </c>
      <c r="E87" s="17" t="n">
        <f aca="false">D87*(1+MAX(0,phi*E79))</f>
        <v>196.738045125366</v>
      </c>
      <c r="F87" s="17" t="n">
        <f aca="false">E87*(1+MAX(0,phi*F79))</f>
        <v>231.108109741952</v>
      </c>
      <c r="G87" s="17" t="n">
        <f aca="false">F87*(1+MAX(0,phi*G79))</f>
        <v>251.534257139136</v>
      </c>
    </row>
    <row r="88" customFormat="false" ht="15" hidden="false" customHeight="false" outlineLevel="0" collapsed="false">
      <c r="A88" s="4" t="s">
        <v>276</v>
      </c>
      <c r="B88" s="0" t="s">
        <v>153</v>
      </c>
      <c r="C88" s="17" t="n">
        <f aca="false">C87</f>
        <v>106.3</v>
      </c>
      <c r="D88" s="17" t="n">
        <f aca="false">D87</f>
        <v>141.924088166667</v>
      </c>
      <c r="E88" s="17" t="n">
        <f aca="false">E87+0*E78</f>
        <v>196.738045125366</v>
      </c>
      <c r="F88" s="17" t="n">
        <f aca="false">F87+0*F78</f>
        <v>231.108109741952</v>
      </c>
      <c r="G88" s="17" t="n">
        <f aca="false">G87+0*G78</f>
        <v>251.534257139136</v>
      </c>
    </row>
    <row r="89" customFormat="false" ht="15" hidden="false" customHeight="false" outlineLevel="0" collapsed="false">
      <c r="A89" s="4" t="s">
        <v>278</v>
      </c>
      <c r="B89" s="0" t="s">
        <v>153</v>
      </c>
      <c r="C89" s="17" t="n">
        <f aca="false">C85-C88</f>
        <v>83.9</v>
      </c>
      <c r="D89" s="17" t="n">
        <f aca="false">D85-D88</f>
        <v>131.352515833333</v>
      </c>
      <c r="E89" s="17" t="n">
        <f aca="false">E85-E88</f>
        <v>220.610642545781</v>
      </c>
      <c r="F89" s="17" t="n">
        <f aca="false">F85-F88</f>
        <v>282.438588210912</v>
      </c>
      <c r="G89" s="17" t="n">
        <f aca="false">G85-G88</f>
        <v>320.133256769096</v>
      </c>
    </row>
    <row r="90" customFormat="false" ht="15" hidden="false" customHeight="false" outlineLevel="0" collapsed="false">
      <c r="A90" s="4" t="s">
        <v>280</v>
      </c>
      <c r="B90" s="0" t="s">
        <v>46</v>
      </c>
      <c r="C90" s="12" t="n">
        <f aca="false">C89/C78</f>
        <v>0.151202501419213</v>
      </c>
      <c r="D90" s="12" t="n">
        <f aca="false">D89/D78</f>
        <v>0.173649346396027</v>
      </c>
      <c r="E90" s="12" t="n">
        <f aca="false">E89/E78</f>
        <v>0.196691625828319</v>
      </c>
      <c r="F90" s="12" t="n">
        <f aca="false">F89/F78</f>
        <v>0.206681986132083</v>
      </c>
      <c r="G90" s="12" t="n">
        <f aca="false">G89/G78</f>
        <v>0.210959400362726</v>
      </c>
    </row>
    <row r="91" customFormat="false" ht="15" hidden="false" customHeight="false" outlineLevel="0" collapsed="false">
      <c r="A91" s="4" t="s">
        <v>282</v>
      </c>
      <c r="B91" s="0" t="s">
        <v>153</v>
      </c>
      <c r="C91" s="17" t="n">
        <f aca="false">a25_nop</f>
        <v>3.934</v>
      </c>
      <c r="D91" s="17" t="n">
        <f aca="false">a26_nop</f>
        <v>11.1666666666667</v>
      </c>
      <c r="E91" s="17" t="n">
        <f aca="false">nop_f</f>
        <v>8</v>
      </c>
      <c r="F91" s="17" t="n">
        <f aca="false">nop_f</f>
        <v>8</v>
      </c>
      <c r="G91" s="17" t="n">
        <f aca="false">nop_f</f>
        <v>8</v>
      </c>
    </row>
    <row r="92" customFormat="false" ht="17.15" hidden="false" customHeight="false" outlineLevel="0" collapsed="false">
      <c r="A92" s="4" t="s">
        <v>195</v>
      </c>
      <c r="B92" s="0" t="s">
        <v>46</v>
      </c>
      <c r="C92" s="12" t="n">
        <f aca="false">a25_ni/(a25_oi+a25_nop)</f>
        <v>0.684336361773345</v>
      </c>
      <c r="D92" s="12" t="n">
        <f aca="false">a26_ni/(a26_oi+a26_nop)</f>
        <v>0.690638510538748</v>
      </c>
      <c r="E92" s="12" t="n">
        <f aca="false">nir_f</f>
        <v>0.69</v>
      </c>
      <c r="F92" s="12" t="n">
        <f aca="false">nir_f</f>
        <v>0.69</v>
      </c>
      <c r="G92" s="12" t="n">
        <f aca="false">nir_f</f>
        <v>0.69</v>
      </c>
    </row>
    <row r="93" customFormat="false" ht="15" hidden="false" customHeight="false" outlineLevel="0" collapsed="false">
      <c r="A93" s="4" t="s">
        <v>285</v>
      </c>
      <c r="B93" s="0" t="s">
        <v>153</v>
      </c>
      <c r="C93" s="17" t="n">
        <f aca="false">a25_ni</f>
        <v>60.108</v>
      </c>
      <c r="D93" s="17" t="n">
        <f aca="false">a26_ni</f>
        <v>98.429235925</v>
      </c>
      <c r="E93" s="17" t="n">
        <f aca="false">(E89+E91)*E92</f>
        <v>157.741343356589</v>
      </c>
      <c r="F93" s="17" t="n">
        <f aca="false">(F89+F91)*F92</f>
        <v>200.402625865529</v>
      </c>
      <c r="G93" s="17" t="n">
        <f aca="false">(G89+G91)*G92</f>
        <v>226.411947170676</v>
      </c>
    </row>
    <row r="94" customFormat="false" ht="15" hidden="false" customHeight="false" outlineLevel="0" collapsed="false">
      <c r="A94" s="4" t="s">
        <v>382</v>
      </c>
      <c r="B94" s="4" t="s">
        <v>179</v>
      </c>
      <c r="C94" s="20" t="n">
        <f aca="false">a25_sh</f>
        <v>2.59757994814175</v>
      </c>
      <c r="D94" s="20" t="n">
        <f aca="false">a26_sh</f>
        <v>2.59806708357021</v>
      </c>
      <c r="E94" s="20" t="n">
        <f aca="false">D94*(1+sh_g)</f>
        <v>2.59806708357021</v>
      </c>
      <c r="F94" s="20" t="n">
        <f aca="false">E94*(1+sh_g)</f>
        <v>2.59806708357021</v>
      </c>
      <c r="G94" s="20" t="n">
        <f aca="false">F94*(1+sh_g)</f>
        <v>2.59806708357021</v>
      </c>
    </row>
    <row r="95" customFormat="false" ht="15" hidden="false" customHeight="false" outlineLevel="0" collapsed="false">
      <c r="A95" s="0" t="s">
        <v>290</v>
      </c>
      <c r="B95" s="0" t="s">
        <v>210</v>
      </c>
      <c r="C95" s="18" t="n">
        <f aca="false">C93/C94</f>
        <v>23.14</v>
      </c>
      <c r="D95" s="18" t="n">
        <f aca="false">D93/D94</f>
        <v>37.8855636744147</v>
      </c>
      <c r="E95" s="18" t="n">
        <f aca="false">E93/E94</f>
        <v>60.7148846748884</v>
      </c>
      <c r="F95" s="18" t="n">
        <f aca="false">F93/F94</f>
        <v>77.1352776580889</v>
      </c>
      <c r="G95" s="18" t="n">
        <f aca="false">G93/G94</f>
        <v>87.1463052676629</v>
      </c>
    </row>
    <row r="96" customFormat="false" ht="17.15" hidden="false" customHeight="false" outlineLevel="0" collapsed="false">
      <c r="A96" s="0" t="s">
        <v>383</v>
      </c>
      <c r="B96" s="0" t="s">
        <v>46</v>
      </c>
      <c r="D96" s="12" t="n">
        <f aca="false">D95/C95-1</f>
        <v>0.637232656629847</v>
      </c>
      <c r="E96" s="12" t="n">
        <f aca="false">E95/D95-1</f>
        <v>0.602586283172848</v>
      </c>
      <c r="F96" s="12" t="n">
        <f aca="false">F95/E95-1</f>
        <v>0.270450863427101</v>
      </c>
      <c r="G96" s="12" t="n">
        <f aca="false">G95/F95-1</f>
        <v>0.129785331867852</v>
      </c>
    </row>
    <row r="99" customFormat="false" ht="17.15" hidden="false" customHeight="false" outlineLevel="0" collapsed="false">
      <c r="A99" s="1" t="s">
        <v>384</v>
      </c>
    </row>
    <row r="100" customFormat="false" ht="17.15" hidden="false" customHeight="false" outlineLevel="0" collapsed="false">
      <c r="A100" s="5" t="s">
        <v>15</v>
      </c>
      <c r="B100" s="5" t="s">
        <v>16</v>
      </c>
      <c r="C100" s="9" t="s">
        <v>262</v>
      </c>
      <c r="D100" s="9" t="s">
        <v>341</v>
      </c>
      <c r="E100" s="9" t="s">
        <v>342</v>
      </c>
      <c r="F100" s="9" t="s">
        <v>343</v>
      </c>
      <c r="G100" s="9" t="s">
        <v>344</v>
      </c>
      <c r="H100" s="5" t="s">
        <v>317</v>
      </c>
    </row>
    <row r="101" customFormat="false" ht="17.15" hidden="false" customHeight="false" outlineLevel="0" collapsed="false">
      <c r="A101" s="6" t="s">
        <v>359</v>
      </c>
    </row>
    <row r="102" customFormat="false" ht="17.15" hidden="false" customHeight="false" outlineLevel="0" collapsed="false">
      <c r="A102" s="0" t="s">
        <v>360</v>
      </c>
      <c r="B102" s="0" t="s">
        <v>26</v>
      </c>
      <c r="D102" s="18" t="n">
        <f aca="false">itc_26*1</f>
        <v>781.872916666667</v>
      </c>
      <c r="E102" s="18" t="n">
        <f aca="false">itc_27*1*1</f>
        <v>1565.35</v>
      </c>
      <c r="F102" s="18" t="n">
        <f aca="false">itc_28*um28_B*1</f>
        <v>1587.41111111111</v>
      </c>
      <c r="G102" s="18" t="n">
        <f aca="false">itc_29*um29_B*1</f>
        <v>1921.33173611111</v>
      </c>
    </row>
    <row r="103" customFormat="false" ht="17.15" hidden="false" customHeight="false" outlineLevel="0" collapsed="false">
      <c r="A103" s="4" t="s">
        <v>361</v>
      </c>
      <c r="B103" s="0" t="s">
        <v>26</v>
      </c>
      <c r="D103" s="18" t="n">
        <f aca="false">itpg_gb*(1-vr26)+itpg_vr*vr26</f>
        <v>33.41403216</v>
      </c>
      <c r="E103" s="18" t="n">
        <f aca="false">itpg_vr</f>
        <v>37.586352</v>
      </c>
      <c r="F103" s="18" t="n">
        <f aca="false">itpg_vr</f>
        <v>37.586352</v>
      </c>
      <c r="G103" s="18" t="n">
        <f aca="false">itpg_vr</f>
        <v>37.586352</v>
      </c>
    </row>
    <row r="104" customFormat="false" ht="17.15" hidden="false" customHeight="false" outlineLevel="0" collapsed="false">
      <c r="A104" s="4" t="s">
        <v>362</v>
      </c>
      <c r="B104" s="0" t="s">
        <v>319</v>
      </c>
      <c r="D104" s="15" t="n">
        <f aca="false">D102/D103</f>
        <v>23.3995380420639</v>
      </c>
      <c r="E104" s="15" t="n">
        <f aca="false">E102/E103</f>
        <v>41.6467658260637</v>
      </c>
      <c r="F104" s="15" t="n">
        <f aca="false">F102/F103</f>
        <v>42.2337105529984</v>
      </c>
      <c r="G104" s="15" t="n">
        <f aca="false">G102/G103</f>
        <v>51.1178029756948</v>
      </c>
    </row>
    <row r="105" customFormat="false" ht="17.15" hidden="false" customHeight="false" outlineLevel="0" collapsed="false">
      <c r="A105" s="0" t="s">
        <v>321</v>
      </c>
      <c r="B105" s="0" t="s">
        <v>89</v>
      </c>
      <c r="D105" s="16" t="n">
        <f aca="false">pkw_26</f>
        <v>450</v>
      </c>
      <c r="E105" s="16" t="n">
        <f aca="false">pkw_27</f>
        <v>600</v>
      </c>
      <c r="F105" s="16" t="n">
        <f aca="false">pkw_28</f>
        <v>680</v>
      </c>
      <c r="G105" s="16" t="n">
        <f aca="false">pkw_29</f>
        <v>720</v>
      </c>
    </row>
    <row r="106" customFormat="false" ht="17.15" hidden="false" customHeight="false" outlineLevel="0" collapsed="false">
      <c r="A106" s="0" t="s">
        <v>363</v>
      </c>
      <c r="B106" s="0" t="s">
        <v>26</v>
      </c>
      <c r="D106" s="18" t="n">
        <f aca="false">D104*D105/1000</f>
        <v>10.5297921189288</v>
      </c>
      <c r="E106" s="18" t="n">
        <f aca="false">E104*E105/1000</f>
        <v>24.9880594956382</v>
      </c>
      <c r="F106" s="18" t="n">
        <f aca="false">F104*F105/1000</f>
        <v>28.7189231760389</v>
      </c>
      <c r="G106" s="18" t="n">
        <f aca="false">G104*G105/1000</f>
        <v>36.8048181425003</v>
      </c>
    </row>
    <row r="107" customFormat="false" ht="17.15" hidden="false" customHeight="false" outlineLevel="0" collapsed="false">
      <c r="A107" s="0" t="s">
        <v>364</v>
      </c>
      <c r="B107" s="0" t="s">
        <v>153</v>
      </c>
      <c r="D107" s="17" t="n">
        <f aca="false">D106*fx</f>
        <v>336.95334780572</v>
      </c>
      <c r="E107" s="17" t="n">
        <f aca="false">E106*fx</f>
        <v>799.617903860422</v>
      </c>
      <c r="F107" s="17" t="n">
        <f aca="false">F106*fx</f>
        <v>919.005541633245</v>
      </c>
      <c r="G107" s="17" t="n">
        <f aca="false">G106*fx</f>
        <v>1177.75418056001</v>
      </c>
    </row>
    <row r="108" customFormat="false" ht="17.15" hidden="false" customHeight="false" outlineLevel="0" collapsed="false">
      <c r="A108" s="4" t="s">
        <v>365</v>
      </c>
      <c r="B108" s="0" t="s">
        <v>46</v>
      </c>
      <c r="D108" s="12" t="n">
        <f aca="false">a26_aip/D107</f>
        <v>0.583671939396772</v>
      </c>
      <c r="H108" s="8" t="s">
        <v>366</v>
      </c>
    </row>
    <row r="109" customFormat="false" ht="17.15" hidden="false" customHeight="false" outlineLevel="0" collapsed="false">
      <c r="A109" s="4" t="s">
        <v>367</v>
      </c>
      <c r="B109" s="0" t="s">
        <v>62</v>
      </c>
      <c r="D109" s="13" t="n">
        <f aca="false">1</f>
        <v>1</v>
      </c>
      <c r="E109" s="13" t="n">
        <f aca="false">rel_27</f>
        <v>0.95</v>
      </c>
      <c r="F109" s="13" t="n">
        <f aca="false">rel_28</f>
        <v>0.9</v>
      </c>
      <c r="G109" s="13" t="n">
        <f aca="false">rel_29</f>
        <v>0.85</v>
      </c>
    </row>
    <row r="110" customFormat="false" ht="15" hidden="false" customHeight="false" outlineLevel="0" collapsed="false">
      <c r="A110" s="4" t="s">
        <v>328</v>
      </c>
      <c r="B110" s="0" t="s">
        <v>46</v>
      </c>
      <c r="D110" s="12" t="n">
        <f aca="false">$D$108*D109</f>
        <v>0.583671939396772</v>
      </c>
      <c r="E110" s="12" t="n">
        <f aca="false">$D$108*E109</f>
        <v>0.554488342426934</v>
      </c>
      <c r="F110" s="12" t="n">
        <f aca="false">$D$108*F109</f>
        <v>0.525304745457095</v>
      </c>
      <c r="G110" s="12" t="n">
        <f aca="false">$D$108*G109</f>
        <v>0.496121148487257</v>
      </c>
    </row>
    <row r="111" customFormat="false" ht="17.15" hidden="false" customHeight="false" outlineLevel="0" collapsed="false">
      <c r="A111" s="0" t="s">
        <v>368</v>
      </c>
      <c r="B111" s="0" t="s">
        <v>153</v>
      </c>
      <c r="C111" s="17" t="n">
        <f aca="false">a25_aip</f>
        <v>99.8793</v>
      </c>
      <c r="D111" s="17" t="n">
        <f aca="false">D107*D110</f>
        <v>196.670214</v>
      </c>
      <c r="E111" s="17" t="n">
        <f aca="false">E107*E110</f>
        <v>443.378806086465</v>
      </c>
      <c r="F111" s="17" t="n">
        <f aca="false">F107*F110</f>
        <v>482.757972121312</v>
      </c>
      <c r="G111" s="17" t="n">
        <f aca="false">G107*G110</f>
        <v>584.308756695099</v>
      </c>
    </row>
    <row r="112" customFormat="false" ht="17.15" hidden="false" customHeight="false" outlineLevel="0" collapsed="false">
      <c r="A112" s="6" t="s">
        <v>369</v>
      </c>
    </row>
    <row r="113" customFormat="false" ht="17.15" hidden="false" customHeight="false" outlineLevel="0" collapsed="false">
      <c r="A113" s="4" t="s">
        <v>370</v>
      </c>
      <c r="B113" s="0" t="s">
        <v>371</v>
      </c>
      <c r="D113" s="20" t="n">
        <f aca="false">a26_lc/D104</f>
        <v>4.04080573428535</v>
      </c>
    </row>
    <row r="114" customFormat="false" ht="17.15" hidden="false" customHeight="false" outlineLevel="0" collapsed="false">
      <c r="A114" s="4" t="s">
        <v>372</v>
      </c>
      <c r="B114" s="0" t="s">
        <v>62</v>
      </c>
      <c r="D114" s="13" t="n">
        <f aca="false">1</f>
        <v>1</v>
      </c>
      <c r="E114" s="13" t="n">
        <f aca="false">lcr_27</f>
        <v>1.1</v>
      </c>
      <c r="F114" s="13" t="n">
        <f aca="false">lcr_28</f>
        <v>1.15</v>
      </c>
      <c r="G114" s="13" t="n">
        <f aca="false">lcr_29</f>
        <v>1.2</v>
      </c>
    </row>
    <row r="115" customFormat="false" ht="15" hidden="false" customHeight="false" outlineLevel="0" collapsed="false">
      <c r="A115" s="4" t="s">
        <v>373</v>
      </c>
      <c r="B115" s="0" t="s">
        <v>153</v>
      </c>
      <c r="C115" s="17" t="n">
        <f aca="false">a25_lc</f>
        <v>55.4885</v>
      </c>
      <c r="D115" s="17" t="n">
        <f aca="false">D104*$D$113*D114</f>
        <v>94.5529875</v>
      </c>
      <c r="E115" s="17" t="n">
        <f aca="false">E104*$D$113*E114</f>
        <v>185.115139180837</v>
      </c>
      <c r="F115" s="17" t="n">
        <f aca="false">F104*$D$113*F114</f>
        <v>196.256952750109</v>
      </c>
      <c r="G115" s="17" t="n">
        <f aca="false">G104*$D$113*G114</f>
        <v>247.868533665907</v>
      </c>
    </row>
    <row r="116" customFormat="false" ht="17.15" hidden="false" customHeight="false" outlineLevel="0" collapsed="false">
      <c r="A116" s="4" t="s">
        <v>374</v>
      </c>
      <c r="B116" s="0" t="s">
        <v>153</v>
      </c>
      <c r="C116" s="17" t="n">
        <f aca="false">a25_nai</f>
        <v>399.5172</v>
      </c>
      <c r="D116" s="17" t="n">
        <f aca="false">a26_nai</f>
        <v>465.2006985</v>
      </c>
      <c r="E116" s="17" t="n">
        <f aca="false">D116*(1+g_nai27)</f>
        <v>493.11274041</v>
      </c>
      <c r="F116" s="17" t="n">
        <f aca="false">E116*(1+g_nai28)</f>
        <v>517.7683774305</v>
      </c>
      <c r="G116" s="17" t="n">
        <f aca="false">F116*(1+g_nai29)</f>
        <v>538.47911252772</v>
      </c>
    </row>
    <row r="117" customFormat="false" ht="15" hidden="false" customHeight="false" outlineLevel="0" collapsed="false">
      <c r="A117" s="4" t="s">
        <v>268</v>
      </c>
      <c r="B117" s="0" t="s">
        <v>153</v>
      </c>
      <c r="C117" s="17" t="n">
        <f aca="false">C111+C115+C116</f>
        <v>554.885</v>
      </c>
      <c r="D117" s="17" t="n">
        <f aca="false">D111+D115+D116</f>
        <v>756.4239</v>
      </c>
      <c r="E117" s="17" t="n">
        <f aca="false">E111+E115+E116</f>
        <v>1121.6066856773</v>
      </c>
      <c r="F117" s="17" t="n">
        <f aca="false">F111+F115+F116</f>
        <v>1196.78330230192</v>
      </c>
      <c r="G117" s="17" t="n">
        <f aca="false">G111+G115+G116</f>
        <v>1370.65640288873</v>
      </c>
    </row>
    <row r="118" customFormat="false" ht="15" hidden="false" customHeight="false" outlineLevel="0" collapsed="false">
      <c r="A118" s="4" t="s">
        <v>375</v>
      </c>
      <c r="B118" s="0" t="s">
        <v>46</v>
      </c>
      <c r="D118" s="12" t="n">
        <f aca="false">D117/C117-1</f>
        <v>0.363208412553953</v>
      </c>
      <c r="E118" s="12" t="n">
        <f aca="false">E117/D117-1</f>
        <v>0.482775313785434</v>
      </c>
      <c r="F118" s="12" t="n">
        <f aca="false">F117/E117-1</f>
        <v>0.0670258278455447</v>
      </c>
      <c r="G118" s="12" t="n">
        <f aca="false">G117/F117-1</f>
        <v>0.145283695262437</v>
      </c>
    </row>
    <row r="119" customFormat="false" ht="17.15" hidden="false" customHeight="false" outlineLevel="0" collapsed="false">
      <c r="A119" s="0" t="s">
        <v>376</v>
      </c>
      <c r="B119" s="0" t="s">
        <v>46</v>
      </c>
      <c r="C119" s="12" t="n">
        <f aca="false">C111/C117</f>
        <v>0.18</v>
      </c>
      <c r="D119" s="12" t="n">
        <f aca="false">D111/D117</f>
        <v>0.26</v>
      </c>
      <c r="E119" s="12" t="n">
        <f aca="false">E111/E117</f>
        <v>0.39530685020723</v>
      </c>
      <c r="F119" s="12" t="n">
        <f aca="false">F111/F117</f>
        <v>0.403379601965338</v>
      </c>
      <c r="G119" s="12" t="n">
        <f aca="false">G111/G117</f>
        <v>0.426298491338631</v>
      </c>
    </row>
    <row r="120" customFormat="false" ht="17.15" hidden="false" customHeight="false" outlineLevel="0" collapsed="false">
      <c r="A120" s="0" t="s">
        <v>377</v>
      </c>
      <c r="B120" s="0" t="s">
        <v>46</v>
      </c>
      <c r="C120" s="12" t="n">
        <f aca="false">(C111+C115)/C117</f>
        <v>0.28</v>
      </c>
      <c r="D120" s="12" t="n">
        <f aca="false">(D111+D115)/D117</f>
        <v>0.385</v>
      </c>
      <c r="E120" s="12" t="n">
        <f aca="false">(E111+E115)/E117</f>
        <v>0.560351461250229</v>
      </c>
      <c r="F120" s="12" t="n">
        <f aca="false">(F111+F115)/F117</f>
        <v>0.567366643205489</v>
      </c>
      <c r="G120" s="12" t="n">
        <f aca="false">(G111+G115)/G117</f>
        <v>0.607137783478888</v>
      </c>
    </row>
    <row r="121" customFormat="false" ht="17.15" hidden="false" customHeight="false" outlineLevel="0" collapsed="false">
      <c r="A121" s="4" t="s">
        <v>335</v>
      </c>
      <c r="B121" s="0" t="s">
        <v>336</v>
      </c>
      <c r="D121" s="16" t="n">
        <f aca="false">(D111+D115)/fx/D104*1000</f>
        <v>388.927551924965</v>
      </c>
      <c r="E121" s="16" t="n">
        <f aca="false">(E111+E115)/fx/E104*1000</f>
        <v>471.595702572219</v>
      </c>
      <c r="F121" s="16" t="n">
        <f aca="false">(F111+F115)/fx/F104*1000</f>
        <v>502.423682986704</v>
      </c>
      <c r="G121" s="16" t="n">
        <f aca="false">(G111+G115)/fx/G104*1000</f>
        <v>508.737441946525</v>
      </c>
    </row>
    <row r="122" customFormat="false" ht="17.15" hidden="false" customHeight="false" outlineLevel="0" collapsed="false">
      <c r="A122" s="6" t="s">
        <v>378</v>
      </c>
    </row>
    <row r="123" customFormat="false" ht="17.15" hidden="false" customHeight="false" outlineLevel="0" collapsed="false">
      <c r="A123" s="4" t="s">
        <v>379</v>
      </c>
      <c r="B123" s="0" t="s">
        <v>46</v>
      </c>
      <c r="D123" s="12" t="n">
        <f aca="false">a26_gp/D117-d_ai*D119</f>
        <v>0.340474417690927</v>
      </c>
      <c r="H123" s="8" t="s">
        <v>380</v>
      </c>
    </row>
    <row r="124" customFormat="false" ht="15" hidden="false" customHeight="false" outlineLevel="0" collapsed="false">
      <c r="A124" s="4" t="s">
        <v>272</v>
      </c>
      <c r="B124" s="0" t="s">
        <v>153</v>
      </c>
      <c r="C124" s="17" t="n">
        <f aca="false">a25_gp</f>
        <v>190.2</v>
      </c>
      <c r="D124" s="17" t="n">
        <f aca="false">a26_gp</f>
        <v>273.276604</v>
      </c>
      <c r="E124" s="17" t="n">
        <f aca="false">$D$123*E117+d_ai*E111</f>
        <v>417.348687671147</v>
      </c>
      <c r="F124" s="17" t="n">
        <f aca="false">$D$123*F117+d_ai*F111</f>
        <v>446.094735723176</v>
      </c>
      <c r="G124" s="17" t="n">
        <f aca="false">$D$123*G117+d_ai*G111</f>
        <v>513.418141163488</v>
      </c>
    </row>
    <row r="125" customFormat="false" ht="15" hidden="false" customHeight="false" outlineLevel="0" collapsed="false">
      <c r="A125" s="4" t="s">
        <v>274</v>
      </c>
      <c r="B125" s="0" t="s">
        <v>46</v>
      </c>
      <c r="C125" s="12" t="n">
        <f aca="false">C124/C117</f>
        <v>0.342773727889563</v>
      </c>
      <c r="D125" s="12" t="n">
        <f aca="false">D124/D117</f>
        <v>0.361274417690927</v>
      </c>
      <c r="E125" s="12" t="n">
        <f aca="false">E124/E117</f>
        <v>0.372098965707506</v>
      </c>
      <c r="F125" s="12" t="n">
        <f aca="false">F124/F117</f>
        <v>0.372744785848154</v>
      </c>
      <c r="G125" s="12" t="n">
        <f aca="false">G124/G117</f>
        <v>0.374578296998018</v>
      </c>
    </row>
    <row r="126" customFormat="false" ht="15" hidden="false" customHeight="false" outlineLevel="0" collapsed="false">
      <c r="A126" s="4" t="s">
        <v>381</v>
      </c>
      <c r="B126" s="0" t="s">
        <v>153</v>
      </c>
      <c r="C126" s="17" t="n">
        <f aca="false">a25_opx</f>
        <v>106.3</v>
      </c>
      <c r="D126" s="17" t="n">
        <f aca="false">a26_opx</f>
        <v>141.924088166667</v>
      </c>
      <c r="E126" s="17" t="n">
        <f aca="false">D126*(1+MAX(0,phi*E118))</f>
        <v>196.738045125366</v>
      </c>
      <c r="F126" s="17" t="n">
        <f aca="false">E126*(1+MAX(0,phi*F118))</f>
        <v>207.287269399959</v>
      </c>
      <c r="G126" s="17" t="n">
        <f aca="false">F126*(1+MAX(0,phi*G118))</f>
        <v>231.379637783389</v>
      </c>
    </row>
    <row r="127" customFormat="false" ht="15" hidden="false" customHeight="false" outlineLevel="0" collapsed="false">
      <c r="A127" s="4" t="s">
        <v>276</v>
      </c>
      <c r="B127" s="0" t="s">
        <v>153</v>
      </c>
      <c r="C127" s="17" t="n">
        <f aca="false">C126</f>
        <v>106.3</v>
      </c>
      <c r="D127" s="17" t="n">
        <f aca="false">D126</f>
        <v>141.924088166667</v>
      </c>
      <c r="E127" s="17" t="n">
        <f aca="false">E126+0*E117</f>
        <v>196.738045125366</v>
      </c>
      <c r="F127" s="17" t="n">
        <f aca="false">F126+0*F117</f>
        <v>207.287269399959</v>
      </c>
      <c r="G127" s="17" t="n">
        <f aca="false">G126+0*G117</f>
        <v>231.379637783389</v>
      </c>
    </row>
    <row r="128" customFormat="false" ht="15" hidden="false" customHeight="false" outlineLevel="0" collapsed="false">
      <c r="A128" s="4" t="s">
        <v>278</v>
      </c>
      <c r="B128" s="0" t="s">
        <v>153</v>
      </c>
      <c r="C128" s="17" t="n">
        <f aca="false">C124-C127</f>
        <v>83.9</v>
      </c>
      <c r="D128" s="17" t="n">
        <f aca="false">D124-D127</f>
        <v>131.352515833333</v>
      </c>
      <c r="E128" s="17" t="n">
        <f aca="false">E124-E127</f>
        <v>220.610642545781</v>
      </c>
      <c r="F128" s="17" t="n">
        <f aca="false">F124-F127</f>
        <v>238.807466323217</v>
      </c>
      <c r="G128" s="17" t="n">
        <f aca="false">G124-G127</f>
        <v>282.038503380099</v>
      </c>
    </row>
    <row r="129" customFormat="false" ht="15" hidden="false" customHeight="false" outlineLevel="0" collapsed="false">
      <c r="A129" s="4" t="s">
        <v>280</v>
      </c>
      <c r="B129" s="0" t="s">
        <v>46</v>
      </c>
      <c r="C129" s="12" t="n">
        <f aca="false">C128/C117</f>
        <v>0.151202501419213</v>
      </c>
      <c r="D129" s="12" t="n">
        <f aca="false">D128/D117</f>
        <v>0.173649346396027</v>
      </c>
      <c r="E129" s="12" t="n">
        <f aca="false">E128/E117</f>
        <v>0.196691625828319</v>
      </c>
      <c r="F129" s="12" t="n">
        <f aca="false">F128/F117</f>
        <v>0.199541108121988</v>
      </c>
      <c r="G129" s="12" t="n">
        <f aca="false">G128/G117</f>
        <v>0.205768931429999</v>
      </c>
    </row>
    <row r="130" customFormat="false" ht="15" hidden="false" customHeight="false" outlineLevel="0" collapsed="false">
      <c r="A130" s="4" t="s">
        <v>282</v>
      </c>
      <c r="B130" s="0" t="s">
        <v>153</v>
      </c>
      <c r="C130" s="17" t="n">
        <f aca="false">a25_nop</f>
        <v>3.934</v>
      </c>
      <c r="D130" s="17" t="n">
        <f aca="false">a26_nop</f>
        <v>11.1666666666667</v>
      </c>
      <c r="E130" s="17" t="n">
        <f aca="false">nop_f</f>
        <v>8</v>
      </c>
      <c r="F130" s="17" t="n">
        <f aca="false">nop_f</f>
        <v>8</v>
      </c>
      <c r="G130" s="17" t="n">
        <f aca="false">nop_f</f>
        <v>8</v>
      </c>
    </row>
    <row r="131" customFormat="false" ht="17.15" hidden="false" customHeight="false" outlineLevel="0" collapsed="false">
      <c r="A131" s="4" t="s">
        <v>195</v>
      </c>
      <c r="B131" s="0" t="s">
        <v>46</v>
      </c>
      <c r="C131" s="12" t="n">
        <f aca="false">a25_ni/(a25_oi+a25_nop)</f>
        <v>0.684336361773345</v>
      </c>
      <c r="D131" s="12" t="n">
        <f aca="false">a26_ni/(a26_oi+a26_nop)</f>
        <v>0.690638510538748</v>
      </c>
      <c r="E131" s="12" t="n">
        <f aca="false">nir_f</f>
        <v>0.69</v>
      </c>
      <c r="F131" s="12" t="n">
        <f aca="false">nir_f</f>
        <v>0.69</v>
      </c>
      <c r="G131" s="12" t="n">
        <f aca="false">nir_f</f>
        <v>0.69</v>
      </c>
    </row>
    <row r="132" customFormat="false" ht="15" hidden="false" customHeight="false" outlineLevel="0" collapsed="false">
      <c r="A132" s="4" t="s">
        <v>285</v>
      </c>
      <c r="B132" s="0" t="s">
        <v>153</v>
      </c>
      <c r="C132" s="17" t="n">
        <f aca="false">a25_ni</f>
        <v>60.108</v>
      </c>
      <c r="D132" s="17" t="n">
        <f aca="false">a26_ni</f>
        <v>98.429235925</v>
      </c>
      <c r="E132" s="17" t="n">
        <f aca="false">(E128+E130)*E131</f>
        <v>157.741343356589</v>
      </c>
      <c r="F132" s="17" t="n">
        <f aca="false">(F128+F130)*F131</f>
        <v>170.29715176302</v>
      </c>
      <c r="G132" s="17" t="n">
        <f aca="false">(G128+G130)*G131</f>
        <v>200.126567332269</v>
      </c>
    </row>
    <row r="133" customFormat="false" ht="15" hidden="false" customHeight="false" outlineLevel="0" collapsed="false">
      <c r="A133" s="4" t="s">
        <v>382</v>
      </c>
      <c r="B133" s="4" t="s">
        <v>179</v>
      </c>
      <c r="C133" s="20" t="n">
        <f aca="false">a25_sh</f>
        <v>2.59757994814175</v>
      </c>
      <c r="D133" s="20" t="n">
        <f aca="false">a26_sh</f>
        <v>2.59806708357021</v>
      </c>
      <c r="E133" s="20" t="n">
        <f aca="false">D133*(1+sh_g)</f>
        <v>2.59806708357021</v>
      </c>
      <c r="F133" s="20" t="n">
        <f aca="false">E133*(1+sh_g)</f>
        <v>2.59806708357021</v>
      </c>
      <c r="G133" s="20" t="n">
        <f aca="false">F133*(1+sh_g)</f>
        <v>2.59806708357021</v>
      </c>
    </row>
    <row r="134" customFormat="false" ht="15" hidden="false" customHeight="false" outlineLevel="0" collapsed="false">
      <c r="A134" s="0" t="s">
        <v>290</v>
      </c>
      <c r="B134" s="0" t="s">
        <v>210</v>
      </c>
      <c r="C134" s="18" t="n">
        <f aca="false">C132/C133</f>
        <v>23.14</v>
      </c>
      <c r="D134" s="18" t="n">
        <f aca="false">D132/D133</f>
        <v>37.8855636744147</v>
      </c>
      <c r="E134" s="18" t="n">
        <f aca="false">E132/E133</f>
        <v>60.7148846748884</v>
      </c>
      <c r="F134" s="18" t="n">
        <f aca="false">F132/F133</f>
        <v>65.5476345626152</v>
      </c>
      <c r="G134" s="18" t="n">
        <f aca="false">G132/G133</f>
        <v>77.02902230579</v>
      </c>
    </row>
    <row r="135" customFormat="false" ht="17.15" hidden="false" customHeight="false" outlineLevel="0" collapsed="false">
      <c r="A135" s="0" t="s">
        <v>383</v>
      </c>
      <c r="B135" s="0" t="s">
        <v>46</v>
      </c>
      <c r="D135" s="12" t="n">
        <f aca="false">D134/C134-1</f>
        <v>0.637232656629847</v>
      </c>
      <c r="E135" s="12" t="n">
        <f aca="false">E134/D134-1</f>
        <v>0.602586283172848</v>
      </c>
      <c r="F135" s="12" t="n">
        <f aca="false">F134/E134-1</f>
        <v>0.0795974481975024</v>
      </c>
      <c r="G135" s="12" t="n">
        <f aca="false">G134/F134-1</f>
        <v>0.175160977505711</v>
      </c>
    </row>
    <row r="138" customFormat="false" ht="17.15" hidden="false" customHeight="false" outlineLevel="0" collapsed="false">
      <c r="A138" s="1" t="s">
        <v>385</v>
      </c>
    </row>
    <row r="139" customFormat="false" ht="17.15" hidden="false" customHeight="false" outlineLevel="0" collapsed="false">
      <c r="A139" s="5" t="s">
        <v>15</v>
      </c>
      <c r="B139" s="5" t="s">
        <v>16</v>
      </c>
      <c r="C139" s="9" t="s">
        <v>262</v>
      </c>
      <c r="D139" s="9" t="s">
        <v>341</v>
      </c>
      <c r="E139" s="9" t="s">
        <v>342</v>
      </c>
      <c r="F139" s="9" t="s">
        <v>343</v>
      </c>
      <c r="G139" s="9" t="s">
        <v>344</v>
      </c>
      <c r="H139" s="5" t="s">
        <v>317</v>
      </c>
    </row>
    <row r="140" customFormat="false" ht="17.15" hidden="false" customHeight="false" outlineLevel="0" collapsed="false">
      <c r="A140" s="6" t="s">
        <v>359</v>
      </c>
    </row>
    <row r="141" customFormat="false" ht="17.15" hidden="false" customHeight="false" outlineLevel="0" collapsed="false">
      <c r="A141" s="0" t="s">
        <v>360</v>
      </c>
      <c r="B141" s="0" t="s">
        <v>26</v>
      </c>
      <c r="D141" s="18" t="n">
        <f aca="false">itc_26*1</f>
        <v>781.872916666667</v>
      </c>
      <c r="E141" s="18" t="n">
        <f aca="false">itc_27*1*1</f>
        <v>1565.35</v>
      </c>
      <c r="F141" s="18" t="n">
        <f aca="false">itc_28*um28_C*1</f>
        <v>1190.55833333333</v>
      </c>
      <c r="G141" s="18" t="n">
        <f aca="false">itc_29*um29_C*1</f>
        <v>1356.23416666667</v>
      </c>
    </row>
    <row r="142" customFormat="false" ht="17.15" hidden="false" customHeight="false" outlineLevel="0" collapsed="false">
      <c r="A142" s="4" t="s">
        <v>361</v>
      </c>
      <c r="B142" s="0" t="s">
        <v>26</v>
      </c>
      <c r="D142" s="18" t="n">
        <f aca="false">itpg_gb*(1-vr26)+itpg_vr*vr26</f>
        <v>33.41403216</v>
      </c>
      <c r="E142" s="18" t="n">
        <f aca="false">itpg_vr</f>
        <v>37.586352</v>
      </c>
      <c r="F142" s="18" t="n">
        <f aca="false">itpg_vr</f>
        <v>37.586352</v>
      </c>
      <c r="G142" s="18" t="n">
        <f aca="false">itpg_vr</f>
        <v>37.586352</v>
      </c>
    </row>
    <row r="143" customFormat="false" ht="17.15" hidden="false" customHeight="false" outlineLevel="0" collapsed="false">
      <c r="A143" s="4" t="s">
        <v>362</v>
      </c>
      <c r="B143" s="0" t="s">
        <v>319</v>
      </c>
      <c r="D143" s="15" t="n">
        <f aca="false">D141/D142</f>
        <v>23.3995380420639</v>
      </c>
      <c r="E143" s="15" t="n">
        <f aca="false">E141/E142</f>
        <v>41.6467658260637</v>
      </c>
      <c r="F143" s="15" t="n">
        <f aca="false">F141/F142</f>
        <v>31.6752829147488</v>
      </c>
      <c r="G143" s="15" t="n">
        <f aca="false">G141/G142</f>
        <v>36.0831550416669</v>
      </c>
    </row>
    <row r="144" customFormat="false" ht="17.15" hidden="false" customHeight="false" outlineLevel="0" collapsed="false">
      <c r="A144" s="0" t="s">
        <v>321</v>
      </c>
      <c r="B144" s="0" t="s">
        <v>89</v>
      </c>
      <c r="D144" s="16" t="n">
        <f aca="false">pkw_26</f>
        <v>450</v>
      </c>
      <c r="E144" s="16" t="n">
        <f aca="false">pkw_27</f>
        <v>600</v>
      </c>
      <c r="F144" s="16" t="n">
        <f aca="false">pkw_28</f>
        <v>680</v>
      </c>
      <c r="G144" s="16" t="n">
        <f aca="false">pkw_29</f>
        <v>720</v>
      </c>
    </row>
    <row r="145" customFormat="false" ht="17.15" hidden="false" customHeight="false" outlineLevel="0" collapsed="false">
      <c r="A145" s="0" t="s">
        <v>363</v>
      </c>
      <c r="B145" s="0" t="s">
        <v>26</v>
      </c>
      <c r="D145" s="18" t="n">
        <f aca="false">D143*D144/1000</f>
        <v>10.5297921189288</v>
      </c>
      <c r="E145" s="18" t="n">
        <f aca="false">E143*E144/1000</f>
        <v>24.9880594956382</v>
      </c>
      <c r="F145" s="18" t="n">
        <f aca="false">F143*F144/1000</f>
        <v>21.5391923820292</v>
      </c>
      <c r="G145" s="18" t="n">
        <f aca="false">G143*G144/1000</f>
        <v>25.9798716300002</v>
      </c>
    </row>
    <row r="146" customFormat="false" ht="17.15" hidden="false" customHeight="false" outlineLevel="0" collapsed="false">
      <c r="A146" s="0" t="s">
        <v>364</v>
      </c>
      <c r="B146" s="0" t="s">
        <v>153</v>
      </c>
      <c r="D146" s="17" t="n">
        <f aca="false">D145*fx</f>
        <v>336.95334780572</v>
      </c>
      <c r="E146" s="17" t="n">
        <f aca="false">E145*fx</f>
        <v>799.617903860422</v>
      </c>
      <c r="F146" s="17" t="n">
        <f aca="false">F145*fx</f>
        <v>689.254156224934</v>
      </c>
      <c r="G146" s="17" t="n">
        <f aca="false">G145*fx</f>
        <v>831.355892160006</v>
      </c>
    </row>
    <row r="147" customFormat="false" ht="17.15" hidden="false" customHeight="false" outlineLevel="0" collapsed="false">
      <c r="A147" s="4" t="s">
        <v>365</v>
      </c>
      <c r="B147" s="0" t="s">
        <v>46</v>
      </c>
      <c r="D147" s="12" t="n">
        <f aca="false">a26_aip/D146</f>
        <v>0.583671939396772</v>
      </c>
      <c r="H147" s="8" t="s">
        <v>366</v>
      </c>
    </row>
    <row r="148" customFormat="false" ht="17.15" hidden="false" customHeight="false" outlineLevel="0" collapsed="false">
      <c r="A148" s="4" t="s">
        <v>367</v>
      </c>
      <c r="B148" s="0" t="s">
        <v>62</v>
      </c>
      <c r="D148" s="13" t="n">
        <f aca="false">1</f>
        <v>1</v>
      </c>
      <c r="E148" s="13" t="n">
        <f aca="false">rel_27</f>
        <v>0.95</v>
      </c>
      <c r="F148" s="13" t="n">
        <f aca="false">rel_28</f>
        <v>0.9</v>
      </c>
      <c r="G148" s="13" t="n">
        <f aca="false">rel_29</f>
        <v>0.85</v>
      </c>
    </row>
    <row r="149" customFormat="false" ht="15" hidden="false" customHeight="false" outlineLevel="0" collapsed="false">
      <c r="A149" s="4" t="s">
        <v>328</v>
      </c>
      <c r="B149" s="0" t="s">
        <v>46</v>
      </c>
      <c r="D149" s="12" t="n">
        <f aca="false">$D$147*D148</f>
        <v>0.583671939396772</v>
      </c>
      <c r="E149" s="12" t="n">
        <f aca="false">$D$147*E148</f>
        <v>0.554488342426934</v>
      </c>
      <c r="F149" s="12" t="n">
        <f aca="false">$D$147*F148</f>
        <v>0.525304745457095</v>
      </c>
      <c r="G149" s="12" t="n">
        <f aca="false">$D$147*G148</f>
        <v>0.496121148487257</v>
      </c>
    </row>
    <row r="150" customFormat="false" ht="17.15" hidden="false" customHeight="false" outlineLevel="0" collapsed="false">
      <c r="A150" s="0" t="s">
        <v>368</v>
      </c>
      <c r="B150" s="0" t="s">
        <v>153</v>
      </c>
      <c r="C150" s="17" t="n">
        <f aca="false">a25_aip</f>
        <v>99.8793</v>
      </c>
      <c r="D150" s="17" t="n">
        <f aca="false">D146*D149</f>
        <v>196.670214</v>
      </c>
      <c r="E150" s="17" t="n">
        <f aca="false">E146*E149</f>
        <v>443.378806086465</v>
      </c>
      <c r="F150" s="17" t="n">
        <f aca="false">F146*F149</f>
        <v>362.068479090984</v>
      </c>
      <c r="G150" s="17" t="n">
        <f aca="false">G146*G149</f>
        <v>412.45324002007</v>
      </c>
    </row>
    <row r="151" customFormat="false" ht="17.15" hidden="false" customHeight="false" outlineLevel="0" collapsed="false">
      <c r="A151" s="6" t="s">
        <v>369</v>
      </c>
    </row>
    <row r="152" customFormat="false" ht="17.15" hidden="false" customHeight="false" outlineLevel="0" collapsed="false">
      <c r="A152" s="4" t="s">
        <v>370</v>
      </c>
      <c r="B152" s="0" t="s">
        <v>371</v>
      </c>
      <c r="D152" s="20" t="n">
        <f aca="false">a26_lc/D143</f>
        <v>4.04080573428535</v>
      </c>
    </row>
    <row r="153" customFormat="false" ht="17.15" hidden="false" customHeight="false" outlineLevel="0" collapsed="false">
      <c r="A153" s="4" t="s">
        <v>372</v>
      </c>
      <c r="B153" s="0" t="s">
        <v>62</v>
      </c>
      <c r="D153" s="13" t="n">
        <f aca="false">1</f>
        <v>1</v>
      </c>
      <c r="E153" s="13" t="n">
        <f aca="false">lcr_27</f>
        <v>1.1</v>
      </c>
      <c r="F153" s="13" t="n">
        <f aca="false">lcr_28</f>
        <v>1.15</v>
      </c>
      <c r="G153" s="13" t="n">
        <f aca="false">lcr_29</f>
        <v>1.2</v>
      </c>
    </row>
    <row r="154" customFormat="false" ht="15" hidden="false" customHeight="false" outlineLevel="0" collapsed="false">
      <c r="A154" s="4" t="s">
        <v>373</v>
      </c>
      <c r="B154" s="0" t="s">
        <v>153</v>
      </c>
      <c r="C154" s="17" t="n">
        <f aca="false">a25_lc</f>
        <v>55.4885</v>
      </c>
      <c r="D154" s="17" t="n">
        <f aca="false">D143*$D$152*D153</f>
        <v>94.5529875</v>
      </c>
      <c r="E154" s="17" t="n">
        <f aca="false">E143*$D$152*E153</f>
        <v>185.115139180837</v>
      </c>
      <c r="F154" s="17" t="n">
        <f aca="false">F143*$D$152*F153</f>
        <v>147.192714562582</v>
      </c>
      <c r="G154" s="17" t="n">
        <f aca="false">G143*$D$152*G153</f>
        <v>174.96602376417</v>
      </c>
    </row>
    <row r="155" customFormat="false" ht="17.15" hidden="false" customHeight="false" outlineLevel="0" collapsed="false">
      <c r="A155" s="4" t="s">
        <v>374</v>
      </c>
      <c r="B155" s="0" t="s">
        <v>153</v>
      </c>
      <c r="C155" s="17" t="n">
        <f aca="false">a25_nai</f>
        <v>399.5172</v>
      </c>
      <c r="D155" s="17" t="n">
        <f aca="false">a26_nai</f>
        <v>465.2006985</v>
      </c>
      <c r="E155" s="17" t="n">
        <f aca="false">D155*(1+g_nai27)</f>
        <v>493.11274041</v>
      </c>
      <c r="F155" s="17" t="n">
        <f aca="false">E155*(1+g_nai28)</f>
        <v>517.7683774305</v>
      </c>
      <c r="G155" s="17" t="n">
        <f aca="false">F155*(1+g_nai29)</f>
        <v>538.47911252772</v>
      </c>
    </row>
    <row r="156" customFormat="false" ht="15" hidden="false" customHeight="false" outlineLevel="0" collapsed="false">
      <c r="A156" s="4" t="s">
        <v>268</v>
      </c>
      <c r="B156" s="0" t="s">
        <v>153</v>
      </c>
      <c r="C156" s="17" t="n">
        <f aca="false">C150+C154+C155</f>
        <v>554.885</v>
      </c>
      <c r="D156" s="17" t="n">
        <f aca="false">D150+D154+D155</f>
        <v>756.4239</v>
      </c>
      <c r="E156" s="17" t="n">
        <f aca="false">E150+E154+E155</f>
        <v>1121.6066856773</v>
      </c>
      <c r="F156" s="17" t="n">
        <f aca="false">F150+F154+F155</f>
        <v>1027.02957108407</v>
      </c>
      <c r="G156" s="17" t="n">
        <f aca="false">G150+G154+G155</f>
        <v>1125.89837631196</v>
      </c>
    </row>
    <row r="157" customFormat="false" ht="15" hidden="false" customHeight="false" outlineLevel="0" collapsed="false">
      <c r="A157" s="4" t="s">
        <v>375</v>
      </c>
      <c r="B157" s="0" t="s">
        <v>46</v>
      </c>
      <c r="D157" s="12" t="n">
        <f aca="false">D156/C156-1</f>
        <v>0.363208412553953</v>
      </c>
      <c r="E157" s="12" t="n">
        <f aca="false">E156/D156-1</f>
        <v>0.482775313785434</v>
      </c>
      <c r="F157" s="12" t="n">
        <f aca="false">F156/E156-1</f>
        <v>-0.0843228876940264</v>
      </c>
      <c r="G157" s="12" t="n">
        <f aca="false">G156/F156-1</f>
        <v>0.0962667561008346</v>
      </c>
    </row>
    <row r="158" customFormat="false" ht="17.15" hidden="false" customHeight="false" outlineLevel="0" collapsed="false">
      <c r="A158" s="0" t="s">
        <v>376</v>
      </c>
      <c r="B158" s="0" t="s">
        <v>46</v>
      </c>
      <c r="C158" s="12" t="n">
        <f aca="false">C150/C156</f>
        <v>0.18</v>
      </c>
      <c r="D158" s="12" t="n">
        <f aca="false">D150/D156</f>
        <v>0.26</v>
      </c>
      <c r="E158" s="12" t="n">
        <f aca="false">E150/E156</f>
        <v>0.39530685020723</v>
      </c>
      <c r="F158" s="12" t="n">
        <f aca="false">F150/F156</f>
        <v>0.352539487941723</v>
      </c>
      <c r="G158" s="12" t="n">
        <f aca="false">G150/G156</f>
        <v>0.366332564907962</v>
      </c>
    </row>
    <row r="159" customFormat="false" ht="17.15" hidden="false" customHeight="false" outlineLevel="0" collapsed="false">
      <c r="A159" s="0" t="s">
        <v>377</v>
      </c>
      <c r="B159" s="0" t="s">
        <v>46</v>
      </c>
      <c r="C159" s="12" t="n">
        <f aca="false">(C150+C154)/C156</f>
        <v>0.28</v>
      </c>
      <c r="D159" s="12" t="n">
        <f aca="false">(D150+D154)/D156</f>
        <v>0.385</v>
      </c>
      <c r="E159" s="12" t="n">
        <f aca="false">(E150+E154)/E156</f>
        <v>0.560351461250229</v>
      </c>
      <c r="F159" s="12" t="n">
        <f aca="false">(F150+F154)/F156</f>
        <v>0.495858354999479</v>
      </c>
      <c r="G159" s="12" t="n">
        <f aca="false">(G150+G154)/G156</f>
        <v>0.521733822646068</v>
      </c>
    </row>
    <row r="160" customFormat="false" ht="17.15" hidden="false" customHeight="false" outlineLevel="0" collapsed="false">
      <c r="A160" s="4" t="s">
        <v>335</v>
      </c>
      <c r="B160" s="0" t="s">
        <v>336</v>
      </c>
      <c r="D160" s="16" t="n">
        <f aca="false">(D150+D154)/fx/D143*1000</f>
        <v>388.927551924965</v>
      </c>
      <c r="E160" s="16" t="n">
        <f aca="false">(E150+E154)/fx/E143*1000</f>
        <v>471.595702572219</v>
      </c>
      <c r="F160" s="16" t="n">
        <f aca="false">(F150+F154)/fx/F143*1000</f>
        <v>502.423682986704</v>
      </c>
      <c r="G160" s="16" t="n">
        <f aca="false">(G150+G154)/fx/G143*1000</f>
        <v>508.737441946525</v>
      </c>
    </row>
    <row r="161" customFormat="false" ht="17.15" hidden="false" customHeight="false" outlineLevel="0" collapsed="false">
      <c r="A161" s="6" t="s">
        <v>378</v>
      </c>
    </row>
    <row r="162" customFormat="false" ht="17.15" hidden="false" customHeight="false" outlineLevel="0" collapsed="false">
      <c r="A162" s="4" t="s">
        <v>379</v>
      </c>
      <c r="B162" s="0" t="s">
        <v>46</v>
      </c>
      <c r="D162" s="12" t="n">
        <f aca="false">a26_gp/D156-d_ai*D158</f>
        <v>0.340474417690927</v>
      </c>
      <c r="H162" s="8" t="s">
        <v>380</v>
      </c>
    </row>
    <row r="163" customFormat="false" ht="15" hidden="false" customHeight="false" outlineLevel="0" collapsed="false">
      <c r="A163" s="4" t="s">
        <v>272</v>
      </c>
      <c r="B163" s="0" t="s">
        <v>153</v>
      </c>
      <c r="C163" s="17" t="n">
        <f aca="false">a25_gp</f>
        <v>190.2</v>
      </c>
      <c r="D163" s="17" t="n">
        <f aca="false">a26_gp</f>
        <v>273.276604</v>
      </c>
      <c r="E163" s="17" t="n">
        <f aca="false">$D$162*E156+d_ai*E150</f>
        <v>417.348687671147</v>
      </c>
      <c r="F163" s="17" t="n">
        <f aca="false">$D$162*F156+d_ai*F150</f>
        <v>378.642773493488</v>
      </c>
      <c r="G163" s="17" t="n">
        <f aca="false">$D$162*G156+d_ai*G150</f>
        <v>416.33585325558</v>
      </c>
    </row>
    <row r="164" customFormat="false" ht="15" hidden="false" customHeight="false" outlineLevel="0" collapsed="false">
      <c r="A164" s="4" t="s">
        <v>274</v>
      </c>
      <c r="B164" s="0" t="s">
        <v>46</v>
      </c>
      <c r="C164" s="12" t="n">
        <f aca="false">C163/C156</f>
        <v>0.342773727889563</v>
      </c>
      <c r="D164" s="12" t="n">
        <f aca="false">D163/D156</f>
        <v>0.361274417690927</v>
      </c>
      <c r="E164" s="12" t="n">
        <f aca="false">E163/E156</f>
        <v>0.372098965707506</v>
      </c>
      <c r="F164" s="12" t="n">
        <f aca="false">F163/F156</f>
        <v>0.368677576726265</v>
      </c>
      <c r="G164" s="12" t="n">
        <f aca="false">G163/G156</f>
        <v>0.369781022883564</v>
      </c>
    </row>
    <row r="165" customFormat="false" ht="15" hidden="false" customHeight="false" outlineLevel="0" collapsed="false">
      <c r="A165" s="4" t="s">
        <v>381</v>
      </c>
      <c r="B165" s="0" t="s">
        <v>153</v>
      </c>
      <c r="C165" s="17" t="n">
        <f aca="false">a25_opx</f>
        <v>106.3</v>
      </c>
      <c r="D165" s="17" t="n">
        <f aca="false">a26_opx</f>
        <v>141.924088166667</v>
      </c>
      <c r="E165" s="17" t="n">
        <f aca="false">D165*(1+MAX(0,phi*E157))</f>
        <v>196.738045125366</v>
      </c>
      <c r="F165" s="17" t="n">
        <f aca="false">E165*(1+MAX(0,phi*F157))</f>
        <v>196.738045125366</v>
      </c>
      <c r="G165" s="17" t="n">
        <f aca="false">F165*(1+MAX(0,phi*G157))</f>
        <v>211.889511850037</v>
      </c>
    </row>
    <row r="166" customFormat="false" ht="15" hidden="false" customHeight="false" outlineLevel="0" collapsed="false">
      <c r="A166" s="4" t="s">
        <v>276</v>
      </c>
      <c r="B166" s="0" t="s">
        <v>153</v>
      </c>
      <c r="C166" s="17" t="n">
        <f aca="false">C165</f>
        <v>106.3</v>
      </c>
      <c r="D166" s="17" t="n">
        <f aca="false">D165</f>
        <v>141.924088166667</v>
      </c>
      <c r="E166" s="17" t="n">
        <f aca="false">E165+0*E156</f>
        <v>196.738045125366</v>
      </c>
      <c r="F166" s="17" t="n">
        <f aca="false">F165+0*F156</f>
        <v>196.738045125366</v>
      </c>
      <c r="G166" s="17" t="n">
        <f aca="false">G165+0*G156</f>
        <v>211.889511850037</v>
      </c>
    </row>
    <row r="167" customFormat="false" ht="15" hidden="false" customHeight="false" outlineLevel="0" collapsed="false">
      <c r="A167" s="4" t="s">
        <v>278</v>
      </c>
      <c r="B167" s="0" t="s">
        <v>153</v>
      </c>
      <c r="C167" s="17" t="n">
        <f aca="false">C163-C166</f>
        <v>83.9</v>
      </c>
      <c r="D167" s="17" t="n">
        <f aca="false">D163-D166</f>
        <v>131.352515833333</v>
      </c>
      <c r="E167" s="17" t="n">
        <f aca="false">E163-E166</f>
        <v>220.610642545781</v>
      </c>
      <c r="F167" s="17" t="n">
        <f aca="false">F163-F166</f>
        <v>181.904728368123</v>
      </c>
      <c r="G167" s="17" t="n">
        <f aca="false">G163-G166</f>
        <v>204.446341405544</v>
      </c>
    </row>
    <row r="168" customFormat="false" ht="15" hidden="false" customHeight="false" outlineLevel="0" collapsed="false">
      <c r="A168" s="4" t="s">
        <v>280</v>
      </c>
      <c r="B168" s="0" t="s">
        <v>46</v>
      </c>
      <c r="C168" s="12" t="n">
        <f aca="false">C167/C156</f>
        <v>0.151202501419213</v>
      </c>
      <c r="D168" s="12" t="n">
        <f aca="false">D167/D156</f>
        <v>0.173649346396027</v>
      </c>
      <c r="E168" s="12" t="n">
        <f aca="false">E167/E156</f>
        <v>0.196691625828319</v>
      </c>
      <c r="F168" s="12" t="n">
        <f aca="false">F167/F156</f>
        <v>0.177117323093351</v>
      </c>
      <c r="G168" s="12" t="n">
        <f aca="false">G167/G156</f>
        <v>0.18158507526695</v>
      </c>
    </row>
    <row r="169" customFormat="false" ht="15" hidden="false" customHeight="false" outlineLevel="0" collapsed="false">
      <c r="A169" s="4" t="s">
        <v>282</v>
      </c>
      <c r="B169" s="0" t="s">
        <v>153</v>
      </c>
      <c r="C169" s="17" t="n">
        <f aca="false">a25_nop</f>
        <v>3.934</v>
      </c>
      <c r="D169" s="17" t="n">
        <f aca="false">a26_nop</f>
        <v>11.1666666666667</v>
      </c>
      <c r="E169" s="17" t="n">
        <f aca="false">nop_f</f>
        <v>8</v>
      </c>
      <c r="F169" s="17" t="n">
        <f aca="false">nop_f</f>
        <v>8</v>
      </c>
      <c r="G169" s="17" t="n">
        <f aca="false">nop_f</f>
        <v>8</v>
      </c>
    </row>
    <row r="170" customFormat="false" ht="17.15" hidden="false" customHeight="false" outlineLevel="0" collapsed="false">
      <c r="A170" s="4" t="s">
        <v>195</v>
      </c>
      <c r="B170" s="0" t="s">
        <v>46</v>
      </c>
      <c r="C170" s="12" t="n">
        <f aca="false">a25_ni/(a25_oi+a25_nop)</f>
        <v>0.684336361773345</v>
      </c>
      <c r="D170" s="12" t="n">
        <f aca="false">a26_ni/(a26_oi+a26_nop)</f>
        <v>0.690638510538748</v>
      </c>
      <c r="E170" s="12" t="n">
        <f aca="false">nir_f</f>
        <v>0.69</v>
      </c>
      <c r="F170" s="12" t="n">
        <f aca="false">nir_f</f>
        <v>0.69</v>
      </c>
      <c r="G170" s="12" t="n">
        <f aca="false">nir_f</f>
        <v>0.69</v>
      </c>
    </row>
    <row r="171" customFormat="false" ht="15" hidden="false" customHeight="false" outlineLevel="0" collapsed="false">
      <c r="A171" s="4" t="s">
        <v>285</v>
      </c>
      <c r="B171" s="0" t="s">
        <v>153</v>
      </c>
      <c r="C171" s="17" t="n">
        <f aca="false">a25_ni</f>
        <v>60.108</v>
      </c>
      <c r="D171" s="17" t="n">
        <f aca="false">a26_ni</f>
        <v>98.429235925</v>
      </c>
      <c r="E171" s="17" t="n">
        <f aca="false">(E167+E169)*E170</f>
        <v>157.741343356589</v>
      </c>
      <c r="F171" s="17" t="n">
        <f aca="false">(F167+F169)*F170</f>
        <v>131.034262574005</v>
      </c>
      <c r="G171" s="17" t="n">
        <f aca="false">(G167+G169)*G170</f>
        <v>146.587975569825</v>
      </c>
    </row>
    <row r="172" customFormat="false" ht="15" hidden="false" customHeight="false" outlineLevel="0" collapsed="false">
      <c r="A172" s="4" t="s">
        <v>382</v>
      </c>
      <c r="B172" s="4" t="s">
        <v>179</v>
      </c>
      <c r="C172" s="20" t="n">
        <f aca="false">a25_sh</f>
        <v>2.59757994814175</v>
      </c>
      <c r="D172" s="20" t="n">
        <f aca="false">a26_sh</f>
        <v>2.59806708357021</v>
      </c>
      <c r="E172" s="20" t="n">
        <f aca="false">D172*(1+sh_g)</f>
        <v>2.59806708357021</v>
      </c>
      <c r="F172" s="20" t="n">
        <f aca="false">E172*(1+sh_g)</f>
        <v>2.59806708357021</v>
      </c>
      <c r="G172" s="20" t="n">
        <f aca="false">F172*(1+sh_g)</f>
        <v>2.59806708357021</v>
      </c>
    </row>
    <row r="173" customFormat="false" ht="15" hidden="false" customHeight="false" outlineLevel="0" collapsed="false">
      <c r="A173" s="0" t="s">
        <v>290</v>
      </c>
      <c r="B173" s="0" t="s">
        <v>210</v>
      </c>
      <c r="C173" s="18" t="n">
        <f aca="false">C171/C172</f>
        <v>23.14</v>
      </c>
      <c r="D173" s="18" t="n">
        <f aca="false">D171/D172</f>
        <v>37.8855636744147</v>
      </c>
      <c r="E173" s="18" t="n">
        <f aca="false">E171/E172</f>
        <v>60.7148846748884</v>
      </c>
      <c r="F173" s="18" t="n">
        <f aca="false">F171/F172</f>
        <v>50.4352883736705</v>
      </c>
      <c r="G173" s="18" t="n">
        <f aca="false">G171/G172</f>
        <v>56.4219363298298</v>
      </c>
    </row>
    <row r="174" customFormat="false" ht="17.15" hidden="false" customHeight="false" outlineLevel="0" collapsed="false">
      <c r="A174" s="0" t="s">
        <v>383</v>
      </c>
      <c r="B174" s="0" t="s">
        <v>46</v>
      </c>
      <c r="D174" s="12" t="n">
        <f aca="false">D173/C173-1</f>
        <v>0.637232656629847</v>
      </c>
      <c r="E174" s="12" t="n">
        <f aca="false">E173/D173-1</f>
        <v>0.602586283172848</v>
      </c>
      <c r="F174" s="12" t="n">
        <f aca="false">F173/E173-1</f>
        <v>-0.16930932762637</v>
      </c>
      <c r="G174" s="12" t="n">
        <f aca="false">G173/F173-1</f>
        <v>0.118699588109913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386</v>
      </c>
    </row>
    <row r="2" customFormat="false" ht="17.15" hidden="false" customHeight="false" outlineLevel="0" collapsed="false">
      <c r="A2" s="4" t="s">
        <v>387</v>
      </c>
    </row>
    <row r="3" customFormat="false" ht="17.15" hidden="false" customHeight="false" outlineLevel="0" collapsed="false">
      <c r="A3" s="4" t="s">
        <v>388</v>
      </c>
    </row>
    <row r="4" customFormat="false" ht="17.15" hidden="false" customHeight="false" outlineLevel="0" collapsed="false">
      <c r="A4" s="6" t="s">
        <v>389</v>
      </c>
    </row>
    <row r="5" customFormat="false" ht="15" hidden="false" customHeight="false" outlineLevel="0" collapsed="false">
      <c r="A5" s="5" t="s">
        <v>15</v>
      </c>
      <c r="B5" s="9" t="s">
        <v>390</v>
      </c>
      <c r="C5" s="9" t="s">
        <v>391</v>
      </c>
      <c r="D5" s="9" t="s">
        <v>392</v>
      </c>
      <c r="E5" s="5" t="s">
        <v>317</v>
      </c>
    </row>
    <row r="6" customFormat="false" ht="17.15" hidden="false" customHeight="false" outlineLevel="0" collapsed="false">
      <c r="A6" s="4" t="s">
        <v>393</v>
      </c>
      <c r="B6" s="16" t="n">
        <f aca="false">px</f>
        <v>1605</v>
      </c>
    </row>
    <row r="7" customFormat="false" ht="17.15" hidden="false" customHeight="false" outlineLevel="0" collapsed="false">
      <c r="A7" s="4" t="s">
        <v>394</v>
      </c>
      <c r="B7" s="15" t="n">
        <f aca="false">px/PL!D14</f>
        <v>42.3644218096696</v>
      </c>
      <c r="C7" s="15" t="n">
        <f aca="false">px/PL!D27</f>
        <v>42.3644218096696</v>
      </c>
      <c r="D7" s="15" t="n">
        <f aca="false">px/PL!D40</f>
        <v>42.3644218096696</v>
      </c>
    </row>
    <row r="8" customFormat="false" ht="17.15" hidden="false" customHeight="false" outlineLevel="0" collapsed="false">
      <c r="A8" s="4" t="s">
        <v>395</v>
      </c>
      <c r="B8" s="15" t="n">
        <f aca="false">px/PL!E14</f>
        <v>26.4350333298718</v>
      </c>
      <c r="C8" s="15" t="n">
        <f aca="false">px/PL!E27</f>
        <v>26.4350333298718</v>
      </c>
      <c r="D8" s="15" t="n">
        <f aca="false">px/PL!E40</f>
        <v>26.4350333298718</v>
      </c>
      <c r="E8" s="8" t="s">
        <v>396</v>
      </c>
    </row>
    <row r="9" customFormat="false" ht="17.15" hidden="false" customHeight="false" outlineLevel="0" collapsed="false">
      <c r="A9" s="4" t="s">
        <v>397</v>
      </c>
      <c r="B9" s="15" t="n">
        <f aca="false">px/PL!F14</f>
        <v>20.8075999559417</v>
      </c>
      <c r="C9" s="15" t="n">
        <f aca="false">px/PL!F27</f>
        <v>24.4860094602926</v>
      </c>
      <c r="D9" s="15" t="n">
        <f aca="false">px/PL!F40</f>
        <v>31.8229567383198</v>
      </c>
    </row>
    <row r="10" customFormat="false" ht="17.15" hidden="false" customHeight="false" outlineLevel="0" collapsed="false">
      <c r="A10" s="4" t="s">
        <v>398</v>
      </c>
      <c r="B10" s="15" t="n">
        <f aca="false">px/PL!G14</f>
        <v>18.4173040391141</v>
      </c>
      <c r="C10" s="15" t="n">
        <f aca="false">px/PL!G27</f>
        <v>20.8363023696246</v>
      </c>
      <c r="D10" s="15" t="n">
        <f aca="false">px/PL!G40</f>
        <v>28.4463828149664</v>
      </c>
    </row>
    <row r="11" customFormat="false" ht="17.15" hidden="false" customHeight="false" outlineLevel="0" collapsed="false">
      <c r="A11" s="4" t="s">
        <v>399</v>
      </c>
      <c r="B11" s="13" t="n">
        <f aca="false">0.25*PL!D14+0.75*PL!E14</f>
        <v>55.00755442477</v>
      </c>
    </row>
    <row r="12" customFormat="false" ht="17.15" hidden="false" customHeight="false" outlineLevel="0" collapsed="false">
      <c r="A12" s="4" t="s">
        <v>400</v>
      </c>
      <c r="B12" s="15" t="n">
        <f aca="false">px/B11</f>
        <v>29.1778105168272</v>
      </c>
      <c r="E12" s="8" t="s">
        <v>401</v>
      </c>
    </row>
    <row r="13" customFormat="false" ht="17.15" hidden="false" customHeight="false" outlineLevel="0" collapsed="false">
      <c r="A13" s="4" t="s">
        <v>402</v>
      </c>
      <c r="B13" s="15" t="n">
        <f aca="false">pe_ttm</f>
        <v>49.65</v>
      </c>
    </row>
    <row r="15" customFormat="false" ht="17.15" hidden="false" customHeight="false" outlineLevel="0" collapsed="false">
      <c r="A15" s="6" t="s">
        <v>403</v>
      </c>
    </row>
    <row r="16" customFormat="false" ht="17.15" hidden="false" customHeight="false" outlineLevel="0" collapsed="false">
      <c r="A16" s="5" t="s">
        <v>404</v>
      </c>
      <c r="B16" s="5" t="s">
        <v>405</v>
      </c>
      <c r="C16" s="9" t="s">
        <v>406</v>
      </c>
      <c r="D16" s="5" t="s">
        <v>407</v>
      </c>
      <c r="E16" s="5" t="s">
        <v>408</v>
      </c>
      <c r="F16" s="5" t="s">
        <v>317</v>
      </c>
    </row>
    <row r="17" customFormat="false" ht="17.15" hidden="false" customHeight="false" outlineLevel="0" collapsed="false">
      <c r="A17" s="0" t="s">
        <v>390</v>
      </c>
      <c r="B17" s="0" t="n">
        <f aca="false">INDEX({2026,2027,2028,2029},MATCH(MAX(PL!D78:G78),PL!D78:G78,0))</f>
        <v>2029</v>
      </c>
      <c r="C17" s="0" t="str">
        <f aca="false">IF(B17=2029,"中段",IF(2027&lt;B17,"中段",IF(2027=B17,"見頂","谷底")))</f>
        <v>中段</v>
      </c>
      <c r="D17" s="15" t="n">
        <f aca="false">IF(C17="見頂",pe_peak,IF(C17="谷底",pe_trough,pe_mid))</f>
        <v>22.4</v>
      </c>
      <c r="E17" s="0" t="str">
        <f aca="false">IF(B17=2029,"是：營收到觀測期末仍在增加","否")</f>
        <v>是：營收到觀測期末仍在增加</v>
      </c>
      <c r="F17" s="8" t="s">
        <v>409</v>
      </c>
    </row>
    <row r="18" customFormat="false" ht="15" hidden="false" customHeight="false" outlineLevel="0" collapsed="false">
      <c r="A18" s="0" t="s">
        <v>391</v>
      </c>
      <c r="B18" s="0" t="n">
        <f aca="false">INDEX({2026,2027,2028,2029},MATCH(MAX(PL!D117:G117),PL!D117:G117,0))</f>
        <v>2029</v>
      </c>
      <c r="C18" s="0" t="str">
        <f aca="false">IF(B18=2029,"中段",IF(2027&lt;B18,"中段",IF(2027=B18,"見頂","谷底")))</f>
        <v>中段</v>
      </c>
      <c r="D18" s="15" t="n">
        <f aca="false">IF(C18="見頂",pe_peak,IF(C18="谷底",pe_trough,pe_mid))</f>
        <v>22.4</v>
      </c>
      <c r="E18" s="0" t="str">
        <f aca="false">IF(B18=2029,"是：營收到觀測期末仍在增加","否")</f>
        <v>是：營收到觀測期末仍在增加</v>
      </c>
      <c r="F18" s="4" t="s">
        <v>32</v>
      </c>
    </row>
    <row r="19" customFormat="false" ht="15" hidden="false" customHeight="false" outlineLevel="0" collapsed="false">
      <c r="A19" s="0" t="s">
        <v>392</v>
      </c>
      <c r="B19" s="0" t="n">
        <f aca="false">INDEX({2026,2027,2028,2029},MATCH(MAX(PL!D156:G156),PL!D156:G156,0))</f>
        <v>2029</v>
      </c>
      <c r="C19" s="0" t="str">
        <f aca="false">IF(B19=2029,"中段",IF(2027&lt;B19,"中段",IF(2027=B19,"見頂","谷底")))</f>
        <v>中段</v>
      </c>
      <c r="D19" s="15" t="n">
        <f aca="false">IF(C19="見頂",pe_peak,IF(C19="谷底",pe_trough,pe_mid))</f>
        <v>22.4</v>
      </c>
      <c r="E19" s="0" t="str">
        <f aca="false">IF(B19=2029,"是：營收到觀測期末仍在增加","否")</f>
        <v>是：營收到觀測期末仍在增加</v>
      </c>
      <c r="F19" s="4" t="s">
        <v>32</v>
      </c>
    </row>
    <row r="21" customFormat="false" ht="17.15" hidden="false" customHeight="false" outlineLevel="0" collapsed="false">
      <c r="A21" s="6" t="s">
        <v>410</v>
      </c>
    </row>
    <row r="22" customFormat="false" ht="17.15" hidden="false" customHeight="false" outlineLevel="0" collapsed="false">
      <c r="A22" s="5" t="s">
        <v>404</v>
      </c>
      <c r="B22" s="9" t="s">
        <v>411</v>
      </c>
      <c r="C22" s="5" t="s">
        <v>412</v>
      </c>
      <c r="D22" s="5" t="s">
        <v>413</v>
      </c>
      <c r="E22" s="5" t="s">
        <v>414</v>
      </c>
      <c r="F22" s="5" t="s">
        <v>415</v>
      </c>
      <c r="G22" s="5" t="s">
        <v>416</v>
      </c>
    </row>
    <row r="23" customFormat="false" ht="15" hidden="false" customHeight="false" outlineLevel="0" collapsed="false">
      <c r="A23" s="21" t="s">
        <v>390</v>
      </c>
      <c r="B23" s="22" t="n">
        <f aca="false">PL!E14</f>
        <v>60.7148846748884</v>
      </c>
      <c r="C23" s="22" t="n">
        <f aca="false">B23</f>
        <v>60.7148846748884</v>
      </c>
      <c r="D23" s="23" t="n">
        <f aca="false">D17</f>
        <v>22.4</v>
      </c>
      <c r="E23" s="24" t="n">
        <f aca="false">C23*D23</f>
        <v>1360.0134167175</v>
      </c>
      <c r="F23" s="25" t="n">
        <f aca="false">E23/px-1</f>
        <v>-0.152639615752336</v>
      </c>
      <c r="G23" s="23" t="n">
        <f aca="false">px/C23</f>
        <v>26.4350333298718</v>
      </c>
    </row>
    <row r="24" customFormat="false" ht="15" hidden="false" customHeight="false" outlineLevel="0" collapsed="false">
      <c r="A24" s="21" t="s">
        <v>391</v>
      </c>
      <c r="B24" s="22" t="n">
        <f aca="false">PL!E27</f>
        <v>60.7148846748884</v>
      </c>
      <c r="C24" s="22" t="n">
        <f aca="false">B24</f>
        <v>60.7148846748884</v>
      </c>
      <c r="D24" s="23" t="n">
        <f aca="false">D18</f>
        <v>22.4</v>
      </c>
      <c r="E24" s="24" t="n">
        <f aca="false">C24*D24</f>
        <v>1360.0134167175</v>
      </c>
      <c r="F24" s="25" t="n">
        <f aca="false">E24/px-1</f>
        <v>-0.152639615752336</v>
      </c>
      <c r="G24" s="23" t="n">
        <f aca="false">px/C24</f>
        <v>26.4350333298718</v>
      </c>
    </row>
    <row r="25" customFormat="false" ht="15" hidden="false" customHeight="false" outlineLevel="0" collapsed="false">
      <c r="A25" s="21" t="s">
        <v>392</v>
      </c>
      <c r="B25" s="22" t="n">
        <f aca="false">PL!E40</f>
        <v>60.7148846748884</v>
      </c>
      <c r="C25" s="22" t="n">
        <f aca="false">B25</f>
        <v>60.7148846748884</v>
      </c>
      <c r="D25" s="23" t="n">
        <f aca="false">D19</f>
        <v>22.4</v>
      </c>
      <c r="E25" s="24" t="n">
        <f aca="false">C25*D25</f>
        <v>1360.0134167175</v>
      </c>
      <c r="F25" s="25" t="n">
        <f aca="false">E25/px-1</f>
        <v>-0.152639615752336</v>
      </c>
      <c r="G25" s="23" t="n">
        <f aca="false">px/C25</f>
        <v>26.4350333298718</v>
      </c>
    </row>
    <row r="26" customFormat="false" ht="17.15" hidden="false" customHeight="false" outlineLevel="0" collapsed="false">
      <c r="A26" s="6" t="s">
        <v>417</v>
      </c>
    </row>
    <row r="27" customFormat="false" ht="17.15" hidden="false" customHeight="false" outlineLevel="0" collapsed="false">
      <c r="A27" s="9" t="s">
        <v>418</v>
      </c>
      <c r="B27" s="5" t="s">
        <v>419</v>
      </c>
      <c r="C27" s="5" t="s">
        <v>420</v>
      </c>
      <c r="D27" s="5" t="s">
        <v>421</v>
      </c>
      <c r="E27" s="5" t="s">
        <v>422</v>
      </c>
    </row>
    <row r="28" customFormat="false" ht="15" hidden="false" customHeight="false" outlineLevel="0" collapsed="false">
      <c r="A28" s="14" t="n">
        <v>1</v>
      </c>
      <c r="B28" s="15" t="n">
        <f aca="false">px*A28/PL!F14</f>
        <v>20.8075999559417</v>
      </c>
      <c r="C28" s="15" t="n">
        <f aca="false">px*A28/PL!F40</f>
        <v>31.8229567383198</v>
      </c>
      <c r="D28" s="15" t="n">
        <f aca="false">pe_fair_andy</f>
        <v>25</v>
      </c>
      <c r="E28" s="15" t="n">
        <f aca="false">pe_mid</f>
        <v>22.4</v>
      </c>
    </row>
    <row r="29" customFormat="false" ht="15" hidden="false" customHeight="false" outlineLevel="0" collapsed="false">
      <c r="A29" s="14" t="n">
        <v>1.1</v>
      </c>
      <c r="B29" s="15" t="n">
        <f aca="false">px*A29/PL!F14</f>
        <v>22.8883599515359</v>
      </c>
      <c r="C29" s="15" t="n">
        <f aca="false">px*A29/PL!F40</f>
        <v>35.0052524121518</v>
      </c>
      <c r="D29" s="15" t="n">
        <f aca="false">pe_fair_andy</f>
        <v>25</v>
      </c>
      <c r="E29" s="15" t="n">
        <f aca="false">pe_mid</f>
        <v>22.4</v>
      </c>
    </row>
    <row r="30" customFormat="false" ht="15" hidden="false" customHeight="false" outlineLevel="0" collapsed="false">
      <c r="A30" s="14" t="n">
        <v>1.21</v>
      </c>
      <c r="B30" s="15" t="n">
        <f aca="false">px*A30/PL!F14</f>
        <v>25.1771959466894</v>
      </c>
      <c r="C30" s="15" t="n">
        <f aca="false">px*A30/PL!F40</f>
        <v>38.505777653367</v>
      </c>
      <c r="D30" s="15" t="n">
        <f aca="false">pe_fair_andy</f>
        <v>25</v>
      </c>
      <c r="E30" s="15" t="n">
        <f aca="false">pe_mid</f>
        <v>22.4</v>
      </c>
    </row>
    <row r="31" customFormat="false" ht="15" hidden="false" customHeight="false" outlineLevel="0" collapsed="false">
      <c r="A31" s="14" t="n">
        <v>1.5</v>
      </c>
      <c r="B31" s="15" t="n">
        <f aca="false">px*A31/PL!F14</f>
        <v>31.2113999339125</v>
      </c>
      <c r="C31" s="15" t="n">
        <f aca="false">px*A31/PL!F40</f>
        <v>47.7344351074798</v>
      </c>
      <c r="D31" s="15" t="n">
        <f aca="false">pe_fair_andy</f>
        <v>25</v>
      </c>
      <c r="E31" s="15" t="n">
        <f aca="false">pe_mid</f>
        <v>22.4</v>
      </c>
    </row>
    <row r="32" customFormat="false" ht="15" hidden="false" customHeight="false" outlineLevel="0" collapsed="false">
      <c r="A32" s="14" t="n">
        <v>2</v>
      </c>
      <c r="B32" s="15" t="n">
        <f aca="false">px*A32/PL!F14</f>
        <v>41.6151999118834</v>
      </c>
      <c r="C32" s="15" t="n">
        <f aca="false">px*A32/PL!F40</f>
        <v>63.6459134766397</v>
      </c>
      <c r="D32" s="15" t="n">
        <f aca="false">pe_fair_andy</f>
        <v>25</v>
      </c>
      <c r="E32" s="15" t="n">
        <f aca="false">pe_mid</f>
        <v>22.4</v>
      </c>
    </row>
    <row r="33" customFormat="false" ht="17.15" hidden="false" customHeight="false" outlineLevel="0" collapsed="false">
      <c r="A33" s="4" t="s">
        <v>423</v>
      </c>
    </row>
    <row r="35" customFormat="false" ht="17.15" hidden="false" customHeight="false" outlineLevel="0" collapsed="false">
      <c r="A35" s="6" t="s">
        <v>424</v>
      </c>
    </row>
    <row r="36" customFormat="false" ht="15" hidden="false" customHeight="false" outlineLevel="0" collapsed="false">
      <c r="A36" s="5" t="s">
        <v>404</v>
      </c>
      <c r="B36" s="9" t="s">
        <v>411</v>
      </c>
      <c r="C36" s="9" t="s">
        <v>425</v>
      </c>
      <c r="D36" s="5" t="s">
        <v>415</v>
      </c>
      <c r="E36" s="9" t="s">
        <v>426</v>
      </c>
      <c r="F36" s="9" t="s">
        <v>425</v>
      </c>
      <c r="G36" s="5" t="s">
        <v>415</v>
      </c>
    </row>
    <row r="37" customFormat="false" ht="15" hidden="false" customHeight="false" outlineLevel="0" collapsed="false">
      <c r="A37" s="0" t="s">
        <v>390</v>
      </c>
      <c r="B37" s="13" t="n">
        <f aca="false">PL!E14</f>
        <v>60.7148846748884</v>
      </c>
      <c r="C37" s="16" t="n">
        <f aca="false">B37*pe_fair_andy</f>
        <v>1517.87211687221</v>
      </c>
      <c r="D37" s="26" t="n">
        <f aca="false">C37/px-1</f>
        <v>-0.0542852854378748</v>
      </c>
      <c r="E37" s="13" t="n">
        <f aca="false">PL!F14</f>
        <v>77.1352776580889</v>
      </c>
      <c r="F37" s="16" t="n">
        <f aca="false">E37*pe_fair_andy</f>
        <v>1928.38194145222</v>
      </c>
      <c r="G37" s="26" t="n">
        <f aca="false">F37/px-1</f>
        <v>0.201484075671166</v>
      </c>
    </row>
    <row r="38" customFormat="false" ht="15" hidden="false" customHeight="false" outlineLevel="0" collapsed="false">
      <c r="A38" s="0" t="s">
        <v>391</v>
      </c>
      <c r="B38" s="13" t="n">
        <f aca="false">PL!E27</f>
        <v>60.7148846748884</v>
      </c>
      <c r="C38" s="16" t="n">
        <f aca="false">B38*pe_fair_andy</f>
        <v>1517.87211687221</v>
      </c>
      <c r="D38" s="26" t="n">
        <f aca="false">C38/px-1</f>
        <v>-0.0542852854378748</v>
      </c>
      <c r="E38" s="13" t="n">
        <f aca="false">PL!F27</f>
        <v>65.5476345626152</v>
      </c>
      <c r="F38" s="16" t="n">
        <f aca="false">E38*pe_fair_andy</f>
        <v>1638.69086406538</v>
      </c>
      <c r="G38" s="26" t="n">
        <f aca="false">F38/px-1</f>
        <v>0.0209911925640998</v>
      </c>
    </row>
    <row r="39" customFormat="false" ht="15" hidden="false" customHeight="false" outlineLevel="0" collapsed="false">
      <c r="A39" s="0" t="s">
        <v>392</v>
      </c>
      <c r="B39" s="13" t="n">
        <f aca="false">PL!E40</f>
        <v>60.7148846748884</v>
      </c>
      <c r="C39" s="16" t="n">
        <f aca="false">B39*pe_fair_andy</f>
        <v>1517.87211687221</v>
      </c>
      <c r="D39" s="26" t="n">
        <f aca="false">C39/px-1</f>
        <v>-0.0542852854378748</v>
      </c>
      <c r="E39" s="13" t="n">
        <f aca="false">PL!F40</f>
        <v>50.4352883736705</v>
      </c>
      <c r="F39" s="16" t="n">
        <f aca="false">E39*pe_fair_andy</f>
        <v>1260.88220934176</v>
      </c>
      <c r="G39" s="26" t="n">
        <f aca="false">F39/px-1</f>
        <v>-0.214403607886753</v>
      </c>
    </row>
    <row r="41" customFormat="false" ht="17.15" hidden="false" customHeight="false" outlineLevel="0" collapsed="false">
      <c r="A41" s="6" t="s">
        <v>427</v>
      </c>
    </row>
    <row r="42" customFormat="false" ht="17.15" hidden="false" customHeight="false" outlineLevel="0" collapsed="false">
      <c r="A42" s="27" t="s">
        <v>428</v>
      </c>
      <c r="B42" s="24" t="n">
        <f aca="false">tp_wA*B44+tp_wB*B45+tp_wC*B46</f>
        <v>1360.0134167175</v>
      </c>
      <c r="C42" s="21"/>
      <c r="D42" s="21"/>
      <c r="E42" s="28" t="s">
        <v>429</v>
      </c>
    </row>
    <row r="43" customFormat="false" ht="17.15" hidden="false" customHeight="false" outlineLevel="0" collapsed="false">
      <c r="A43" s="28" t="s">
        <v>430</v>
      </c>
      <c r="B43" s="29" t="n">
        <f aca="false">B42/px-1</f>
        <v>-0.152639615752336</v>
      </c>
      <c r="C43" s="21"/>
      <c r="D43" s="21"/>
      <c r="E43" s="28" t="s">
        <v>431</v>
      </c>
    </row>
    <row r="44" customFormat="false" ht="17.15" hidden="false" customHeight="false" outlineLevel="0" collapsed="false">
      <c r="A44" s="4" t="s">
        <v>432</v>
      </c>
      <c r="B44" s="16" t="n">
        <f aca="false">E23</f>
        <v>1360.0134167175</v>
      </c>
      <c r="E44" s="4" t="s">
        <v>433</v>
      </c>
    </row>
    <row r="45" customFormat="false" ht="17.15" hidden="false" customHeight="false" outlineLevel="0" collapsed="false">
      <c r="A45" s="4" t="s">
        <v>434</v>
      </c>
      <c r="B45" s="16" t="n">
        <f aca="false">E24</f>
        <v>1360.0134167175</v>
      </c>
      <c r="E45" s="4" t="s">
        <v>435</v>
      </c>
    </row>
    <row r="46" customFormat="false" ht="17.15" hidden="false" customHeight="false" outlineLevel="0" collapsed="false">
      <c r="A46" s="4" t="s">
        <v>436</v>
      </c>
      <c r="B46" s="16" t="n">
        <f aca="false">E25</f>
        <v>1360.0134167175</v>
      </c>
      <c r="E46" s="4" t="s">
        <v>437</v>
      </c>
    </row>
    <row r="47" customFormat="false" ht="17.15" hidden="false" customHeight="false" outlineLevel="0" collapsed="false">
      <c r="A47" s="4" t="s">
        <v>438</v>
      </c>
      <c r="B47" s="26" t="n">
        <f aca="false">tp_wA</f>
        <v>0.3</v>
      </c>
      <c r="C47" s="26" t="n">
        <f aca="false">tp_wB</f>
        <v>0.5</v>
      </c>
      <c r="D47" s="26" t="n">
        <f aca="false">tp_wC</f>
        <v>0.2</v>
      </c>
      <c r="E47" s="8" t="s">
        <v>439</v>
      </c>
    </row>
    <row r="48" customFormat="false" ht="17.15" hidden="false" customHeight="false" outlineLevel="0" collapsed="false">
      <c r="A48" s="4" t="s">
        <v>440</v>
      </c>
      <c r="B48" s="0" t="s">
        <v>441</v>
      </c>
    </row>
    <row r="50" customFormat="false" ht="17.15" hidden="false" customHeight="false" outlineLevel="0" collapsed="false">
      <c r="A50" s="6" t="s">
        <v>442</v>
      </c>
    </row>
    <row r="51" customFormat="false" ht="17.15" hidden="false" customHeight="false" outlineLevel="0" collapsed="false">
      <c r="A51" s="4" t="s">
        <v>443</v>
      </c>
    </row>
    <row r="53" customFormat="false" ht="17.15" hidden="false" customHeight="false" outlineLevel="0" collapsed="false">
      <c r="A53" s="6" t="s">
        <v>444</v>
      </c>
    </row>
    <row r="54" customFormat="false" ht="17.15" hidden="false" customHeight="false" outlineLevel="0" collapsed="false">
      <c r="A54" s="5" t="s">
        <v>445</v>
      </c>
      <c r="B54" s="9" t="s">
        <v>446</v>
      </c>
      <c r="C54" s="5" t="s">
        <v>447</v>
      </c>
    </row>
    <row r="55" customFormat="false" ht="17.15" hidden="false" customHeight="false" outlineLevel="0" collapsed="false">
      <c r="A55" s="0" t="s">
        <v>448</v>
      </c>
      <c r="B55" s="14" t="n">
        <v>17.2</v>
      </c>
      <c r="C55" s="8" t="s">
        <v>449</v>
      </c>
    </row>
    <row r="56" customFormat="false" ht="15" hidden="false" customHeight="false" outlineLevel="0" collapsed="false">
      <c r="A56" s="0" t="s">
        <v>450</v>
      </c>
      <c r="B56" s="14" t="n">
        <v>16.4</v>
      </c>
    </row>
    <row r="57" customFormat="false" ht="15" hidden="false" customHeight="false" outlineLevel="0" collapsed="false">
      <c r="A57" s="0" t="s">
        <v>451</v>
      </c>
      <c r="B57" s="14" t="n">
        <v>15.3</v>
      </c>
    </row>
    <row r="58" customFormat="false" ht="15" hidden="false" customHeight="false" outlineLevel="0" collapsed="false">
      <c r="A58" s="0" t="s">
        <v>452</v>
      </c>
      <c r="B58" s="14" t="n">
        <v>14.9</v>
      </c>
    </row>
    <row r="59" customFormat="false" ht="15" hidden="false" customHeight="false" outlineLevel="0" collapsed="false">
      <c r="A59" s="0" t="s">
        <v>453</v>
      </c>
      <c r="B59" s="14" t="n">
        <v>23.8</v>
      </c>
    </row>
    <row r="60" customFormat="false" ht="15" hidden="false" customHeight="false" outlineLevel="0" collapsed="false">
      <c r="A60" s="0" t="s">
        <v>454</v>
      </c>
      <c r="B60" s="14" t="n">
        <v>24.4</v>
      </c>
    </row>
    <row r="61" customFormat="false" ht="15" hidden="false" customHeight="false" outlineLevel="0" collapsed="false">
      <c r="A61" s="0" t="s">
        <v>455</v>
      </c>
      <c r="B61" s="14" t="n">
        <v>21.3</v>
      </c>
    </row>
    <row r="62" customFormat="false" ht="15" hidden="false" customHeight="false" outlineLevel="0" collapsed="false">
      <c r="A62" s="0" t="s">
        <v>456</v>
      </c>
      <c r="B62" s="14" t="n">
        <v>23.5</v>
      </c>
    </row>
    <row r="63" customFormat="false" ht="15" hidden="false" customHeight="false" outlineLevel="0" collapsed="false">
      <c r="A63" s="0" t="s">
        <v>457</v>
      </c>
      <c r="B63" s="14" t="n">
        <v>31.5</v>
      </c>
    </row>
    <row r="64" customFormat="false" ht="15" hidden="false" customHeight="false" outlineLevel="0" collapsed="false">
      <c r="A64" s="0" t="s">
        <v>458</v>
      </c>
      <c r="B64" s="14" t="n">
        <v>41.5</v>
      </c>
    </row>
    <row r="65" customFormat="false" ht="17.15" hidden="false" customHeight="false" outlineLevel="0" collapsed="false">
      <c r="A65" s="0" t="s">
        <v>459</v>
      </c>
      <c r="B65" s="13" t="n">
        <f aca="false">PERCENTILE(B55:B64,0.25)</f>
        <v>16.6</v>
      </c>
    </row>
    <row r="66" customFormat="false" ht="15" hidden="false" customHeight="false" outlineLevel="0" collapsed="false">
      <c r="A66" s="4" t="s">
        <v>460</v>
      </c>
      <c r="B66" s="13" t="n">
        <f aca="false">MEDIAN(B55:B64)</f>
        <v>22.4</v>
      </c>
    </row>
    <row r="67" customFormat="false" ht="17.15" hidden="false" customHeight="false" outlineLevel="0" collapsed="false">
      <c r="A67" s="0" t="s">
        <v>461</v>
      </c>
      <c r="B67" s="13" t="n">
        <f aca="false">PERCENTILE(B55:B64,0.75)</f>
        <v>24.25</v>
      </c>
    </row>
    <row r="68" customFormat="false" ht="15" hidden="false" customHeight="false" outlineLevel="0" collapsed="false">
      <c r="A68" s="4" t="s">
        <v>462</v>
      </c>
      <c r="B68" s="13" t="n">
        <f aca="false">MIN(B55:B64)</f>
        <v>14.9</v>
      </c>
    </row>
    <row r="69" customFormat="false" ht="15" hidden="false" customHeight="false" outlineLevel="0" collapsed="false">
      <c r="A69" s="4" t="s">
        <v>463</v>
      </c>
      <c r="B69" s="13" t="n">
        <f aca="false">MAX(B55:B64)</f>
        <v>41.5</v>
      </c>
    </row>
    <row r="70" customFormat="false" ht="17.15" hidden="false" customHeight="false" outlineLevel="0" collapsed="false">
      <c r="A70" s="1" t="s">
        <v>464</v>
      </c>
      <c r="B70" s="13" t="n">
        <f aca="false">ROUND(AVERAGE(B65),2)</f>
        <v>16.6</v>
      </c>
    </row>
    <row r="71" customFormat="false" ht="17.15" hidden="false" customHeight="false" outlineLevel="0" collapsed="false">
      <c r="A71" s="1" t="s">
        <v>465</v>
      </c>
      <c r="B71" s="13" t="n">
        <f aca="false">ROUND(AVERAGE(B66),2)</f>
        <v>22.4</v>
      </c>
    </row>
    <row r="72" customFormat="false" ht="17.15" hidden="false" customHeight="false" outlineLevel="0" collapsed="false">
      <c r="A72" s="1" t="s">
        <v>466</v>
      </c>
      <c r="B72" s="13" t="n">
        <f aca="false">ROUND(AVERAGE(B67),2)</f>
        <v>24.25</v>
      </c>
    </row>
    <row r="73" customFormat="false" ht="17.15" hidden="false" customHeight="false" outlineLevel="0" collapsed="false">
      <c r="A73" s="1" t="s">
        <v>467</v>
      </c>
      <c r="B73" s="13" t="n">
        <f aca="false">ROUND(MIN(B68),2)</f>
        <v>14.9</v>
      </c>
    </row>
    <row r="74" customFormat="false" ht="17.15" hidden="false" customHeight="false" outlineLevel="0" collapsed="false">
      <c r="A74" s="1" t="s">
        <v>468</v>
      </c>
      <c r="B74" s="13" t="n">
        <f aca="false">ROUND(MAX(B69),2)</f>
        <v>41.5</v>
      </c>
    </row>
    <row r="76" customFormat="false" ht="17.15" hidden="false" customHeight="false" outlineLevel="0" collapsed="false">
      <c r="A76" s="6" t="s">
        <v>469</v>
      </c>
    </row>
    <row r="77" customFormat="false" ht="17.15" hidden="false" customHeight="false" outlineLevel="0" collapsed="false">
      <c r="A77" s="5" t="s">
        <v>470</v>
      </c>
      <c r="B77" s="5" t="s">
        <v>471</v>
      </c>
      <c r="C77" s="5" t="s">
        <v>472</v>
      </c>
      <c r="D77" s="5" t="s">
        <v>18</v>
      </c>
      <c r="E77" s="5" t="s">
        <v>473</v>
      </c>
      <c r="F77" s="5" t="s">
        <v>414</v>
      </c>
      <c r="G77" s="5" t="s">
        <v>474</v>
      </c>
      <c r="H77" s="5" t="s">
        <v>475</v>
      </c>
    </row>
    <row r="78" customFormat="false" ht="17.15" hidden="false" customHeight="false" outlineLevel="0" collapsed="false">
      <c r="A78" s="4" t="s">
        <v>476</v>
      </c>
      <c r="B78" s="0" t="s">
        <v>477</v>
      </c>
      <c r="C78" s="13" t="n">
        <f aca="false">B70</f>
        <v>16.6</v>
      </c>
      <c r="D78" s="8" t="s">
        <v>478</v>
      </c>
      <c r="E78" s="18" t="n">
        <f aca="false">C23</f>
        <v>60.7148846748884</v>
      </c>
      <c r="F78" s="17" t="n">
        <f aca="false">C78*E78</f>
        <v>1007.86708560315</v>
      </c>
      <c r="G78" s="12" t="n">
        <f aca="false">F78/px-1</f>
        <v>-0.372045429530749</v>
      </c>
      <c r="H78" s="13" t="n">
        <f aca="false">px/E78</f>
        <v>26.4350333298718</v>
      </c>
    </row>
    <row r="79" customFormat="false" ht="17.15" hidden="false" customHeight="false" outlineLevel="0" collapsed="false">
      <c r="A79" s="4" t="s">
        <v>479</v>
      </c>
      <c r="B79" s="4" t="s">
        <v>480</v>
      </c>
      <c r="C79" s="13" t="n">
        <f aca="false">B71</f>
        <v>22.4</v>
      </c>
      <c r="D79" s="8" t="s">
        <v>478</v>
      </c>
      <c r="E79" s="18" t="n">
        <f aca="false">C23</f>
        <v>60.7148846748884</v>
      </c>
      <c r="F79" s="17" t="n">
        <f aca="false">C79*E79</f>
        <v>1360.0134167175</v>
      </c>
      <c r="G79" s="12" t="n">
        <f aca="false">F79/px-1</f>
        <v>-0.152639615752336</v>
      </c>
      <c r="H79" s="13" t="n">
        <f aca="false">px/E79</f>
        <v>26.4350333298718</v>
      </c>
    </row>
    <row r="80" customFormat="false" ht="17.15" hidden="false" customHeight="false" outlineLevel="0" collapsed="false">
      <c r="A80" s="4" t="s">
        <v>481</v>
      </c>
      <c r="B80" s="0" t="s">
        <v>482</v>
      </c>
      <c r="C80" s="13" t="n">
        <f aca="false">B72</f>
        <v>24.25</v>
      </c>
      <c r="D80" s="8" t="s">
        <v>478</v>
      </c>
      <c r="E80" s="18" t="n">
        <f aca="false">C23</f>
        <v>60.7148846748884</v>
      </c>
      <c r="F80" s="17" t="n">
        <f aca="false">C80*E80</f>
        <v>1472.33595336604</v>
      </c>
      <c r="G80" s="12" t="n">
        <f aca="false">F80/px-1</f>
        <v>-0.0826567268747386</v>
      </c>
      <c r="H80" s="13" t="n">
        <f aca="false">px/E80</f>
        <v>26.4350333298718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483</v>
      </c>
    </row>
    <row r="3" customFormat="false" ht="17.15" hidden="false" customHeight="false" outlineLevel="0" collapsed="false">
      <c r="A3" s="5" t="s">
        <v>15</v>
      </c>
      <c r="B3" s="5" t="s">
        <v>484</v>
      </c>
      <c r="C3" s="5" t="s">
        <v>485</v>
      </c>
      <c r="D3" s="5" t="s">
        <v>486</v>
      </c>
      <c r="E3" s="5" t="s">
        <v>487</v>
      </c>
      <c r="F3" s="5" t="s">
        <v>488</v>
      </c>
      <c r="G3" s="5" t="s">
        <v>489</v>
      </c>
      <c r="H3" s="5" t="s">
        <v>490</v>
      </c>
      <c r="I3" s="5" t="s">
        <v>491</v>
      </c>
      <c r="J3" s="5" t="s">
        <v>317</v>
      </c>
    </row>
    <row r="4" customFormat="false" ht="17.15" hidden="false" customHeight="false" outlineLevel="0" collapsed="false">
      <c r="A4" s="6" t="s">
        <v>492</v>
      </c>
    </row>
    <row r="5" customFormat="false" ht="17.15" hidden="false" customHeight="false" outlineLevel="0" collapsed="false">
      <c r="A5" s="0" t="s">
        <v>493</v>
      </c>
      <c r="B5" s="17" t="n">
        <f aca="false">b_rev26</f>
        <v>803</v>
      </c>
      <c r="C5" s="17" t="n">
        <f aca="false">PL!D78</f>
        <v>756.4239</v>
      </c>
      <c r="D5" s="12" t="n">
        <f aca="false">C5/B5-1</f>
        <v>-0.0580026151930262</v>
      </c>
      <c r="E5" s="17" t="n">
        <f aca="false">PL!D117</f>
        <v>756.4239</v>
      </c>
      <c r="F5" s="12" t="n">
        <f aca="false">E5/B5-1</f>
        <v>-0.0580026151930262</v>
      </c>
      <c r="G5" s="17" t="n">
        <f aca="false">PL!D156</f>
        <v>756.4239</v>
      </c>
      <c r="H5" s="12" t="n">
        <f aca="false">G5/B5-1</f>
        <v>-0.0580026151930262</v>
      </c>
      <c r="I5" s="4" t="s">
        <v>211</v>
      </c>
      <c r="J5" s="4" t="s">
        <v>494</v>
      </c>
    </row>
    <row r="6" customFormat="false" ht="17.15" hidden="false" customHeight="false" outlineLevel="0" collapsed="false">
      <c r="A6" s="0" t="s">
        <v>495</v>
      </c>
      <c r="B6" s="18" t="n">
        <f aca="false">b_eps26a</f>
        <v>43.1</v>
      </c>
      <c r="C6" s="18" t="n">
        <f aca="false">PL!D95</f>
        <v>37.8855636744147</v>
      </c>
      <c r="D6" s="12" t="n">
        <f aca="false">C6/B6-1</f>
        <v>-0.120984601521702</v>
      </c>
      <c r="E6" s="18" t="n">
        <f aca="false">PL!D134</f>
        <v>37.8855636744147</v>
      </c>
      <c r="F6" s="12" t="n">
        <f aca="false">E6/B6-1</f>
        <v>-0.120984601521702</v>
      </c>
      <c r="G6" s="18" t="n">
        <f aca="false">PL!D173</f>
        <v>37.8855636744147</v>
      </c>
      <c r="H6" s="12" t="n">
        <f aca="false">G6/B6-1</f>
        <v>-0.120984601521702</v>
      </c>
      <c r="I6" s="4" t="s">
        <v>211</v>
      </c>
    </row>
    <row r="7" customFormat="false" ht="17.15" hidden="false" customHeight="false" outlineLevel="0" collapsed="false">
      <c r="A7" s="0" t="s">
        <v>496</v>
      </c>
      <c r="B7" s="18" t="n">
        <f aca="false">b_eps26b</f>
        <v>41.5</v>
      </c>
      <c r="C7" s="18" t="n">
        <f aca="false">PL!D95</f>
        <v>37.8855636744147</v>
      </c>
      <c r="D7" s="12" t="n">
        <f aca="false">C7/B7-1</f>
        <v>-0.087094851218924</v>
      </c>
      <c r="E7" s="18" t="n">
        <f aca="false">PL!D134</f>
        <v>37.8855636744147</v>
      </c>
      <c r="F7" s="12" t="n">
        <f aca="false">E7/B7-1</f>
        <v>-0.087094851218924</v>
      </c>
      <c r="G7" s="18" t="n">
        <f aca="false">PL!D173</f>
        <v>37.8855636744147</v>
      </c>
      <c r="H7" s="12" t="n">
        <f aca="false">G7/B7-1</f>
        <v>-0.087094851218924</v>
      </c>
      <c r="I7" s="8" t="s">
        <v>497</v>
      </c>
    </row>
    <row r="8" customFormat="false" ht="17.15" hidden="false" customHeight="false" outlineLevel="0" collapsed="false">
      <c r="A8" s="0" t="s">
        <v>498</v>
      </c>
      <c r="B8" s="17" t="n">
        <f aca="false">b_rev27</f>
        <v>1050</v>
      </c>
      <c r="C8" s="17" t="n">
        <f aca="false">PL!E78</f>
        <v>1121.6066856773</v>
      </c>
      <c r="D8" s="12" t="n">
        <f aca="false">C8/B8-1</f>
        <v>0.0681968435021922</v>
      </c>
      <c r="E8" s="17" t="n">
        <f aca="false">PL!E117</f>
        <v>1121.6066856773</v>
      </c>
      <c r="F8" s="12" t="n">
        <f aca="false">E8/B8-1</f>
        <v>0.0681968435021922</v>
      </c>
      <c r="G8" s="17" t="n">
        <f aca="false">PL!E156</f>
        <v>1121.6066856773</v>
      </c>
      <c r="H8" s="12" t="n">
        <f aca="false">G8/B8-1</f>
        <v>0.0681968435021922</v>
      </c>
      <c r="I8" s="8" t="s">
        <v>499</v>
      </c>
    </row>
    <row r="9" customFormat="false" ht="17.15" hidden="false" customHeight="false" outlineLevel="0" collapsed="false">
      <c r="A9" s="0" t="s">
        <v>500</v>
      </c>
      <c r="B9" s="18" t="n">
        <f aca="false">b_eps27c</f>
        <v>62.68</v>
      </c>
      <c r="C9" s="18" t="n">
        <f aca="false">PL!E95</f>
        <v>60.7148846748884</v>
      </c>
      <c r="D9" s="12" t="n">
        <f aca="false">C9/B9-1</f>
        <v>-0.0313515527299229</v>
      </c>
      <c r="E9" s="18" t="n">
        <f aca="false">PL!E134</f>
        <v>60.7148846748884</v>
      </c>
      <c r="F9" s="12" t="n">
        <f aca="false">E9/B9-1</f>
        <v>-0.0313515527299229</v>
      </c>
      <c r="G9" s="18" t="n">
        <f aca="false">PL!E173</f>
        <v>60.7148846748884</v>
      </c>
      <c r="H9" s="12" t="n">
        <f aca="false">G9/B9-1</f>
        <v>-0.0313515527299229</v>
      </c>
      <c r="I9" s="8" t="s">
        <v>499</v>
      </c>
    </row>
    <row r="10" customFormat="false" ht="17.15" hidden="false" customHeight="false" outlineLevel="0" collapsed="false">
      <c r="A10" s="0" t="s">
        <v>501</v>
      </c>
      <c r="B10" s="18" t="n">
        <f aca="false">b_eps27b</f>
        <v>65.1</v>
      </c>
      <c r="C10" s="18" t="n">
        <f aca="false">PL!E95</f>
        <v>60.7148846748884</v>
      </c>
      <c r="D10" s="12" t="n">
        <f aca="false">C10/B10-1</f>
        <v>-0.067359682413388</v>
      </c>
      <c r="E10" s="18" t="n">
        <f aca="false">PL!E134</f>
        <v>60.7148846748884</v>
      </c>
      <c r="F10" s="12" t="n">
        <f aca="false">E10/B10-1</f>
        <v>-0.067359682413388</v>
      </c>
      <c r="G10" s="18" t="n">
        <f aca="false">PL!E173</f>
        <v>60.7148846748884</v>
      </c>
      <c r="H10" s="12" t="n">
        <f aca="false">G10/B10-1</f>
        <v>-0.067359682413388</v>
      </c>
      <c r="I10" s="8" t="s">
        <v>497</v>
      </c>
    </row>
    <row r="11" customFormat="false" ht="17.15" hidden="false" customHeight="false" outlineLevel="0" collapsed="false">
      <c r="A11" s="0" t="s">
        <v>502</v>
      </c>
      <c r="B11" s="18" t="n">
        <f aca="false">b_eps27a</f>
        <v>80.8</v>
      </c>
      <c r="C11" s="18" t="n">
        <f aca="false">PL!E95</f>
        <v>60.7148846748884</v>
      </c>
      <c r="D11" s="12" t="n">
        <f aca="false">C11/B11-1</f>
        <v>-0.248578159964252</v>
      </c>
      <c r="E11" s="18" t="n">
        <f aca="false">PL!E134</f>
        <v>60.7148846748884</v>
      </c>
      <c r="F11" s="12" t="n">
        <f aca="false">E11/B11-1</f>
        <v>-0.248578159964252</v>
      </c>
      <c r="G11" s="18" t="n">
        <f aca="false">PL!E173</f>
        <v>60.7148846748884</v>
      </c>
      <c r="H11" s="12" t="n">
        <f aca="false">G11/B11-1</f>
        <v>-0.248578159964252</v>
      </c>
      <c r="I11" s="4" t="s">
        <v>211</v>
      </c>
      <c r="J11" s="4" t="s">
        <v>503</v>
      </c>
    </row>
    <row r="12" customFormat="false" ht="17.15" hidden="false" customHeight="false" outlineLevel="0" collapsed="false">
      <c r="A12" s="0" t="s">
        <v>504</v>
      </c>
      <c r="C12" s="12" t="n">
        <f aca="false">PL!E79</f>
        <v>0.482775313785434</v>
      </c>
      <c r="E12" s="12" t="n">
        <f aca="false">PL!E118</f>
        <v>0.482775313785434</v>
      </c>
      <c r="G12" s="12" t="n">
        <f aca="false">PL!E157</f>
        <v>0.482775313785434</v>
      </c>
      <c r="I12" s="8" t="s">
        <v>102</v>
      </c>
    </row>
    <row r="13" customFormat="false" ht="17.15" hidden="false" customHeight="false" outlineLevel="0" collapsed="false">
      <c r="A13" s="6" t="s">
        <v>505</v>
      </c>
    </row>
    <row r="14" customFormat="false" ht="17.15" hidden="false" customHeight="false" outlineLevel="0" collapsed="false">
      <c r="A14" s="0" t="s">
        <v>506</v>
      </c>
      <c r="B14" s="17" t="n">
        <f aca="false">ubs_26</f>
        <v>17.7</v>
      </c>
      <c r="C14" s="17" t="n">
        <f aca="false">PL!D67</f>
        <v>10.5297921189288</v>
      </c>
      <c r="D14" s="12" t="n">
        <f aca="false">C14/B14-1</f>
        <v>-0.405096490456002</v>
      </c>
      <c r="E14" s="17" t="n">
        <f aca="false">PL!D106</f>
        <v>10.5297921189288</v>
      </c>
      <c r="F14" s="12" t="n">
        <f aca="false">E14/B14-1</f>
        <v>-0.405096490456002</v>
      </c>
      <c r="G14" s="17" t="n">
        <f aca="false">PL!D145</f>
        <v>10.5297921189288</v>
      </c>
      <c r="H14" s="12" t="n">
        <f aca="false">G14/B14-1</f>
        <v>-0.405096490456002</v>
      </c>
      <c r="I14" s="8" t="s">
        <v>507</v>
      </c>
      <c r="J14" s="4" t="s">
        <v>508</v>
      </c>
    </row>
    <row r="15" customFormat="false" ht="17.15" hidden="false" customHeight="false" outlineLevel="0" collapsed="false">
      <c r="A15" s="0" t="s">
        <v>509</v>
      </c>
      <c r="B15" s="17" t="n">
        <f aca="false">ubs_27</f>
        <v>38.2</v>
      </c>
      <c r="C15" s="17" t="n">
        <f aca="false">PL!E67</f>
        <v>24.9880594956382</v>
      </c>
      <c r="D15" s="12" t="n">
        <f aca="false">C15/B15-1</f>
        <v>-0.34586231686811</v>
      </c>
      <c r="E15" s="17" t="n">
        <f aca="false">PL!E106</f>
        <v>24.9880594956382</v>
      </c>
      <c r="F15" s="12" t="n">
        <f aca="false">E15/B15-1</f>
        <v>-0.34586231686811</v>
      </c>
      <c r="G15" s="17" t="n">
        <f aca="false">PL!E145</f>
        <v>24.9880594956382</v>
      </c>
      <c r="H15" s="12" t="n">
        <f aca="false">G15/B15-1</f>
        <v>-0.34586231686811</v>
      </c>
      <c r="I15" s="4" t="s">
        <v>32</v>
      </c>
    </row>
    <row r="16" customFormat="false" ht="17.15" hidden="false" customHeight="false" outlineLevel="0" collapsed="false">
      <c r="A16" s="0" t="s">
        <v>510</v>
      </c>
      <c r="B16" s="12" t="n">
        <f aca="false">kgi_sh</f>
        <v>0.7</v>
      </c>
      <c r="C16" s="12" t="n">
        <f aca="false">PL!D69</f>
        <v>0.583671939396772</v>
      </c>
      <c r="D16" s="12" t="n">
        <f aca="false">C16-B16</f>
        <v>-0.116328060603228</v>
      </c>
      <c r="E16" s="12" t="n">
        <f aca="false">PL!D108</f>
        <v>0.583671939396772</v>
      </c>
      <c r="F16" s="12" t="n">
        <f aca="false">E16-B16</f>
        <v>-0.116328060603228</v>
      </c>
      <c r="G16" s="12" t="n">
        <f aca="false">PL!D147</f>
        <v>0.583671939396772</v>
      </c>
      <c r="H16" s="12" t="n">
        <f aca="false">G16-B16</f>
        <v>-0.116328060603228</v>
      </c>
      <c r="I16" s="4" t="s">
        <v>511</v>
      </c>
      <c r="J16" s="4" t="s">
        <v>512</v>
      </c>
    </row>
    <row r="17" customFormat="false" ht="17.15" hidden="false" customHeight="false" outlineLevel="0" collapsed="false">
      <c r="A17" s="0" t="s">
        <v>513</v>
      </c>
      <c r="C17" s="16" t="n">
        <f aca="false">PL!E82</f>
        <v>471.595702572219</v>
      </c>
      <c r="E17" s="16" t="n">
        <f aca="false">PL!E121</f>
        <v>471.595702572219</v>
      </c>
      <c r="G17" s="16" t="n">
        <f aca="false">PL!E160</f>
        <v>471.595702572219</v>
      </c>
      <c r="I17" s="8" t="s">
        <v>102</v>
      </c>
      <c r="J17" s="4" t="s">
        <v>514</v>
      </c>
    </row>
    <row r="18" customFormat="false" ht="17.15" hidden="false" customHeight="false" outlineLevel="0" collapsed="false">
      <c r="A18" s="0" t="s">
        <v>515</v>
      </c>
      <c r="B18" s="16" t="n">
        <f aca="false">cool_vr</f>
        <v>56</v>
      </c>
      <c r="C18" s="16" t="n">
        <f aca="false">Units!D11</f>
        <v>34.2800338391063</v>
      </c>
      <c r="D18" s="12" t="n">
        <f aca="false">C18/B18-1</f>
        <v>-0.387856538587387</v>
      </c>
      <c r="E18" s="16" t="n">
        <f aca="false">Units!D11</f>
        <v>34.2800338391063</v>
      </c>
      <c r="F18" s="12" t="n">
        <f aca="false">E18/B18-1</f>
        <v>-0.387856538587387</v>
      </c>
      <c r="G18" s="16" t="n">
        <f aca="false">Units!D11</f>
        <v>34.2800338391063</v>
      </c>
      <c r="H18" s="12" t="n">
        <f aca="false">G18/B18-1</f>
        <v>-0.387856538587387</v>
      </c>
      <c r="I18" s="4" t="s">
        <v>516</v>
      </c>
      <c r="J18" s="4" t="s">
        <v>517</v>
      </c>
    </row>
    <row r="19" customFormat="false" ht="17.15" hidden="false" customHeight="false" outlineLevel="0" collapsed="false">
      <c r="A19" s="0" t="s">
        <v>518</v>
      </c>
      <c r="C19" s="12" t="n">
        <f aca="false">PL!E81</f>
        <v>0.560351461250229</v>
      </c>
      <c r="E19" s="12" t="n">
        <f aca="false">PL!E120</f>
        <v>0.560351461250229</v>
      </c>
      <c r="G19" s="12" t="n">
        <f aca="false">PL!E159</f>
        <v>0.560351461250229</v>
      </c>
      <c r="I19" s="8" t="s">
        <v>102</v>
      </c>
    </row>
    <row r="20" customFormat="false" ht="17.15" hidden="false" customHeight="false" outlineLevel="0" collapsed="false">
      <c r="A20" s="6" t="s">
        <v>519</v>
      </c>
    </row>
    <row r="21" customFormat="false" ht="17.15" hidden="false" customHeight="false" outlineLevel="0" collapsed="false">
      <c r="A21" s="4" t="s">
        <v>520</v>
      </c>
      <c r="C21" s="12" t="n">
        <f aca="false">PL!D84</f>
        <v>0.340474417690927</v>
      </c>
      <c r="E21" s="12" t="n">
        <f aca="false">PL!D123</f>
        <v>0.340474417690927</v>
      </c>
      <c r="G21" s="12" t="n">
        <f aca="false">PL!D162</f>
        <v>0.340474417690927</v>
      </c>
      <c r="I21" s="8" t="s">
        <v>521</v>
      </c>
      <c r="J21" s="8" t="s">
        <v>522</v>
      </c>
    </row>
    <row r="22" customFormat="false" ht="17.15" hidden="false" customHeight="false" outlineLevel="0" collapsed="false">
      <c r="A22" s="0" t="s">
        <v>523</v>
      </c>
      <c r="B22" s="12" t="n">
        <f aca="false">a26_gp/a26_rev</f>
        <v>0.361274417690927</v>
      </c>
      <c r="C22" s="12" t="n">
        <f aca="false">PL!E86</f>
        <v>0.372098965707506</v>
      </c>
      <c r="D22" s="12" t="n">
        <f aca="false">C22-B22</f>
        <v>0.0108245480165785</v>
      </c>
      <c r="E22" s="12" t="n">
        <f aca="false">PL!E125</f>
        <v>0.372098965707506</v>
      </c>
      <c r="F22" s="12" t="n">
        <f aca="false">E22-B22</f>
        <v>0.0108245480165785</v>
      </c>
      <c r="G22" s="12" t="n">
        <f aca="false">PL!E164</f>
        <v>0.372098965707506</v>
      </c>
      <c r="H22" s="12" t="n">
        <f aca="false">G22-B22</f>
        <v>0.0108245480165785</v>
      </c>
      <c r="I22" s="4" t="s">
        <v>524</v>
      </c>
      <c r="J22" s="8" t="s">
        <v>525</v>
      </c>
    </row>
    <row r="23" customFormat="false" ht="17.15" hidden="false" customHeight="false" outlineLevel="0" collapsed="false">
      <c r="A23" s="0" t="s">
        <v>526</v>
      </c>
      <c r="C23" s="13" t="n">
        <f aca="false">Q!E15</f>
        <v>10.6057160145131</v>
      </c>
      <c r="E23" s="13" t="n">
        <f aca="false">Q!E15</f>
        <v>10.6057160145131</v>
      </c>
      <c r="G23" s="13" t="n">
        <f aca="false">Q!E15</f>
        <v>10.6057160145131</v>
      </c>
      <c r="I23" s="8" t="s">
        <v>102</v>
      </c>
      <c r="J23" s="4" t="s">
        <v>527</v>
      </c>
    </row>
    <row r="24" customFormat="false" ht="17.15" hidden="false" customHeight="false" outlineLevel="0" collapsed="false">
      <c r="A24" s="6" t="s">
        <v>528</v>
      </c>
    </row>
    <row r="25" customFormat="false" ht="17.15" hidden="false" customHeight="false" outlineLevel="0" collapsed="false">
      <c r="A25" s="0" t="s">
        <v>529</v>
      </c>
      <c r="J25" s="4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531</v>
      </c>
    </row>
    <row r="3" customFormat="false" ht="17.15" hidden="false" customHeight="false" outlineLevel="0" collapsed="false">
      <c r="A3" s="5" t="s">
        <v>532</v>
      </c>
      <c r="B3" s="5" t="s">
        <v>533</v>
      </c>
      <c r="C3" s="9" t="s">
        <v>534</v>
      </c>
      <c r="D3" s="9" t="s">
        <v>535</v>
      </c>
      <c r="E3" s="9" t="s">
        <v>536</v>
      </c>
      <c r="F3" s="9" t="s">
        <v>411</v>
      </c>
      <c r="G3" s="9" t="s">
        <v>537</v>
      </c>
      <c r="H3" s="9" t="s">
        <v>538</v>
      </c>
      <c r="I3" s="9" t="s">
        <v>539</v>
      </c>
      <c r="J3" s="9" t="s">
        <v>540</v>
      </c>
      <c r="K3" s="9" t="s">
        <v>426</v>
      </c>
      <c r="L3" s="9" t="s">
        <v>541</v>
      </c>
    </row>
    <row r="4" customFormat="false" ht="17.15" hidden="false" customHeight="false" outlineLevel="0" collapsed="false">
      <c r="A4" s="4" t="s">
        <v>542</v>
      </c>
      <c r="B4" s="0" t="s">
        <v>543</v>
      </c>
      <c r="C4" s="17" t="n">
        <f aca="false">PL!E78</f>
        <v>1121.6066856773</v>
      </c>
      <c r="D4" s="17" t="n">
        <f aca="false">PL!E72</f>
        <v>443.378806086465</v>
      </c>
      <c r="E4" s="12" t="n">
        <f aca="false">PL!E86</f>
        <v>0.372098965707506</v>
      </c>
      <c r="F4" s="13" t="n">
        <f aca="false">PL!E95</f>
        <v>60.7148846748884</v>
      </c>
      <c r="G4" s="12" t="n">
        <f aca="false">F4/F$4-1</f>
        <v>0</v>
      </c>
      <c r="H4" s="17" t="n">
        <f aca="false">PL!F78</f>
        <v>1366.53703351978</v>
      </c>
      <c r="I4" s="17" t="n">
        <f aca="false">PL!F72</f>
        <v>603.44746515164</v>
      </c>
      <c r="J4" s="12" t="n">
        <f aca="false">PL!F86</f>
        <v>0.375801522648915</v>
      </c>
      <c r="K4" s="13" t="n">
        <f aca="false">PL!F95</f>
        <v>77.1352776580889</v>
      </c>
      <c r="L4" s="12" t="n">
        <f aca="false">K4/K$4-1</f>
        <v>0</v>
      </c>
    </row>
    <row r="5" customFormat="false" ht="17.15" hidden="false" customHeight="false" outlineLevel="0" collapsed="false">
      <c r="A5" s="4" t="s">
        <v>544</v>
      </c>
      <c r="B5" s="4" t="s">
        <v>545</v>
      </c>
      <c r="C5" s="17" t="n">
        <f aca="false">E58</f>
        <v>1074.93523240504</v>
      </c>
      <c r="D5" s="17" t="n">
        <f aca="false">E52</f>
        <v>396.707352814205</v>
      </c>
      <c r="E5" s="12" t="n">
        <f aca="false">E66</f>
        <v>0.369998604142728</v>
      </c>
      <c r="F5" s="13" t="n">
        <f aca="false">E75</f>
        <v>57.3635672862047</v>
      </c>
      <c r="G5" s="12" t="n">
        <f aca="false">F5/F$4-1</f>
        <v>-0.0551976242173424</v>
      </c>
      <c r="H5" s="17" t="n">
        <f aca="false">F58</f>
        <v>1232.43759681941</v>
      </c>
      <c r="I5" s="17" t="n">
        <f aca="false">F52</f>
        <v>469.348028451275</v>
      </c>
      <c r="J5" s="12" t="n">
        <f aca="false">F66</f>
        <v>0.370940740994438</v>
      </c>
      <c r="K5" s="13" t="n">
        <f aca="false">F75</f>
        <v>67.2423363908845</v>
      </c>
      <c r="L5" s="12" t="n">
        <f aca="false">K5/K$4-1</f>
        <v>-0.128254432570477</v>
      </c>
    </row>
    <row r="6" customFormat="false" ht="17.15" hidden="false" customHeight="false" outlineLevel="0" collapsed="false">
      <c r="A6" s="4" t="s">
        <v>546</v>
      </c>
      <c r="B6" s="4" t="s">
        <v>547</v>
      </c>
      <c r="C6" s="17" t="n">
        <f aca="false">E97</f>
        <v>1144.94241231343</v>
      </c>
      <c r="D6" s="17" t="n">
        <f aca="false">E91</f>
        <v>466.714532722595</v>
      </c>
      <c r="E6" s="12" t="n">
        <f aca="false">E105</f>
        <v>0.373084933483041</v>
      </c>
      <c r="F6" s="13" t="n">
        <f aca="false">E114</f>
        <v>62.3905433692303</v>
      </c>
      <c r="G6" s="12" t="n">
        <f aca="false">F6/F$4-1</f>
        <v>0.027598812108671</v>
      </c>
      <c r="H6" s="17" t="n">
        <f aca="false">F97</f>
        <v>1433.58675186996</v>
      </c>
      <c r="I6" s="17" t="n">
        <f aca="false">F91</f>
        <v>670.497183501822</v>
      </c>
      <c r="J6" s="12" t="n">
        <f aca="false">F105</f>
        <v>0.377890900934915</v>
      </c>
      <c r="K6" s="13" t="n">
        <f aca="false">F114</f>
        <v>82.0949960365462</v>
      </c>
      <c r="L6" s="12" t="n">
        <f aca="false">K6/K$4-1</f>
        <v>0.0642989631857143</v>
      </c>
    </row>
    <row r="7" customFormat="false" ht="17.15" hidden="false" customHeight="false" outlineLevel="0" collapsed="false">
      <c r="A7" s="4" t="s">
        <v>548</v>
      </c>
      <c r="B7" s="4" t="s">
        <v>549</v>
      </c>
      <c r="C7" s="17" t="n">
        <f aca="false">E136</f>
        <v>1115.77275401827</v>
      </c>
      <c r="D7" s="17" t="n">
        <f aca="false">E130</f>
        <v>437.544874427433</v>
      </c>
      <c r="E7" s="12" t="n">
        <f aca="false">E144</f>
        <v>0.371846029722261</v>
      </c>
      <c r="F7" s="13" t="n">
        <f aca="false">E153</f>
        <v>60.295970001303</v>
      </c>
      <c r="G7" s="12" t="n">
        <f aca="false">F7/F$4-1</f>
        <v>-0.00689970302716803</v>
      </c>
      <c r="H7" s="17" t="n">
        <f aca="false">F136</f>
        <v>1341.08201273745</v>
      </c>
      <c r="I7" s="17" t="n">
        <f aca="false">F130</f>
        <v>577.992444369314</v>
      </c>
      <c r="J7" s="12" t="n">
        <f aca="false">F144</f>
        <v>0.374953588323572</v>
      </c>
      <c r="K7" s="13" t="n">
        <f aca="false">F153</f>
        <v>75.2501720294621</v>
      </c>
      <c r="L7" s="12" t="n">
        <f aca="false">K7/K$4-1</f>
        <v>-0.0244389556356135</v>
      </c>
    </row>
    <row r="8" customFormat="false" ht="17.15" hidden="false" customHeight="false" outlineLevel="0" collapsed="false">
      <c r="A8" s="4" t="s">
        <v>550</v>
      </c>
      <c r="B8" s="4" t="s">
        <v>551</v>
      </c>
      <c r="C8" s="17" t="n">
        <f aca="false">E175</f>
        <v>1125.86994342813</v>
      </c>
      <c r="D8" s="17" t="n">
        <f aca="false">E169</f>
        <v>447.642063837296</v>
      </c>
      <c r="E8" s="12" t="n">
        <f aca="false">E183</f>
        <v>0.372282145853509</v>
      </c>
      <c r="F8" s="13" t="n">
        <f aca="false">E192</f>
        <v>61.0210146286624</v>
      </c>
      <c r="G8" s="12" t="n">
        <f aca="false">F8/F$4-1</f>
        <v>0.00504209067369921</v>
      </c>
      <c r="H8" s="17" t="n">
        <f aca="false">F175</f>
        <v>1377.45915958587</v>
      </c>
      <c r="I8" s="17" t="n">
        <f aca="false">F169</f>
        <v>614.369591217733</v>
      </c>
      <c r="J8" s="12" t="n">
        <f aca="false">F183</f>
        <v>0.37615574221905</v>
      </c>
      <c r="K8" s="13" t="n">
        <f aca="false">F192</f>
        <v>77.9419660481174</v>
      </c>
      <c r="L8" s="12" t="n">
        <f aca="false">K8/K$4-1</f>
        <v>0.0104580992578289</v>
      </c>
    </row>
    <row r="9" customFormat="false" ht="17.15" hidden="false" customHeight="false" outlineLevel="0" collapsed="false">
      <c r="A9" s="4" t="s">
        <v>552</v>
      </c>
      <c r="B9" s="4" t="s">
        <v>553</v>
      </c>
      <c r="C9" s="17" t="n">
        <f aca="false">E214</f>
        <v>1087.94938764442</v>
      </c>
      <c r="D9" s="17" t="n">
        <f aca="false">E208</f>
        <v>443.378806086465</v>
      </c>
      <c r="E9" s="12" t="n">
        <f aca="false">E222</f>
        <v>0.3730773171362</v>
      </c>
      <c r="F9" s="13" t="n">
        <f aca="false">E231</f>
        <v>59.0131712056389</v>
      </c>
      <c r="G9" s="12" t="n">
        <f aca="false">F9/F$4-1</f>
        <v>-0.028027945344239</v>
      </c>
      <c r="H9" s="17" t="n">
        <f aca="false">F214</f>
        <v>1302.54020110126</v>
      </c>
      <c r="I9" s="17" t="n">
        <f aca="false">F208</f>
        <v>603.44746515164</v>
      </c>
      <c r="J9" s="12" t="n">
        <f aca="false">F222</f>
        <v>0.377537225557675</v>
      </c>
      <c r="K9" s="13" t="n">
        <f aca="false">F231</f>
        <v>73.7851443702288</v>
      </c>
      <c r="L9" s="12" t="n">
        <f aca="false">K9/K$4-1</f>
        <v>-0.0434319210298293</v>
      </c>
    </row>
    <row r="10" customFormat="false" ht="17.15" hidden="false" customHeight="false" outlineLevel="0" collapsed="false">
      <c r="A10" s="4" t="s">
        <v>554</v>
      </c>
      <c r="B10" s="4" t="s">
        <v>555</v>
      </c>
      <c r="C10" s="17" t="n">
        <f aca="false">E253</f>
        <v>1155.26398371018</v>
      </c>
      <c r="D10" s="17" t="n">
        <f aca="false">E247</f>
        <v>443.378806086465</v>
      </c>
      <c r="E10" s="12" t="n">
        <f aca="false">E261</f>
        <v>0.371177620584003</v>
      </c>
      <c r="F10" s="13" t="n">
        <f aca="false">E270</f>
        <v>62.416598144138</v>
      </c>
      <c r="G10" s="12" t="n">
        <f aca="false">F10/F$4-1</f>
        <v>0.0280279453442387</v>
      </c>
      <c r="H10" s="17" t="n">
        <f aca="false">F253</f>
        <v>1419.86772720187</v>
      </c>
      <c r="I10" s="17" t="n">
        <f aca="false">F247</f>
        <v>603.44746515164</v>
      </c>
      <c r="J10" s="12" t="n">
        <f aca="false">F261</f>
        <v>0.374474625095646</v>
      </c>
      <c r="K10" s="13" t="n">
        <f aca="false">F270</f>
        <v>79.924197793971</v>
      </c>
      <c r="L10" s="12" t="n">
        <f aca="false">K10/K$4-1</f>
        <v>0.036156220870097</v>
      </c>
    </row>
    <row r="11" customFormat="false" ht="17.15" hidden="false" customHeight="false" outlineLevel="0" collapsed="false">
      <c r="A11" s="0" t="s">
        <v>556</v>
      </c>
      <c r="B11" s="0" t="s">
        <v>557</v>
      </c>
      <c r="C11" s="17" t="n">
        <f aca="false">E292</f>
        <v>995.907896623842</v>
      </c>
      <c r="D11" s="17" t="n">
        <f aca="false">E286</f>
        <v>354.703044869172</v>
      </c>
      <c r="E11" s="12" t="n">
        <f aca="false">E300</f>
        <v>0.368967256924083</v>
      </c>
      <c r="F11" s="13" t="n">
        <f aca="false">E309</f>
        <v>52.4754968202148</v>
      </c>
      <c r="G11" s="12" t="n">
        <f aca="false">F11/F$4-1</f>
        <v>-0.135706225891613</v>
      </c>
      <c r="H11" s="17" t="n">
        <f aca="false">F292</f>
        <v>1196.78330230192</v>
      </c>
      <c r="I11" s="17" t="n">
        <f aca="false">F286</f>
        <v>482.757972121312</v>
      </c>
      <c r="J11" s="12" t="n">
        <f aca="false">F300</f>
        <v>0.372744785848154</v>
      </c>
      <c r="K11" s="13" t="n">
        <f aca="false">F309</f>
        <v>65.7376053485118</v>
      </c>
      <c r="L11" s="12" t="n">
        <f aca="false">K11/K$4-1</f>
        <v>-0.147762122022799</v>
      </c>
    </row>
    <row r="12" customFormat="false" ht="17.15" hidden="false" customHeight="false" outlineLevel="0" collapsed="false">
      <c r="A12" s="0" t="s">
        <v>558</v>
      </c>
      <c r="B12" s="0" t="s">
        <v>559</v>
      </c>
      <c r="C12" s="17" t="n">
        <f aca="false">E331</f>
        <v>1247.30547473076</v>
      </c>
      <c r="D12" s="17" t="n">
        <f aca="false">E325</f>
        <v>532.054567303758</v>
      </c>
      <c r="E12" s="12" t="n">
        <f aca="false">E339</f>
        <v>0.374599470652383</v>
      </c>
      <c r="F12" s="13" t="n">
        <f aca="false">E348</f>
        <v>68.9542725295621</v>
      </c>
      <c r="G12" s="12" t="n">
        <f aca="false">F12/F$4-1</f>
        <v>0.135706225891612</v>
      </c>
      <c r="H12" s="17" t="n">
        <f aca="false">F331</f>
        <v>1536.29076473763</v>
      </c>
      <c r="I12" s="17" t="n">
        <f aca="false">F325</f>
        <v>724.136958181968</v>
      </c>
      <c r="J12" s="12" t="n">
        <f aca="false">F339</f>
        <v>0.378182746077872</v>
      </c>
      <c r="K12" s="13" t="n">
        <f aca="false">F348</f>
        <v>88.553217298673</v>
      </c>
      <c r="L12" s="12" t="n">
        <f aca="false">K12/K$4-1</f>
        <v>0.148024872499914</v>
      </c>
    </row>
    <row r="13" customFormat="false" ht="17.15" hidden="false" customHeight="false" outlineLevel="0" collapsed="false">
      <c r="A13" s="4" t="s">
        <v>560</v>
      </c>
      <c r="B13" s="0" t="s">
        <v>561</v>
      </c>
      <c r="C13" s="17" t="n">
        <f aca="false">E370</f>
        <v>1093.6946437673</v>
      </c>
      <c r="D13" s="17" t="n">
        <f aca="false">E364</f>
        <v>443.378806086465</v>
      </c>
      <c r="E13" s="12" t="n">
        <f aca="false">E378</f>
        <v>0.372906051775499</v>
      </c>
      <c r="F13" s="13" t="n">
        <f aca="false">E387</f>
        <v>59.3036514372678</v>
      </c>
      <c r="G13" s="12" t="n">
        <f aca="false">F13/F$4-1</f>
        <v>-0.02324361225715</v>
      </c>
      <c r="H13" s="17" t="n">
        <f aca="false">F370</f>
        <v>1313.96935458928</v>
      </c>
      <c r="I13" s="17" t="n">
        <f aca="false">F364</f>
        <v>603.44746515164</v>
      </c>
      <c r="J13" s="12" t="n">
        <f aca="false">F378</f>
        <v>0.377214846258396</v>
      </c>
      <c r="K13" s="13" t="n">
        <f aca="false">F387</f>
        <v>74.3832258148109</v>
      </c>
      <c r="L13" s="12" t="n">
        <f aca="false">K13/K$4-1</f>
        <v>-0.0356782515968475</v>
      </c>
    </row>
    <row r="14" customFormat="false" ht="17.15" hidden="false" customHeight="false" outlineLevel="0" collapsed="false">
      <c r="A14" s="4" t="s">
        <v>562</v>
      </c>
      <c r="B14" s="0" t="s">
        <v>563</v>
      </c>
      <c r="C14" s="17" t="n">
        <f aca="false">E409</f>
        <v>1140.2147136173</v>
      </c>
      <c r="D14" s="17" t="n">
        <f aca="false">E403</f>
        <v>443.378806086465</v>
      </c>
      <c r="E14" s="12" t="n">
        <f aca="false">E417</f>
        <v>0.371582860744068</v>
      </c>
      <c r="F14" s="13" t="n">
        <f aca="false">E426</f>
        <v>61.6557068333022</v>
      </c>
      <c r="G14" s="12" t="n">
        <f aca="false">F14/F$4-1</f>
        <v>0.0154957415047665</v>
      </c>
      <c r="H14" s="17" t="n">
        <f aca="false">F409</f>
        <v>1411.66150127428</v>
      </c>
      <c r="I14" s="17" t="n">
        <f aca="false">F403</f>
        <v>603.44746515164</v>
      </c>
      <c r="J14" s="12" t="n">
        <f aca="false">F417</f>
        <v>0.374672274024442</v>
      </c>
      <c r="K14" s="13" t="n">
        <f aca="false">F426</f>
        <v>79.5094235451528</v>
      </c>
      <c r="L14" s="12" t="n">
        <f aca="false">K14/K$4-1</f>
        <v>0.0307789893178005</v>
      </c>
    </row>
    <row r="15" customFormat="false" ht="17.15" hidden="false" customHeight="false" outlineLevel="0" collapsed="false">
      <c r="A15" s="0" t="s">
        <v>564</v>
      </c>
      <c r="B15" s="0" t="s">
        <v>565</v>
      </c>
      <c r="C15" s="17" t="n">
        <f aca="false">E448</f>
        <v>1121.6066856773</v>
      </c>
      <c r="D15" s="17" t="n">
        <f aca="false">E442</f>
        <v>443.378806086465</v>
      </c>
      <c r="E15" s="12" t="n">
        <f aca="false">E456</f>
        <v>0.366686691699216</v>
      </c>
      <c r="F15" s="13" t="n">
        <f aca="false">E465</f>
        <v>59.1026840130756</v>
      </c>
      <c r="G15" s="12" t="n">
        <f aca="false">F15/F$4-1</f>
        <v>-0.0265536312956167</v>
      </c>
      <c r="H15" s="17" t="n">
        <f aca="false">F448</f>
        <v>1366.53703351978</v>
      </c>
      <c r="I15" s="17" t="n">
        <f aca="false">F442</f>
        <v>603.44746515164</v>
      </c>
      <c r="J15" s="12" t="n">
        <f aca="false">F456</f>
        <v>0.368537970169921</v>
      </c>
      <c r="K15" s="13" t="n">
        <f aca="false">F465</f>
        <v>74.4991331455169</v>
      </c>
      <c r="L15" s="12" t="n">
        <f aca="false">K15/K$4-1</f>
        <v>-0.0341756015225219</v>
      </c>
    </row>
    <row r="16" customFormat="false" ht="17.15" hidden="false" customHeight="false" outlineLevel="0" collapsed="false">
      <c r="A16" s="0" t="s">
        <v>566</v>
      </c>
      <c r="B16" s="4" t="s">
        <v>567</v>
      </c>
      <c r="C16" s="17" t="n">
        <f aca="false">E487</f>
        <v>1121.6066856773</v>
      </c>
      <c r="D16" s="17" t="n">
        <f aca="false">E481</f>
        <v>443.378806086465</v>
      </c>
      <c r="E16" s="12" t="n">
        <f aca="false">E495</f>
        <v>0.377511239715795</v>
      </c>
      <c r="F16" s="13" t="n">
        <f aca="false">E504</f>
        <v>62.3270853367013</v>
      </c>
      <c r="G16" s="12" t="n">
        <f aca="false">F16/F$4-1</f>
        <v>0.0265536312956163</v>
      </c>
      <c r="H16" s="17" t="n">
        <f aca="false">F487</f>
        <v>1366.53703351978</v>
      </c>
      <c r="I16" s="17" t="n">
        <f aca="false">F481</f>
        <v>603.44746515164</v>
      </c>
      <c r="J16" s="12" t="n">
        <f aca="false">F495</f>
        <v>0.38306507512791</v>
      </c>
      <c r="K16" s="13" t="n">
        <f aca="false">F504</f>
        <v>79.7714221706608</v>
      </c>
      <c r="L16" s="12" t="n">
        <f aca="false">K16/K$4-1</f>
        <v>0.0341756015225219</v>
      </c>
    </row>
    <row r="17" customFormat="false" ht="17.15" hidden="false" customHeight="false" outlineLevel="0" collapsed="false">
      <c r="A17" s="4" t="s">
        <v>568</v>
      </c>
      <c r="B17" s="4" t="s">
        <v>569</v>
      </c>
      <c r="C17" s="17" t="n">
        <f aca="false">E526</f>
        <v>1121.6066856773</v>
      </c>
      <c r="D17" s="17" t="n">
        <f aca="false">E520</f>
        <v>443.378806086465</v>
      </c>
      <c r="E17" s="12" t="n">
        <f aca="false">E534</f>
        <v>0.372098965707506</v>
      </c>
      <c r="F17" s="13" t="n">
        <f aca="false">E543</f>
        <v>54.757312462751</v>
      </c>
      <c r="G17" s="12" t="n">
        <f aca="false">F17/F$4-1</f>
        <v>-0.0981237507744365</v>
      </c>
      <c r="H17" s="17" t="n">
        <f aca="false">F526</f>
        <v>1366.53703351978</v>
      </c>
      <c r="I17" s="17" t="n">
        <f aca="false">F520</f>
        <v>603.44746515164</v>
      </c>
      <c r="J17" s="12" t="n">
        <f aca="false">F534</f>
        <v>0.375801522648915</v>
      </c>
      <c r="K17" s="13" t="n">
        <f aca="false">F543</f>
        <v>69.8767233344421</v>
      </c>
      <c r="L17" s="12" t="n">
        <f aca="false">K17/K$4-1</f>
        <v>-0.0941016165887308</v>
      </c>
    </row>
    <row r="18" customFormat="false" ht="17.15" hidden="false" customHeight="false" outlineLevel="0" collapsed="false">
      <c r="A18" s="0" t="s">
        <v>570</v>
      </c>
      <c r="B18" s="0" t="s">
        <v>571</v>
      </c>
      <c r="C18" s="17" t="n">
        <f aca="false">E565</f>
        <v>1008.66996488573</v>
      </c>
      <c r="D18" s="17" t="n">
        <f aca="false">E559</f>
        <v>230.215918544895</v>
      </c>
      <c r="E18" s="12" t="n">
        <f aca="false">E573</f>
        <v>0.368733386555612</v>
      </c>
      <c r="F18" s="13" t="n">
        <f aca="false">E582</f>
        <v>53.1546698485424</v>
      </c>
      <c r="G18" s="12" t="n">
        <f aca="false">F18/F$4-1</f>
        <v>-0.124519956956666</v>
      </c>
      <c r="H18" s="17" t="n">
        <f aca="false">F565</f>
        <v>1181.65553497668</v>
      </c>
      <c r="I18" s="17" t="n">
        <f aca="false">F559</f>
        <v>313.328491521044</v>
      </c>
      <c r="J18" s="12" t="n">
        <f aca="false">F573</f>
        <v>0.371687265750051</v>
      </c>
      <c r="K18" s="13" t="n">
        <f aca="false">F582</f>
        <v>64.4709992770476</v>
      </c>
      <c r="L18" s="12" t="n">
        <f aca="false">K18/K$4-1</f>
        <v>-0.164182702980304</v>
      </c>
    </row>
    <row r="19" customFormat="false" ht="17.15" hidden="false" customHeight="false" outlineLevel="0" collapsed="false">
      <c r="A19" s="4" t="s">
        <v>572</v>
      </c>
      <c r="B19" s="0" t="s">
        <v>573</v>
      </c>
      <c r="C19" s="17" t="n">
        <f aca="false">PL!E117</f>
        <v>1121.6066856773</v>
      </c>
      <c r="D19" s="17" t="n">
        <f aca="false">PL!E111</f>
        <v>443.378806086465</v>
      </c>
      <c r="E19" s="12" t="n">
        <f aca="false">PL!E125</f>
        <v>0.372098965707506</v>
      </c>
      <c r="F19" s="13" t="n">
        <f aca="false">PL!E134</f>
        <v>60.7148846748884</v>
      </c>
      <c r="G19" s="12" t="n">
        <f aca="false">F19/F$4-1</f>
        <v>0</v>
      </c>
      <c r="H19" s="17" t="n">
        <f aca="false">PL!F117</f>
        <v>1196.78330230192</v>
      </c>
      <c r="I19" s="17" t="n">
        <f aca="false">PL!F111</f>
        <v>482.757972121312</v>
      </c>
      <c r="J19" s="12" t="n">
        <f aca="false">PL!F125</f>
        <v>0.372744785848154</v>
      </c>
      <c r="K19" s="13" t="n">
        <f aca="false">PL!F134</f>
        <v>65.5476345626152</v>
      </c>
      <c r="L19" s="12" t="n">
        <f aca="false">K19/K$4-1</f>
        <v>-0.150224948263455</v>
      </c>
    </row>
    <row r="20" customFormat="false" ht="17.15" hidden="false" customHeight="false" outlineLevel="0" collapsed="false">
      <c r="A20" s="4" t="s">
        <v>574</v>
      </c>
      <c r="B20" s="0" t="s">
        <v>575</v>
      </c>
      <c r="C20" s="17" t="n">
        <f aca="false">PL!E156</f>
        <v>1121.6066856773</v>
      </c>
      <c r="D20" s="17" t="n">
        <f aca="false">PL!E150</f>
        <v>443.378806086465</v>
      </c>
      <c r="E20" s="12" t="n">
        <f aca="false">PL!E164</f>
        <v>0.372098965707506</v>
      </c>
      <c r="F20" s="13" t="n">
        <f aca="false">PL!E173</f>
        <v>60.7148846748884</v>
      </c>
      <c r="G20" s="12" t="n">
        <f aca="false">F20/F$4-1</f>
        <v>0</v>
      </c>
      <c r="H20" s="17" t="n">
        <f aca="false">PL!F156</f>
        <v>1027.02957108407</v>
      </c>
      <c r="I20" s="17" t="n">
        <f aca="false">PL!F150</f>
        <v>362.068479090984</v>
      </c>
      <c r="J20" s="12" t="n">
        <f aca="false">PL!F164</f>
        <v>0.368677576726265</v>
      </c>
      <c r="K20" s="13" t="n">
        <f aca="false">PL!F173</f>
        <v>50.4352883736705</v>
      </c>
      <c r="L20" s="12" t="n">
        <f aca="false">K20/K$4-1</f>
        <v>-0.346144981843058</v>
      </c>
    </row>
    <row r="22" customFormat="false" ht="17.15" hidden="false" customHeight="false" outlineLevel="0" collapsed="false">
      <c r="A22" s="4" t="s">
        <v>576</v>
      </c>
    </row>
    <row r="40" customFormat="false" ht="17.15" hidden="false" customHeight="false" outlineLevel="0" collapsed="false">
      <c r="A40" s="1" t="s">
        <v>577</v>
      </c>
    </row>
    <row r="41" customFormat="false" ht="17.15" hidden="false" customHeight="false" outlineLevel="0" collapsed="false">
      <c r="A41" s="5" t="s">
        <v>15</v>
      </c>
      <c r="B41" s="5" t="s">
        <v>16</v>
      </c>
      <c r="C41" s="9" t="s">
        <v>262</v>
      </c>
      <c r="D41" s="9" t="s">
        <v>341</v>
      </c>
      <c r="E41" s="9" t="s">
        <v>342</v>
      </c>
      <c r="F41" s="9" t="s">
        <v>343</v>
      </c>
      <c r="G41" s="9" t="s">
        <v>344</v>
      </c>
      <c r="H41" s="5" t="s">
        <v>317</v>
      </c>
    </row>
    <row r="42" customFormat="false" ht="17.15" hidden="false" customHeight="false" outlineLevel="0" collapsed="false">
      <c r="A42" s="6" t="s">
        <v>359</v>
      </c>
    </row>
    <row r="43" customFormat="false" ht="17.15" hidden="false" customHeight="false" outlineLevel="0" collapsed="false">
      <c r="A43" s="0" t="s">
        <v>360</v>
      </c>
      <c r="B43" s="0" t="s">
        <v>26</v>
      </c>
      <c r="D43" s="18" t="n">
        <f aca="false">itc_26*1</f>
        <v>781.872916666667</v>
      </c>
      <c r="E43" s="18" t="n">
        <f aca="false">itc_27*1*1</f>
        <v>1565.35</v>
      </c>
      <c r="F43" s="18" t="n">
        <f aca="false">itc_28*um28_A*1</f>
        <v>1984.26388888889</v>
      </c>
      <c r="G43" s="18" t="n">
        <f aca="false">itc_29*um29_A*1</f>
        <v>2260.39027777778</v>
      </c>
    </row>
    <row r="44" customFormat="false" ht="17.15" hidden="false" customHeight="false" outlineLevel="0" collapsed="false">
      <c r="A44" s="4" t="s">
        <v>361</v>
      </c>
      <c r="B44" s="0" t="s">
        <v>26</v>
      </c>
      <c r="D44" s="18" t="n">
        <f aca="false">itpg_gb*(1-vr26)+itpg_vr*vr26</f>
        <v>33.41403216</v>
      </c>
      <c r="E44" s="18" t="n">
        <f aca="false">itpg_vr</f>
        <v>37.586352</v>
      </c>
      <c r="F44" s="18" t="n">
        <f aca="false">itpg_vr</f>
        <v>37.586352</v>
      </c>
      <c r="G44" s="18" t="n">
        <f aca="false">itpg_vr</f>
        <v>37.586352</v>
      </c>
    </row>
    <row r="45" customFormat="false" ht="17.15" hidden="false" customHeight="false" outlineLevel="0" collapsed="false">
      <c r="A45" s="4" t="s">
        <v>362</v>
      </c>
      <c r="B45" s="0" t="s">
        <v>319</v>
      </c>
      <c r="D45" s="15" t="n">
        <f aca="false">D43/D44</f>
        <v>23.3995380420639</v>
      </c>
      <c r="E45" s="15" t="n">
        <f aca="false">E43/E44</f>
        <v>41.6467658260637</v>
      </c>
      <c r="F45" s="15" t="n">
        <f aca="false">F43/F44</f>
        <v>52.792138191248</v>
      </c>
      <c r="G45" s="15" t="n">
        <f aca="false">G43/G44</f>
        <v>60.1385917361116</v>
      </c>
    </row>
    <row r="46" customFormat="false" ht="17.15" hidden="false" customHeight="false" outlineLevel="0" collapsed="false">
      <c r="A46" s="0" t="s">
        <v>321</v>
      </c>
      <c r="B46" s="0" t="s">
        <v>89</v>
      </c>
      <c r="D46" s="16" t="n">
        <f aca="false">pkw_26</f>
        <v>450</v>
      </c>
      <c r="E46" s="16" t="n">
        <f aca="false">pkw_27</f>
        <v>600</v>
      </c>
      <c r="F46" s="16" t="n">
        <f aca="false">pkw_28</f>
        <v>680</v>
      </c>
      <c r="G46" s="16" t="n">
        <f aca="false">pkw_29</f>
        <v>720</v>
      </c>
    </row>
    <row r="47" customFormat="false" ht="17.15" hidden="false" customHeight="false" outlineLevel="0" collapsed="false">
      <c r="A47" s="0" t="s">
        <v>363</v>
      </c>
      <c r="B47" s="0" t="s">
        <v>26</v>
      </c>
      <c r="D47" s="18" t="n">
        <f aca="false">D45*D46/1000</f>
        <v>10.5297921189288</v>
      </c>
      <c r="E47" s="18" t="n">
        <f aca="false">E45*E46/1000</f>
        <v>24.9880594956382</v>
      </c>
      <c r="F47" s="18" t="n">
        <f aca="false">F45*F46/1000</f>
        <v>35.8986539700486</v>
      </c>
      <c r="G47" s="18" t="n">
        <f aca="false">G45*G46/1000</f>
        <v>43.2997860500003</v>
      </c>
    </row>
    <row r="48" customFormat="false" ht="17.15" hidden="false" customHeight="false" outlineLevel="0" collapsed="false">
      <c r="A48" s="0" t="s">
        <v>364</v>
      </c>
      <c r="B48" s="0" t="s">
        <v>153</v>
      </c>
      <c r="D48" s="17" t="n">
        <f aca="false">D47*fx</f>
        <v>336.95334780572</v>
      </c>
      <c r="E48" s="17" t="n">
        <f aca="false">E47*fx</f>
        <v>799.617903860422</v>
      </c>
      <c r="F48" s="17" t="n">
        <f aca="false">F47*fx</f>
        <v>1148.75692704156</v>
      </c>
      <c r="G48" s="17" t="n">
        <f aca="false">G47*fx</f>
        <v>1385.59315360001</v>
      </c>
    </row>
    <row r="49" customFormat="false" ht="17.15" hidden="false" customHeight="false" outlineLevel="0" collapsed="false">
      <c r="A49" s="4" t="s">
        <v>365</v>
      </c>
      <c r="B49" s="0" t="s">
        <v>46</v>
      </c>
      <c r="D49" s="12" t="n">
        <f aca="false">a26_aip/D48</f>
        <v>0.583671939396772</v>
      </c>
      <c r="H49" s="8" t="s">
        <v>366</v>
      </c>
    </row>
    <row r="50" customFormat="false" ht="17.15" hidden="false" customHeight="false" outlineLevel="0" collapsed="false">
      <c r="A50" s="4" t="s">
        <v>367</v>
      </c>
      <c r="B50" s="0" t="s">
        <v>62</v>
      </c>
      <c r="D50" s="13" t="n">
        <f aca="false">1</f>
        <v>1</v>
      </c>
      <c r="E50" s="13" t="n">
        <f aca="false">RLO_27</f>
        <v>0.85</v>
      </c>
      <c r="F50" s="13" t="n">
        <f aca="false">RLO_28</f>
        <v>0.7</v>
      </c>
      <c r="G50" s="13" t="n">
        <f aca="false">RLO_29</f>
        <v>0.65</v>
      </c>
    </row>
    <row r="51" customFormat="false" ht="15" hidden="false" customHeight="false" outlineLevel="0" collapsed="false">
      <c r="A51" s="4" t="s">
        <v>328</v>
      </c>
      <c r="B51" s="0" t="s">
        <v>46</v>
      </c>
      <c r="D51" s="12" t="n">
        <f aca="false">$D$49*D50</f>
        <v>0.583671939396772</v>
      </c>
      <c r="E51" s="12" t="n">
        <f aca="false">$D$49*E50</f>
        <v>0.496121148487257</v>
      </c>
      <c r="F51" s="12" t="n">
        <f aca="false">$D$49*F50</f>
        <v>0.408570357577741</v>
      </c>
      <c r="G51" s="12" t="n">
        <f aca="false">$D$49*G50</f>
        <v>0.379386760607902</v>
      </c>
    </row>
    <row r="52" customFormat="false" ht="17.15" hidden="false" customHeight="false" outlineLevel="0" collapsed="false">
      <c r="A52" s="0" t="s">
        <v>368</v>
      </c>
      <c r="B52" s="0" t="s">
        <v>153</v>
      </c>
      <c r="C52" s="17" t="n">
        <f aca="false">a25_aip</f>
        <v>99.8793</v>
      </c>
      <c r="D52" s="17" t="n">
        <f aca="false">D48*D51</f>
        <v>196.670214</v>
      </c>
      <c r="E52" s="17" t="n">
        <f aca="false">E48*E51</f>
        <v>396.707352814205</v>
      </c>
      <c r="F52" s="17" t="n">
        <f aca="false">F48*F51</f>
        <v>469.348028451275</v>
      </c>
      <c r="G52" s="17" t="n">
        <f aca="false">G48*G51</f>
        <v>525.675698064795</v>
      </c>
    </row>
    <row r="53" customFormat="false" ht="17.15" hidden="false" customHeight="false" outlineLevel="0" collapsed="false">
      <c r="A53" s="6" t="s">
        <v>369</v>
      </c>
    </row>
    <row r="54" customFormat="false" ht="17.15" hidden="false" customHeight="false" outlineLevel="0" collapsed="false">
      <c r="A54" s="4" t="s">
        <v>370</v>
      </c>
      <c r="B54" s="0" t="s">
        <v>371</v>
      </c>
      <c r="D54" s="20" t="n">
        <f aca="false">a26_lc/D45</f>
        <v>4.04080573428535</v>
      </c>
    </row>
    <row r="55" customFormat="false" ht="17.15" hidden="false" customHeight="false" outlineLevel="0" collapsed="false">
      <c r="A55" s="4" t="s">
        <v>372</v>
      </c>
      <c r="B55" s="0" t="s">
        <v>62</v>
      </c>
      <c r="D55" s="13" t="n">
        <f aca="false">1</f>
        <v>1</v>
      </c>
      <c r="E55" s="13" t="n">
        <f aca="false">lcr_27</f>
        <v>1.1</v>
      </c>
      <c r="F55" s="13" t="n">
        <f aca="false">lcr_28</f>
        <v>1.15</v>
      </c>
      <c r="G55" s="13" t="n">
        <f aca="false">lcr_29</f>
        <v>1.2</v>
      </c>
    </row>
    <row r="56" customFormat="false" ht="15" hidden="false" customHeight="false" outlineLevel="0" collapsed="false">
      <c r="A56" s="4" t="s">
        <v>373</v>
      </c>
      <c r="B56" s="0" t="s">
        <v>153</v>
      </c>
      <c r="C56" s="17" t="n">
        <f aca="false">a25_lc</f>
        <v>55.4885</v>
      </c>
      <c r="D56" s="17" t="n">
        <f aca="false">D45*$D$54*D55</f>
        <v>94.5529875</v>
      </c>
      <c r="E56" s="17" t="n">
        <f aca="false">E45*$D$54*E55</f>
        <v>185.115139180837</v>
      </c>
      <c r="F56" s="17" t="n">
        <f aca="false">F45*$D$54*F55</f>
        <v>245.321190937636</v>
      </c>
      <c r="G56" s="17" t="n">
        <f aca="false">G45*$D$54*G55</f>
        <v>291.61003960695</v>
      </c>
    </row>
    <row r="57" customFormat="false" ht="17.15" hidden="false" customHeight="false" outlineLevel="0" collapsed="false">
      <c r="A57" s="4" t="s">
        <v>374</v>
      </c>
      <c r="B57" s="0" t="s">
        <v>153</v>
      </c>
      <c r="C57" s="17" t="n">
        <f aca="false">a25_nai</f>
        <v>399.5172</v>
      </c>
      <c r="D57" s="17" t="n">
        <f aca="false">a26_nai</f>
        <v>465.2006985</v>
      </c>
      <c r="E57" s="17" t="n">
        <f aca="false">D57*(1+g_nai27)</f>
        <v>493.11274041</v>
      </c>
      <c r="F57" s="17" t="n">
        <f aca="false">E57*(1+g_nai28)</f>
        <v>517.7683774305</v>
      </c>
      <c r="G57" s="17" t="n">
        <f aca="false">F57*(1+g_nai29)</f>
        <v>538.47911252772</v>
      </c>
    </row>
    <row r="58" customFormat="false" ht="15" hidden="false" customHeight="false" outlineLevel="0" collapsed="false">
      <c r="A58" s="4" t="s">
        <v>268</v>
      </c>
      <c r="B58" s="0" t="s">
        <v>153</v>
      </c>
      <c r="C58" s="17" t="n">
        <f aca="false">C52+C56+C57</f>
        <v>554.885</v>
      </c>
      <c r="D58" s="17" t="n">
        <f aca="false">D52+D56+D57</f>
        <v>756.4239</v>
      </c>
      <c r="E58" s="17" t="n">
        <f aca="false">E52+E56+E57</f>
        <v>1074.93523240504</v>
      </c>
      <c r="F58" s="17" t="n">
        <f aca="false">F52+F56+F57</f>
        <v>1232.43759681941</v>
      </c>
      <c r="G58" s="17" t="n">
        <f aca="false">G52+G56+G57</f>
        <v>1355.76485019947</v>
      </c>
    </row>
    <row r="59" customFormat="false" ht="15" hidden="false" customHeight="false" outlineLevel="0" collapsed="false">
      <c r="A59" s="4" t="s">
        <v>375</v>
      </c>
      <c r="B59" s="0" t="s">
        <v>46</v>
      </c>
      <c r="D59" s="12" t="n">
        <f aca="false">D58/C58-1</f>
        <v>0.363208412553953</v>
      </c>
      <c r="E59" s="12" t="n">
        <f aca="false">E58/D58-1</f>
        <v>0.421075183379376</v>
      </c>
      <c r="F59" s="12" t="n">
        <f aca="false">F58/E58-1</f>
        <v>0.146522655194747</v>
      </c>
      <c r="G59" s="12" t="n">
        <f aca="false">G58/F58-1</f>
        <v>0.100067746795722</v>
      </c>
    </row>
    <row r="60" customFormat="false" ht="17.15" hidden="false" customHeight="false" outlineLevel="0" collapsed="false">
      <c r="A60" s="0" t="s">
        <v>376</v>
      </c>
      <c r="B60" s="0" t="s">
        <v>46</v>
      </c>
      <c r="C60" s="12" t="n">
        <f aca="false">C52/C58</f>
        <v>0.18</v>
      </c>
      <c r="D60" s="12" t="n">
        <f aca="false">D52/D58</f>
        <v>0.26</v>
      </c>
      <c r="E60" s="12" t="n">
        <f aca="false">E52/E58</f>
        <v>0.369052330647512</v>
      </c>
      <c r="F60" s="12" t="n">
        <f aca="false">F52/F58</f>
        <v>0.380829041293884</v>
      </c>
      <c r="G60" s="12" t="n">
        <f aca="false">G52/G58</f>
        <v>0.387733682568519</v>
      </c>
    </row>
    <row r="61" customFormat="false" ht="17.15" hidden="false" customHeight="false" outlineLevel="0" collapsed="false">
      <c r="A61" s="0" t="s">
        <v>377</v>
      </c>
      <c r="B61" s="0" t="s">
        <v>46</v>
      </c>
      <c r="C61" s="12" t="n">
        <f aca="false">(C52+C56)/C58</f>
        <v>0.28</v>
      </c>
      <c r="D61" s="12" t="n">
        <f aca="false">(D52+D56)/D58</f>
        <v>0.385</v>
      </c>
      <c r="E61" s="12" t="n">
        <f aca="false">(E52+E56)/E58</f>
        <v>0.541262835615949</v>
      </c>
      <c r="F61" s="12" t="n">
        <f aca="false">(F52+F56)/F58</f>
        <v>0.579882682282072</v>
      </c>
      <c r="G61" s="12" t="n">
        <f aca="false">(G52+G56)/G58</f>
        <v>0.602822633697505</v>
      </c>
    </row>
    <row r="62" customFormat="false" ht="17.15" hidden="false" customHeight="false" outlineLevel="0" collapsed="false">
      <c r="A62" s="4" t="s">
        <v>335</v>
      </c>
      <c r="B62" s="0" t="s">
        <v>336</v>
      </c>
      <c r="D62" s="16" t="n">
        <f aca="false">(D52+D56)/fx/D45*1000</f>
        <v>388.927551924965</v>
      </c>
      <c r="E62" s="16" t="n">
        <f aca="false">(E52+E56)/fx/E45*1000</f>
        <v>436.575386208413</v>
      </c>
      <c r="F62" s="16" t="n">
        <f aca="false">(F52+F56)/fx/F45*1000</f>
        <v>423.044299228743</v>
      </c>
      <c r="G62" s="16" t="n">
        <f aca="false">(G52+G56)/fx/G45*1000</f>
        <v>424.68868267339</v>
      </c>
    </row>
    <row r="63" customFormat="false" ht="17.15" hidden="false" customHeight="false" outlineLevel="0" collapsed="false">
      <c r="A63" s="6" t="s">
        <v>378</v>
      </c>
    </row>
    <row r="64" customFormat="false" ht="17.15" hidden="false" customHeight="false" outlineLevel="0" collapsed="false">
      <c r="A64" s="4" t="s">
        <v>379</v>
      </c>
      <c r="B64" s="0" t="s">
        <v>46</v>
      </c>
      <c r="D64" s="12" t="n">
        <f aca="false">a26_gp/D58-d_ai*D60</f>
        <v>0.340474417690927</v>
      </c>
      <c r="H64" s="8" t="s">
        <v>380</v>
      </c>
    </row>
    <row r="65" customFormat="false" ht="15" hidden="false" customHeight="false" outlineLevel="0" collapsed="false">
      <c r="A65" s="4" t="s">
        <v>272</v>
      </c>
      <c r="B65" s="0" t="s">
        <v>153</v>
      </c>
      <c r="C65" s="17" t="n">
        <f aca="false">a25_gp</f>
        <v>190.2</v>
      </c>
      <c r="D65" s="17" t="n">
        <f aca="false">a26_gp</f>
        <v>273.276604</v>
      </c>
      <c r="E65" s="17" t="n">
        <f aca="false">$D$64*E58+d_ai*E52</f>
        <v>397.724535533705</v>
      </c>
      <c r="F65" s="17" t="n">
        <f aca="false">$D$64*F58+d_ai*F52</f>
        <v>457.161315393597</v>
      </c>
      <c r="G65" s="17" t="n">
        <f aca="false">$D$64*G58+d_ai*G52</f>
        <v>503.657303742673</v>
      </c>
    </row>
    <row r="66" customFormat="false" ht="15" hidden="false" customHeight="false" outlineLevel="0" collapsed="false">
      <c r="A66" s="4" t="s">
        <v>274</v>
      </c>
      <c r="B66" s="0" t="s">
        <v>46</v>
      </c>
      <c r="C66" s="12" t="n">
        <f aca="false">C65/C58</f>
        <v>0.342773727889563</v>
      </c>
      <c r="D66" s="12" t="n">
        <f aca="false">D65/D58</f>
        <v>0.361274417690927</v>
      </c>
      <c r="E66" s="12" t="n">
        <f aca="false">E65/E58</f>
        <v>0.369998604142728</v>
      </c>
      <c r="F66" s="12" t="n">
        <f aca="false">F65/F58</f>
        <v>0.370940740994438</v>
      </c>
      <c r="G66" s="12" t="n">
        <f aca="false">G65/G58</f>
        <v>0.371493112296409</v>
      </c>
    </row>
    <row r="67" customFormat="false" ht="15" hidden="false" customHeight="false" outlineLevel="0" collapsed="false">
      <c r="A67" s="4" t="s">
        <v>381</v>
      </c>
      <c r="B67" s="0" t="s">
        <v>153</v>
      </c>
      <c r="C67" s="17" t="n">
        <f aca="false">a25_opx</f>
        <v>106.3</v>
      </c>
      <c r="D67" s="17" t="n">
        <f aca="false">a26_opx</f>
        <v>141.924088166667</v>
      </c>
      <c r="E67" s="17" t="n">
        <f aca="false">D67*(1+MAX(0,phi*E59))</f>
        <v>189.732657327251</v>
      </c>
      <c r="F67" s="17" t="n">
        <f aca="false">E67*(1+MAX(0,phi*F59))</f>
        <v>211.972763510246</v>
      </c>
      <c r="G67" s="17" t="n">
        <f aca="false">F67*(1+MAX(0,phi*G59))</f>
        <v>228.942072971472</v>
      </c>
    </row>
    <row r="68" customFormat="false" ht="15" hidden="false" customHeight="false" outlineLevel="0" collapsed="false">
      <c r="A68" s="4" t="s">
        <v>276</v>
      </c>
      <c r="B68" s="0" t="s">
        <v>153</v>
      </c>
      <c r="C68" s="17" t="n">
        <f aca="false">C67</f>
        <v>106.3</v>
      </c>
      <c r="D68" s="17" t="n">
        <f aca="false">D67</f>
        <v>141.924088166667</v>
      </c>
      <c r="E68" s="17" t="n">
        <f aca="false">E67+0*E58</f>
        <v>189.732657327251</v>
      </c>
      <c r="F68" s="17" t="n">
        <f aca="false">F67+0*F58</f>
        <v>211.972763510246</v>
      </c>
      <c r="G68" s="17" t="n">
        <f aca="false">G67+0*G58</f>
        <v>228.942072971472</v>
      </c>
    </row>
    <row r="69" customFormat="false" ht="15" hidden="false" customHeight="false" outlineLevel="0" collapsed="false">
      <c r="A69" s="4" t="s">
        <v>278</v>
      </c>
      <c r="B69" s="0" t="s">
        <v>153</v>
      </c>
      <c r="C69" s="17" t="n">
        <f aca="false">C65-C68</f>
        <v>83.9</v>
      </c>
      <c r="D69" s="17" t="n">
        <f aca="false">D65-D68</f>
        <v>131.352515833333</v>
      </c>
      <c r="E69" s="17" t="n">
        <f aca="false">E65-E68</f>
        <v>207.991878206454</v>
      </c>
      <c r="F69" s="17" t="n">
        <f aca="false">F65-F68</f>
        <v>245.188551883351</v>
      </c>
      <c r="G69" s="17" t="n">
        <f aca="false">G65-G68</f>
        <v>274.715230771202</v>
      </c>
    </row>
    <row r="70" customFormat="false" ht="15" hidden="false" customHeight="false" outlineLevel="0" collapsed="false">
      <c r="A70" s="4" t="s">
        <v>280</v>
      </c>
      <c r="B70" s="0" t="s">
        <v>46</v>
      </c>
      <c r="C70" s="12" t="n">
        <f aca="false">C69/C58</f>
        <v>0.151202501419213</v>
      </c>
      <c r="D70" s="12" t="n">
        <f aca="false">D69/D58</f>
        <v>0.173649346396027</v>
      </c>
      <c r="E70" s="12" t="n">
        <f aca="false">E69/E58</f>
        <v>0.193492474649934</v>
      </c>
      <c r="F70" s="12" t="n">
        <f aca="false">F69/F58</f>
        <v>0.198946017645126</v>
      </c>
      <c r="G70" s="12" t="n">
        <f aca="false">G69/G58</f>
        <v>0.202627491582176</v>
      </c>
    </row>
    <row r="71" customFormat="false" ht="15" hidden="false" customHeight="false" outlineLevel="0" collapsed="false">
      <c r="A71" s="4" t="s">
        <v>282</v>
      </c>
      <c r="B71" s="0" t="s">
        <v>153</v>
      </c>
      <c r="C71" s="17" t="n">
        <f aca="false">a25_nop</f>
        <v>3.934</v>
      </c>
      <c r="D71" s="17" t="n">
        <f aca="false">a26_nop</f>
        <v>11.1666666666667</v>
      </c>
      <c r="E71" s="17" t="n">
        <f aca="false">nop_f</f>
        <v>8</v>
      </c>
      <c r="F71" s="17" t="n">
        <f aca="false">nop_f</f>
        <v>8</v>
      </c>
      <c r="G71" s="17" t="n">
        <f aca="false">nop_f</f>
        <v>8</v>
      </c>
    </row>
    <row r="72" customFormat="false" ht="17.15" hidden="false" customHeight="false" outlineLevel="0" collapsed="false">
      <c r="A72" s="4" t="s">
        <v>195</v>
      </c>
      <c r="B72" s="0" t="s">
        <v>46</v>
      </c>
      <c r="C72" s="12" t="n">
        <f aca="false">a25_ni/(a25_oi+a25_nop)</f>
        <v>0.684336361773345</v>
      </c>
      <c r="D72" s="12" t="n">
        <f aca="false">a26_ni/(a26_oi+a26_nop)</f>
        <v>0.690638510538748</v>
      </c>
      <c r="E72" s="12" t="n">
        <f aca="false">nir_f</f>
        <v>0.69</v>
      </c>
      <c r="F72" s="12" t="n">
        <f aca="false">nir_f</f>
        <v>0.69</v>
      </c>
      <c r="G72" s="12" t="n">
        <f aca="false">nir_f</f>
        <v>0.69</v>
      </c>
    </row>
    <row r="73" customFormat="false" ht="15" hidden="false" customHeight="false" outlineLevel="0" collapsed="false">
      <c r="A73" s="4" t="s">
        <v>285</v>
      </c>
      <c r="B73" s="0" t="s">
        <v>153</v>
      </c>
      <c r="C73" s="17" t="n">
        <f aca="false">a25_ni</f>
        <v>60.108</v>
      </c>
      <c r="D73" s="17" t="n">
        <f aca="false">a26_ni</f>
        <v>98.429235925</v>
      </c>
      <c r="E73" s="17" t="n">
        <f aca="false">(E69+E71)*E72</f>
        <v>149.034395962453</v>
      </c>
      <c r="F73" s="17" t="n">
        <f aca="false">(F69+F71)*F72</f>
        <v>174.700100799512</v>
      </c>
      <c r="G73" s="17" t="n">
        <f aca="false">(G69+G71)*G72</f>
        <v>195.073509232129</v>
      </c>
    </row>
    <row r="74" customFormat="false" ht="15" hidden="false" customHeight="false" outlineLevel="0" collapsed="false">
      <c r="A74" s="4" t="s">
        <v>382</v>
      </c>
      <c r="B74" s="4" t="s">
        <v>179</v>
      </c>
      <c r="C74" s="20" t="n">
        <f aca="false">a25_sh</f>
        <v>2.59757994814175</v>
      </c>
      <c r="D74" s="20" t="n">
        <f aca="false">a26_sh</f>
        <v>2.59806708357021</v>
      </c>
      <c r="E74" s="20" t="n">
        <f aca="false">D74*(1+sh_g)</f>
        <v>2.59806708357021</v>
      </c>
      <c r="F74" s="20" t="n">
        <f aca="false">E74*(1+sh_g)</f>
        <v>2.59806708357021</v>
      </c>
      <c r="G74" s="20" t="n">
        <f aca="false">F74*(1+sh_g)</f>
        <v>2.59806708357021</v>
      </c>
    </row>
    <row r="75" customFormat="false" ht="15" hidden="false" customHeight="false" outlineLevel="0" collapsed="false">
      <c r="A75" s="0" t="s">
        <v>290</v>
      </c>
      <c r="B75" s="0" t="s">
        <v>210</v>
      </c>
      <c r="C75" s="18" t="n">
        <f aca="false">C73/C74</f>
        <v>23.14</v>
      </c>
      <c r="D75" s="18" t="n">
        <f aca="false">D73/D74</f>
        <v>37.8855636744147</v>
      </c>
      <c r="E75" s="18" t="n">
        <f aca="false">E73/E74</f>
        <v>57.3635672862047</v>
      </c>
      <c r="F75" s="18" t="n">
        <f aca="false">F73/F74</f>
        <v>67.2423363908845</v>
      </c>
      <c r="G75" s="18" t="n">
        <f aca="false">G73/G74</f>
        <v>75.0840925031324</v>
      </c>
    </row>
    <row r="76" customFormat="false" ht="17.15" hidden="false" customHeight="false" outlineLevel="0" collapsed="false">
      <c r="A76" s="0" t="s">
        <v>383</v>
      </c>
      <c r="B76" s="0" t="s">
        <v>46</v>
      </c>
      <c r="D76" s="12" t="n">
        <f aca="false">D75/C75-1</f>
        <v>0.637232656629847</v>
      </c>
      <c r="E76" s="12" t="n">
        <f aca="false">E75/D75-1</f>
        <v>0.514127327738405</v>
      </c>
      <c r="F76" s="12" t="n">
        <f aca="false">F75/E75-1</f>
        <v>0.172213297952541</v>
      </c>
      <c r="G76" s="12" t="n">
        <f aca="false">G75/F75-1</f>
        <v>0.116619328434147</v>
      </c>
    </row>
    <row r="79" customFormat="false" ht="17.15" hidden="false" customHeight="false" outlineLevel="0" collapsed="false">
      <c r="A79" s="1" t="s">
        <v>578</v>
      </c>
    </row>
    <row r="80" customFormat="false" ht="17.15" hidden="false" customHeight="false" outlineLevel="0" collapsed="false">
      <c r="A80" s="5" t="s">
        <v>15</v>
      </c>
      <c r="B80" s="5" t="s">
        <v>16</v>
      </c>
      <c r="C80" s="9" t="s">
        <v>262</v>
      </c>
      <c r="D80" s="9" t="s">
        <v>341</v>
      </c>
      <c r="E80" s="9" t="s">
        <v>342</v>
      </c>
      <c r="F80" s="9" t="s">
        <v>343</v>
      </c>
      <c r="G80" s="9" t="s">
        <v>344</v>
      </c>
      <c r="H80" s="5" t="s">
        <v>317</v>
      </c>
    </row>
    <row r="81" customFormat="false" ht="17.15" hidden="false" customHeight="false" outlineLevel="0" collapsed="false">
      <c r="A81" s="6" t="s">
        <v>359</v>
      </c>
    </row>
    <row r="82" customFormat="false" ht="17.15" hidden="false" customHeight="false" outlineLevel="0" collapsed="false">
      <c r="A82" s="0" t="s">
        <v>360</v>
      </c>
      <c r="B82" s="0" t="s">
        <v>26</v>
      </c>
      <c r="D82" s="18" t="n">
        <f aca="false">itc_26*1</f>
        <v>781.872916666667</v>
      </c>
      <c r="E82" s="18" t="n">
        <f aca="false">itc_27*1*1</f>
        <v>1565.35</v>
      </c>
      <c r="F82" s="18" t="n">
        <f aca="false">itc_28*um28_A*1</f>
        <v>1984.26388888889</v>
      </c>
      <c r="G82" s="18" t="n">
        <f aca="false">itc_29*um29_A*1</f>
        <v>2260.39027777778</v>
      </c>
    </row>
    <row r="83" customFormat="false" ht="17.15" hidden="false" customHeight="false" outlineLevel="0" collapsed="false">
      <c r="A83" s="4" t="s">
        <v>361</v>
      </c>
      <c r="B83" s="0" t="s">
        <v>26</v>
      </c>
      <c r="D83" s="18" t="n">
        <f aca="false">itpg_gb*(1-vr26)+itpg_vr*vr26</f>
        <v>33.41403216</v>
      </c>
      <c r="E83" s="18" t="n">
        <f aca="false">itpg_vr</f>
        <v>37.586352</v>
      </c>
      <c r="F83" s="18" t="n">
        <f aca="false">itpg_vr</f>
        <v>37.586352</v>
      </c>
      <c r="G83" s="18" t="n">
        <f aca="false">itpg_vr</f>
        <v>37.586352</v>
      </c>
    </row>
    <row r="84" customFormat="false" ht="17.15" hidden="false" customHeight="false" outlineLevel="0" collapsed="false">
      <c r="A84" s="4" t="s">
        <v>362</v>
      </c>
      <c r="B84" s="0" t="s">
        <v>319</v>
      </c>
      <c r="D84" s="15" t="n">
        <f aca="false">D82/D83</f>
        <v>23.3995380420639</v>
      </c>
      <c r="E84" s="15" t="n">
        <f aca="false">E82/E83</f>
        <v>41.6467658260637</v>
      </c>
      <c r="F84" s="15" t="n">
        <f aca="false">F82/F83</f>
        <v>52.792138191248</v>
      </c>
      <c r="G84" s="15" t="n">
        <f aca="false">G82/G83</f>
        <v>60.1385917361116</v>
      </c>
    </row>
    <row r="85" customFormat="false" ht="17.15" hidden="false" customHeight="false" outlineLevel="0" collapsed="false">
      <c r="A85" s="0" t="s">
        <v>321</v>
      </c>
      <c r="B85" s="0" t="s">
        <v>89</v>
      </c>
      <c r="D85" s="16" t="n">
        <f aca="false">pkw_26</f>
        <v>450</v>
      </c>
      <c r="E85" s="16" t="n">
        <f aca="false">pkw_27</f>
        <v>600</v>
      </c>
      <c r="F85" s="16" t="n">
        <f aca="false">pkw_28</f>
        <v>680</v>
      </c>
      <c r="G85" s="16" t="n">
        <f aca="false">pkw_29</f>
        <v>720</v>
      </c>
    </row>
    <row r="86" customFormat="false" ht="17.15" hidden="false" customHeight="false" outlineLevel="0" collapsed="false">
      <c r="A86" s="0" t="s">
        <v>363</v>
      </c>
      <c r="B86" s="0" t="s">
        <v>26</v>
      </c>
      <c r="D86" s="18" t="n">
        <f aca="false">D84*D85/1000</f>
        <v>10.5297921189288</v>
      </c>
      <c r="E86" s="18" t="n">
        <f aca="false">E84*E85/1000</f>
        <v>24.9880594956382</v>
      </c>
      <c r="F86" s="18" t="n">
        <f aca="false">F84*F85/1000</f>
        <v>35.8986539700486</v>
      </c>
      <c r="G86" s="18" t="n">
        <f aca="false">G84*G85/1000</f>
        <v>43.2997860500003</v>
      </c>
    </row>
    <row r="87" customFormat="false" ht="17.15" hidden="false" customHeight="false" outlineLevel="0" collapsed="false">
      <c r="A87" s="0" t="s">
        <v>364</v>
      </c>
      <c r="B87" s="0" t="s">
        <v>153</v>
      </c>
      <c r="D87" s="17" t="n">
        <f aca="false">D86*fx</f>
        <v>336.95334780572</v>
      </c>
      <c r="E87" s="17" t="n">
        <f aca="false">E86*fx</f>
        <v>799.617903860422</v>
      </c>
      <c r="F87" s="17" t="n">
        <f aca="false">F86*fx</f>
        <v>1148.75692704156</v>
      </c>
      <c r="G87" s="17" t="n">
        <f aca="false">G86*fx</f>
        <v>1385.59315360001</v>
      </c>
    </row>
    <row r="88" customFormat="false" ht="17.15" hidden="false" customHeight="false" outlineLevel="0" collapsed="false">
      <c r="A88" s="4" t="s">
        <v>365</v>
      </c>
      <c r="B88" s="0" t="s">
        <v>46</v>
      </c>
      <c r="D88" s="12" t="n">
        <f aca="false">a26_aip/D87</f>
        <v>0.583671939396772</v>
      </c>
      <c r="H88" s="8" t="s">
        <v>366</v>
      </c>
    </row>
    <row r="89" customFormat="false" ht="17.15" hidden="false" customHeight="false" outlineLevel="0" collapsed="false">
      <c r="A89" s="4" t="s">
        <v>367</v>
      </c>
      <c r="B89" s="0" t="s">
        <v>62</v>
      </c>
      <c r="D89" s="13" t="n">
        <f aca="false">1</f>
        <v>1</v>
      </c>
      <c r="E89" s="13" t="n">
        <f aca="false">RHI_27</f>
        <v>1</v>
      </c>
      <c r="F89" s="13" t="n">
        <f aca="false">RHI_28</f>
        <v>1</v>
      </c>
      <c r="G89" s="13" t="n">
        <f aca="false">RHI_29</f>
        <v>1</v>
      </c>
    </row>
    <row r="90" customFormat="false" ht="15" hidden="false" customHeight="false" outlineLevel="0" collapsed="false">
      <c r="A90" s="4" t="s">
        <v>328</v>
      </c>
      <c r="B90" s="0" t="s">
        <v>46</v>
      </c>
      <c r="D90" s="12" t="n">
        <f aca="false">$D$88*D89</f>
        <v>0.583671939396772</v>
      </c>
      <c r="E90" s="12" t="n">
        <f aca="false">$D$88*E89</f>
        <v>0.583671939396772</v>
      </c>
      <c r="F90" s="12" t="n">
        <f aca="false">$D$88*F89</f>
        <v>0.583671939396772</v>
      </c>
      <c r="G90" s="12" t="n">
        <f aca="false">$D$88*G89</f>
        <v>0.583671939396772</v>
      </c>
    </row>
    <row r="91" customFormat="false" ht="17.15" hidden="false" customHeight="false" outlineLevel="0" collapsed="false">
      <c r="A91" s="0" t="s">
        <v>368</v>
      </c>
      <c r="B91" s="0" t="s">
        <v>153</v>
      </c>
      <c r="C91" s="17" t="n">
        <f aca="false">a25_aip</f>
        <v>99.8793</v>
      </c>
      <c r="D91" s="17" t="n">
        <f aca="false">D87*D90</f>
        <v>196.670214</v>
      </c>
      <c r="E91" s="17" t="n">
        <f aca="false">E87*E90</f>
        <v>466.714532722595</v>
      </c>
      <c r="F91" s="17" t="n">
        <f aca="false">F87*F90</f>
        <v>670.497183501822</v>
      </c>
      <c r="G91" s="17" t="n">
        <f aca="false">G87*G90</f>
        <v>808.731843176608</v>
      </c>
    </row>
    <row r="92" customFormat="false" ht="17.15" hidden="false" customHeight="false" outlineLevel="0" collapsed="false">
      <c r="A92" s="6" t="s">
        <v>369</v>
      </c>
    </row>
    <row r="93" customFormat="false" ht="17.15" hidden="false" customHeight="false" outlineLevel="0" collapsed="false">
      <c r="A93" s="4" t="s">
        <v>370</v>
      </c>
      <c r="B93" s="0" t="s">
        <v>371</v>
      </c>
      <c r="D93" s="20" t="n">
        <f aca="false">a26_lc/D84</f>
        <v>4.04080573428535</v>
      </c>
    </row>
    <row r="94" customFormat="false" ht="17.15" hidden="false" customHeight="false" outlineLevel="0" collapsed="false">
      <c r="A94" s="4" t="s">
        <v>372</v>
      </c>
      <c r="B94" s="0" t="s">
        <v>62</v>
      </c>
      <c r="D94" s="13" t="n">
        <f aca="false">1</f>
        <v>1</v>
      </c>
      <c r="E94" s="13" t="n">
        <f aca="false">lcr_27</f>
        <v>1.1</v>
      </c>
      <c r="F94" s="13" t="n">
        <f aca="false">lcr_28</f>
        <v>1.15</v>
      </c>
      <c r="G94" s="13" t="n">
        <f aca="false">lcr_29</f>
        <v>1.2</v>
      </c>
    </row>
    <row r="95" customFormat="false" ht="15" hidden="false" customHeight="false" outlineLevel="0" collapsed="false">
      <c r="A95" s="4" t="s">
        <v>373</v>
      </c>
      <c r="B95" s="0" t="s">
        <v>153</v>
      </c>
      <c r="C95" s="17" t="n">
        <f aca="false">a25_lc</f>
        <v>55.4885</v>
      </c>
      <c r="D95" s="17" t="n">
        <f aca="false">D84*$D$93*D94</f>
        <v>94.5529875</v>
      </c>
      <c r="E95" s="17" t="n">
        <f aca="false">E84*$D$93*E94</f>
        <v>185.115139180837</v>
      </c>
      <c r="F95" s="17" t="n">
        <f aca="false">F84*$D$93*F94</f>
        <v>245.321190937636</v>
      </c>
      <c r="G95" s="17" t="n">
        <f aca="false">G84*$D$93*G94</f>
        <v>291.61003960695</v>
      </c>
    </row>
    <row r="96" customFormat="false" ht="17.15" hidden="false" customHeight="false" outlineLevel="0" collapsed="false">
      <c r="A96" s="4" t="s">
        <v>374</v>
      </c>
      <c r="B96" s="0" t="s">
        <v>153</v>
      </c>
      <c r="C96" s="17" t="n">
        <f aca="false">a25_nai</f>
        <v>399.5172</v>
      </c>
      <c r="D96" s="17" t="n">
        <f aca="false">a26_nai</f>
        <v>465.2006985</v>
      </c>
      <c r="E96" s="17" t="n">
        <f aca="false">D96*(1+g_nai27)</f>
        <v>493.11274041</v>
      </c>
      <c r="F96" s="17" t="n">
        <f aca="false">E96*(1+g_nai28)</f>
        <v>517.7683774305</v>
      </c>
      <c r="G96" s="17" t="n">
        <f aca="false">F96*(1+g_nai29)</f>
        <v>538.47911252772</v>
      </c>
    </row>
    <row r="97" customFormat="false" ht="15" hidden="false" customHeight="false" outlineLevel="0" collapsed="false">
      <c r="A97" s="4" t="s">
        <v>268</v>
      </c>
      <c r="B97" s="0" t="s">
        <v>153</v>
      </c>
      <c r="C97" s="17" t="n">
        <f aca="false">C91+C95+C96</f>
        <v>554.885</v>
      </c>
      <c r="D97" s="17" t="n">
        <f aca="false">D91+D95+D96</f>
        <v>756.4239</v>
      </c>
      <c r="E97" s="17" t="n">
        <f aca="false">E91+E95+E96</f>
        <v>1144.94241231343</v>
      </c>
      <c r="F97" s="17" t="n">
        <f aca="false">F91+F95+F96</f>
        <v>1433.58675186996</v>
      </c>
      <c r="G97" s="17" t="n">
        <f aca="false">G91+G95+G96</f>
        <v>1638.82099531128</v>
      </c>
    </row>
    <row r="98" customFormat="false" ht="15" hidden="false" customHeight="false" outlineLevel="0" collapsed="false">
      <c r="A98" s="4" t="s">
        <v>375</v>
      </c>
      <c r="B98" s="0" t="s">
        <v>46</v>
      </c>
      <c r="D98" s="12" t="n">
        <f aca="false">D97/C97-1</f>
        <v>0.363208412553953</v>
      </c>
      <c r="E98" s="12" t="n">
        <f aca="false">E97/D97-1</f>
        <v>0.513625378988463</v>
      </c>
      <c r="F98" s="12" t="n">
        <f aca="false">F97/E97-1</f>
        <v>0.252103805791683</v>
      </c>
      <c r="G98" s="12" t="n">
        <f aca="false">G97/F97-1</f>
        <v>0.143161370020764</v>
      </c>
    </row>
    <row r="99" customFormat="false" ht="17.15" hidden="false" customHeight="false" outlineLevel="0" collapsed="false">
      <c r="A99" s="0" t="s">
        <v>376</v>
      </c>
      <c r="B99" s="0" t="s">
        <v>46</v>
      </c>
      <c r="C99" s="12" t="n">
        <f aca="false">C91/C97</f>
        <v>0.18</v>
      </c>
      <c r="D99" s="12" t="n">
        <f aca="false">D91/D97</f>
        <v>0.26</v>
      </c>
      <c r="E99" s="12" t="n">
        <f aca="false">E91/E97</f>
        <v>0.407631447401418</v>
      </c>
      <c r="F99" s="12" t="n">
        <f aca="false">F91/F97</f>
        <v>0.467706040549852</v>
      </c>
      <c r="G99" s="12" t="n">
        <f aca="false">G91/G97</f>
        <v>0.493483940888247</v>
      </c>
    </row>
    <row r="100" customFormat="false" ht="17.15" hidden="false" customHeight="false" outlineLevel="0" collapsed="false">
      <c r="A100" s="0" t="s">
        <v>377</v>
      </c>
      <c r="B100" s="0" t="s">
        <v>46</v>
      </c>
      <c r="C100" s="12" t="n">
        <f aca="false">(C91+C95)/C97</f>
        <v>0.28</v>
      </c>
      <c r="D100" s="12" t="n">
        <f aca="false">(D91+D95)/D97</f>
        <v>0.385</v>
      </c>
      <c r="E100" s="12" t="n">
        <f aca="false">(E91+E95)/E97</f>
        <v>0.569312189760153</v>
      </c>
      <c r="F100" s="12" t="n">
        <f aca="false">(F91+F95)/F97</f>
        <v>0.638830104452955</v>
      </c>
      <c r="G100" s="12" t="n">
        <f aca="false">(G91+G95)/G97</f>
        <v>0.671422861881605</v>
      </c>
    </row>
    <row r="101" customFormat="false" ht="17.15" hidden="false" customHeight="false" outlineLevel="0" collapsed="false">
      <c r="A101" s="4" t="s">
        <v>335</v>
      </c>
      <c r="B101" s="0" t="s">
        <v>336</v>
      </c>
      <c r="D101" s="16" t="n">
        <f aca="false">(D91+D95)/fx/D84*1000</f>
        <v>388.927551924965</v>
      </c>
      <c r="E101" s="16" t="n">
        <f aca="false">(E91+E95)/fx/E84*1000</f>
        <v>489.105860754122</v>
      </c>
      <c r="F101" s="16" t="n">
        <f aca="false">(F91+F95)/fx/F84*1000</f>
        <v>542.113374865685</v>
      </c>
      <c r="G101" s="16" t="n">
        <f aca="false">(G91+G95)/fx/G84*1000</f>
        <v>571.774011401377</v>
      </c>
    </row>
    <row r="102" customFormat="false" ht="17.15" hidden="false" customHeight="false" outlineLevel="0" collapsed="false">
      <c r="A102" s="6" t="s">
        <v>378</v>
      </c>
    </row>
    <row r="103" customFormat="false" ht="17.15" hidden="false" customHeight="false" outlineLevel="0" collapsed="false">
      <c r="A103" s="4" t="s">
        <v>379</v>
      </c>
      <c r="B103" s="0" t="s">
        <v>46</v>
      </c>
      <c r="D103" s="12" t="n">
        <f aca="false">a26_gp/D97-d_ai*D99</f>
        <v>0.340474417690927</v>
      </c>
      <c r="H103" s="8" t="s">
        <v>380</v>
      </c>
    </row>
    <row r="104" customFormat="false" ht="15" hidden="false" customHeight="false" outlineLevel="0" collapsed="false">
      <c r="A104" s="4" t="s">
        <v>272</v>
      </c>
      <c r="B104" s="0" t="s">
        <v>153</v>
      </c>
      <c r="C104" s="17" t="n">
        <f aca="false">a25_gp</f>
        <v>190.2</v>
      </c>
      <c r="D104" s="17" t="n">
        <f aca="false">a26_gp</f>
        <v>273.276604</v>
      </c>
      <c r="E104" s="17" t="n">
        <f aca="false">$D$103*E97+d_ai*E91</f>
        <v>427.160763739869</v>
      </c>
      <c r="F104" s="17" t="n">
        <f aca="false">$D$103*F97+d_ai*F91</f>
        <v>541.739389232497</v>
      </c>
      <c r="G104" s="17" t="n">
        <f aca="false">$D$103*G97+d_ai*G91</f>
        <v>622.675171532402</v>
      </c>
    </row>
    <row r="105" customFormat="false" ht="15" hidden="false" customHeight="false" outlineLevel="0" collapsed="false">
      <c r="A105" s="4" t="s">
        <v>274</v>
      </c>
      <c r="B105" s="0" t="s">
        <v>46</v>
      </c>
      <c r="C105" s="12" t="n">
        <f aca="false">C104/C97</f>
        <v>0.342773727889563</v>
      </c>
      <c r="D105" s="12" t="n">
        <f aca="false">D104/D97</f>
        <v>0.361274417690927</v>
      </c>
      <c r="E105" s="12" t="n">
        <f aca="false">E104/E97</f>
        <v>0.373084933483041</v>
      </c>
      <c r="F105" s="12" t="n">
        <f aca="false">F104/F97</f>
        <v>0.377890900934915</v>
      </c>
      <c r="G105" s="12" t="n">
        <f aca="false">G104/G97</f>
        <v>0.379953132961987</v>
      </c>
    </row>
    <row r="106" customFormat="false" ht="15" hidden="false" customHeight="false" outlineLevel="0" collapsed="false">
      <c r="A106" s="4" t="s">
        <v>381</v>
      </c>
      <c r="B106" s="0" t="s">
        <v>153</v>
      </c>
      <c r="C106" s="17" t="n">
        <f aca="false">a25_opx</f>
        <v>106.3</v>
      </c>
      <c r="D106" s="17" t="n">
        <f aca="false">a26_opx</f>
        <v>141.924088166667</v>
      </c>
      <c r="E106" s="17" t="n">
        <f aca="false">D106*(1+MAX(0,phi*E98))</f>
        <v>200.240739024424</v>
      </c>
      <c r="F106" s="17" t="n">
        <f aca="false">E106*(1+MAX(0,phi*F98))</f>
        <v>240.625900930501</v>
      </c>
      <c r="G106" s="17" t="n">
        <f aca="false">F106*(1+MAX(0,phi*G98))</f>
        <v>268.184567842254</v>
      </c>
    </row>
    <row r="107" customFormat="false" ht="15" hidden="false" customHeight="false" outlineLevel="0" collapsed="false">
      <c r="A107" s="4" t="s">
        <v>276</v>
      </c>
      <c r="B107" s="0" t="s">
        <v>153</v>
      </c>
      <c r="C107" s="17" t="n">
        <f aca="false">C106</f>
        <v>106.3</v>
      </c>
      <c r="D107" s="17" t="n">
        <f aca="false">D106</f>
        <v>141.924088166667</v>
      </c>
      <c r="E107" s="17" t="n">
        <f aca="false">E106+0*E97</f>
        <v>200.240739024424</v>
      </c>
      <c r="F107" s="17" t="n">
        <f aca="false">F106+0*F97</f>
        <v>240.625900930501</v>
      </c>
      <c r="G107" s="17" t="n">
        <f aca="false">G106+0*G97</f>
        <v>268.184567842254</v>
      </c>
    </row>
    <row r="108" customFormat="false" ht="15" hidden="false" customHeight="false" outlineLevel="0" collapsed="false">
      <c r="A108" s="4" t="s">
        <v>278</v>
      </c>
      <c r="B108" s="0" t="s">
        <v>153</v>
      </c>
      <c r="C108" s="17" t="n">
        <f aca="false">C104-C107</f>
        <v>83.9</v>
      </c>
      <c r="D108" s="17" t="n">
        <f aca="false">D104-D107</f>
        <v>131.352515833333</v>
      </c>
      <c r="E108" s="17" t="n">
        <f aca="false">E104-E107</f>
        <v>226.920024715445</v>
      </c>
      <c r="F108" s="17" t="n">
        <f aca="false">F104-F107</f>
        <v>301.113488301996</v>
      </c>
      <c r="G108" s="17" t="n">
        <f aca="false">G104-G107</f>
        <v>354.490603690148</v>
      </c>
    </row>
    <row r="109" customFormat="false" ht="15" hidden="false" customHeight="false" outlineLevel="0" collapsed="false">
      <c r="A109" s="4" t="s">
        <v>280</v>
      </c>
      <c r="B109" s="0" t="s">
        <v>46</v>
      </c>
      <c r="C109" s="12" t="n">
        <f aca="false">C108/C97</f>
        <v>0.151202501419213</v>
      </c>
      <c r="D109" s="12" t="n">
        <f aca="false">D108/D97</f>
        <v>0.173649346396027</v>
      </c>
      <c r="E109" s="12" t="n">
        <f aca="false">E108/E97</f>
        <v>0.198193395820614</v>
      </c>
      <c r="F109" s="12" t="n">
        <f aca="false">F108/F97</f>
        <v>0.210042041689648</v>
      </c>
      <c r="G109" s="12" t="n">
        <f aca="false">G108/G97</f>
        <v>0.216308312319867</v>
      </c>
    </row>
    <row r="110" customFormat="false" ht="15" hidden="false" customHeight="false" outlineLevel="0" collapsed="false">
      <c r="A110" s="4" t="s">
        <v>282</v>
      </c>
      <c r="B110" s="0" t="s">
        <v>153</v>
      </c>
      <c r="C110" s="17" t="n">
        <f aca="false">a25_nop</f>
        <v>3.934</v>
      </c>
      <c r="D110" s="17" t="n">
        <f aca="false">a26_nop</f>
        <v>11.1666666666667</v>
      </c>
      <c r="E110" s="17" t="n">
        <f aca="false">nop_f</f>
        <v>8</v>
      </c>
      <c r="F110" s="17" t="n">
        <f aca="false">nop_f</f>
        <v>8</v>
      </c>
      <c r="G110" s="17" t="n">
        <f aca="false">nop_f</f>
        <v>8</v>
      </c>
    </row>
    <row r="111" customFormat="false" ht="17.15" hidden="false" customHeight="false" outlineLevel="0" collapsed="false">
      <c r="A111" s="4" t="s">
        <v>195</v>
      </c>
      <c r="B111" s="0" t="s">
        <v>46</v>
      </c>
      <c r="C111" s="12" t="n">
        <f aca="false">a25_ni/(a25_oi+a25_nop)</f>
        <v>0.684336361773345</v>
      </c>
      <c r="D111" s="12" t="n">
        <f aca="false">a26_ni/(a26_oi+a26_nop)</f>
        <v>0.690638510538748</v>
      </c>
      <c r="E111" s="12" t="n">
        <f aca="false">nir_f</f>
        <v>0.69</v>
      </c>
      <c r="F111" s="12" t="n">
        <f aca="false">nir_f</f>
        <v>0.69</v>
      </c>
      <c r="G111" s="12" t="n">
        <f aca="false">nir_f</f>
        <v>0.69</v>
      </c>
    </row>
    <row r="112" customFormat="false" ht="15" hidden="false" customHeight="false" outlineLevel="0" collapsed="false">
      <c r="A112" s="4" t="s">
        <v>285</v>
      </c>
      <c r="B112" s="0" t="s">
        <v>153</v>
      </c>
      <c r="C112" s="17" t="n">
        <f aca="false">a25_ni</f>
        <v>60.108</v>
      </c>
      <c r="D112" s="17" t="n">
        <f aca="false">a26_ni</f>
        <v>98.429235925</v>
      </c>
      <c r="E112" s="17" t="n">
        <f aca="false">(E108+E110)*E111</f>
        <v>162.094817053657</v>
      </c>
      <c r="F112" s="17" t="n">
        <f aca="false">(F108+F110)*F111</f>
        <v>213.288306928378</v>
      </c>
      <c r="G112" s="17" t="n">
        <f aca="false">(G108+G110)*G111</f>
        <v>250.118516546202</v>
      </c>
    </row>
    <row r="113" customFormat="false" ht="15" hidden="false" customHeight="false" outlineLevel="0" collapsed="false">
      <c r="A113" s="4" t="s">
        <v>382</v>
      </c>
      <c r="B113" s="4" t="s">
        <v>179</v>
      </c>
      <c r="C113" s="20" t="n">
        <f aca="false">a25_sh</f>
        <v>2.59757994814175</v>
      </c>
      <c r="D113" s="20" t="n">
        <f aca="false">a26_sh</f>
        <v>2.59806708357021</v>
      </c>
      <c r="E113" s="20" t="n">
        <f aca="false">D113*(1+sh_g)</f>
        <v>2.59806708357021</v>
      </c>
      <c r="F113" s="20" t="n">
        <f aca="false">E113*(1+sh_g)</f>
        <v>2.59806708357021</v>
      </c>
      <c r="G113" s="20" t="n">
        <f aca="false">F113*(1+sh_g)</f>
        <v>2.59806708357021</v>
      </c>
    </row>
    <row r="114" customFormat="false" ht="15" hidden="false" customHeight="false" outlineLevel="0" collapsed="false">
      <c r="A114" s="0" t="s">
        <v>290</v>
      </c>
      <c r="B114" s="0" t="s">
        <v>210</v>
      </c>
      <c r="C114" s="18" t="n">
        <f aca="false">C112/C113</f>
        <v>23.14</v>
      </c>
      <c r="D114" s="18" t="n">
        <f aca="false">D112/D113</f>
        <v>37.8855636744147</v>
      </c>
      <c r="E114" s="18" t="n">
        <f aca="false">E112/E113</f>
        <v>62.3905433692303</v>
      </c>
      <c r="F114" s="18" t="n">
        <f aca="false">F112/F113</f>
        <v>82.0949960365462</v>
      </c>
      <c r="G114" s="18" t="n">
        <f aca="false">G112/G113</f>
        <v>96.2710001323347</v>
      </c>
    </row>
    <row r="115" customFormat="false" ht="17.15" hidden="false" customHeight="false" outlineLevel="0" collapsed="false">
      <c r="A115" s="0" t="s">
        <v>383</v>
      </c>
      <c r="B115" s="0" t="s">
        <v>46</v>
      </c>
      <c r="D115" s="12" t="n">
        <f aca="false">D114/C114-1</f>
        <v>0.637232656629847</v>
      </c>
      <c r="E115" s="12" t="n">
        <f aca="false">E114/D114-1</f>
        <v>0.646815760890069</v>
      </c>
      <c r="F115" s="12" t="n">
        <f aca="false">F114/E114-1</f>
        <v>0.315824347781425</v>
      </c>
      <c r="G115" s="12" t="n">
        <f aca="false">G114/F114-1</f>
        <v>0.172678053233327</v>
      </c>
    </row>
    <row r="118" customFormat="false" ht="17.15" hidden="false" customHeight="false" outlineLevel="0" collapsed="false">
      <c r="A118" s="1" t="s">
        <v>579</v>
      </c>
    </row>
    <row r="119" customFormat="false" ht="17.15" hidden="false" customHeight="false" outlineLevel="0" collapsed="false">
      <c r="A119" s="5" t="s">
        <v>15</v>
      </c>
      <c r="B119" s="5" t="s">
        <v>16</v>
      </c>
      <c r="C119" s="9" t="s">
        <v>262</v>
      </c>
      <c r="D119" s="9" t="s">
        <v>341</v>
      </c>
      <c r="E119" s="9" t="s">
        <v>342</v>
      </c>
      <c r="F119" s="9" t="s">
        <v>343</v>
      </c>
      <c r="G119" s="9" t="s">
        <v>344</v>
      </c>
      <c r="H119" s="5" t="s">
        <v>317</v>
      </c>
    </row>
    <row r="120" customFormat="false" ht="17.15" hidden="false" customHeight="false" outlineLevel="0" collapsed="false">
      <c r="A120" s="6" t="s">
        <v>359</v>
      </c>
    </row>
    <row r="121" customFormat="false" ht="17.15" hidden="false" customHeight="false" outlineLevel="0" collapsed="false">
      <c r="A121" s="0" t="s">
        <v>360</v>
      </c>
      <c r="B121" s="0" t="s">
        <v>26</v>
      </c>
      <c r="D121" s="18" t="n">
        <f aca="false">itc_26*1</f>
        <v>781.872916666667</v>
      </c>
      <c r="E121" s="18" t="n">
        <f aca="false">itc_27*1*1</f>
        <v>1565.35</v>
      </c>
      <c r="F121" s="18" t="n">
        <f aca="false">itc_28*um28_A*1</f>
        <v>1984.26388888889</v>
      </c>
      <c r="G121" s="18" t="n">
        <f aca="false">itc_29*um29_A*1</f>
        <v>2260.39027777778</v>
      </c>
    </row>
    <row r="122" customFormat="false" ht="17.15" hidden="false" customHeight="false" outlineLevel="0" collapsed="false">
      <c r="A122" s="4" t="s">
        <v>361</v>
      </c>
      <c r="B122" s="0" t="s">
        <v>26</v>
      </c>
      <c r="D122" s="18" t="n">
        <f aca="false">itpg_gb*(1-vr26)+itpg_vr*vr26</f>
        <v>33.41403216</v>
      </c>
      <c r="E122" s="18" t="n">
        <f aca="false">itpg_vr</f>
        <v>37.586352</v>
      </c>
      <c r="F122" s="18" t="n">
        <f aca="false">itpg_vr</f>
        <v>37.586352</v>
      </c>
      <c r="G122" s="18" t="n">
        <f aca="false">itpg_vr</f>
        <v>37.586352</v>
      </c>
    </row>
    <row r="123" customFormat="false" ht="17.15" hidden="false" customHeight="false" outlineLevel="0" collapsed="false">
      <c r="A123" s="4" t="s">
        <v>362</v>
      </c>
      <c r="B123" s="0" t="s">
        <v>319</v>
      </c>
      <c r="D123" s="15" t="n">
        <f aca="false">D121/D122</f>
        <v>23.3995380420639</v>
      </c>
      <c r="E123" s="15" t="n">
        <f aca="false">E121/E122</f>
        <v>41.6467658260637</v>
      </c>
      <c r="F123" s="15" t="n">
        <f aca="false">F121/F122</f>
        <v>52.792138191248</v>
      </c>
      <c r="G123" s="15" t="n">
        <f aca="false">G121/G122</f>
        <v>60.1385917361116</v>
      </c>
    </row>
    <row r="124" customFormat="false" ht="17.15" hidden="false" customHeight="false" outlineLevel="0" collapsed="false">
      <c r="A124" s="0" t="s">
        <v>321</v>
      </c>
      <c r="B124" s="0" t="s">
        <v>89</v>
      </c>
      <c r="D124" s="16" t="n">
        <f aca="false">PKLO_26</f>
        <v>380</v>
      </c>
      <c r="E124" s="16" t="n">
        <f aca="false">PKLO_27</f>
        <v>500</v>
      </c>
      <c r="F124" s="16" t="n">
        <f aca="false">PKLO_28</f>
        <v>550</v>
      </c>
      <c r="G124" s="16" t="n">
        <f aca="false">PKLO_29</f>
        <v>550</v>
      </c>
    </row>
    <row r="125" customFormat="false" ht="17.15" hidden="false" customHeight="false" outlineLevel="0" collapsed="false">
      <c r="A125" s="0" t="s">
        <v>363</v>
      </c>
      <c r="B125" s="0" t="s">
        <v>26</v>
      </c>
      <c r="D125" s="18" t="n">
        <f aca="false">D123*D124/1000</f>
        <v>8.89182445598429</v>
      </c>
      <c r="E125" s="18" t="n">
        <f aca="false">E123*E124/1000</f>
        <v>20.8233829130318</v>
      </c>
      <c r="F125" s="18" t="n">
        <f aca="false">F123*F124/1000</f>
        <v>29.0356760051864</v>
      </c>
      <c r="G125" s="18" t="n">
        <f aca="false">G123*G124/1000</f>
        <v>33.0762254548614</v>
      </c>
    </row>
    <row r="126" customFormat="false" ht="17.15" hidden="false" customHeight="false" outlineLevel="0" collapsed="false">
      <c r="A126" s="0" t="s">
        <v>364</v>
      </c>
      <c r="B126" s="0" t="s">
        <v>153</v>
      </c>
      <c r="D126" s="17" t="n">
        <f aca="false">D125*fx</f>
        <v>284.538382591497</v>
      </c>
      <c r="E126" s="17" t="n">
        <f aca="false">E125*fx</f>
        <v>666.348253217019</v>
      </c>
      <c r="F126" s="17" t="n">
        <f aca="false">F125*fx</f>
        <v>929.141632165965</v>
      </c>
      <c r="G126" s="17" t="n">
        <f aca="false">G125*fx</f>
        <v>1058.43921455556</v>
      </c>
    </row>
    <row r="127" customFormat="false" ht="17.15" hidden="false" customHeight="false" outlineLevel="0" collapsed="false">
      <c r="A127" s="4" t="s">
        <v>365</v>
      </c>
      <c r="B127" s="0" t="s">
        <v>46</v>
      </c>
      <c r="D127" s="12" t="n">
        <f aca="false">a26_aip/D126</f>
        <v>0.69119045454881</v>
      </c>
      <c r="H127" s="8" t="s">
        <v>366</v>
      </c>
    </row>
    <row r="128" customFormat="false" ht="17.15" hidden="false" customHeight="false" outlineLevel="0" collapsed="false">
      <c r="A128" s="4" t="s">
        <v>367</v>
      </c>
      <c r="B128" s="0" t="s">
        <v>62</v>
      </c>
      <c r="D128" s="13" t="n">
        <f aca="false">1</f>
        <v>1</v>
      </c>
      <c r="E128" s="13" t="n">
        <f aca="false">rel_27</f>
        <v>0.95</v>
      </c>
      <c r="F128" s="13" t="n">
        <f aca="false">rel_28</f>
        <v>0.9</v>
      </c>
      <c r="G128" s="13" t="n">
        <f aca="false">rel_29</f>
        <v>0.85</v>
      </c>
    </row>
    <row r="129" customFormat="false" ht="15" hidden="false" customHeight="false" outlineLevel="0" collapsed="false">
      <c r="A129" s="4" t="s">
        <v>328</v>
      </c>
      <c r="B129" s="0" t="s">
        <v>46</v>
      </c>
      <c r="D129" s="12" t="n">
        <f aca="false">$D$127*D128</f>
        <v>0.69119045454881</v>
      </c>
      <c r="E129" s="12" t="n">
        <f aca="false">$D$127*E128</f>
        <v>0.656630931821369</v>
      </c>
      <c r="F129" s="12" t="n">
        <f aca="false">$D$127*F128</f>
        <v>0.622071409093929</v>
      </c>
      <c r="G129" s="12" t="n">
        <f aca="false">$D$127*G128</f>
        <v>0.587511886366488</v>
      </c>
    </row>
    <row r="130" customFormat="false" ht="17.15" hidden="false" customHeight="false" outlineLevel="0" collapsed="false">
      <c r="A130" s="0" t="s">
        <v>368</v>
      </c>
      <c r="B130" s="0" t="s">
        <v>153</v>
      </c>
      <c r="C130" s="17" t="n">
        <f aca="false">a25_aip</f>
        <v>99.8793</v>
      </c>
      <c r="D130" s="17" t="n">
        <f aca="false">D126*D129</f>
        <v>196.670214</v>
      </c>
      <c r="E130" s="17" t="n">
        <f aca="false">E126*E129</f>
        <v>437.544874427433</v>
      </c>
      <c r="F130" s="17" t="n">
        <f aca="false">F126*F129</f>
        <v>577.992444369314</v>
      </c>
      <c r="G130" s="17" t="n">
        <f aca="false">G126*G129</f>
        <v>621.845619547803</v>
      </c>
    </row>
    <row r="131" customFormat="false" ht="17.15" hidden="false" customHeight="false" outlineLevel="0" collapsed="false">
      <c r="A131" s="6" t="s">
        <v>369</v>
      </c>
    </row>
    <row r="132" customFormat="false" ht="17.15" hidden="false" customHeight="false" outlineLevel="0" collapsed="false">
      <c r="A132" s="4" t="s">
        <v>370</v>
      </c>
      <c r="B132" s="0" t="s">
        <v>371</v>
      </c>
      <c r="D132" s="20" t="n">
        <f aca="false">a26_lc/D123</f>
        <v>4.04080573428535</v>
      </c>
    </row>
    <row r="133" customFormat="false" ht="17.15" hidden="false" customHeight="false" outlineLevel="0" collapsed="false">
      <c r="A133" s="4" t="s">
        <v>372</v>
      </c>
      <c r="B133" s="0" t="s">
        <v>62</v>
      </c>
      <c r="D133" s="13" t="n">
        <f aca="false">1</f>
        <v>1</v>
      </c>
      <c r="E133" s="13" t="n">
        <f aca="false">lcr_27</f>
        <v>1.1</v>
      </c>
      <c r="F133" s="13" t="n">
        <f aca="false">lcr_28</f>
        <v>1.15</v>
      </c>
      <c r="G133" s="13" t="n">
        <f aca="false">lcr_29</f>
        <v>1.2</v>
      </c>
    </row>
    <row r="134" customFormat="false" ht="15" hidden="false" customHeight="false" outlineLevel="0" collapsed="false">
      <c r="A134" s="4" t="s">
        <v>373</v>
      </c>
      <c r="B134" s="0" t="s">
        <v>153</v>
      </c>
      <c r="C134" s="17" t="n">
        <f aca="false">a25_lc</f>
        <v>55.4885</v>
      </c>
      <c r="D134" s="17" t="n">
        <f aca="false">D123*$D$132*D133</f>
        <v>94.5529875</v>
      </c>
      <c r="E134" s="17" t="n">
        <f aca="false">E123*$D$132*E133</f>
        <v>185.115139180837</v>
      </c>
      <c r="F134" s="17" t="n">
        <f aca="false">F123*$D$132*F133</f>
        <v>245.321190937636</v>
      </c>
      <c r="G134" s="17" t="n">
        <f aca="false">G123*$D$132*G133</f>
        <v>291.61003960695</v>
      </c>
    </row>
    <row r="135" customFormat="false" ht="17.15" hidden="false" customHeight="false" outlineLevel="0" collapsed="false">
      <c r="A135" s="4" t="s">
        <v>374</v>
      </c>
      <c r="B135" s="0" t="s">
        <v>153</v>
      </c>
      <c r="C135" s="17" t="n">
        <f aca="false">a25_nai</f>
        <v>399.5172</v>
      </c>
      <c r="D135" s="17" t="n">
        <f aca="false">a26_nai</f>
        <v>465.2006985</v>
      </c>
      <c r="E135" s="17" t="n">
        <f aca="false">D135*(1+g_nai27)</f>
        <v>493.11274041</v>
      </c>
      <c r="F135" s="17" t="n">
        <f aca="false">E135*(1+g_nai28)</f>
        <v>517.7683774305</v>
      </c>
      <c r="G135" s="17" t="n">
        <f aca="false">F135*(1+g_nai29)</f>
        <v>538.47911252772</v>
      </c>
    </row>
    <row r="136" customFormat="false" ht="15" hidden="false" customHeight="false" outlineLevel="0" collapsed="false">
      <c r="A136" s="4" t="s">
        <v>268</v>
      </c>
      <c r="B136" s="0" t="s">
        <v>153</v>
      </c>
      <c r="C136" s="17" t="n">
        <f aca="false">C130+C134+C135</f>
        <v>554.885</v>
      </c>
      <c r="D136" s="17" t="n">
        <f aca="false">D130+D134+D135</f>
        <v>756.4239</v>
      </c>
      <c r="E136" s="17" t="n">
        <f aca="false">E130+E134+E135</f>
        <v>1115.77275401827</v>
      </c>
      <c r="F136" s="17" t="n">
        <f aca="false">F130+F134+F135</f>
        <v>1341.08201273745</v>
      </c>
      <c r="G136" s="17" t="n">
        <f aca="false">G130+G134+G135</f>
        <v>1451.93477168247</v>
      </c>
    </row>
    <row r="137" customFormat="false" ht="15" hidden="false" customHeight="false" outlineLevel="0" collapsed="false">
      <c r="A137" s="4" t="s">
        <v>375</v>
      </c>
      <c r="B137" s="0" t="s">
        <v>46</v>
      </c>
      <c r="D137" s="12" t="n">
        <f aca="false">D136/C136-1</f>
        <v>0.363208412553953</v>
      </c>
      <c r="E137" s="12" t="n">
        <f aca="false">E136/D136-1</f>
        <v>0.475062797484677</v>
      </c>
      <c r="F137" s="12" t="n">
        <f aca="false">F136/E136-1</f>
        <v>0.201931135088007</v>
      </c>
      <c r="G137" s="12" t="n">
        <f aca="false">G136/F136-1</f>
        <v>0.08265919451022</v>
      </c>
    </row>
    <row r="138" customFormat="false" ht="17.15" hidden="false" customHeight="false" outlineLevel="0" collapsed="false">
      <c r="A138" s="0" t="s">
        <v>376</v>
      </c>
      <c r="B138" s="0" t="s">
        <v>46</v>
      </c>
      <c r="C138" s="12" t="n">
        <f aca="false">C130/C136</f>
        <v>0.18</v>
      </c>
      <c r="D138" s="12" t="n">
        <f aca="false">D130/D136</f>
        <v>0.26</v>
      </c>
      <c r="E138" s="12" t="n">
        <f aca="false">E130/E136</f>
        <v>0.392145150391679</v>
      </c>
      <c r="F138" s="12" t="n">
        <f aca="false">F130/F136</f>
        <v>0.430989632908059</v>
      </c>
      <c r="G138" s="12" t="n">
        <f aca="false">G130/G136</f>
        <v>0.428287573020392</v>
      </c>
    </row>
    <row r="139" customFormat="false" ht="17.15" hidden="false" customHeight="false" outlineLevel="0" collapsed="false">
      <c r="A139" s="0" t="s">
        <v>377</v>
      </c>
      <c r="B139" s="0" t="s">
        <v>46</v>
      </c>
      <c r="C139" s="12" t="n">
        <f aca="false">(C130+C134)/C136</f>
        <v>0.28</v>
      </c>
      <c r="D139" s="12" t="n">
        <f aca="false">(D130+D134)/D136</f>
        <v>0.385</v>
      </c>
      <c r="E139" s="12" t="n">
        <f aca="false">(E130+E134)/E136</f>
        <v>0.558052714018928</v>
      </c>
      <c r="F139" s="12" t="n">
        <f aca="false">(F130+F134)/F136</f>
        <v>0.613917439416238</v>
      </c>
      <c r="G139" s="12" t="n">
        <f aca="false">(G130+G134)/G136</f>
        <v>0.629129956090423</v>
      </c>
    </row>
    <row r="140" customFormat="false" ht="17.15" hidden="false" customHeight="false" outlineLevel="0" collapsed="false">
      <c r="A140" s="4" t="s">
        <v>335</v>
      </c>
      <c r="B140" s="0" t="s">
        <v>336</v>
      </c>
      <c r="D140" s="16" t="n">
        <f aca="false">(D130+D134)/fx/D123*1000</f>
        <v>388.927551924965</v>
      </c>
      <c r="E140" s="16" t="n">
        <f aca="false">(E130+E134)/fx/E123*1000</f>
        <v>467.218163026743</v>
      </c>
      <c r="F140" s="16" t="n">
        <f aca="false">(F130+F134)/fx/F123*1000</f>
        <v>487.35573107754</v>
      </c>
      <c r="G140" s="16" t="n">
        <f aca="false">(G130+G134)/fx/G123*1000</f>
        <v>474.661752537269</v>
      </c>
    </row>
    <row r="141" customFormat="false" ht="17.15" hidden="false" customHeight="false" outlineLevel="0" collapsed="false">
      <c r="A141" s="6" t="s">
        <v>378</v>
      </c>
    </row>
    <row r="142" customFormat="false" ht="17.15" hidden="false" customHeight="false" outlineLevel="0" collapsed="false">
      <c r="A142" s="4" t="s">
        <v>379</v>
      </c>
      <c r="B142" s="0" t="s">
        <v>46</v>
      </c>
      <c r="D142" s="12" t="n">
        <f aca="false">a26_gp/D136-d_ai*D138</f>
        <v>0.340474417690927</v>
      </c>
      <c r="H142" s="8" t="s">
        <v>380</v>
      </c>
    </row>
    <row r="143" customFormat="false" ht="15" hidden="false" customHeight="false" outlineLevel="0" collapsed="false">
      <c r="A143" s="4" t="s">
        <v>272</v>
      </c>
      <c r="B143" s="0" t="s">
        <v>153</v>
      </c>
      <c r="C143" s="17" t="n">
        <f aca="false">a25_gp</f>
        <v>190.2</v>
      </c>
      <c r="D143" s="17" t="n">
        <f aca="false">a26_gp</f>
        <v>273.276604</v>
      </c>
      <c r="E143" s="17" t="n">
        <f aca="false">$D$142*E136+d_ai*E130</f>
        <v>414.895668653967</v>
      </c>
      <c r="F143" s="17" t="n">
        <f aca="false">$D$142*F136+d_ai*F130</f>
        <v>502.843512912105</v>
      </c>
      <c r="G143" s="17" t="n">
        <f aca="false">$D$142*G136+d_ai*G130</f>
        <v>544.094295477623</v>
      </c>
    </row>
    <row r="144" customFormat="false" ht="15" hidden="false" customHeight="false" outlineLevel="0" collapsed="false">
      <c r="A144" s="4" t="s">
        <v>274</v>
      </c>
      <c r="B144" s="0" t="s">
        <v>46</v>
      </c>
      <c r="C144" s="12" t="n">
        <f aca="false">C143/C136</f>
        <v>0.342773727889563</v>
      </c>
      <c r="D144" s="12" t="n">
        <f aca="false">D143/D136</f>
        <v>0.361274417690927</v>
      </c>
      <c r="E144" s="12" t="n">
        <f aca="false">E143/E136</f>
        <v>0.371846029722261</v>
      </c>
      <c r="F144" s="12" t="n">
        <f aca="false">F143/F136</f>
        <v>0.374953588323572</v>
      </c>
      <c r="G144" s="12" t="n">
        <f aca="false">G143/G136</f>
        <v>0.374737423532558</v>
      </c>
    </row>
    <row r="145" customFormat="false" ht="15" hidden="false" customHeight="false" outlineLevel="0" collapsed="false">
      <c r="A145" s="4" t="s">
        <v>381</v>
      </c>
      <c r="B145" s="0" t="s">
        <v>153</v>
      </c>
      <c r="C145" s="17" t="n">
        <f aca="false">a25_opx</f>
        <v>106.3</v>
      </c>
      <c r="D145" s="17" t="n">
        <f aca="false">a26_opx</f>
        <v>141.924088166667</v>
      </c>
      <c r="E145" s="17" t="n">
        <f aca="false">D145*(1+MAX(0,phi*E137))</f>
        <v>195.862371650602</v>
      </c>
      <c r="F145" s="17" t="n">
        <f aca="false">E145*(1+MAX(0,phi*F137))</f>
        <v>227.50294047335</v>
      </c>
      <c r="G145" s="17" t="n">
        <f aca="false">F145*(1+MAX(0,phi*G137))</f>
        <v>242.547108319936</v>
      </c>
    </row>
    <row r="146" customFormat="false" ht="15" hidden="false" customHeight="false" outlineLevel="0" collapsed="false">
      <c r="A146" s="4" t="s">
        <v>276</v>
      </c>
      <c r="B146" s="0" t="s">
        <v>153</v>
      </c>
      <c r="C146" s="17" t="n">
        <f aca="false">C145</f>
        <v>106.3</v>
      </c>
      <c r="D146" s="17" t="n">
        <f aca="false">D145</f>
        <v>141.924088166667</v>
      </c>
      <c r="E146" s="17" t="n">
        <f aca="false">E145+0*E136</f>
        <v>195.862371650602</v>
      </c>
      <c r="F146" s="17" t="n">
        <f aca="false">F145+0*F136</f>
        <v>227.50294047335</v>
      </c>
      <c r="G146" s="17" t="n">
        <f aca="false">G145+0*G136</f>
        <v>242.547108319936</v>
      </c>
    </row>
    <row r="147" customFormat="false" ht="15" hidden="false" customHeight="false" outlineLevel="0" collapsed="false">
      <c r="A147" s="4" t="s">
        <v>278</v>
      </c>
      <c r="B147" s="0" t="s">
        <v>153</v>
      </c>
      <c r="C147" s="17" t="n">
        <f aca="false">C143-C146</f>
        <v>83.9</v>
      </c>
      <c r="D147" s="17" t="n">
        <f aca="false">D143-D146</f>
        <v>131.352515833333</v>
      </c>
      <c r="E147" s="17" t="n">
        <f aca="false">E143-E146</f>
        <v>219.033297003365</v>
      </c>
      <c r="F147" s="17" t="n">
        <f aca="false">F143-F146</f>
        <v>275.340572438755</v>
      </c>
      <c r="G147" s="17" t="n">
        <f aca="false">G143-G146</f>
        <v>301.547187157687</v>
      </c>
    </row>
    <row r="148" customFormat="false" ht="15" hidden="false" customHeight="false" outlineLevel="0" collapsed="false">
      <c r="A148" s="4" t="s">
        <v>280</v>
      </c>
      <c r="B148" s="0" t="s">
        <v>46</v>
      </c>
      <c r="C148" s="12" t="n">
        <f aca="false">C147/C136</f>
        <v>0.151202501419213</v>
      </c>
      <c r="D148" s="12" t="n">
        <f aca="false">D147/D136</f>
        <v>0.173649346396027</v>
      </c>
      <c r="E148" s="12" t="n">
        <f aca="false">E147/E136</f>
        <v>0.196306368133254</v>
      </c>
      <c r="F148" s="12" t="n">
        <f aca="false">F147/F136</f>
        <v>0.205312255196625</v>
      </c>
      <c r="G148" s="12" t="n">
        <f aca="false">G147/G136</f>
        <v>0.207686456057706</v>
      </c>
    </row>
    <row r="149" customFormat="false" ht="15" hidden="false" customHeight="false" outlineLevel="0" collapsed="false">
      <c r="A149" s="4" t="s">
        <v>282</v>
      </c>
      <c r="B149" s="0" t="s">
        <v>153</v>
      </c>
      <c r="C149" s="17" t="n">
        <f aca="false">a25_nop</f>
        <v>3.934</v>
      </c>
      <c r="D149" s="17" t="n">
        <f aca="false">a26_nop</f>
        <v>11.1666666666667</v>
      </c>
      <c r="E149" s="17" t="n">
        <f aca="false">nop_f</f>
        <v>8</v>
      </c>
      <c r="F149" s="17" t="n">
        <f aca="false">nop_f</f>
        <v>8</v>
      </c>
      <c r="G149" s="17" t="n">
        <f aca="false">nop_f</f>
        <v>8</v>
      </c>
    </row>
    <row r="150" customFormat="false" ht="17.15" hidden="false" customHeight="false" outlineLevel="0" collapsed="false">
      <c r="A150" s="4" t="s">
        <v>195</v>
      </c>
      <c r="B150" s="0" t="s">
        <v>46</v>
      </c>
      <c r="C150" s="12" t="n">
        <f aca="false">a25_ni/(a25_oi+a25_nop)</f>
        <v>0.684336361773345</v>
      </c>
      <c r="D150" s="12" t="n">
        <f aca="false">a26_ni/(a26_oi+a26_nop)</f>
        <v>0.690638510538748</v>
      </c>
      <c r="E150" s="12" t="n">
        <f aca="false">nir_f</f>
        <v>0.69</v>
      </c>
      <c r="F150" s="12" t="n">
        <f aca="false">nir_f</f>
        <v>0.69</v>
      </c>
      <c r="G150" s="12" t="n">
        <f aca="false">nir_f</f>
        <v>0.69</v>
      </c>
    </row>
    <row r="151" customFormat="false" ht="15" hidden="false" customHeight="false" outlineLevel="0" collapsed="false">
      <c r="A151" s="4" t="s">
        <v>285</v>
      </c>
      <c r="B151" s="0" t="s">
        <v>153</v>
      </c>
      <c r="C151" s="17" t="n">
        <f aca="false">a25_ni</f>
        <v>60.108</v>
      </c>
      <c r="D151" s="17" t="n">
        <f aca="false">a26_ni</f>
        <v>98.429235925</v>
      </c>
      <c r="E151" s="17" t="n">
        <f aca="false">(E147+E149)*E150</f>
        <v>156.652974932322</v>
      </c>
      <c r="F151" s="17" t="n">
        <f aca="false">(F147+F149)*F150</f>
        <v>195.504994982741</v>
      </c>
      <c r="G151" s="17" t="n">
        <f aca="false">(G147+G149)*G150</f>
        <v>213.587559138804</v>
      </c>
    </row>
    <row r="152" customFormat="false" ht="15" hidden="false" customHeight="false" outlineLevel="0" collapsed="false">
      <c r="A152" s="4" t="s">
        <v>382</v>
      </c>
      <c r="B152" s="4" t="s">
        <v>179</v>
      </c>
      <c r="C152" s="20" t="n">
        <f aca="false">a25_sh</f>
        <v>2.59757994814175</v>
      </c>
      <c r="D152" s="20" t="n">
        <f aca="false">a26_sh</f>
        <v>2.59806708357021</v>
      </c>
      <c r="E152" s="20" t="n">
        <f aca="false">D152*(1+sh_g)</f>
        <v>2.59806708357021</v>
      </c>
      <c r="F152" s="20" t="n">
        <f aca="false">E152*(1+sh_g)</f>
        <v>2.59806708357021</v>
      </c>
      <c r="G152" s="20" t="n">
        <f aca="false">F152*(1+sh_g)</f>
        <v>2.59806708357021</v>
      </c>
    </row>
    <row r="153" customFormat="false" ht="15" hidden="false" customHeight="false" outlineLevel="0" collapsed="false">
      <c r="A153" s="0" t="s">
        <v>290</v>
      </c>
      <c r="B153" s="0" t="s">
        <v>210</v>
      </c>
      <c r="C153" s="18" t="n">
        <f aca="false">C151/C152</f>
        <v>23.14</v>
      </c>
      <c r="D153" s="18" t="n">
        <f aca="false">D151/D152</f>
        <v>37.8855636744147</v>
      </c>
      <c r="E153" s="18" t="n">
        <f aca="false">E151/E152</f>
        <v>60.295970001303</v>
      </c>
      <c r="F153" s="18" t="n">
        <f aca="false">F151/F152</f>
        <v>75.2501720294621</v>
      </c>
      <c r="G153" s="18" t="n">
        <f aca="false">G151/G152</f>
        <v>82.2101786707125</v>
      </c>
    </row>
    <row r="154" customFormat="false" ht="17.15" hidden="false" customHeight="false" outlineLevel="0" collapsed="false">
      <c r="A154" s="0" t="s">
        <v>383</v>
      </c>
      <c r="B154" s="0" t="s">
        <v>46</v>
      </c>
      <c r="D154" s="12" t="n">
        <f aca="false">D153/C153-1</f>
        <v>0.637232656629847</v>
      </c>
      <c r="E154" s="12" t="n">
        <f aca="false">E153/D153-1</f>
        <v>0.591528913743542</v>
      </c>
      <c r="F154" s="12" t="n">
        <f aca="false">F153/E153-1</f>
        <v>0.248013292228917</v>
      </c>
      <c r="G154" s="12" t="n">
        <f aca="false">G153/F153-1</f>
        <v>0.0924915711624603</v>
      </c>
    </row>
    <row r="157" customFormat="false" ht="17.15" hidden="false" customHeight="false" outlineLevel="0" collapsed="false">
      <c r="A157" s="1" t="s">
        <v>580</v>
      </c>
    </row>
    <row r="158" customFormat="false" ht="17.15" hidden="false" customHeight="false" outlineLevel="0" collapsed="false">
      <c r="A158" s="5" t="s">
        <v>15</v>
      </c>
      <c r="B158" s="5" t="s">
        <v>16</v>
      </c>
      <c r="C158" s="9" t="s">
        <v>262</v>
      </c>
      <c r="D158" s="9" t="s">
        <v>341</v>
      </c>
      <c r="E158" s="9" t="s">
        <v>342</v>
      </c>
      <c r="F158" s="9" t="s">
        <v>343</v>
      </c>
      <c r="G158" s="9" t="s">
        <v>344</v>
      </c>
      <c r="H158" s="5" t="s">
        <v>317</v>
      </c>
    </row>
    <row r="159" customFormat="false" ht="17.15" hidden="false" customHeight="false" outlineLevel="0" collapsed="false">
      <c r="A159" s="6" t="s">
        <v>359</v>
      </c>
    </row>
    <row r="160" customFormat="false" ht="17.15" hidden="false" customHeight="false" outlineLevel="0" collapsed="false">
      <c r="A160" s="0" t="s">
        <v>360</v>
      </c>
      <c r="B160" s="0" t="s">
        <v>26</v>
      </c>
      <c r="D160" s="18" t="n">
        <f aca="false">itc_26*1</f>
        <v>781.872916666667</v>
      </c>
      <c r="E160" s="18" t="n">
        <f aca="false">itc_27*1*1</f>
        <v>1565.35</v>
      </c>
      <c r="F160" s="18" t="n">
        <f aca="false">itc_28*um28_A*1</f>
        <v>1984.26388888889</v>
      </c>
      <c r="G160" s="18" t="n">
        <f aca="false">itc_29*um29_A*1</f>
        <v>2260.39027777778</v>
      </c>
    </row>
    <row r="161" customFormat="false" ht="17.15" hidden="false" customHeight="false" outlineLevel="0" collapsed="false">
      <c r="A161" s="4" t="s">
        <v>361</v>
      </c>
      <c r="B161" s="0" t="s">
        <v>26</v>
      </c>
      <c r="D161" s="18" t="n">
        <f aca="false">itpg_gb*(1-vr26)+itpg_vr*vr26</f>
        <v>33.41403216</v>
      </c>
      <c r="E161" s="18" t="n">
        <f aca="false">itpg_vr</f>
        <v>37.586352</v>
      </c>
      <c r="F161" s="18" t="n">
        <f aca="false">itpg_vr</f>
        <v>37.586352</v>
      </c>
      <c r="G161" s="18" t="n">
        <f aca="false">itpg_vr</f>
        <v>37.586352</v>
      </c>
    </row>
    <row r="162" customFormat="false" ht="17.15" hidden="false" customHeight="false" outlineLevel="0" collapsed="false">
      <c r="A162" s="4" t="s">
        <v>362</v>
      </c>
      <c r="B162" s="0" t="s">
        <v>319</v>
      </c>
      <c r="D162" s="15" t="n">
        <f aca="false">D160/D161</f>
        <v>23.3995380420639</v>
      </c>
      <c r="E162" s="15" t="n">
        <f aca="false">E160/E161</f>
        <v>41.6467658260637</v>
      </c>
      <c r="F162" s="15" t="n">
        <f aca="false">F160/F161</f>
        <v>52.792138191248</v>
      </c>
      <c r="G162" s="15" t="n">
        <f aca="false">G160/G161</f>
        <v>60.1385917361116</v>
      </c>
    </row>
    <row r="163" customFormat="false" ht="17.15" hidden="false" customHeight="false" outlineLevel="0" collapsed="false">
      <c r="A163" s="0" t="s">
        <v>321</v>
      </c>
      <c r="B163" s="0" t="s">
        <v>89</v>
      </c>
      <c r="D163" s="16" t="n">
        <f aca="false">PKHI_26</f>
        <v>520</v>
      </c>
      <c r="E163" s="16" t="n">
        <f aca="false">PKHI_27</f>
        <v>700</v>
      </c>
      <c r="F163" s="16" t="n">
        <f aca="false">PKHI_28</f>
        <v>800</v>
      </c>
      <c r="G163" s="16" t="n">
        <f aca="false">PKHI_29</f>
        <v>850</v>
      </c>
    </row>
    <row r="164" customFormat="false" ht="17.15" hidden="false" customHeight="false" outlineLevel="0" collapsed="false">
      <c r="A164" s="0" t="s">
        <v>363</v>
      </c>
      <c r="B164" s="0" t="s">
        <v>26</v>
      </c>
      <c r="D164" s="18" t="n">
        <f aca="false">D162*D163/1000</f>
        <v>12.1677597818732</v>
      </c>
      <c r="E164" s="18" t="n">
        <f aca="false">E162*E163/1000</f>
        <v>29.1527360782446</v>
      </c>
      <c r="F164" s="18" t="n">
        <f aca="false">F162*F163/1000</f>
        <v>42.2337105529984</v>
      </c>
      <c r="G164" s="18" t="n">
        <f aca="false">G162*G163/1000</f>
        <v>51.1178029756948</v>
      </c>
    </row>
    <row r="165" customFormat="false" ht="17.15" hidden="false" customHeight="false" outlineLevel="0" collapsed="false">
      <c r="A165" s="0" t="s">
        <v>364</v>
      </c>
      <c r="B165" s="0" t="s">
        <v>153</v>
      </c>
      <c r="D165" s="17" t="n">
        <f aca="false">D164*fx</f>
        <v>389.368313019944</v>
      </c>
      <c r="E165" s="17" t="n">
        <f aca="false">E164*fx</f>
        <v>932.887554503826</v>
      </c>
      <c r="F165" s="17" t="n">
        <f aca="false">F164*fx</f>
        <v>1351.47873769595</v>
      </c>
      <c r="G165" s="17" t="n">
        <f aca="false">G164*fx</f>
        <v>1635.76969522223</v>
      </c>
    </row>
    <row r="166" customFormat="false" ht="17.15" hidden="false" customHeight="false" outlineLevel="0" collapsed="false">
      <c r="A166" s="4" t="s">
        <v>365</v>
      </c>
      <c r="B166" s="0" t="s">
        <v>46</v>
      </c>
      <c r="D166" s="12" t="n">
        <f aca="false">a26_aip/D165</f>
        <v>0.505100716785669</v>
      </c>
      <c r="H166" s="8" t="s">
        <v>366</v>
      </c>
    </row>
    <row r="167" customFormat="false" ht="17.15" hidden="false" customHeight="false" outlineLevel="0" collapsed="false">
      <c r="A167" s="4" t="s">
        <v>367</v>
      </c>
      <c r="B167" s="0" t="s">
        <v>62</v>
      </c>
      <c r="D167" s="13" t="n">
        <f aca="false">1</f>
        <v>1</v>
      </c>
      <c r="E167" s="13" t="n">
        <f aca="false">rel_27</f>
        <v>0.95</v>
      </c>
      <c r="F167" s="13" t="n">
        <f aca="false">rel_28</f>
        <v>0.9</v>
      </c>
      <c r="G167" s="13" t="n">
        <f aca="false">rel_29</f>
        <v>0.85</v>
      </c>
    </row>
    <row r="168" customFormat="false" ht="15" hidden="false" customHeight="false" outlineLevel="0" collapsed="false">
      <c r="A168" s="4" t="s">
        <v>328</v>
      </c>
      <c r="B168" s="0" t="s">
        <v>46</v>
      </c>
      <c r="D168" s="12" t="n">
        <f aca="false">$D$166*D167</f>
        <v>0.505100716785669</v>
      </c>
      <c r="E168" s="12" t="n">
        <f aca="false">$D$166*E167</f>
        <v>0.479845680946385</v>
      </c>
      <c r="F168" s="12" t="n">
        <f aca="false">$D$166*F167</f>
        <v>0.454590645107102</v>
      </c>
      <c r="G168" s="12" t="n">
        <f aca="false">$D$166*G167</f>
        <v>0.429335609267818</v>
      </c>
    </row>
    <row r="169" customFormat="false" ht="17.15" hidden="false" customHeight="false" outlineLevel="0" collapsed="false">
      <c r="A169" s="0" t="s">
        <v>368</v>
      </c>
      <c r="B169" s="0" t="s">
        <v>153</v>
      </c>
      <c r="C169" s="17" t="n">
        <f aca="false">a25_aip</f>
        <v>99.8793</v>
      </c>
      <c r="D169" s="17" t="n">
        <f aca="false">D165*D168</f>
        <v>196.670214</v>
      </c>
      <c r="E169" s="17" t="n">
        <f aca="false">E165*E168</f>
        <v>447.642063837296</v>
      </c>
      <c r="F169" s="17" t="n">
        <f aca="false">F165*F168</f>
        <v>614.369591217733</v>
      </c>
      <c r="G169" s="17" t="n">
        <f aca="false">G165*G168</f>
        <v>702.294178720071</v>
      </c>
    </row>
    <row r="170" customFormat="false" ht="17.15" hidden="false" customHeight="false" outlineLevel="0" collapsed="false">
      <c r="A170" s="6" t="s">
        <v>369</v>
      </c>
    </row>
    <row r="171" customFormat="false" ht="17.15" hidden="false" customHeight="false" outlineLevel="0" collapsed="false">
      <c r="A171" s="4" t="s">
        <v>370</v>
      </c>
      <c r="B171" s="0" t="s">
        <v>371</v>
      </c>
      <c r="D171" s="20" t="n">
        <f aca="false">a26_lc/D162</f>
        <v>4.04080573428535</v>
      </c>
    </row>
    <row r="172" customFormat="false" ht="17.15" hidden="false" customHeight="false" outlineLevel="0" collapsed="false">
      <c r="A172" s="4" t="s">
        <v>372</v>
      </c>
      <c r="B172" s="0" t="s">
        <v>62</v>
      </c>
      <c r="D172" s="13" t="n">
        <f aca="false">1</f>
        <v>1</v>
      </c>
      <c r="E172" s="13" t="n">
        <f aca="false">lcr_27</f>
        <v>1.1</v>
      </c>
      <c r="F172" s="13" t="n">
        <f aca="false">lcr_28</f>
        <v>1.15</v>
      </c>
      <c r="G172" s="13" t="n">
        <f aca="false">lcr_29</f>
        <v>1.2</v>
      </c>
    </row>
    <row r="173" customFormat="false" ht="15" hidden="false" customHeight="false" outlineLevel="0" collapsed="false">
      <c r="A173" s="4" t="s">
        <v>373</v>
      </c>
      <c r="B173" s="0" t="s">
        <v>153</v>
      </c>
      <c r="C173" s="17" t="n">
        <f aca="false">a25_lc</f>
        <v>55.4885</v>
      </c>
      <c r="D173" s="17" t="n">
        <f aca="false">D162*$D$171*D172</f>
        <v>94.5529875</v>
      </c>
      <c r="E173" s="17" t="n">
        <f aca="false">E162*$D$171*E172</f>
        <v>185.115139180837</v>
      </c>
      <c r="F173" s="17" t="n">
        <f aca="false">F162*$D$171*F172</f>
        <v>245.321190937636</v>
      </c>
      <c r="G173" s="17" t="n">
        <f aca="false">G162*$D$171*G172</f>
        <v>291.61003960695</v>
      </c>
    </row>
    <row r="174" customFormat="false" ht="17.15" hidden="false" customHeight="false" outlineLevel="0" collapsed="false">
      <c r="A174" s="4" t="s">
        <v>374</v>
      </c>
      <c r="B174" s="0" t="s">
        <v>153</v>
      </c>
      <c r="C174" s="17" t="n">
        <f aca="false">a25_nai</f>
        <v>399.5172</v>
      </c>
      <c r="D174" s="17" t="n">
        <f aca="false">a26_nai</f>
        <v>465.2006985</v>
      </c>
      <c r="E174" s="17" t="n">
        <f aca="false">D174*(1+g_nai27)</f>
        <v>493.11274041</v>
      </c>
      <c r="F174" s="17" t="n">
        <f aca="false">E174*(1+g_nai28)</f>
        <v>517.7683774305</v>
      </c>
      <c r="G174" s="17" t="n">
        <f aca="false">F174*(1+g_nai29)</f>
        <v>538.47911252772</v>
      </c>
    </row>
    <row r="175" customFormat="false" ht="15" hidden="false" customHeight="false" outlineLevel="0" collapsed="false">
      <c r="A175" s="4" t="s">
        <v>268</v>
      </c>
      <c r="B175" s="0" t="s">
        <v>153</v>
      </c>
      <c r="C175" s="17" t="n">
        <f aca="false">C169+C173+C174</f>
        <v>554.885</v>
      </c>
      <c r="D175" s="17" t="n">
        <f aca="false">D169+D173+D174</f>
        <v>756.4239</v>
      </c>
      <c r="E175" s="17" t="n">
        <f aca="false">E169+E173+E174</f>
        <v>1125.86994342813</v>
      </c>
      <c r="F175" s="17" t="n">
        <f aca="false">F169+F173+F174</f>
        <v>1377.45915958587</v>
      </c>
      <c r="G175" s="17" t="n">
        <f aca="false">G169+G173+G174</f>
        <v>1532.38333085474</v>
      </c>
    </row>
    <row r="176" customFormat="false" ht="15" hidden="false" customHeight="false" outlineLevel="0" collapsed="false">
      <c r="A176" s="4" t="s">
        <v>375</v>
      </c>
      <c r="B176" s="0" t="s">
        <v>46</v>
      </c>
      <c r="D176" s="12" t="n">
        <f aca="false">D175/C175-1</f>
        <v>0.363208412553953</v>
      </c>
      <c r="E176" s="12" t="n">
        <f aca="false">E175/D175-1</f>
        <v>0.488411383389833</v>
      </c>
      <c r="F176" s="12" t="n">
        <f aca="false">F175/E175-1</f>
        <v>0.223462059384655</v>
      </c>
      <c r="G176" s="12" t="n">
        <f aca="false">G175/F175-1</f>
        <v>0.112470972508143</v>
      </c>
    </row>
    <row r="177" customFormat="false" ht="17.15" hidden="false" customHeight="false" outlineLevel="0" collapsed="false">
      <c r="A177" s="0" t="s">
        <v>376</v>
      </c>
      <c r="B177" s="0" t="s">
        <v>46</v>
      </c>
      <c r="C177" s="12" t="n">
        <f aca="false">C169/C175</f>
        <v>0.18</v>
      </c>
      <c r="D177" s="12" t="n">
        <f aca="false">D169/D175</f>
        <v>0.26</v>
      </c>
      <c r="E177" s="12" t="n">
        <f aca="false">E169/E175</f>
        <v>0.397596602032276</v>
      </c>
      <c r="F177" s="12" t="n">
        <f aca="false">F169/F175</f>
        <v>0.446016556601534</v>
      </c>
      <c r="G177" s="12" t="n">
        <f aca="false">G169/G175</f>
        <v>0.458301891295269</v>
      </c>
    </row>
    <row r="178" customFormat="false" ht="17.15" hidden="false" customHeight="false" outlineLevel="0" collapsed="false">
      <c r="A178" s="0" t="s">
        <v>377</v>
      </c>
      <c r="B178" s="0" t="s">
        <v>46</v>
      </c>
      <c r="C178" s="12" t="n">
        <f aca="false">(C169+C173)/C175</f>
        <v>0.28</v>
      </c>
      <c r="D178" s="12" t="n">
        <f aca="false">(D169+D173)/D175</f>
        <v>0.385</v>
      </c>
      <c r="E178" s="12" t="n">
        <f aca="false">(E169+E173)/E175</f>
        <v>0.562016249489232</v>
      </c>
      <c r="F178" s="12" t="n">
        <f aca="false">(F169+F173)/F175</f>
        <v>0.624113445522286</v>
      </c>
      <c r="G178" s="12" t="n">
        <f aca="false">(G169+G173)/G175</f>
        <v>0.648600254462854</v>
      </c>
    </row>
    <row r="179" customFormat="false" ht="17.15" hidden="false" customHeight="false" outlineLevel="0" collapsed="false">
      <c r="A179" s="4" t="s">
        <v>335</v>
      </c>
      <c r="B179" s="0" t="s">
        <v>336</v>
      </c>
      <c r="D179" s="16" t="n">
        <f aca="false">(D169+D173)/fx/D162*1000</f>
        <v>388.927551924965</v>
      </c>
      <c r="E179" s="16" t="n">
        <f aca="false">(E169+E173)/fx/E162*1000</f>
        <v>474.794673778528</v>
      </c>
      <c r="F179" s="16" t="n">
        <f aca="false">(F169+F173)/fx/F162*1000</f>
        <v>508.888972161561</v>
      </c>
      <c r="G179" s="16" t="n">
        <f aca="false">(G169+G173)/fx/G162*1000</f>
        <v>516.465482913346</v>
      </c>
    </row>
    <row r="180" customFormat="false" ht="17.15" hidden="false" customHeight="false" outlineLevel="0" collapsed="false">
      <c r="A180" s="6" t="s">
        <v>378</v>
      </c>
    </row>
    <row r="181" customFormat="false" ht="17.15" hidden="false" customHeight="false" outlineLevel="0" collapsed="false">
      <c r="A181" s="4" t="s">
        <v>379</v>
      </c>
      <c r="B181" s="0" t="s">
        <v>46</v>
      </c>
      <c r="D181" s="12" t="n">
        <f aca="false">a26_gp/D175-d_ai*D177</f>
        <v>0.340474417690927</v>
      </c>
      <c r="H181" s="8" t="s">
        <v>380</v>
      </c>
    </row>
    <row r="182" customFormat="false" ht="15" hidden="false" customHeight="false" outlineLevel="0" collapsed="false">
      <c r="A182" s="4" t="s">
        <v>272</v>
      </c>
      <c r="B182" s="0" t="s">
        <v>153</v>
      </c>
      <c r="C182" s="17" t="n">
        <f aca="false">a25_gp</f>
        <v>190.2</v>
      </c>
      <c r="D182" s="17" t="n">
        <f aca="false">a26_gp</f>
        <v>273.276604</v>
      </c>
      <c r="E182" s="17" t="n">
        <f aca="false">$D$181*E175+d_ai*E169</f>
        <v>419.141278491394</v>
      </c>
      <c r="F182" s="17" t="n">
        <f aca="false">$D$181*F175+d_ai*F169</f>
        <v>518.139172550451</v>
      </c>
      <c r="G182" s="17" t="n">
        <f aca="false">$D$181*G175+d_ai*G169</f>
        <v>577.920856549657</v>
      </c>
    </row>
    <row r="183" customFormat="false" ht="15" hidden="false" customHeight="false" outlineLevel="0" collapsed="false">
      <c r="A183" s="4" t="s">
        <v>274</v>
      </c>
      <c r="B183" s="0" t="s">
        <v>46</v>
      </c>
      <c r="C183" s="12" t="n">
        <f aca="false">C182/C175</f>
        <v>0.342773727889563</v>
      </c>
      <c r="D183" s="12" t="n">
        <f aca="false">D182/D175</f>
        <v>0.361274417690927</v>
      </c>
      <c r="E183" s="12" t="n">
        <f aca="false">E182/E175</f>
        <v>0.372282145853509</v>
      </c>
      <c r="F183" s="12" t="n">
        <f aca="false">F182/F175</f>
        <v>0.37615574221905</v>
      </c>
      <c r="G183" s="12" t="n">
        <f aca="false">G182/G175</f>
        <v>0.377138568994548</v>
      </c>
    </row>
    <row r="184" customFormat="false" ht="15" hidden="false" customHeight="false" outlineLevel="0" collapsed="false">
      <c r="A184" s="4" t="s">
        <v>381</v>
      </c>
      <c r="B184" s="0" t="s">
        <v>153</v>
      </c>
      <c r="C184" s="17" t="n">
        <f aca="false">a25_opx</f>
        <v>106.3</v>
      </c>
      <c r="D184" s="17" t="n">
        <f aca="false">a26_opx</f>
        <v>141.924088166667</v>
      </c>
      <c r="E184" s="17" t="n">
        <f aca="false">D184*(1+MAX(0,phi*E176))</f>
        <v>197.377960356925</v>
      </c>
      <c r="F184" s="17" t="n">
        <f aca="false">E184*(1+MAX(0,phi*F176))</f>
        <v>232.663148755725</v>
      </c>
      <c r="G184" s="17" t="n">
        <f aca="false">F184*(1+MAX(0,phi*G176))</f>
        <v>253.597429241616</v>
      </c>
    </row>
    <row r="185" customFormat="false" ht="15" hidden="false" customHeight="false" outlineLevel="0" collapsed="false">
      <c r="A185" s="4" t="s">
        <v>276</v>
      </c>
      <c r="B185" s="0" t="s">
        <v>153</v>
      </c>
      <c r="C185" s="17" t="n">
        <f aca="false">C184</f>
        <v>106.3</v>
      </c>
      <c r="D185" s="17" t="n">
        <f aca="false">D184</f>
        <v>141.924088166667</v>
      </c>
      <c r="E185" s="17" t="n">
        <f aca="false">E184+0*E175</f>
        <v>197.377960356925</v>
      </c>
      <c r="F185" s="17" t="n">
        <f aca="false">F184+0*F175</f>
        <v>232.663148755725</v>
      </c>
      <c r="G185" s="17" t="n">
        <f aca="false">G184+0*G175</f>
        <v>253.597429241616</v>
      </c>
    </row>
    <row r="186" customFormat="false" ht="15" hidden="false" customHeight="false" outlineLevel="0" collapsed="false">
      <c r="A186" s="4" t="s">
        <v>278</v>
      </c>
      <c r="B186" s="0" t="s">
        <v>153</v>
      </c>
      <c r="C186" s="17" t="n">
        <f aca="false">C182-C185</f>
        <v>83.9</v>
      </c>
      <c r="D186" s="17" t="n">
        <f aca="false">D182-D185</f>
        <v>131.352515833333</v>
      </c>
      <c r="E186" s="17" t="n">
        <f aca="false">E182-E185</f>
        <v>221.76331813447</v>
      </c>
      <c r="F186" s="17" t="n">
        <f aca="false">F182-F185</f>
        <v>285.476023794726</v>
      </c>
      <c r="G186" s="17" t="n">
        <f aca="false">G182-G185</f>
        <v>324.323427308041</v>
      </c>
    </row>
    <row r="187" customFormat="false" ht="15" hidden="false" customHeight="false" outlineLevel="0" collapsed="false">
      <c r="A187" s="4" t="s">
        <v>280</v>
      </c>
      <c r="B187" s="0" t="s">
        <v>46</v>
      </c>
      <c r="C187" s="12" t="n">
        <f aca="false">C186/C175</f>
        <v>0.151202501419213</v>
      </c>
      <c r="D187" s="12" t="n">
        <f aca="false">D186/D175</f>
        <v>0.173649346396027</v>
      </c>
      <c r="E187" s="12" t="n">
        <f aca="false">E186/E175</f>
        <v>0.196970635399705</v>
      </c>
      <c r="F187" s="12" t="n">
        <f aca="false">F186/F175</f>
        <v>0.207248267077881</v>
      </c>
      <c r="G187" s="12" t="n">
        <f aca="false">G186/G175</f>
        <v>0.21164640777392</v>
      </c>
    </row>
    <row r="188" customFormat="false" ht="15" hidden="false" customHeight="false" outlineLevel="0" collapsed="false">
      <c r="A188" s="4" t="s">
        <v>282</v>
      </c>
      <c r="B188" s="0" t="s">
        <v>153</v>
      </c>
      <c r="C188" s="17" t="n">
        <f aca="false">a25_nop</f>
        <v>3.934</v>
      </c>
      <c r="D188" s="17" t="n">
        <f aca="false">a26_nop</f>
        <v>11.1666666666667</v>
      </c>
      <c r="E188" s="17" t="n">
        <f aca="false">nop_f</f>
        <v>8</v>
      </c>
      <c r="F188" s="17" t="n">
        <f aca="false">nop_f</f>
        <v>8</v>
      </c>
      <c r="G188" s="17" t="n">
        <f aca="false">nop_f</f>
        <v>8</v>
      </c>
    </row>
    <row r="189" customFormat="false" ht="17.15" hidden="false" customHeight="false" outlineLevel="0" collapsed="false">
      <c r="A189" s="4" t="s">
        <v>195</v>
      </c>
      <c r="B189" s="0" t="s">
        <v>46</v>
      </c>
      <c r="C189" s="12" t="n">
        <f aca="false">a25_ni/(a25_oi+a25_nop)</f>
        <v>0.684336361773345</v>
      </c>
      <c r="D189" s="12" t="n">
        <f aca="false">a26_ni/(a26_oi+a26_nop)</f>
        <v>0.690638510538748</v>
      </c>
      <c r="E189" s="12" t="n">
        <f aca="false">nir_f</f>
        <v>0.69</v>
      </c>
      <c r="F189" s="12" t="n">
        <f aca="false">nir_f</f>
        <v>0.69</v>
      </c>
      <c r="G189" s="12" t="n">
        <f aca="false">nir_f</f>
        <v>0.69</v>
      </c>
    </row>
    <row r="190" customFormat="false" ht="15" hidden="false" customHeight="false" outlineLevel="0" collapsed="false">
      <c r="A190" s="4" t="s">
        <v>285</v>
      </c>
      <c r="B190" s="0" t="s">
        <v>153</v>
      </c>
      <c r="C190" s="17" t="n">
        <f aca="false">a25_ni</f>
        <v>60.108</v>
      </c>
      <c r="D190" s="17" t="n">
        <f aca="false">a26_ni</f>
        <v>98.429235925</v>
      </c>
      <c r="E190" s="17" t="n">
        <f aca="false">(E186+E188)*E189</f>
        <v>158.536689512784</v>
      </c>
      <c r="F190" s="17" t="n">
        <f aca="false">(F186+F188)*F189</f>
        <v>202.498456418361</v>
      </c>
      <c r="G190" s="17" t="n">
        <f aca="false">(G186+G188)*G189</f>
        <v>229.303164842548</v>
      </c>
    </row>
    <row r="191" customFormat="false" ht="15" hidden="false" customHeight="false" outlineLevel="0" collapsed="false">
      <c r="A191" s="4" t="s">
        <v>382</v>
      </c>
      <c r="B191" s="4" t="s">
        <v>179</v>
      </c>
      <c r="C191" s="20" t="n">
        <f aca="false">a25_sh</f>
        <v>2.59757994814175</v>
      </c>
      <c r="D191" s="20" t="n">
        <f aca="false">a26_sh</f>
        <v>2.59806708357021</v>
      </c>
      <c r="E191" s="20" t="n">
        <f aca="false">D191*(1+sh_g)</f>
        <v>2.59806708357021</v>
      </c>
      <c r="F191" s="20" t="n">
        <f aca="false">E191*(1+sh_g)</f>
        <v>2.59806708357021</v>
      </c>
      <c r="G191" s="20" t="n">
        <f aca="false">F191*(1+sh_g)</f>
        <v>2.59806708357021</v>
      </c>
    </row>
    <row r="192" customFormat="false" ht="15" hidden="false" customHeight="false" outlineLevel="0" collapsed="false">
      <c r="A192" s="0" t="s">
        <v>290</v>
      </c>
      <c r="B192" s="0" t="s">
        <v>210</v>
      </c>
      <c r="C192" s="18" t="n">
        <f aca="false">C190/C191</f>
        <v>23.14</v>
      </c>
      <c r="D192" s="18" t="n">
        <f aca="false">D190/D191</f>
        <v>37.8855636744147</v>
      </c>
      <c r="E192" s="18" t="n">
        <f aca="false">E190/E191</f>
        <v>61.0210146286624</v>
      </c>
      <c r="F192" s="18" t="n">
        <f aca="false">F190/F191</f>
        <v>77.9419660481174</v>
      </c>
      <c r="G192" s="18" t="n">
        <f aca="false">G190/G191</f>
        <v>88.2591393781273</v>
      </c>
    </row>
    <row r="193" customFormat="false" ht="17.15" hidden="false" customHeight="false" outlineLevel="0" collapsed="false">
      <c r="A193" s="0" t="s">
        <v>383</v>
      </c>
      <c r="B193" s="0" t="s">
        <v>46</v>
      </c>
      <c r="D193" s="12" t="n">
        <f aca="false">D192/C192-1</f>
        <v>0.637232656629847</v>
      </c>
      <c r="E193" s="12" t="n">
        <f aca="false">E192/D192-1</f>
        <v>0.610666668525032</v>
      </c>
      <c r="F193" s="12" t="n">
        <f aca="false">F192/E192-1</f>
        <v>0.277297116778962</v>
      </c>
      <c r="G193" s="12" t="n">
        <f aca="false">G192/F192-1</f>
        <v>0.132369939496275</v>
      </c>
    </row>
    <row r="196" customFormat="false" ht="17.15" hidden="false" customHeight="false" outlineLevel="0" collapsed="false">
      <c r="A196" s="1" t="s">
        <v>581</v>
      </c>
    </row>
    <row r="197" customFormat="false" ht="17.15" hidden="false" customHeight="false" outlineLevel="0" collapsed="false">
      <c r="A197" s="5" t="s">
        <v>15</v>
      </c>
      <c r="B197" s="5" t="s">
        <v>16</v>
      </c>
      <c r="C197" s="9" t="s">
        <v>262</v>
      </c>
      <c r="D197" s="9" t="s">
        <v>341</v>
      </c>
      <c r="E197" s="9" t="s">
        <v>342</v>
      </c>
      <c r="F197" s="9" t="s">
        <v>343</v>
      </c>
      <c r="G197" s="9" t="s">
        <v>344</v>
      </c>
      <c r="H197" s="5" t="s">
        <v>317</v>
      </c>
    </row>
    <row r="198" customFormat="false" ht="17.15" hidden="false" customHeight="false" outlineLevel="0" collapsed="false">
      <c r="A198" s="6" t="s">
        <v>359</v>
      </c>
    </row>
    <row r="199" customFormat="false" ht="17.15" hidden="false" customHeight="false" outlineLevel="0" collapsed="false">
      <c r="A199" s="0" t="s">
        <v>360</v>
      </c>
      <c r="B199" s="0" t="s">
        <v>26</v>
      </c>
      <c r="D199" s="18" t="n">
        <f aca="false">itc_26*1</f>
        <v>781.872916666667</v>
      </c>
      <c r="E199" s="18" t="n">
        <f aca="false">itc_27*1*1</f>
        <v>1565.35</v>
      </c>
      <c r="F199" s="18" t="n">
        <f aca="false">itc_28*um28_A*1</f>
        <v>1984.26388888889</v>
      </c>
      <c r="G199" s="18" t="n">
        <f aca="false">itc_29*um29_A*1</f>
        <v>2260.39027777778</v>
      </c>
    </row>
    <row r="200" customFormat="false" ht="17.15" hidden="false" customHeight="false" outlineLevel="0" collapsed="false">
      <c r="A200" s="4" t="s">
        <v>361</v>
      </c>
      <c r="B200" s="0" t="s">
        <v>26</v>
      </c>
      <c r="D200" s="18" t="n">
        <f aca="false">itpg_gb*(1-vr26)+itpg_vr*vr26</f>
        <v>33.41403216</v>
      </c>
      <c r="E200" s="18" t="n">
        <f aca="false">itpg_vr</f>
        <v>37.586352</v>
      </c>
      <c r="F200" s="18" t="n">
        <f aca="false">itpg_vr</f>
        <v>37.586352</v>
      </c>
      <c r="G200" s="18" t="n">
        <f aca="false">itpg_vr</f>
        <v>37.586352</v>
      </c>
    </row>
    <row r="201" customFormat="false" ht="17.15" hidden="false" customHeight="false" outlineLevel="0" collapsed="false">
      <c r="A201" s="4" t="s">
        <v>362</v>
      </c>
      <c r="B201" s="0" t="s">
        <v>319</v>
      </c>
      <c r="D201" s="15" t="n">
        <f aca="false">D199/D200</f>
        <v>23.3995380420639</v>
      </c>
      <c r="E201" s="15" t="n">
        <f aca="false">E199/E200</f>
        <v>41.6467658260637</v>
      </c>
      <c r="F201" s="15" t="n">
        <f aca="false">F199/F200</f>
        <v>52.792138191248</v>
      </c>
      <c r="G201" s="15" t="n">
        <f aca="false">G199/G200</f>
        <v>60.1385917361116</v>
      </c>
    </row>
    <row r="202" customFormat="false" ht="17.15" hidden="false" customHeight="false" outlineLevel="0" collapsed="false">
      <c r="A202" s="0" t="s">
        <v>321</v>
      </c>
      <c r="B202" s="0" t="s">
        <v>89</v>
      </c>
      <c r="D202" s="16" t="n">
        <f aca="false">pkw_26</f>
        <v>450</v>
      </c>
      <c r="E202" s="16" t="n">
        <f aca="false">pkw_27</f>
        <v>600</v>
      </c>
      <c r="F202" s="16" t="n">
        <f aca="false">pkw_28</f>
        <v>680</v>
      </c>
      <c r="G202" s="16" t="n">
        <f aca="false">pkw_29</f>
        <v>720</v>
      </c>
    </row>
    <row r="203" customFormat="false" ht="17.15" hidden="false" customHeight="false" outlineLevel="0" collapsed="false">
      <c r="A203" s="0" t="s">
        <v>363</v>
      </c>
      <c r="B203" s="0" t="s">
        <v>26</v>
      </c>
      <c r="D203" s="18" t="n">
        <f aca="false">D201*D202/1000</f>
        <v>10.5297921189288</v>
      </c>
      <c r="E203" s="18" t="n">
        <f aca="false">E201*E202/1000</f>
        <v>24.9880594956382</v>
      </c>
      <c r="F203" s="18" t="n">
        <f aca="false">F201*F202/1000</f>
        <v>35.8986539700486</v>
      </c>
      <c r="G203" s="18" t="n">
        <f aca="false">G201*G202/1000</f>
        <v>43.2997860500003</v>
      </c>
    </row>
    <row r="204" customFormat="false" ht="17.15" hidden="false" customHeight="false" outlineLevel="0" collapsed="false">
      <c r="A204" s="0" t="s">
        <v>364</v>
      </c>
      <c r="B204" s="0" t="s">
        <v>153</v>
      </c>
      <c r="D204" s="17" t="n">
        <f aca="false">D203*fx</f>
        <v>336.95334780572</v>
      </c>
      <c r="E204" s="17" t="n">
        <f aca="false">E203*fx</f>
        <v>799.617903860422</v>
      </c>
      <c r="F204" s="17" t="n">
        <f aca="false">F203*fx</f>
        <v>1148.75692704156</v>
      </c>
      <c r="G204" s="17" t="n">
        <f aca="false">G203*fx</f>
        <v>1385.59315360001</v>
      </c>
    </row>
    <row r="205" customFormat="false" ht="17.15" hidden="false" customHeight="false" outlineLevel="0" collapsed="false">
      <c r="A205" s="4" t="s">
        <v>365</v>
      </c>
      <c r="B205" s="0" t="s">
        <v>46</v>
      </c>
      <c r="D205" s="12" t="n">
        <f aca="false">a26_aip/D204</f>
        <v>0.583671939396772</v>
      </c>
      <c r="H205" s="8" t="s">
        <v>366</v>
      </c>
    </row>
    <row r="206" customFormat="false" ht="17.15" hidden="false" customHeight="false" outlineLevel="0" collapsed="false">
      <c r="A206" s="4" t="s">
        <v>367</v>
      </c>
      <c r="B206" s="0" t="s">
        <v>62</v>
      </c>
      <c r="D206" s="13" t="n">
        <f aca="false">1</f>
        <v>1</v>
      </c>
      <c r="E206" s="13" t="n">
        <f aca="false">rel_27</f>
        <v>0.95</v>
      </c>
      <c r="F206" s="13" t="n">
        <f aca="false">rel_28</f>
        <v>0.9</v>
      </c>
      <c r="G206" s="13" t="n">
        <f aca="false">rel_29</f>
        <v>0.85</v>
      </c>
    </row>
    <row r="207" customFormat="false" ht="15" hidden="false" customHeight="false" outlineLevel="0" collapsed="false">
      <c r="A207" s="4" t="s">
        <v>328</v>
      </c>
      <c r="B207" s="0" t="s">
        <v>46</v>
      </c>
      <c r="D207" s="12" t="n">
        <f aca="false">$D$205*D206</f>
        <v>0.583671939396772</v>
      </c>
      <c r="E207" s="12" t="n">
        <f aca="false">$D$205*E206</f>
        <v>0.554488342426934</v>
      </c>
      <c r="F207" s="12" t="n">
        <f aca="false">$D$205*F206</f>
        <v>0.525304745457095</v>
      </c>
      <c r="G207" s="12" t="n">
        <f aca="false">$D$205*G206</f>
        <v>0.496121148487257</v>
      </c>
    </row>
    <row r="208" customFormat="false" ht="17.15" hidden="false" customHeight="false" outlineLevel="0" collapsed="false">
      <c r="A208" s="0" t="s">
        <v>368</v>
      </c>
      <c r="B208" s="0" t="s">
        <v>153</v>
      </c>
      <c r="C208" s="17" t="n">
        <f aca="false">a25_aip</f>
        <v>99.8793</v>
      </c>
      <c r="D208" s="17" t="n">
        <f aca="false">D204*D207</f>
        <v>196.670214</v>
      </c>
      <c r="E208" s="17" t="n">
        <f aca="false">E204*E207</f>
        <v>443.378806086465</v>
      </c>
      <c r="F208" s="17" t="n">
        <f aca="false">F204*F207</f>
        <v>603.44746515164</v>
      </c>
      <c r="G208" s="17" t="n">
        <f aca="false">G204*G207</f>
        <v>687.422066700117</v>
      </c>
    </row>
    <row r="209" customFormat="false" ht="17.15" hidden="false" customHeight="false" outlineLevel="0" collapsed="false">
      <c r="A209" s="6" t="s">
        <v>369</v>
      </c>
    </row>
    <row r="210" customFormat="false" ht="17.15" hidden="false" customHeight="false" outlineLevel="0" collapsed="false">
      <c r="A210" s="4" t="s">
        <v>370</v>
      </c>
      <c r="B210" s="0" t="s">
        <v>371</v>
      </c>
      <c r="D210" s="20" t="n">
        <f aca="false">a26_lc/D201</f>
        <v>4.04080573428535</v>
      </c>
    </row>
    <row r="211" customFormat="false" ht="17.15" hidden="false" customHeight="false" outlineLevel="0" collapsed="false">
      <c r="A211" s="4" t="s">
        <v>372</v>
      </c>
      <c r="B211" s="0" t="s">
        <v>62</v>
      </c>
      <c r="D211" s="13" t="n">
        <f aca="false">1</f>
        <v>1</v>
      </c>
      <c r="E211" s="13" t="n">
        <f aca="false">LCLO_27</f>
        <v>0.9</v>
      </c>
      <c r="F211" s="13" t="n">
        <f aca="false">LCLO_28</f>
        <v>0.85</v>
      </c>
      <c r="G211" s="13" t="n">
        <f aca="false">LCLO_29</f>
        <v>0.8</v>
      </c>
    </row>
    <row r="212" customFormat="false" ht="15" hidden="false" customHeight="false" outlineLevel="0" collapsed="false">
      <c r="A212" s="4" t="s">
        <v>373</v>
      </c>
      <c r="B212" s="0" t="s">
        <v>153</v>
      </c>
      <c r="C212" s="17" t="n">
        <f aca="false">a25_lc</f>
        <v>55.4885</v>
      </c>
      <c r="D212" s="17" t="n">
        <f aca="false">D201*$D$210*D211</f>
        <v>94.5529875</v>
      </c>
      <c r="E212" s="17" t="n">
        <f aca="false">E201*$D$210*E211</f>
        <v>151.457841147957</v>
      </c>
      <c r="F212" s="17" t="n">
        <f aca="false">F201*$D$210*F211</f>
        <v>181.324358519122</v>
      </c>
      <c r="G212" s="17" t="n">
        <f aca="false">G201*$D$210*G211</f>
        <v>194.4066930713</v>
      </c>
    </row>
    <row r="213" customFormat="false" ht="17.15" hidden="false" customHeight="false" outlineLevel="0" collapsed="false">
      <c r="A213" s="4" t="s">
        <v>374</v>
      </c>
      <c r="B213" s="0" t="s">
        <v>153</v>
      </c>
      <c r="C213" s="17" t="n">
        <f aca="false">a25_nai</f>
        <v>399.5172</v>
      </c>
      <c r="D213" s="17" t="n">
        <f aca="false">a26_nai</f>
        <v>465.2006985</v>
      </c>
      <c r="E213" s="17" t="n">
        <f aca="false">D213*(1+g_nai27)</f>
        <v>493.11274041</v>
      </c>
      <c r="F213" s="17" t="n">
        <f aca="false">E213*(1+g_nai28)</f>
        <v>517.7683774305</v>
      </c>
      <c r="G213" s="17" t="n">
        <f aca="false">F213*(1+g_nai29)</f>
        <v>538.47911252772</v>
      </c>
    </row>
    <row r="214" customFormat="false" ht="15" hidden="false" customHeight="false" outlineLevel="0" collapsed="false">
      <c r="A214" s="4" t="s">
        <v>268</v>
      </c>
      <c r="B214" s="0" t="s">
        <v>153</v>
      </c>
      <c r="C214" s="17" t="n">
        <f aca="false">C208+C212+C213</f>
        <v>554.885</v>
      </c>
      <c r="D214" s="17" t="n">
        <f aca="false">D208+D212+D213</f>
        <v>756.4239</v>
      </c>
      <c r="E214" s="17" t="n">
        <f aca="false">E208+E212+E213</f>
        <v>1087.94938764442</v>
      </c>
      <c r="F214" s="17" t="n">
        <f aca="false">F208+F212+F213</f>
        <v>1302.54020110126</v>
      </c>
      <c r="G214" s="17" t="n">
        <f aca="false">G208+G212+G213</f>
        <v>1420.30787229914</v>
      </c>
    </row>
    <row r="215" customFormat="false" ht="15" hidden="false" customHeight="false" outlineLevel="0" collapsed="false">
      <c r="A215" s="4" t="s">
        <v>375</v>
      </c>
      <c r="B215" s="0" t="s">
        <v>46</v>
      </c>
      <c r="D215" s="12" t="n">
        <f aca="false">D214/C214-1</f>
        <v>0.363208412553953</v>
      </c>
      <c r="E215" s="12" t="n">
        <f aca="false">E214/D214-1</f>
        <v>0.438280027434911</v>
      </c>
      <c r="F215" s="12" t="n">
        <f aca="false">F214/E214-1</f>
        <v>0.197243379052275</v>
      </c>
      <c r="G215" s="12" t="n">
        <f aca="false">G214/F214-1</f>
        <v>0.0904138475713114</v>
      </c>
    </row>
    <row r="216" customFormat="false" ht="17.15" hidden="false" customHeight="false" outlineLevel="0" collapsed="false">
      <c r="A216" s="0" t="s">
        <v>376</v>
      </c>
      <c r="B216" s="0" t="s">
        <v>46</v>
      </c>
      <c r="C216" s="12" t="n">
        <f aca="false">C208/C214</f>
        <v>0.18</v>
      </c>
      <c r="D216" s="12" t="n">
        <f aca="false">D208/D214</f>
        <v>0.26</v>
      </c>
      <c r="E216" s="12" t="n">
        <f aca="false">E208/E214</f>
        <v>0.40753624306591</v>
      </c>
      <c r="F216" s="12" t="n">
        <f aca="false">F208/F214</f>
        <v>0.463285098334348</v>
      </c>
      <c r="G216" s="12" t="n">
        <f aca="false">G208/G214</f>
        <v>0.483995111276364</v>
      </c>
    </row>
    <row r="217" customFormat="false" ht="17.15" hidden="false" customHeight="false" outlineLevel="0" collapsed="false">
      <c r="A217" s="0" t="s">
        <v>377</v>
      </c>
      <c r="B217" s="0" t="s">
        <v>46</v>
      </c>
      <c r="C217" s="12" t="n">
        <f aca="false">(C208+C212)/C214</f>
        <v>0.28</v>
      </c>
      <c r="D217" s="12" t="n">
        <f aca="false">(D208+D212)/D214</f>
        <v>0.385</v>
      </c>
      <c r="E217" s="12" t="n">
        <f aca="false">(E208+E212)/E214</f>
        <v>0.546750293708364</v>
      </c>
      <c r="F217" s="12" t="n">
        <f aca="false">(F208+F212)/F214</f>
        <v>0.602493361055005</v>
      </c>
      <c r="G217" s="12" t="n">
        <f aca="false">(G208+G212)/G214</f>
        <v>0.620871556773073</v>
      </c>
    </row>
    <row r="218" customFormat="false" ht="17.15" hidden="false" customHeight="false" outlineLevel="0" collapsed="false">
      <c r="A218" s="4" t="s">
        <v>335</v>
      </c>
      <c r="B218" s="0" t="s">
        <v>336</v>
      </c>
      <c r="D218" s="16" t="n">
        <f aca="false">(D208+D212)/fx/D201*1000</f>
        <v>388.927551924965</v>
      </c>
      <c r="E218" s="16" t="n">
        <f aca="false">(E208+E212)/fx/E201*1000</f>
        <v>446.340666732936</v>
      </c>
      <c r="F218" s="16" t="n">
        <f aca="false">(F208+F212)/fx/F201*1000</f>
        <v>464.541129227779</v>
      </c>
      <c r="G218" s="16" t="n">
        <f aca="false">(G208+G212)/fx/G201*1000</f>
        <v>458.227370267958</v>
      </c>
    </row>
    <row r="219" customFormat="false" ht="17.15" hidden="false" customHeight="false" outlineLevel="0" collapsed="false">
      <c r="A219" s="6" t="s">
        <v>378</v>
      </c>
    </row>
    <row r="220" customFormat="false" ht="17.15" hidden="false" customHeight="false" outlineLevel="0" collapsed="false">
      <c r="A220" s="4" t="s">
        <v>379</v>
      </c>
      <c r="B220" s="0" t="s">
        <v>46</v>
      </c>
      <c r="D220" s="12" t="n">
        <f aca="false">a26_gp/D214-d_ai*D216</f>
        <v>0.340474417690927</v>
      </c>
      <c r="H220" s="8" t="s">
        <v>380</v>
      </c>
    </row>
    <row r="221" customFormat="false" ht="15" hidden="false" customHeight="false" outlineLevel="0" collapsed="false">
      <c r="A221" s="4" t="s">
        <v>272</v>
      </c>
      <c r="B221" s="0" t="s">
        <v>153</v>
      </c>
      <c r="C221" s="17" t="n">
        <f aca="false">a25_gp</f>
        <v>190.2</v>
      </c>
      <c r="D221" s="17" t="n">
        <f aca="false">a26_gp</f>
        <v>273.276604</v>
      </c>
      <c r="E221" s="17" t="n">
        <f aca="false">$D$220*E214+d_ai*E208</f>
        <v>405.889238722353</v>
      </c>
      <c r="F221" s="17" t="n">
        <f aca="false">$D$220*F214+d_ai*F208</f>
        <v>491.757413701106</v>
      </c>
      <c r="G221" s="17" t="n">
        <f aca="false">$D$220*G214+d_ai*G208</f>
        <v>538.572261098898</v>
      </c>
    </row>
    <row r="222" customFormat="false" ht="15" hidden="false" customHeight="false" outlineLevel="0" collapsed="false">
      <c r="A222" s="4" t="s">
        <v>274</v>
      </c>
      <c r="B222" s="0" t="s">
        <v>46</v>
      </c>
      <c r="C222" s="12" t="n">
        <f aca="false">C221/C214</f>
        <v>0.342773727889563</v>
      </c>
      <c r="D222" s="12" t="n">
        <f aca="false">D221/D214</f>
        <v>0.361274417690927</v>
      </c>
      <c r="E222" s="12" t="n">
        <f aca="false">E221/E214</f>
        <v>0.3730773171362</v>
      </c>
      <c r="F222" s="12" t="n">
        <f aca="false">F221/F214</f>
        <v>0.377537225557675</v>
      </c>
      <c r="G222" s="12" t="n">
        <f aca="false">G221/G214</f>
        <v>0.379194026593036</v>
      </c>
    </row>
    <row r="223" customFormat="false" ht="15" hidden="false" customHeight="false" outlineLevel="0" collapsed="false">
      <c r="A223" s="4" t="s">
        <v>381</v>
      </c>
      <c r="B223" s="0" t="s">
        <v>153</v>
      </c>
      <c r="C223" s="17" t="n">
        <f aca="false">a25_opx</f>
        <v>106.3</v>
      </c>
      <c r="D223" s="17" t="n">
        <f aca="false">a26_opx</f>
        <v>141.924088166667</v>
      </c>
      <c r="E223" s="17" t="n">
        <f aca="false">D223*(1+MAX(0,phi*E215))</f>
        <v>191.686082770956</v>
      </c>
      <c r="F223" s="17" t="n">
        <f aca="false">E223*(1+MAX(0,phi*F215))</f>
        <v>221.933131317386</v>
      </c>
      <c r="G223" s="17" t="n">
        <f aca="false">F223*(1+MAX(0,phi*G215))</f>
        <v>237.985793962149</v>
      </c>
    </row>
    <row r="224" customFormat="false" ht="15" hidden="false" customHeight="false" outlineLevel="0" collapsed="false">
      <c r="A224" s="4" t="s">
        <v>276</v>
      </c>
      <c r="B224" s="0" t="s">
        <v>153</v>
      </c>
      <c r="C224" s="17" t="n">
        <f aca="false">C223</f>
        <v>106.3</v>
      </c>
      <c r="D224" s="17" t="n">
        <f aca="false">D223</f>
        <v>141.924088166667</v>
      </c>
      <c r="E224" s="17" t="n">
        <f aca="false">E223+0*E214</f>
        <v>191.686082770956</v>
      </c>
      <c r="F224" s="17" t="n">
        <f aca="false">F223+0*F214</f>
        <v>221.933131317386</v>
      </c>
      <c r="G224" s="17" t="n">
        <f aca="false">G223+0*G214</f>
        <v>237.985793962149</v>
      </c>
    </row>
    <row r="225" customFormat="false" ht="15" hidden="false" customHeight="false" outlineLevel="0" collapsed="false">
      <c r="A225" s="4" t="s">
        <v>278</v>
      </c>
      <c r="B225" s="0" t="s">
        <v>153</v>
      </c>
      <c r="C225" s="17" t="n">
        <f aca="false">C221-C224</f>
        <v>83.9</v>
      </c>
      <c r="D225" s="17" t="n">
        <f aca="false">D221-D224</f>
        <v>131.352515833333</v>
      </c>
      <c r="E225" s="17" t="n">
        <f aca="false">E221-E224</f>
        <v>214.203155951397</v>
      </c>
      <c r="F225" s="17" t="n">
        <f aca="false">F221-F224</f>
        <v>269.824282383721</v>
      </c>
      <c r="G225" s="17" t="n">
        <f aca="false">G221-G224</f>
        <v>300.586467136749</v>
      </c>
    </row>
    <row r="226" customFormat="false" ht="15" hidden="false" customHeight="false" outlineLevel="0" collapsed="false">
      <c r="A226" s="4" t="s">
        <v>280</v>
      </c>
      <c r="B226" s="0" t="s">
        <v>46</v>
      </c>
      <c r="C226" s="12" t="n">
        <f aca="false">C225/C214</f>
        <v>0.151202501419213</v>
      </c>
      <c r="D226" s="12" t="n">
        <f aca="false">D225/D214</f>
        <v>0.173649346396027</v>
      </c>
      <c r="E226" s="12" t="n">
        <f aca="false">E225/E214</f>
        <v>0.196887059622488</v>
      </c>
      <c r="F226" s="12" t="n">
        <f aca="false">F225/F214</f>
        <v>0.207152364399649</v>
      </c>
      <c r="G226" s="12" t="n">
        <f aca="false">G225/G214</f>
        <v>0.211634725821924</v>
      </c>
    </row>
    <row r="227" customFormat="false" ht="15" hidden="false" customHeight="false" outlineLevel="0" collapsed="false">
      <c r="A227" s="4" t="s">
        <v>282</v>
      </c>
      <c r="B227" s="0" t="s">
        <v>153</v>
      </c>
      <c r="C227" s="17" t="n">
        <f aca="false">a25_nop</f>
        <v>3.934</v>
      </c>
      <c r="D227" s="17" t="n">
        <f aca="false">a26_nop</f>
        <v>11.1666666666667</v>
      </c>
      <c r="E227" s="17" t="n">
        <f aca="false">nop_f</f>
        <v>8</v>
      </c>
      <c r="F227" s="17" t="n">
        <f aca="false">nop_f</f>
        <v>8</v>
      </c>
      <c r="G227" s="17" t="n">
        <f aca="false">nop_f</f>
        <v>8</v>
      </c>
    </row>
    <row r="228" customFormat="false" ht="17.15" hidden="false" customHeight="false" outlineLevel="0" collapsed="false">
      <c r="A228" s="4" t="s">
        <v>195</v>
      </c>
      <c r="B228" s="0" t="s">
        <v>46</v>
      </c>
      <c r="C228" s="12" t="n">
        <f aca="false">a25_ni/(a25_oi+a25_nop)</f>
        <v>0.684336361773345</v>
      </c>
      <c r="D228" s="12" t="n">
        <f aca="false">a26_ni/(a26_oi+a26_nop)</f>
        <v>0.690638510538748</v>
      </c>
      <c r="E228" s="12" t="n">
        <f aca="false">nir_f</f>
        <v>0.69</v>
      </c>
      <c r="F228" s="12" t="n">
        <f aca="false">nir_f</f>
        <v>0.69</v>
      </c>
      <c r="G228" s="12" t="n">
        <f aca="false">nir_f</f>
        <v>0.69</v>
      </c>
    </row>
    <row r="229" customFormat="false" ht="15" hidden="false" customHeight="false" outlineLevel="0" collapsed="false">
      <c r="A229" s="4" t="s">
        <v>285</v>
      </c>
      <c r="B229" s="0" t="s">
        <v>153</v>
      </c>
      <c r="C229" s="17" t="n">
        <f aca="false">a25_ni</f>
        <v>60.108</v>
      </c>
      <c r="D229" s="17" t="n">
        <f aca="false">a26_ni</f>
        <v>98.429235925</v>
      </c>
      <c r="E229" s="17" t="n">
        <f aca="false">(E225+E227)*E228</f>
        <v>153.320177606464</v>
      </c>
      <c r="F229" s="17" t="n">
        <f aca="false">(F225+F227)*F228</f>
        <v>191.698754844767</v>
      </c>
      <c r="G229" s="17" t="n">
        <f aca="false">(G225+G227)*G228</f>
        <v>212.924662324356</v>
      </c>
    </row>
    <row r="230" customFormat="false" ht="15" hidden="false" customHeight="false" outlineLevel="0" collapsed="false">
      <c r="A230" s="4" t="s">
        <v>382</v>
      </c>
      <c r="B230" s="4" t="s">
        <v>179</v>
      </c>
      <c r="C230" s="20" t="n">
        <f aca="false">a25_sh</f>
        <v>2.59757994814175</v>
      </c>
      <c r="D230" s="20" t="n">
        <f aca="false">a26_sh</f>
        <v>2.59806708357021</v>
      </c>
      <c r="E230" s="20" t="n">
        <f aca="false">D230*(1+sh_g)</f>
        <v>2.59806708357021</v>
      </c>
      <c r="F230" s="20" t="n">
        <f aca="false">E230*(1+sh_g)</f>
        <v>2.59806708357021</v>
      </c>
      <c r="G230" s="20" t="n">
        <f aca="false">F230*(1+sh_g)</f>
        <v>2.59806708357021</v>
      </c>
    </row>
    <row r="231" customFormat="false" ht="15" hidden="false" customHeight="false" outlineLevel="0" collapsed="false">
      <c r="A231" s="0" t="s">
        <v>290</v>
      </c>
      <c r="B231" s="0" t="s">
        <v>210</v>
      </c>
      <c r="C231" s="18" t="n">
        <f aca="false">C229/C230</f>
        <v>23.14</v>
      </c>
      <c r="D231" s="18" t="n">
        <f aca="false">D229/D230</f>
        <v>37.8855636744147</v>
      </c>
      <c r="E231" s="18" t="n">
        <f aca="false">E229/E230</f>
        <v>59.0131712056389</v>
      </c>
      <c r="F231" s="18" t="n">
        <f aca="false">F229/F230</f>
        <v>73.7851443702288</v>
      </c>
      <c r="G231" s="18" t="n">
        <f aca="false">G229/G230</f>
        <v>81.9550286714536</v>
      </c>
    </row>
    <row r="232" customFormat="false" ht="17.15" hidden="false" customHeight="false" outlineLevel="0" collapsed="false">
      <c r="A232" s="0" t="s">
        <v>383</v>
      </c>
      <c r="B232" s="0" t="s">
        <v>46</v>
      </c>
      <c r="D232" s="12" t="n">
        <f aca="false">D231/C231-1</f>
        <v>0.637232656629847</v>
      </c>
      <c r="E232" s="12" t="n">
        <f aca="false">E231/D231-1</f>
        <v>0.557669082418652</v>
      </c>
      <c r="F232" s="12" t="n">
        <f aca="false">F231/E231-1</f>
        <v>0.25031654565919</v>
      </c>
      <c r="G232" s="12" t="n">
        <f aca="false">G231/F231-1</f>
        <v>0.110725327855037</v>
      </c>
    </row>
    <row r="235" customFormat="false" ht="17.15" hidden="false" customHeight="false" outlineLevel="0" collapsed="false">
      <c r="A235" s="1" t="s">
        <v>582</v>
      </c>
    </row>
    <row r="236" customFormat="false" ht="17.15" hidden="false" customHeight="false" outlineLevel="0" collapsed="false">
      <c r="A236" s="5" t="s">
        <v>15</v>
      </c>
      <c r="B236" s="5" t="s">
        <v>16</v>
      </c>
      <c r="C236" s="9" t="s">
        <v>262</v>
      </c>
      <c r="D236" s="9" t="s">
        <v>341</v>
      </c>
      <c r="E236" s="9" t="s">
        <v>342</v>
      </c>
      <c r="F236" s="9" t="s">
        <v>343</v>
      </c>
      <c r="G236" s="9" t="s">
        <v>344</v>
      </c>
      <c r="H236" s="5" t="s">
        <v>317</v>
      </c>
    </row>
    <row r="237" customFormat="false" ht="17.15" hidden="false" customHeight="false" outlineLevel="0" collapsed="false">
      <c r="A237" s="6" t="s">
        <v>359</v>
      </c>
    </row>
    <row r="238" customFormat="false" ht="17.15" hidden="false" customHeight="false" outlineLevel="0" collapsed="false">
      <c r="A238" s="0" t="s">
        <v>360</v>
      </c>
      <c r="B238" s="0" t="s">
        <v>26</v>
      </c>
      <c r="D238" s="18" t="n">
        <f aca="false">itc_26*1</f>
        <v>781.872916666667</v>
      </c>
      <c r="E238" s="18" t="n">
        <f aca="false">itc_27*1*1</f>
        <v>1565.35</v>
      </c>
      <c r="F238" s="18" t="n">
        <f aca="false">itc_28*um28_A*1</f>
        <v>1984.26388888889</v>
      </c>
      <c r="G238" s="18" t="n">
        <f aca="false">itc_29*um29_A*1</f>
        <v>2260.39027777778</v>
      </c>
    </row>
    <row r="239" customFormat="false" ht="17.15" hidden="false" customHeight="false" outlineLevel="0" collapsed="false">
      <c r="A239" s="4" t="s">
        <v>361</v>
      </c>
      <c r="B239" s="0" t="s">
        <v>26</v>
      </c>
      <c r="D239" s="18" t="n">
        <f aca="false">itpg_gb*(1-vr26)+itpg_vr*vr26</f>
        <v>33.41403216</v>
      </c>
      <c r="E239" s="18" t="n">
        <f aca="false">itpg_vr</f>
        <v>37.586352</v>
      </c>
      <c r="F239" s="18" t="n">
        <f aca="false">itpg_vr</f>
        <v>37.586352</v>
      </c>
      <c r="G239" s="18" t="n">
        <f aca="false">itpg_vr</f>
        <v>37.586352</v>
      </c>
    </row>
    <row r="240" customFormat="false" ht="17.15" hidden="false" customHeight="false" outlineLevel="0" collapsed="false">
      <c r="A240" s="4" t="s">
        <v>362</v>
      </c>
      <c r="B240" s="0" t="s">
        <v>319</v>
      </c>
      <c r="D240" s="15" t="n">
        <f aca="false">D238/D239</f>
        <v>23.3995380420639</v>
      </c>
      <c r="E240" s="15" t="n">
        <f aca="false">E238/E239</f>
        <v>41.6467658260637</v>
      </c>
      <c r="F240" s="15" t="n">
        <f aca="false">F238/F239</f>
        <v>52.792138191248</v>
      </c>
      <c r="G240" s="15" t="n">
        <f aca="false">G238/G239</f>
        <v>60.1385917361116</v>
      </c>
    </row>
    <row r="241" customFormat="false" ht="17.15" hidden="false" customHeight="false" outlineLevel="0" collapsed="false">
      <c r="A241" s="0" t="s">
        <v>321</v>
      </c>
      <c r="B241" s="0" t="s">
        <v>89</v>
      </c>
      <c r="D241" s="16" t="n">
        <f aca="false">pkw_26</f>
        <v>450</v>
      </c>
      <c r="E241" s="16" t="n">
        <f aca="false">pkw_27</f>
        <v>600</v>
      </c>
      <c r="F241" s="16" t="n">
        <f aca="false">pkw_28</f>
        <v>680</v>
      </c>
      <c r="G241" s="16" t="n">
        <f aca="false">pkw_29</f>
        <v>720</v>
      </c>
    </row>
    <row r="242" customFormat="false" ht="17.15" hidden="false" customHeight="false" outlineLevel="0" collapsed="false">
      <c r="A242" s="0" t="s">
        <v>363</v>
      </c>
      <c r="B242" s="0" t="s">
        <v>26</v>
      </c>
      <c r="D242" s="18" t="n">
        <f aca="false">D240*D241/1000</f>
        <v>10.5297921189288</v>
      </c>
      <c r="E242" s="18" t="n">
        <f aca="false">E240*E241/1000</f>
        <v>24.9880594956382</v>
      </c>
      <c r="F242" s="18" t="n">
        <f aca="false">F240*F241/1000</f>
        <v>35.8986539700486</v>
      </c>
      <c r="G242" s="18" t="n">
        <f aca="false">G240*G241/1000</f>
        <v>43.2997860500003</v>
      </c>
    </row>
    <row r="243" customFormat="false" ht="17.15" hidden="false" customHeight="false" outlineLevel="0" collapsed="false">
      <c r="A243" s="0" t="s">
        <v>364</v>
      </c>
      <c r="B243" s="0" t="s">
        <v>153</v>
      </c>
      <c r="D243" s="17" t="n">
        <f aca="false">D242*fx</f>
        <v>336.95334780572</v>
      </c>
      <c r="E243" s="17" t="n">
        <f aca="false">E242*fx</f>
        <v>799.617903860422</v>
      </c>
      <c r="F243" s="17" t="n">
        <f aca="false">F242*fx</f>
        <v>1148.75692704156</v>
      </c>
      <c r="G243" s="17" t="n">
        <f aca="false">G242*fx</f>
        <v>1385.59315360001</v>
      </c>
    </row>
    <row r="244" customFormat="false" ht="17.15" hidden="false" customHeight="false" outlineLevel="0" collapsed="false">
      <c r="A244" s="4" t="s">
        <v>365</v>
      </c>
      <c r="B244" s="0" t="s">
        <v>46</v>
      </c>
      <c r="D244" s="12" t="n">
        <f aca="false">a26_aip/D243</f>
        <v>0.583671939396772</v>
      </c>
      <c r="H244" s="8" t="s">
        <v>366</v>
      </c>
    </row>
    <row r="245" customFormat="false" ht="17.15" hidden="false" customHeight="false" outlineLevel="0" collapsed="false">
      <c r="A245" s="4" t="s">
        <v>367</v>
      </c>
      <c r="B245" s="0" t="s">
        <v>62</v>
      </c>
      <c r="D245" s="13" t="n">
        <f aca="false">1</f>
        <v>1</v>
      </c>
      <c r="E245" s="13" t="n">
        <f aca="false">rel_27</f>
        <v>0.95</v>
      </c>
      <c r="F245" s="13" t="n">
        <f aca="false">rel_28</f>
        <v>0.9</v>
      </c>
      <c r="G245" s="13" t="n">
        <f aca="false">rel_29</f>
        <v>0.85</v>
      </c>
    </row>
    <row r="246" customFormat="false" ht="15" hidden="false" customHeight="false" outlineLevel="0" collapsed="false">
      <c r="A246" s="4" t="s">
        <v>328</v>
      </c>
      <c r="B246" s="0" t="s">
        <v>46</v>
      </c>
      <c r="D246" s="12" t="n">
        <f aca="false">$D$244*D245</f>
        <v>0.583671939396772</v>
      </c>
      <c r="E246" s="12" t="n">
        <f aca="false">$D$244*E245</f>
        <v>0.554488342426934</v>
      </c>
      <c r="F246" s="12" t="n">
        <f aca="false">$D$244*F245</f>
        <v>0.525304745457095</v>
      </c>
      <c r="G246" s="12" t="n">
        <f aca="false">$D$244*G245</f>
        <v>0.496121148487257</v>
      </c>
    </row>
    <row r="247" customFormat="false" ht="17.15" hidden="false" customHeight="false" outlineLevel="0" collapsed="false">
      <c r="A247" s="0" t="s">
        <v>368</v>
      </c>
      <c r="B247" s="0" t="s">
        <v>153</v>
      </c>
      <c r="C247" s="17" t="n">
        <f aca="false">a25_aip</f>
        <v>99.8793</v>
      </c>
      <c r="D247" s="17" t="n">
        <f aca="false">D243*D246</f>
        <v>196.670214</v>
      </c>
      <c r="E247" s="17" t="n">
        <f aca="false">E243*E246</f>
        <v>443.378806086465</v>
      </c>
      <c r="F247" s="17" t="n">
        <f aca="false">F243*F246</f>
        <v>603.44746515164</v>
      </c>
      <c r="G247" s="17" t="n">
        <f aca="false">G243*G246</f>
        <v>687.422066700117</v>
      </c>
    </row>
    <row r="248" customFormat="false" ht="17.15" hidden="false" customHeight="false" outlineLevel="0" collapsed="false">
      <c r="A248" s="6" t="s">
        <v>369</v>
      </c>
    </row>
    <row r="249" customFormat="false" ht="17.15" hidden="false" customHeight="false" outlineLevel="0" collapsed="false">
      <c r="A249" s="4" t="s">
        <v>370</v>
      </c>
      <c r="B249" s="0" t="s">
        <v>371</v>
      </c>
      <c r="D249" s="20" t="n">
        <f aca="false">a26_lc/D240</f>
        <v>4.04080573428535</v>
      </c>
    </row>
    <row r="250" customFormat="false" ht="17.15" hidden="false" customHeight="false" outlineLevel="0" collapsed="false">
      <c r="A250" s="4" t="s">
        <v>372</v>
      </c>
      <c r="B250" s="0" t="s">
        <v>62</v>
      </c>
      <c r="D250" s="13" t="n">
        <f aca="false">1</f>
        <v>1</v>
      </c>
      <c r="E250" s="13" t="n">
        <f aca="false">LCHI_27</f>
        <v>1.3</v>
      </c>
      <c r="F250" s="13" t="n">
        <f aca="false">LCHI_28</f>
        <v>1.4</v>
      </c>
      <c r="G250" s="13" t="n">
        <f aca="false">LCHI_29</f>
        <v>1.5</v>
      </c>
    </row>
    <row r="251" customFormat="false" ht="15" hidden="false" customHeight="false" outlineLevel="0" collapsed="false">
      <c r="A251" s="4" t="s">
        <v>373</v>
      </c>
      <c r="B251" s="0" t="s">
        <v>153</v>
      </c>
      <c r="C251" s="17" t="n">
        <f aca="false">a25_lc</f>
        <v>55.4885</v>
      </c>
      <c r="D251" s="17" t="n">
        <f aca="false">D240*$D$249*D250</f>
        <v>94.5529875</v>
      </c>
      <c r="E251" s="17" t="n">
        <f aca="false">E240*$D$249*E250</f>
        <v>218.772437213716</v>
      </c>
      <c r="F251" s="17" t="n">
        <f aca="false">F240*$D$249*F250</f>
        <v>298.651884619731</v>
      </c>
      <c r="G251" s="17" t="n">
        <f aca="false">G240*$D$249*G250</f>
        <v>364.512549508687</v>
      </c>
    </row>
    <row r="252" customFormat="false" ht="17.15" hidden="false" customHeight="false" outlineLevel="0" collapsed="false">
      <c r="A252" s="4" t="s">
        <v>374</v>
      </c>
      <c r="B252" s="0" t="s">
        <v>153</v>
      </c>
      <c r="C252" s="17" t="n">
        <f aca="false">a25_nai</f>
        <v>399.5172</v>
      </c>
      <c r="D252" s="17" t="n">
        <f aca="false">a26_nai</f>
        <v>465.2006985</v>
      </c>
      <c r="E252" s="17" t="n">
        <f aca="false">D252*(1+g_nai27)</f>
        <v>493.11274041</v>
      </c>
      <c r="F252" s="17" t="n">
        <f aca="false">E252*(1+g_nai28)</f>
        <v>517.7683774305</v>
      </c>
      <c r="G252" s="17" t="n">
        <f aca="false">F252*(1+g_nai29)</f>
        <v>538.47911252772</v>
      </c>
    </row>
    <row r="253" customFormat="false" ht="15" hidden="false" customHeight="false" outlineLevel="0" collapsed="false">
      <c r="A253" s="4" t="s">
        <v>268</v>
      </c>
      <c r="B253" s="0" t="s">
        <v>153</v>
      </c>
      <c r="C253" s="17" t="n">
        <f aca="false">C247+C251+C252</f>
        <v>554.885</v>
      </c>
      <c r="D253" s="17" t="n">
        <f aca="false">D247+D251+D252</f>
        <v>756.4239</v>
      </c>
      <c r="E253" s="17" t="n">
        <f aca="false">E247+E251+E252</f>
        <v>1155.26398371018</v>
      </c>
      <c r="F253" s="17" t="n">
        <f aca="false">F247+F251+F252</f>
        <v>1419.86772720187</v>
      </c>
      <c r="G253" s="17" t="n">
        <f aca="false">G247+G251+G252</f>
        <v>1590.41372873652</v>
      </c>
    </row>
    <row r="254" customFormat="false" ht="15" hidden="false" customHeight="false" outlineLevel="0" collapsed="false">
      <c r="A254" s="4" t="s">
        <v>375</v>
      </c>
      <c r="B254" s="0" t="s">
        <v>46</v>
      </c>
      <c r="D254" s="12" t="n">
        <f aca="false">D253/C253-1</f>
        <v>0.363208412553953</v>
      </c>
      <c r="E254" s="12" t="n">
        <f aca="false">E253/D253-1</f>
        <v>0.527270600135957</v>
      </c>
      <c r="F254" s="12" t="n">
        <f aca="false">F253/E253-1</f>
        <v>0.229041801027937</v>
      </c>
      <c r="G254" s="12" t="n">
        <f aca="false">G253/F253-1</f>
        <v>0.120114006584788</v>
      </c>
    </row>
    <row r="255" customFormat="false" ht="17.15" hidden="false" customHeight="false" outlineLevel="0" collapsed="false">
      <c r="A255" s="0" t="s">
        <v>376</v>
      </c>
      <c r="B255" s="0" t="s">
        <v>46</v>
      </c>
      <c r="C255" s="12" t="n">
        <f aca="false">C247/C253</f>
        <v>0.18</v>
      </c>
      <c r="D255" s="12" t="n">
        <f aca="false">D247/D253</f>
        <v>0.26</v>
      </c>
      <c r="E255" s="12" t="n">
        <f aca="false">E247/E253</f>
        <v>0.383790036163453</v>
      </c>
      <c r="F255" s="12" t="n">
        <f aca="false">F247/F253</f>
        <v>0.425002592558993</v>
      </c>
      <c r="G255" s="12" t="n">
        <f aca="false">G247/G253</f>
        <v>0.432228453690617</v>
      </c>
    </row>
    <row r="256" customFormat="false" ht="17.15" hidden="false" customHeight="false" outlineLevel="0" collapsed="false">
      <c r="A256" s="0" t="s">
        <v>377</v>
      </c>
      <c r="B256" s="0" t="s">
        <v>46</v>
      </c>
      <c r="C256" s="12" t="n">
        <f aca="false">(C247+C251)/C253</f>
        <v>0.28</v>
      </c>
      <c r="D256" s="12" t="n">
        <f aca="false">(D247+D251)/D253</f>
        <v>0.385</v>
      </c>
      <c r="E256" s="12" t="n">
        <f aca="false">(E247+E251)/E253</f>
        <v>0.573160119796735</v>
      </c>
      <c r="F256" s="12" t="n">
        <f aca="false">(F247+F251)/F253</f>
        <v>0.635340414102612</v>
      </c>
      <c r="G256" s="12" t="n">
        <f aca="false">(G247+G251)/G253</f>
        <v>0.661421991775998</v>
      </c>
    </row>
    <row r="257" customFormat="false" ht="17.15" hidden="false" customHeight="false" outlineLevel="0" collapsed="false">
      <c r="A257" s="4" t="s">
        <v>335</v>
      </c>
      <c r="B257" s="0" t="s">
        <v>336</v>
      </c>
      <c r="D257" s="16" t="n">
        <f aca="false">(D247+D251)/fx/D240*1000</f>
        <v>388.927551924965</v>
      </c>
      <c r="E257" s="16" t="n">
        <f aca="false">(E247+E251)/fx/E240*1000</f>
        <v>496.850738411502</v>
      </c>
      <c r="F257" s="16" t="n">
        <f aca="false">(F247+F251)/fx/F240*1000</f>
        <v>533.992477785809</v>
      </c>
      <c r="G257" s="16" t="n">
        <f aca="false">(G247+G251)/fx/G240*1000</f>
        <v>546.61999570545</v>
      </c>
    </row>
    <row r="258" customFormat="false" ht="17.15" hidden="false" customHeight="false" outlineLevel="0" collapsed="false">
      <c r="A258" s="6" t="s">
        <v>378</v>
      </c>
    </row>
    <row r="259" customFormat="false" ht="17.15" hidden="false" customHeight="false" outlineLevel="0" collapsed="false">
      <c r="A259" s="4" t="s">
        <v>379</v>
      </c>
      <c r="B259" s="0" t="s">
        <v>46</v>
      </c>
      <c r="D259" s="12" t="n">
        <f aca="false">a26_gp/D253-d_ai*D255</f>
        <v>0.340474417690927</v>
      </c>
      <c r="H259" s="8" t="s">
        <v>380</v>
      </c>
    </row>
    <row r="260" customFormat="false" ht="15" hidden="false" customHeight="false" outlineLevel="0" collapsed="false">
      <c r="A260" s="4" t="s">
        <v>272</v>
      </c>
      <c r="B260" s="0" t="s">
        <v>153</v>
      </c>
      <c r="C260" s="17" t="n">
        <f aca="false">a25_gp</f>
        <v>190.2</v>
      </c>
      <c r="D260" s="17" t="n">
        <f aca="false">a26_gp</f>
        <v>273.276604</v>
      </c>
      <c r="E260" s="17" t="n">
        <f aca="false">$D$259*E253+d_ai*E247</f>
        <v>428.808136619942</v>
      </c>
      <c r="F260" s="17" t="n">
        <f aca="false">$D$259*F253+d_ai*F247</f>
        <v>531.704434829328</v>
      </c>
      <c r="G260" s="17" t="n">
        <f aca="false">$D$259*G253+d_ai*G247</f>
        <v>596.488953515233</v>
      </c>
    </row>
    <row r="261" customFormat="false" ht="15" hidden="false" customHeight="false" outlineLevel="0" collapsed="false">
      <c r="A261" s="4" t="s">
        <v>274</v>
      </c>
      <c r="B261" s="0" t="s">
        <v>46</v>
      </c>
      <c r="C261" s="12" t="n">
        <f aca="false">C260/C253</f>
        <v>0.342773727889563</v>
      </c>
      <c r="D261" s="12" t="n">
        <f aca="false">D260/D253</f>
        <v>0.361274417690927</v>
      </c>
      <c r="E261" s="12" t="n">
        <f aca="false">E260/E253</f>
        <v>0.371177620584003</v>
      </c>
      <c r="F261" s="12" t="n">
        <f aca="false">F260/F253</f>
        <v>0.374474625095646</v>
      </c>
      <c r="G261" s="12" t="n">
        <f aca="false">G260/G253</f>
        <v>0.375052693986176</v>
      </c>
    </row>
    <row r="262" customFormat="false" ht="15" hidden="false" customHeight="false" outlineLevel="0" collapsed="false">
      <c r="A262" s="4" t="s">
        <v>381</v>
      </c>
      <c r="B262" s="0" t="s">
        <v>153</v>
      </c>
      <c r="C262" s="17" t="n">
        <f aca="false">a25_opx</f>
        <v>106.3</v>
      </c>
      <c r="D262" s="17" t="n">
        <f aca="false">a26_opx</f>
        <v>141.924088166667</v>
      </c>
      <c r="E262" s="17" t="n">
        <f aca="false">D262*(1+MAX(0,phi*E254))</f>
        <v>201.790007479776</v>
      </c>
      <c r="F262" s="17" t="n">
        <f aca="false">E262*(1+MAX(0,phi*F254))</f>
        <v>238.764684873863</v>
      </c>
      <c r="G262" s="17" t="n">
        <f aca="false">F262*(1+MAX(0,phi*G254))</f>
        <v>261.707871218786</v>
      </c>
    </row>
    <row r="263" customFormat="false" ht="15" hidden="false" customHeight="false" outlineLevel="0" collapsed="false">
      <c r="A263" s="4" t="s">
        <v>276</v>
      </c>
      <c r="B263" s="0" t="s">
        <v>153</v>
      </c>
      <c r="C263" s="17" t="n">
        <f aca="false">C262</f>
        <v>106.3</v>
      </c>
      <c r="D263" s="17" t="n">
        <f aca="false">D262</f>
        <v>141.924088166667</v>
      </c>
      <c r="E263" s="17" t="n">
        <f aca="false">E262+0*E253</f>
        <v>201.790007479776</v>
      </c>
      <c r="F263" s="17" t="n">
        <f aca="false">F262+0*F253</f>
        <v>238.764684873863</v>
      </c>
      <c r="G263" s="17" t="n">
        <f aca="false">G262+0*G253</f>
        <v>261.707871218786</v>
      </c>
    </row>
    <row r="264" customFormat="false" ht="15" hidden="false" customHeight="false" outlineLevel="0" collapsed="false">
      <c r="A264" s="4" t="s">
        <v>278</v>
      </c>
      <c r="B264" s="0" t="s">
        <v>153</v>
      </c>
      <c r="C264" s="17" t="n">
        <f aca="false">C260-C263</f>
        <v>83.9</v>
      </c>
      <c r="D264" s="17" t="n">
        <f aca="false">D260-D263</f>
        <v>131.352515833333</v>
      </c>
      <c r="E264" s="17" t="n">
        <f aca="false">E260-E263</f>
        <v>227.018129140166</v>
      </c>
      <c r="F264" s="17" t="n">
        <f aca="false">F260-F263</f>
        <v>292.939749955465</v>
      </c>
      <c r="G264" s="17" t="n">
        <f aca="false">G260-G263</f>
        <v>334.781082296447</v>
      </c>
    </row>
    <row r="265" customFormat="false" ht="15" hidden="false" customHeight="false" outlineLevel="0" collapsed="false">
      <c r="A265" s="4" t="s">
        <v>280</v>
      </c>
      <c r="B265" s="0" t="s">
        <v>46</v>
      </c>
      <c r="C265" s="12" t="n">
        <f aca="false">C264/C253</f>
        <v>0.151202501419213</v>
      </c>
      <c r="D265" s="12" t="n">
        <f aca="false">D264/D253</f>
        <v>0.173649346396027</v>
      </c>
      <c r="E265" s="12" t="n">
        <f aca="false">E264/E253</f>
        <v>0.196507579515365</v>
      </c>
      <c r="F265" s="12" t="n">
        <f aca="false">F264/F253</f>
        <v>0.206314816756037</v>
      </c>
      <c r="G265" s="12" t="n">
        <f aca="false">G264/G253</f>
        <v>0.210499366452532</v>
      </c>
    </row>
    <row r="266" customFormat="false" ht="15" hidden="false" customHeight="false" outlineLevel="0" collapsed="false">
      <c r="A266" s="4" t="s">
        <v>282</v>
      </c>
      <c r="B266" s="0" t="s">
        <v>153</v>
      </c>
      <c r="C266" s="17" t="n">
        <f aca="false">a25_nop</f>
        <v>3.934</v>
      </c>
      <c r="D266" s="17" t="n">
        <f aca="false">a26_nop</f>
        <v>11.1666666666667</v>
      </c>
      <c r="E266" s="17" t="n">
        <f aca="false">nop_f</f>
        <v>8</v>
      </c>
      <c r="F266" s="17" t="n">
        <f aca="false">nop_f</f>
        <v>8</v>
      </c>
      <c r="G266" s="17" t="n">
        <f aca="false">nop_f</f>
        <v>8</v>
      </c>
    </row>
    <row r="267" customFormat="false" ht="17.15" hidden="false" customHeight="false" outlineLevel="0" collapsed="false">
      <c r="A267" s="4" t="s">
        <v>195</v>
      </c>
      <c r="B267" s="0" t="s">
        <v>46</v>
      </c>
      <c r="C267" s="12" t="n">
        <f aca="false">a25_ni/(a25_oi+a25_nop)</f>
        <v>0.684336361773345</v>
      </c>
      <c r="D267" s="12" t="n">
        <f aca="false">a26_ni/(a26_oi+a26_nop)</f>
        <v>0.690638510538748</v>
      </c>
      <c r="E267" s="12" t="n">
        <f aca="false">nir_f</f>
        <v>0.69</v>
      </c>
      <c r="F267" s="12" t="n">
        <f aca="false">nir_f</f>
        <v>0.69</v>
      </c>
      <c r="G267" s="12" t="n">
        <f aca="false">nir_f</f>
        <v>0.69</v>
      </c>
    </row>
    <row r="268" customFormat="false" ht="15" hidden="false" customHeight="false" outlineLevel="0" collapsed="false">
      <c r="A268" s="4" t="s">
        <v>285</v>
      </c>
      <c r="B268" s="0" t="s">
        <v>153</v>
      </c>
      <c r="C268" s="17" t="n">
        <f aca="false">a25_ni</f>
        <v>60.108</v>
      </c>
      <c r="D268" s="17" t="n">
        <f aca="false">a26_ni</f>
        <v>98.429235925</v>
      </c>
      <c r="E268" s="17" t="n">
        <f aca="false">(E264+E266)*E267</f>
        <v>162.162509106714</v>
      </c>
      <c r="F268" s="17" t="n">
        <f aca="false">(F264+F266)*F267</f>
        <v>207.648427469271</v>
      </c>
      <c r="G268" s="17" t="n">
        <f aca="false">(G264+G266)*G267</f>
        <v>236.518946784548</v>
      </c>
    </row>
    <row r="269" customFormat="false" ht="15" hidden="false" customHeight="false" outlineLevel="0" collapsed="false">
      <c r="A269" s="4" t="s">
        <v>382</v>
      </c>
      <c r="B269" s="4" t="s">
        <v>179</v>
      </c>
      <c r="C269" s="20" t="n">
        <f aca="false">a25_sh</f>
        <v>2.59757994814175</v>
      </c>
      <c r="D269" s="20" t="n">
        <f aca="false">a26_sh</f>
        <v>2.59806708357021</v>
      </c>
      <c r="E269" s="20" t="n">
        <f aca="false">D269*(1+sh_g)</f>
        <v>2.59806708357021</v>
      </c>
      <c r="F269" s="20" t="n">
        <f aca="false">E269*(1+sh_g)</f>
        <v>2.59806708357021</v>
      </c>
      <c r="G269" s="20" t="n">
        <f aca="false">F269*(1+sh_g)</f>
        <v>2.59806708357021</v>
      </c>
    </row>
    <row r="270" customFormat="false" ht="15" hidden="false" customHeight="false" outlineLevel="0" collapsed="false">
      <c r="A270" s="0" t="s">
        <v>290</v>
      </c>
      <c r="B270" s="0" t="s">
        <v>210</v>
      </c>
      <c r="C270" s="18" t="n">
        <f aca="false">C268/C269</f>
        <v>23.14</v>
      </c>
      <c r="D270" s="18" t="n">
        <f aca="false">D268/D269</f>
        <v>37.8855636744147</v>
      </c>
      <c r="E270" s="18" t="n">
        <f aca="false">E268/E269</f>
        <v>62.416598144138</v>
      </c>
      <c r="F270" s="18" t="n">
        <f aca="false">F268/F269</f>
        <v>79.924197793971</v>
      </c>
      <c r="G270" s="18" t="n">
        <f aca="false">G268/G269</f>
        <v>91.0365049002233</v>
      </c>
    </row>
    <row r="271" customFormat="false" ht="17.15" hidden="false" customHeight="false" outlineLevel="0" collapsed="false">
      <c r="A271" s="0" t="s">
        <v>383</v>
      </c>
      <c r="B271" s="0" t="s">
        <v>46</v>
      </c>
      <c r="D271" s="12" t="n">
        <f aca="false">D270/C270-1</f>
        <v>0.637232656629847</v>
      </c>
      <c r="E271" s="12" t="n">
        <f aca="false">E270/D270-1</f>
        <v>0.647503483927043</v>
      </c>
      <c r="F271" s="12" t="n">
        <f aca="false">F270/E270-1</f>
        <v>0.280495896450539</v>
      </c>
      <c r="G271" s="12" t="n">
        <f aca="false">G270/F270-1</f>
        <v>0.139035578873093</v>
      </c>
    </row>
    <row r="274" customFormat="false" ht="17.15" hidden="false" customHeight="false" outlineLevel="0" collapsed="false">
      <c r="A274" s="1" t="s">
        <v>583</v>
      </c>
    </row>
    <row r="275" customFormat="false" ht="17.15" hidden="false" customHeight="false" outlineLevel="0" collapsed="false">
      <c r="A275" s="5" t="s">
        <v>15</v>
      </c>
      <c r="B275" s="5" t="s">
        <v>16</v>
      </c>
      <c r="C275" s="9" t="s">
        <v>262</v>
      </c>
      <c r="D275" s="9" t="s">
        <v>341</v>
      </c>
      <c r="E275" s="9" t="s">
        <v>342</v>
      </c>
      <c r="F275" s="9" t="s">
        <v>343</v>
      </c>
      <c r="G275" s="9" t="s">
        <v>344</v>
      </c>
      <c r="H275" s="5" t="s">
        <v>317</v>
      </c>
    </row>
    <row r="276" customFormat="false" ht="17.15" hidden="false" customHeight="false" outlineLevel="0" collapsed="false">
      <c r="A276" s="6" t="s">
        <v>359</v>
      </c>
    </row>
    <row r="277" customFormat="false" ht="17.15" hidden="false" customHeight="false" outlineLevel="0" collapsed="false">
      <c r="A277" s="0" t="s">
        <v>360</v>
      </c>
      <c r="B277" s="0" t="s">
        <v>26</v>
      </c>
      <c r="D277" s="18" t="n">
        <f aca="false">itc_26*1</f>
        <v>781.872916666667</v>
      </c>
      <c r="E277" s="18" t="n">
        <f aca="false">itc_27*1*mf_lo</f>
        <v>1252.28</v>
      </c>
      <c r="F277" s="18" t="n">
        <f aca="false">itc_28*um28_A*mf_lo</f>
        <v>1587.41111111111</v>
      </c>
      <c r="G277" s="18" t="n">
        <f aca="false">itc_29*um29_A*mf_lo</f>
        <v>1808.31222222222</v>
      </c>
    </row>
    <row r="278" customFormat="false" ht="17.15" hidden="false" customHeight="false" outlineLevel="0" collapsed="false">
      <c r="A278" s="4" t="s">
        <v>361</v>
      </c>
      <c r="B278" s="0" t="s">
        <v>26</v>
      </c>
      <c r="D278" s="18" t="n">
        <f aca="false">itpg_gb*(1-vr26)+itpg_vr*vr26</f>
        <v>33.41403216</v>
      </c>
      <c r="E278" s="18" t="n">
        <f aca="false">itpg_vr</f>
        <v>37.586352</v>
      </c>
      <c r="F278" s="18" t="n">
        <f aca="false">itpg_vr</f>
        <v>37.586352</v>
      </c>
      <c r="G278" s="18" t="n">
        <f aca="false">itpg_vr</f>
        <v>37.586352</v>
      </c>
    </row>
    <row r="279" customFormat="false" ht="17.15" hidden="false" customHeight="false" outlineLevel="0" collapsed="false">
      <c r="A279" s="4" t="s">
        <v>362</v>
      </c>
      <c r="B279" s="0" t="s">
        <v>319</v>
      </c>
      <c r="D279" s="15" t="n">
        <f aca="false">D277/D278</f>
        <v>23.3995380420639</v>
      </c>
      <c r="E279" s="15" t="n">
        <f aca="false">E277/E278</f>
        <v>33.3174126608509</v>
      </c>
      <c r="F279" s="15" t="n">
        <f aca="false">F277/F278</f>
        <v>42.2337105529984</v>
      </c>
      <c r="G279" s="15" t="n">
        <f aca="false">G277/G278</f>
        <v>48.1108733888892</v>
      </c>
    </row>
    <row r="280" customFormat="false" ht="17.15" hidden="false" customHeight="false" outlineLevel="0" collapsed="false">
      <c r="A280" s="0" t="s">
        <v>321</v>
      </c>
      <c r="B280" s="0" t="s">
        <v>89</v>
      </c>
      <c r="D280" s="16" t="n">
        <f aca="false">pkw_26</f>
        <v>450</v>
      </c>
      <c r="E280" s="16" t="n">
        <f aca="false">pkw_27</f>
        <v>600</v>
      </c>
      <c r="F280" s="16" t="n">
        <f aca="false">pkw_28</f>
        <v>680</v>
      </c>
      <c r="G280" s="16" t="n">
        <f aca="false">pkw_29</f>
        <v>720</v>
      </c>
    </row>
    <row r="281" customFormat="false" ht="17.15" hidden="false" customHeight="false" outlineLevel="0" collapsed="false">
      <c r="A281" s="0" t="s">
        <v>363</v>
      </c>
      <c r="B281" s="0" t="s">
        <v>26</v>
      </c>
      <c r="D281" s="18" t="n">
        <f aca="false">D279*D280/1000</f>
        <v>10.5297921189288</v>
      </c>
      <c r="E281" s="18" t="n">
        <f aca="false">E279*E280/1000</f>
        <v>19.9904475965106</v>
      </c>
      <c r="F281" s="18" t="n">
        <f aca="false">F279*F280/1000</f>
        <v>28.7189231760389</v>
      </c>
      <c r="G281" s="18" t="n">
        <f aca="false">G279*G280/1000</f>
        <v>34.6398288400003</v>
      </c>
    </row>
    <row r="282" customFormat="false" ht="17.15" hidden="false" customHeight="false" outlineLevel="0" collapsed="false">
      <c r="A282" s="0" t="s">
        <v>364</v>
      </c>
      <c r="B282" s="0" t="s">
        <v>153</v>
      </c>
      <c r="D282" s="17" t="n">
        <f aca="false">D281*fx</f>
        <v>336.95334780572</v>
      </c>
      <c r="E282" s="17" t="n">
        <f aca="false">E281*fx</f>
        <v>639.694323088338</v>
      </c>
      <c r="F282" s="17" t="n">
        <f aca="false">F281*fx</f>
        <v>919.005541633245</v>
      </c>
      <c r="G282" s="17" t="n">
        <f aca="false">G281*fx</f>
        <v>1108.47452288001</v>
      </c>
    </row>
    <row r="283" customFormat="false" ht="17.15" hidden="false" customHeight="false" outlineLevel="0" collapsed="false">
      <c r="A283" s="4" t="s">
        <v>365</v>
      </c>
      <c r="B283" s="0" t="s">
        <v>46</v>
      </c>
      <c r="D283" s="12" t="n">
        <f aca="false">a26_aip/D282</f>
        <v>0.583671939396772</v>
      </c>
      <c r="H283" s="8" t="s">
        <v>366</v>
      </c>
    </row>
    <row r="284" customFormat="false" ht="17.15" hidden="false" customHeight="false" outlineLevel="0" collapsed="false">
      <c r="A284" s="4" t="s">
        <v>367</v>
      </c>
      <c r="B284" s="0" t="s">
        <v>62</v>
      </c>
      <c r="D284" s="13" t="n">
        <f aca="false">1</f>
        <v>1</v>
      </c>
      <c r="E284" s="13" t="n">
        <f aca="false">rel_27</f>
        <v>0.95</v>
      </c>
      <c r="F284" s="13" t="n">
        <f aca="false">rel_28</f>
        <v>0.9</v>
      </c>
      <c r="G284" s="13" t="n">
        <f aca="false">rel_29</f>
        <v>0.85</v>
      </c>
    </row>
    <row r="285" customFormat="false" ht="15" hidden="false" customHeight="false" outlineLevel="0" collapsed="false">
      <c r="A285" s="4" t="s">
        <v>328</v>
      </c>
      <c r="B285" s="0" t="s">
        <v>46</v>
      </c>
      <c r="D285" s="12" t="n">
        <f aca="false">$D$283*D284</f>
        <v>0.583671939396772</v>
      </c>
      <c r="E285" s="12" t="n">
        <f aca="false">$D$283*E284</f>
        <v>0.554488342426934</v>
      </c>
      <c r="F285" s="12" t="n">
        <f aca="false">$D$283*F284</f>
        <v>0.525304745457095</v>
      </c>
      <c r="G285" s="12" t="n">
        <f aca="false">$D$283*G284</f>
        <v>0.496121148487257</v>
      </c>
    </row>
    <row r="286" customFormat="false" ht="17.15" hidden="false" customHeight="false" outlineLevel="0" collapsed="false">
      <c r="A286" s="0" t="s">
        <v>368</v>
      </c>
      <c r="B286" s="0" t="s">
        <v>153</v>
      </c>
      <c r="C286" s="17" t="n">
        <f aca="false">a25_aip</f>
        <v>99.8793</v>
      </c>
      <c r="D286" s="17" t="n">
        <f aca="false">D282*D285</f>
        <v>196.670214</v>
      </c>
      <c r="E286" s="17" t="n">
        <f aca="false">E282*E285</f>
        <v>354.703044869172</v>
      </c>
      <c r="F286" s="17" t="n">
        <f aca="false">F282*F285</f>
        <v>482.757972121312</v>
      </c>
      <c r="G286" s="17" t="n">
        <f aca="false">G282*G285</f>
        <v>549.937653360093</v>
      </c>
    </row>
    <row r="287" customFormat="false" ht="17.15" hidden="false" customHeight="false" outlineLevel="0" collapsed="false">
      <c r="A287" s="6" t="s">
        <v>369</v>
      </c>
    </row>
    <row r="288" customFormat="false" ht="17.15" hidden="false" customHeight="false" outlineLevel="0" collapsed="false">
      <c r="A288" s="4" t="s">
        <v>370</v>
      </c>
      <c r="B288" s="0" t="s">
        <v>371</v>
      </c>
      <c r="D288" s="20" t="n">
        <f aca="false">a26_lc/D279</f>
        <v>4.04080573428535</v>
      </c>
    </row>
    <row r="289" customFormat="false" ht="17.15" hidden="false" customHeight="false" outlineLevel="0" collapsed="false">
      <c r="A289" s="4" t="s">
        <v>372</v>
      </c>
      <c r="B289" s="0" t="s">
        <v>62</v>
      </c>
      <c r="D289" s="13" t="n">
        <f aca="false">1</f>
        <v>1</v>
      </c>
      <c r="E289" s="13" t="n">
        <f aca="false">lcr_27</f>
        <v>1.1</v>
      </c>
      <c r="F289" s="13" t="n">
        <f aca="false">lcr_28</f>
        <v>1.15</v>
      </c>
      <c r="G289" s="13" t="n">
        <f aca="false">lcr_29</f>
        <v>1.2</v>
      </c>
    </row>
    <row r="290" customFormat="false" ht="15" hidden="false" customHeight="false" outlineLevel="0" collapsed="false">
      <c r="A290" s="4" t="s">
        <v>373</v>
      </c>
      <c r="B290" s="0" t="s">
        <v>153</v>
      </c>
      <c r="C290" s="17" t="n">
        <f aca="false">a25_lc</f>
        <v>55.4885</v>
      </c>
      <c r="D290" s="17" t="n">
        <f aca="false">D279*$D$288*D289</f>
        <v>94.5529875</v>
      </c>
      <c r="E290" s="17" t="n">
        <f aca="false">E279*$D$288*E289</f>
        <v>148.09211134467</v>
      </c>
      <c r="F290" s="17" t="n">
        <f aca="false">F279*$D$288*F289</f>
        <v>196.256952750109</v>
      </c>
      <c r="G290" s="17" t="n">
        <f aca="false">G279*$D$288*G289</f>
        <v>233.28803168556</v>
      </c>
    </row>
    <row r="291" customFormat="false" ht="17.15" hidden="false" customHeight="false" outlineLevel="0" collapsed="false">
      <c r="A291" s="4" t="s">
        <v>374</v>
      </c>
      <c r="B291" s="0" t="s">
        <v>153</v>
      </c>
      <c r="C291" s="17" t="n">
        <f aca="false">a25_nai</f>
        <v>399.5172</v>
      </c>
      <c r="D291" s="17" t="n">
        <f aca="false">a26_nai</f>
        <v>465.2006985</v>
      </c>
      <c r="E291" s="17" t="n">
        <f aca="false">D291*(1+g_nai27)</f>
        <v>493.11274041</v>
      </c>
      <c r="F291" s="17" t="n">
        <f aca="false">E291*(1+g_nai28)</f>
        <v>517.7683774305</v>
      </c>
      <c r="G291" s="17" t="n">
        <f aca="false">F291*(1+g_nai29)</f>
        <v>538.47911252772</v>
      </c>
    </row>
    <row r="292" customFormat="false" ht="15" hidden="false" customHeight="false" outlineLevel="0" collapsed="false">
      <c r="A292" s="4" t="s">
        <v>268</v>
      </c>
      <c r="B292" s="0" t="s">
        <v>153</v>
      </c>
      <c r="C292" s="17" t="n">
        <f aca="false">C286+C290+C291</f>
        <v>554.885</v>
      </c>
      <c r="D292" s="17" t="n">
        <f aca="false">D286+D290+D291</f>
        <v>756.4239</v>
      </c>
      <c r="E292" s="17" t="n">
        <f aca="false">E286+E290+E291</f>
        <v>995.907896623842</v>
      </c>
      <c r="F292" s="17" t="n">
        <f aca="false">F286+F290+F291</f>
        <v>1196.78330230192</v>
      </c>
      <c r="G292" s="17" t="n">
        <f aca="false">G286+G290+G291</f>
        <v>1321.70479757337</v>
      </c>
    </row>
    <row r="293" customFormat="false" ht="15" hidden="false" customHeight="false" outlineLevel="0" collapsed="false">
      <c r="A293" s="4" t="s">
        <v>375</v>
      </c>
      <c r="B293" s="0" t="s">
        <v>46</v>
      </c>
      <c r="D293" s="12" t="n">
        <f aca="false">D292/C292-1</f>
        <v>0.363208412553953</v>
      </c>
      <c r="E293" s="12" t="n">
        <f aca="false">E292/D292-1</f>
        <v>0.316600251028347</v>
      </c>
      <c r="F293" s="12" t="n">
        <f aca="false">F292/E292-1</f>
        <v>0.201700786146041</v>
      </c>
      <c r="G293" s="12" t="n">
        <f aca="false">G292/F292-1</f>
        <v>0.104381047956782</v>
      </c>
    </row>
    <row r="294" customFormat="false" ht="17.15" hidden="false" customHeight="false" outlineLevel="0" collapsed="false">
      <c r="A294" s="0" t="s">
        <v>376</v>
      </c>
      <c r="B294" s="0" t="s">
        <v>46</v>
      </c>
      <c r="C294" s="12" t="n">
        <f aca="false">C286/C292</f>
        <v>0.18</v>
      </c>
      <c r="D294" s="12" t="n">
        <f aca="false">D286/D292</f>
        <v>0.26</v>
      </c>
      <c r="E294" s="12" t="n">
        <f aca="false">E286/E292</f>
        <v>0.356160490414451</v>
      </c>
      <c r="F294" s="12" t="n">
        <f aca="false">F286/F292</f>
        <v>0.403379601965338</v>
      </c>
      <c r="G294" s="12" t="n">
        <f aca="false">G286/G292</f>
        <v>0.416082058845341</v>
      </c>
    </row>
    <row r="295" customFormat="false" ht="17.15" hidden="false" customHeight="false" outlineLevel="0" collapsed="false">
      <c r="A295" s="0" t="s">
        <v>377</v>
      </c>
      <c r="B295" s="0" t="s">
        <v>46</v>
      </c>
      <c r="C295" s="12" t="n">
        <f aca="false">(C286+C290)/C292</f>
        <v>0.28</v>
      </c>
      <c r="D295" s="12" t="n">
        <f aca="false">(D286+D290)/D292</f>
        <v>0.385</v>
      </c>
      <c r="E295" s="12" t="n">
        <f aca="false">(E286+E290)/E292</f>
        <v>0.504861100025748</v>
      </c>
      <c r="F295" s="12" t="n">
        <f aca="false">(F286+F290)/F292</f>
        <v>0.567366643205489</v>
      </c>
      <c r="G295" s="12" t="n">
        <f aca="false">(G286+G290)/G292</f>
        <v>0.592587457111181</v>
      </c>
    </row>
    <row r="296" customFormat="false" ht="17.15" hidden="false" customHeight="false" outlineLevel="0" collapsed="false">
      <c r="A296" s="4" t="s">
        <v>335</v>
      </c>
      <c r="B296" s="0" t="s">
        <v>336</v>
      </c>
      <c r="D296" s="16" t="n">
        <f aca="false">(D286+D290)/fx/D279*1000</f>
        <v>388.927551924965</v>
      </c>
      <c r="E296" s="16" t="n">
        <f aca="false">(E286+E290)/fx/E279*1000</f>
        <v>471.595702572219</v>
      </c>
      <c r="F296" s="16" t="n">
        <f aca="false">(F286+F290)/fx/F279*1000</f>
        <v>502.423682986704</v>
      </c>
      <c r="G296" s="16" t="n">
        <f aca="false">(G286+G290)/fx/G279*1000</f>
        <v>508.737441946525</v>
      </c>
    </row>
    <row r="297" customFormat="false" ht="17.15" hidden="false" customHeight="false" outlineLevel="0" collapsed="false">
      <c r="A297" s="6" t="s">
        <v>378</v>
      </c>
    </row>
    <row r="298" customFormat="false" ht="17.15" hidden="false" customHeight="false" outlineLevel="0" collapsed="false">
      <c r="A298" s="4" t="s">
        <v>379</v>
      </c>
      <c r="B298" s="0" t="s">
        <v>46</v>
      </c>
      <c r="D298" s="12" t="n">
        <f aca="false">a26_gp/D292-d_ai*D294</f>
        <v>0.340474417690927</v>
      </c>
      <c r="H298" s="8" t="s">
        <v>380</v>
      </c>
    </row>
    <row r="299" customFormat="false" ht="15" hidden="false" customHeight="false" outlineLevel="0" collapsed="false">
      <c r="A299" s="4" t="s">
        <v>272</v>
      </c>
      <c r="B299" s="0" t="s">
        <v>153</v>
      </c>
      <c r="C299" s="17" t="n">
        <f aca="false">a25_gp</f>
        <v>190.2</v>
      </c>
      <c r="D299" s="17" t="n">
        <f aca="false">a26_gp</f>
        <v>273.276604</v>
      </c>
      <c r="E299" s="17" t="n">
        <f aca="false">$D$298*E292+d_ai*E286</f>
        <v>367.457404766332</v>
      </c>
      <c r="F299" s="17" t="n">
        <f aca="false">$D$298*F292+d_ai*F286</f>
        <v>446.094735723176</v>
      </c>
      <c r="G299" s="17" t="n">
        <f aca="false">$D$298*G292+d_ai*G286</f>
        <v>494.001683581907</v>
      </c>
    </row>
    <row r="300" customFormat="false" ht="15" hidden="false" customHeight="false" outlineLevel="0" collapsed="false">
      <c r="A300" s="4" t="s">
        <v>274</v>
      </c>
      <c r="B300" s="0" t="s">
        <v>46</v>
      </c>
      <c r="C300" s="12" t="n">
        <f aca="false">C299/C292</f>
        <v>0.342773727889563</v>
      </c>
      <c r="D300" s="12" t="n">
        <f aca="false">D299/D292</f>
        <v>0.361274417690927</v>
      </c>
      <c r="E300" s="12" t="n">
        <f aca="false">E299/E292</f>
        <v>0.368967256924083</v>
      </c>
      <c r="F300" s="12" t="n">
        <f aca="false">F299/F292</f>
        <v>0.372744785848154</v>
      </c>
      <c r="G300" s="12" t="n">
        <f aca="false">G299/G292</f>
        <v>0.373760982398554</v>
      </c>
    </row>
    <row r="301" customFormat="false" ht="15" hidden="false" customHeight="false" outlineLevel="0" collapsed="false">
      <c r="A301" s="4" t="s">
        <v>381</v>
      </c>
      <c r="B301" s="0" t="s">
        <v>153</v>
      </c>
      <c r="C301" s="17" t="n">
        <f aca="false">a25_opx</f>
        <v>106.3</v>
      </c>
      <c r="D301" s="17" t="n">
        <f aca="false">a26_opx</f>
        <v>141.924088166667</v>
      </c>
      <c r="E301" s="17" t="n">
        <f aca="false">D301*(1+MAX(0,phi*E293))</f>
        <v>177.870649719095</v>
      </c>
      <c r="F301" s="17" t="n">
        <f aca="false">E301*(1+MAX(0,phi*F293))</f>
        <v>206.571969623614</v>
      </c>
      <c r="G301" s="17" t="n">
        <f aca="false">F301*(1+MAX(0,phi*G293))</f>
        <v>223.821728557862</v>
      </c>
    </row>
    <row r="302" customFormat="false" ht="15" hidden="false" customHeight="false" outlineLevel="0" collapsed="false">
      <c r="A302" s="4" t="s">
        <v>276</v>
      </c>
      <c r="B302" s="0" t="s">
        <v>153</v>
      </c>
      <c r="C302" s="17" t="n">
        <f aca="false">C301</f>
        <v>106.3</v>
      </c>
      <c r="D302" s="17" t="n">
        <f aca="false">D301</f>
        <v>141.924088166667</v>
      </c>
      <c r="E302" s="17" t="n">
        <f aca="false">E301+0*E292</f>
        <v>177.870649719095</v>
      </c>
      <c r="F302" s="17" t="n">
        <f aca="false">F301+0*F292</f>
        <v>206.571969623614</v>
      </c>
      <c r="G302" s="17" t="n">
        <f aca="false">G301+0*G292</f>
        <v>223.821728557862</v>
      </c>
    </row>
    <row r="303" customFormat="false" ht="15" hidden="false" customHeight="false" outlineLevel="0" collapsed="false">
      <c r="A303" s="4" t="s">
        <v>278</v>
      </c>
      <c r="B303" s="0" t="s">
        <v>153</v>
      </c>
      <c r="C303" s="17" t="n">
        <f aca="false">C299-C302</f>
        <v>83.9</v>
      </c>
      <c r="D303" s="17" t="n">
        <f aca="false">D299-D302</f>
        <v>131.352515833333</v>
      </c>
      <c r="E303" s="17" t="n">
        <f aca="false">E299-E302</f>
        <v>189.586755047237</v>
      </c>
      <c r="F303" s="17" t="n">
        <f aca="false">F299-F302</f>
        <v>239.522766099562</v>
      </c>
      <c r="G303" s="17" t="n">
        <f aca="false">G299-G302</f>
        <v>270.179955024045</v>
      </c>
    </row>
    <row r="304" customFormat="false" ht="15" hidden="false" customHeight="false" outlineLevel="0" collapsed="false">
      <c r="A304" s="4" t="s">
        <v>280</v>
      </c>
      <c r="B304" s="0" t="s">
        <v>46</v>
      </c>
      <c r="C304" s="12" t="n">
        <f aca="false">C303/C292</f>
        <v>0.151202501419213</v>
      </c>
      <c r="D304" s="12" t="n">
        <f aca="false">D303/D292</f>
        <v>0.173649346396027</v>
      </c>
      <c r="E304" s="12" t="n">
        <f aca="false">E303/E292</f>
        <v>0.190365751381169</v>
      </c>
      <c r="F304" s="12" t="n">
        <f aca="false">F303/F292</f>
        <v>0.200138793413025</v>
      </c>
      <c r="G304" s="12" t="n">
        <f aca="false">G303/G292</f>
        <v>0.204417775830193</v>
      </c>
    </row>
    <row r="305" customFormat="false" ht="15" hidden="false" customHeight="false" outlineLevel="0" collapsed="false">
      <c r="A305" s="4" t="s">
        <v>282</v>
      </c>
      <c r="B305" s="0" t="s">
        <v>153</v>
      </c>
      <c r="C305" s="17" t="n">
        <f aca="false">a25_nop</f>
        <v>3.934</v>
      </c>
      <c r="D305" s="17" t="n">
        <f aca="false">a26_nop</f>
        <v>11.1666666666667</v>
      </c>
      <c r="E305" s="17" t="n">
        <f aca="false">nop_f</f>
        <v>8</v>
      </c>
      <c r="F305" s="17" t="n">
        <f aca="false">nop_f</f>
        <v>8</v>
      </c>
      <c r="G305" s="17" t="n">
        <f aca="false">nop_f</f>
        <v>8</v>
      </c>
    </row>
    <row r="306" customFormat="false" ht="17.15" hidden="false" customHeight="false" outlineLevel="0" collapsed="false">
      <c r="A306" s="4" t="s">
        <v>195</v>
      </c>
      <c r="B306" s="0" t="s">
        <v>46</v>
      </c>
      <c r="C306" s="12" t="n">
        <f aca="false">a25_ni/(a25_oi+a25_nop)</f>
        <v>0.684336361773345</v>
      </c>
      <c r="D306" s="12" t="n">
        <f aca="false">a26_ni/(a26_oi+a26_nop)</f>
        <v>0.690638510538748</v>
      </c>
      <c r="E306" s="12" t="n">
        <f aca="false">nir_f</f>
        <v>0.69</v>
      </c>
      <c r="F306" s="12" t="n">
        <f aca="false">nir_f</f>
        <v>0.69</v>
      </c>
      <c r="G306" s="12" t="n">
        <f aca="false">nir_f</f>
        <v>0.69</v>
      </c>
    </row>
    <row r="307" customFormat="false" ht="15" hidden="false" customHeight="false" outlineLevel="0" collapsed="false">
      <c r="A307" s="4" t="s">
        <v>285</v>
      </c>
      <c r="B307" s="0" t="s">
        <v>153</v>
      </c>
      <c r="C307" s="17" t="n">
        <f aca="false">a25_ni</f>
        <v>60.108</v>
      </c>
      <c r="D307" s="17" t="n">
        <f aca="false">a26_ni</f>
        <v>98.429235925</v>
      </c>
      <c r="E307" s="17" t="n">
        <f aca="false">(E303+E305)*E306</f>
        <v>136.334860982593</v>
      </c>
      <c r="F307" s="17" t="n">
        <f aca="false">(F303+F305)*F306</f>
        <v>170.790708608698</v>
      </c>
      <c r="G307" s="17" t="n">
        <f aca="false">(G303+G305)*G306</f>
        <v>191.944168966591</v>
      </c>
    </row>
    <row r="308" customFormat="false" ht="15" hidden="false" customHeight="false" outlineLevel="0" collapsed="false">
      <c r="A308" s="4" t="s">
        <v>382</v>
      </c>
      <c r="B308" s="4" t="s">
        <v>179</v>
      </c>
      <c r="C308" s="20" t="n">
        <f aca="false">a25_sh</f>
        <v>2.59757994814175</v>
      </c>
      <c r="D308" s="20" t="n">
        <f aca="false">a26_sh</f>
        <v>2.59806708357021</v>
      </c>
      <c r="E308" s="20" t="n">
        <f aca="false">D308*(1+sh_g)</f>
        <v>2.59806708357021</v>
      </c>
      <c r="F308" s="20" t="n">
        <f aca="false">E308*(1+sh_g)</f>
        <v>2.59806708357021</v>
      </c>
      <c r="G308" s="20" t="n">
        <f aca="false">F308*(1+sh_g)</f>
        <v>2.59806708357021</v>
      </c>
    </row>
    <row r="309" customFormat="false" ht="15" hidden="false" customHeight="false" outlineLevel="0" collapsed="false">
      <c r="A309" s="0" t="s">
        <v>290</v>
      </c>
      <c r="B309" s="0" t="s">
        <v>210</v>
      </c>
      <c r="C309" s="18" t="n">
        <f aca="false">C307/C308</f>
        <v>23.14</v>
      </c>
      <c r="D309" s="18" t="n">
        <f aca="false">D307/D308</f>
        <v>37.8855636744147</v>
      </c>
      <c r="E309" s="18" t="n">
        <f aca="false">E307/E308</f>
        <v>52.4754968202148</v>
      </c>
      <c r="F309" s="18" t="n">
        <f aca="false">F307/F308</f>
        <v>65.7376053485118</v>
      </c>
      <c r="G309" s="18" t="n">
        <f aca="false">G307/G308</f>
        <v>73.8796046416265</v>
      </c>
    </row>
    <row r="310" customFormat="false" ht="17.15" hidden="false" customHeight="false" outlineLevel="0" collapsed="false">
      <c r="A310" s="0" t="s">
        <v>383</v>
      </c>
      <c r="B310" s="0" t="s">
        <v>46</v>
      </c>
      <c r="D310" s="12" t="n">
        <f aca="false">D309/C309-1</f>
        <v>0.637232656629847</v>
      </c>
      <c r="E310" s="12" t="n">
        <f aca="false">E309/D309-1</f>
        <v>0.385105347017793</v>
      </c>
      <c r="F310" s="12" t="n">
        <f aca="false">F309/E309-1</f>
        <v>0.2527295467775</v>
      </c>
      <c r="G310" s="12" t="n">
        <f aca="false">G309/F309-1</f>
        <v>0.123856037194379</v>
      </c>
    </row>
    <row r="313" customFormat="false" ht="17.15" hidden="false" customHeight="false" outlineLevel="0" collapsed="false">
      <c r="A313" s="1" t="s">
        <v>584</v>
      </c>
    </row>
    <row r="314" customFormat="false" ht="17.15" hidden="false" customHeight="false" outlineLevel="0" collapsed="false">
      <c r="A314" s="5" t="s">
        <v>15</v>
      </c>
      <c r="B314" s="5" t="s">
        <v>16</v>
      </c>
      <c r="C314" s="9" t="s">
        <v>262</v>
      </c>
      <c r="D314" s="9" t="s">
        <v>341</v>
      </c>
      <c r="E314" s="9" t="s">
        <v>342</v>
      </c>
      <c r="F314" s="9" t="s">
        <v>343</v>
      </c>
      <c r="G314" s="9" t="s">
        <v>344</v>
      </c>
      <c r="H314" s="5" t="s">
        <v>317</v>
      </c>
    </row>
    <row r="315" customFormat="false" ht="17.15" hidden="false" customHeight="false" outlineLevel="0" collapsed="false">
      <c r="A315" s="6" t="s">
        <v>359</v>
      </c>
    </row>
    <row r="316" customFormat="false" ht="17.15" hidden="false" customHeight="false" outlineLevel="0" collapsed="false">
      <c r="A316" s="0" t="s">
        <v>360</v>
      </c>
      <c r="B316" s="0" t="s">
        <v>26</v>
      </c>
      <c r="D316" s="18" t="n">
        <f aca="false">itc_26*1</f>
        <v>781.872916666667</v>
      </c>
      <c r="E316" s="18" t="n">
        <f aca="false">itc_27*1*mf_hi</f>
        <v>1878.42</v>
      </c>
      <c r="F316" s="18" t="n">
        <f aca="false">itc_28*um28_A*mf_hi</f>
        <v>2381.11666666667</v>
      </c>
      <c r="G316" s="18" t="n">
        <f aca="false">itc_29*um29_A*mf_hi</f>
        <v>2712.46833333334</v>
      </c>
    </row>
    <row r="317" customFormat="false" ht="17.15" hidden="false" customHeight="false" outlineLevel="0" collapsed="false">
      <c r="A317" s="4" t="s">
        <v>361</v>
      </c>
      <c r="B317" s="0" t="s">
        <v>26</v>
      </c>
      <c r="D317" s="18" t="n">
        <f aca="false">itpg_gb*(1-vr26)+itpg_vr*vr26</f>
        <v>33.41403216</v>
      </c>
      <c r="E317" s="18" t="n">
        <f aca="false">itpg_vr</f>
        <v>37.586352</v>
      </c>
      <c r="F317" s="18" t="n">
        <f aca="false">itpg_vr</f>
        <v>37.586352</v>
      </c>
      <c r="G317" s="18" t="n">
        <f aca="false">itpg_vr</f>
        <v>37.586352</v>
      </c>
    </row>
    <row r="318" customFormat="false" ht="17.15" hidden="false" customHeight="false" outlineLevel="0" collapsed="false">
      <c r="A318" s="4" t="s">
        <v>362</v>
      </c>
      <c r="B318" s="0" t="s">
        <v>319</v>
      </c>
      <c r="D318" s="15" t="n">
        <f aca="false">D316/D317</f>
        <v>23.3995380420639</v>
      </c>
      <c r="E318" s="15" t="n">
        <f aca="false">E316/E317</f>
        <v>49.9761189912764</v>
      </c>
      <c r="F318" s="15" t="n">
        <f aca="false">F316/F317</f>
        <v>63.3505658294976</v>
      </c>
      <c r="G318" s="15" t="n">
        <f aca="false">G316/G317</f>
        <v>72.1663100833339</v>
      </c>
    </row>
    <row r="319" customFormat="false" ht="17.15" hidden="false" customHeight="false" outlineLevel="0" collapsed="false">
      <c r="A319" s="0" t="s">
        <v>321</v>
      </c>
      <c r="B319" s="0" t="s">
        <v>89</v>
      </c>
      <c r="D319" s="16" t="n">
        <f aca="false">pkw_26</f>
        <v>450</v>
      </c>
      <c r="E319" s="16" t="n">
        <f aca="false">pkw_27</f>
        <v>600</v>
      </c>
      <c r="F319" s="16" t="n">
        <f aca="false">pkw_28</f>
        <v>680</v>
      </c>
      <c r="G319" s="16" t="n">
        <f aca="false">pkw_29</f>
        <v>720</v>
      </c>
    </row>
    <row r="320" customFormat="false" ht="17.15" hidden="false" customHeight="false" outlineLevel="0" collapsed="false">
      <c r="A320" s="0" t="s">
        <v>363</v>
      </c>
      <c r="B320" s="0" t="s">
        <v>26</v>
      </c>
      <c r="D320" s="18" t="n">
        <f aca="false">D318*D319/1000</f>
        <v>10.5297921189288</v>
      </c>
      <c r="E320" s="18" t="n">
        <f aca="false">E318*E319/1000</f>
        <v>29.9856713947658</v>
      </c>
      <c r="F320" s="18" t="n">
        <f aca="false">F318*F319/1000</f>
        <v>43.0783847640584</v>
      </c>
      <c r="G320" s="18" t="n">
        <f aca="false">G318*G319/1000</f>
        <v>51.9597432600004</v>
      </c>
    </row>
    <row r="321" customFormat="false" ht="17.15" hidden="false" customHeight="false" outlineLevel="0" collapsed="false">
      <c r="A321" s="0" t="s">
        <v>364</v>
      </c>
      <c r="B321" s="0" t="s">
        <v>153</v>
      </c>
      <c r="D321" s="17" t="n">
        <f aca="false">D320*fx</f>
        <v>336.95334780572</v>
      </c>
      <c r="E321" s="17" t="n">
        <f aca="false">E320*fx</f>
        <v>959.541484632507</v>
      </c>
      <c r="F321" s="17" t="n">
        <f aca="false">F320*fx</f>
        <v>1378.50831244987</v>
      </c>
      <c r="G321" s="17" t="n">
        <f aca="false">G320*fx</f>
        <v>1662.71178432001</v>
      </c>
    </row>
    <row r="322" customFormat="false" ht="17.15" hidden="false" customHeight="false" outlineLevel="0" collapsed="false">
      <c r="A322" s="4" t="s">
        <v>365</v>
      </c>
      <c r="B322" s="0" t="s">
        <v>46</v>
      </c>
      <c r="D322" s="12" t="n">
        <f aca="false">a26_aip/D321</f>
        <v>0.583671939396772</v>
      </c>
      <c r="H322" s="8" t="s">
        <v>366</v>
      </c>
    </row>
    <row r="323" customFormat="false" ht="17.15" hidden="false" customHeight="false" outlineLevel="0" collapsed="false">
      <c r="A323" s="4" t="s">
        <v>367</v>
      </c>
      <c r="B323" s="0" t="s">
        <v>62</v>
      </c>
      <c r="D323" s="13" t="n">
        <f aca="false">1</f>
        <v>1</v>
      </c>
      <c r="E323" s="13" t="n">
        <f aca="false">rel_27</f>
        <v>0.95</v>
      </c>
      <c r="F323" s="13" t="n">
        <f aca="false">rel_28</f>
        <v>0.9</v>
      </c>
      <c r="G323" s="13" t="n">
        <f aca="false">rel_29</f>
        <v>0.85</v>
      </c>
    </row>
    <row r="324" customFormat="false" ht="15" hidden="false" customHeight="false" outlineLevel="0" collapsed="false">
      <c r="A324" s="4" t="s">
        <v>328</v>
      </c>
      <c r="B324" s="0" t="s">
        <v>46</v>
      </c>
      <c r="D324" s="12" t="n">
        <f aca="false">$D$322*D323</f>
        <v>0.583671939396772</v>
      </c>
      <c r="E324" s="12" t="n">
        <f aca="false">$D$322*E323</f>
        <v>0.554488342426934</v>
      </c>
      <c r="F324" s="12" t="n">
        <f aca="false">$D$322*F323</f>
        <v>0.525304745457095</v>
      </c>
      <c r="G324" s="12" t="n">
        <f aca="false">$D$322*G323</f>
        <v>0.496121148487257</v>
      </c>
    </row>
    <row r="325" customFormat="false" ht="17.15" hidden="false" customHeight="false" outlineLevel="0" collapsed="false">
      <c r="A325" s="0" t="s">
        <v>368</v>
      </c>
      <c r="B325" s="0" t="s">
        <v>153</v>
      </c>
      <c r="C325" s="17" t="n">
        <f aca="false">a25_aip</f>
        <v>99.8793</v>
      </c>
      <c r="D325" s="17" t="n">
        <f aca="false">D321*D324</f>
        <v>196.670214</v>
      </c>
      <c r="E325" s="17" t="n">
        <f aca="false">E321*E324</f>
        <v>532.054567303758</v>
      </c>
      <c r="F325" s="17" t="n">
        <f aca="false">F321*F324</f>
        <v>724.136958181968</v>
      </c>
      <c r="G325" s="17" t="n">
        <f aca="false">G321*G324</f>
        <v>824.90648004014</v>
      </c>
    </row>
    <row r="326" customFormat="false" ht="17.15" hidden="false" customHeight="false" outlineLevel="0" collapsed="false">
      <c r="A326" s="6" t="s">
        <v>369</v>
      </c>
    </row>
    <row r="327" customFormat="false" ht="17.15" hidden="false" customHeight="false" outlineLevel="0" collapsed="false">
      <c r="A327" s="4" t="s">
        <v>370</v>
      </c>
      <c r="B327" s="0" t="s">
        <v>371</v>
      </c>
      <c r="D327" s="20" t="n">
        <f aca="false">a26_lc/D318</f>
        <v>4.04080573428535</v>
      </c>
    </row>
    <row r="328" customFormat="false" ht="17.15" hidden="false" customHeight="false" outlineLevel="0" collapsed="false">
      <c r="A328" s="4" t="s">
        <v>372</v>
      </c>
      <c r="B328" s="0" t="s">
        <v>62</v>
      </c>
      <c r="D328" s="13" t="n">
        <f aca="false">1</f>
        <v>1</v>
      </c>
      <c r="E328" s="13" t="n">
        <f aca="false">lcr_27</f>
        <v>1.1</v>
      </c>
      <c r="F328" s="13" t="n">
        <f aca="false">lcr_28</f>
        <v>1.15</v>
      </c>
      <c r="G328" s="13" t="n">
        <f aca="false">lcr_29</f>
        <v>1.2</v>
      </c>
    </row>
    <row r="329" customFormat="false" ht="15" hidden="false" customHeight="false" outlineLevel="0" collapsed="false">
      <c r="A329" s="4" t="s">
        <v>373</v>
      </c>
      <c r="B329" s="0" t="s">
        <v>153</v>
      </c>
      <c r="C329" s="17" t="n">
        <f aca="false">a25_lc</f>
        <v>55.4885</v>
      </c>
      <c r="D329" s="17" t="n">
        <f aca="false">D318*$D$327*D328</f>
        <v>94.5529875</v>
      </c>
      <c r="E329" s="17" t="n">
        <f aca="false">E318*$D$327*E328</f>
        <v>222.138167017004</v>
      </c>
      <c r="F329" s="17" t="n">
        <f aca="false">F318*$D$327*F328</f>
        <v>294.385429125163</v>
      </c>
      <c r="G329" s="17" t="n">
        <f aca="false">G318*$D$327*G328</f>
        <v>349.93204752834</v>
      </c>
    </row>
    <row r="330" customFormat="false" ht="17.15" hidden="false" customHeight="false" outlineLevel="0" collapsed="false">
      <c r="A330" s="4" t="s">
        <v>374</v>
      </c>
      <c r="B330" s="0" t="s">
        <v>153</v>
      </c>
      <c r="C330" s="17" t="n">
        <f aca="false">a25_nai</f>
        <v>399.5172</v>
      </c>
      <c r="D330" s="17" t="n">
        <f aca="false">a26_nai</f>
        <v>465.2006985</v>
      </c>
      <c r="E330" s="17" t="n">
        <f aca="false">D330*(1+g_nai27)</f>
        <v>493.11274041</v>
      </c>
      <c r="F330" s="17" t="n">
        <f aca="false">E330*(1+g_nai28)</f>
        <v>517.7683774305</v>
      </c>
      <c r="G330" s="17" t="n">
        <f aca="false">F330*(1+g_nai29)</f>
        <v>538.47911252772</v>
      </c>
    </row>
    <row r="331" customFormat="false" ht="15" hidden="false" customHeight="false" outlineLevel="0" collapsed="false">
      <c r="A331" s="4" t="s">
        <v>268</v>
      </c>
      <c r="B331" s="0" t="s">
        <v>153</v>
      </c>
      <c r="C331" s="17" t="n">
        <f aca="false">C325+C329+C330</f>
        <v>554.885</v>
      </c>
      <c r="D331" s="17" t="n">
        <f aca="false">D325+D329+D330</f>
        <v>756.4239</v>
      </c>
      <c r="E331" s="17" t="n">
        <f aca="false">E325+E329+E330</f>
        <v>1247.30547473076</v>
      </c>
      <c r="F331" s="17" t="n">
        <f aca="false">F325+F329+F330</f>
        <v>1536.29076473763</v>
      </c>
      <c r="G331" s="17" t="n">
        <f aca="false">G325+G329+G330</f>
        <v>1713.3176400962</v>
      </c>
    </row>
    <row r="332" customFormat="false" ht="15" hidden="false" customHeight="false" outlineLevel="0" collapsed="false">
      <c r="A332" s="4" t="s">
        <v>375</v>
      </c>
      <c r="B332" s="0" t="s">
        <v>46</v>
      </c>
      <c r="D332" s="12" t="n">
        <f aca="false">D331/C331-1</f>
        <v>0.363208412553953</v>
      </c>
      <c r="E332" s="12" t="n">
        <f aca="false">E331/D331-1</f>
        <v>0.648950376542521</v>
      </c>
      <c r="F332" s="12" t="n">
        <f aca="false">F331/E331-1</f>
        <v>0.231687662614684</v>
      </c>
      <c r="G332" s="12" t="n">
        <f aca="false">G331/F331-1</f>
        <v>0.115230058932758</v>
      </c>
    </row>
    <row r="333" customFormat="false" ht="17.15" hidden="false" customHeight="false" outlineLevel="0" collapsed="false">
      <c r="A333" s="0" t="s">
        <v>376</v>
      </c>
      <c r="B333" s="0" t="s">
        <v>46</v>
      </c>
      <c r="C333" s="12" t="n">
        <f aca="false">C325/C331</f>
        <v>0.18</v>
      </c>
      <c r="D333" s="12" t="n">
        <f aca="false">D325/D331</f>
        <v>0.26</v>
      </c>
      <c r="E333" s="12" t="n">
        <f aca="false">E325/E331</f>
        <v>0.426563162018194</v>
      </c>
      <c r="F333" s="12" t="n">
        <f aca="false">F325/F331</f>
        <v>0.471354104836812</v>
      </c>
      <c r="G333" s="12" t="n">
        <f aca="false">G325/G331</f>
        <v>0.481467336082422</v>
      </c>
    </row>
    <row r="334" customFormat="false" ht="17.15" hidden="false" customHeight="false" outlineLevel="0" collapsed="false">
      <c r="A334" s="0" t="s">
        <v>377</v>
      </c>
      <c r="B334" s="0" t="s">
        <v>46</v>
      </c>
      <c r="C334" s="12" t="n">
        <f aca="false">(C325+C329)/C331</f>
        <v>0.28</v>
      </c>
      <c r="D334" s="12" t="n">
        <f aca="false">(D325+D329)/D331</f>
        <v>0.385</v>
      </c>
      <c r="E334" s="12" t="n">
        <f aca="false">(E325+E329)/E331</f>
        <v>0.604657599601701</v>
      </c>
      <c r="F334" s="12" t="n">
        <f aca="false">(F325+F329)/F331</f>
        <v>0.662975011427004</v>
      </c>
      <c r="G334" s="12" t="n">
        <f aca="false">(G325+G329)/G331</f>
        <v>0.685709701502002</v>
      </c>
    </row>
    <row r="335" customFormat="false" ht="17.15" hidden="false" customHeight="false" outlineLevel="0" collapsed="false">
      <c r="A335" s="4" t="s">
        <v>335</v>
      </c>
      <c r="B335" s="0" t="s">
        <v>336</v>
      </c>
      <c r="D335" s="16" t="n">
        <f aca="false">(D325+D329)/fx/D318*1000</f>
        <v>388.927551924965</v>
      </c>
      <c r="E335" s="16" t="n">
        <f aca="false">(E325+E329)/fx/E318*1000</f>
        <v>471.595702572219</v>
      </c>
      <c r="F335" s="16" t="n">
        <f aca="false">(F325+F329)/fx/F318*1000</f>
        <v>502.423682986704</v>
      </c>
      <c r="G335" s="16" t="n">
        <f aca="false">(G325+G329)/fx/G318*1000</f>
        <v>508.737441946525</v>
      </c>
    </row>
    <row r="336" customFormat="false" ht="17.15" hidden="false" customHeight="false" outlineLevel="0" collapsed="false">
      <c r="A336" s="6" t="s">
        <v>378</v>
      </c>
    </row>
    <row r="337" customFormat="false" ht="17.15" hidden="false" customHeight="false" outlineLevel="0" collapsed="false">
      <c r="A337" s="4" t="s">
        <v>379</v>
      </c>
      <c r="B337" s="0" t="s">
        <v>46</v>
      </c>
      <c r="D337" s="12" t="n">
        <f aca="false">a26_gp/D331-d_ai*D333</f>
        <v>0.340474417690927</v>
      </c>
      <c r="H337" s="8" t="s">
        <v>380</v>
      </c>
    </row>
    <row r="338" customFormat="false" ht="15" hidden="false" customHeight="false" outlineLevel="0" collapsed="false">
      <c r="A338" s="4" t="s">
        <v>272</v>
      </c>
      <c r="B338" s="0" t="s">
        <v>153</v>
      </c>
      <c r="C338" s="17" t="n">
        <f aca="false">a25_gp</f>
        <v>190.2</v>
      </c>
      <c r="D338" s="17" t="n">
        <f aca="false">a26_gp</f>
        <v>273.276604</v>
      </c>
      <c r="E338" s="17" t="n">
        <f aca="false">$D$337*E331+d_ai*E325</f>
        <v>467.239970575962</v>
      </c>
      <c r="F338" s="17" t="n">
        <f aca="false">$D$337*F331+d_ai*F325</f>
        <v>580.998660182551</v>
      </c>
      <c r="G338" s="17" t="n">
        <f aca="false">$D$337*G331+d_ai*G325</f>
        <v>649.333344234558</v>
      </c>
    </row>
    <row r="339" customFormat="false" ht="15" hidden="false" customHeight="false" outlineLevel="0" collapsed="false">
      <c r="A339" s="4" t="s">
        <v>274</v>
      </c>
      <c r="B339" s="0" t="s">
        <v>46</v>
      </c>
      <c r="C339" s="12" t="n">
        <f aca="false">C338/C331</f>
        <v>0.342773727889563</v>
      </c>
      <c r="D339" s="12" t="n">
        <f aca="false">D338/D331</f>
        <v>0.361274417690927</v>
      </c>
      <c r="E339" s="12" t="n">
        <f aca="false">E338/E331</f>
        <v>0.374599470652383</v>
      </c>
      <c r="F339" s="12" t="n">
        <f aca="false">F338/F331</f>
        <v>0.378182746077872</v>
      </c>
      <c r="G339" s="12" t="n">
        <f aca="false">G338/G331</f>
        <v>0.378991804577521</v>
      </c>
    </row>
    <row r="340" customFormat="false" ht="15" hidden="false" customHeight="false" outlineLevel="0" collapsed="false">
      <c r="A340" s="4" t="s">
        <v>381</v>
      </c>
      <c r="B340" s="0" t="s">
        <v>153</v>
      </c>
      <c r="C340" s="17" t="n">
        <f aca="false">a25_opx</f>
        <v>106.3</v>
      </c>
      <c r="D340" s="17" t="n">
        <f aca="false">a26_opx</f>
        <v>141.924088166667</v>
      </c>
      <c r="E340" s="17" t="n">
        <f aca="false">D340*(1+MAX(0,phi*E332))</f>
        <v>215.605440531636</v>
      </c>
      <c r="F340" s="17" t="n">
        <f aca="false">E340*(1+MAX(0,phi*F332))</f>
        <v>255.567936982664</v>
      </c>
      <c r="G340" s="17" t="n">
        <f aca="false">F340*(1+MAX(0,phi*G332))</f>
        <v>279.127223734532</v>
      </c>
    </row>
    <row r="341" customFormat="false" ht="15" hidden="false" customHeight="false" outlineLevel="0" collapsed="false">
      <c r="A341" s="4" t="s">
        <v>276</v>
      </c>
      <c r="B341" s="0" t="s">
        <v>153</v>
      </c>
      <c r="C341" s="17" t="n">
        <f aca="false">C340</f>
        <v>106.3</v>
      </c>
      <c r="D341" s="17" t="n">
        <f aca="false">D340</f>
        <v>141.924088166667</v>
      </c>
      <c r="E341" s="17" t="n">
        <f aca="false">E340+0*E331</f>
        <v>215.605440531636</v>
      </c>
      <c r="F341" s="17" t="n">
        <f aca="false">F340+0*F331</f>
        <v>255.567936982664</v>
      </c>
      <c r="G341" s="17" t="n">
        <f aca="false">G340+0*G331</f>
        <v>279.127223734532</v>
      </c>
    </row>
    <row r="342" customFormat="false" ht="15" hidden="false" customHeight="false" outlineLevel="0" collapsed="false">
      <c r="A342" s="4" t="s">
        <v>278</v>
      </c>
      <c r="B342" s="0" t="s">
        <v>153</v>
      </c>
      <c r="C342" s="17" t="n">
        <f aca="false">C338-C341</f>
        <v>83.9</v>
      </c>
      <c r="D342" s="17" t="n">
        <f aca="false">D338-D341</f>
        <v>131.352515833333</v>
      </c>
      <c r="E342" s="17" t="n">
        <f aca="false">E338-E341</f>
        <v>251.634530044326</v>
      </c>
      <c r="F342" s="17" t="n">
        <f aca="false">F338-F341</f>
        <v>325.430723199888</v>
      </c>
      <c r="G342" s="17" t="n">
        <f aca="false">G338-G341</f>
        <v>370.206120500026</v>
      </c>
    </row>
    <row r="343" customFormat="false" ht="15" hidden="false" customHeight="false" outlineLevel="0" collapsed="false">
      <c r="A343" s="4" t="s">
        <v>280</v>
      </c>
      <c r="B343" s="0" t="s">
        <v>46</v>
      </c>
      <c r="C343" s="12" t="n">
        <f aca="false">C342/C331</f>
        <v>0.151202501419213</v>
      </c>
      <c r="D343" s="12" t="n">
        <f aca="false">D342/D331</f>
        <v>0.173649346396027</v>
      </c>
      <c r="E343" s="12" t="n">
        <f aca="false">E342/E331</f>
        <v>0.201742504255938</v>
      </c>
      <c r="F343" s="12" t="n">
        <f aca="false">F342/F331</f>
        <v>0.211828861221765</v>
      </c>
      <c r="G343" s="12" t="n">
        <f aca="false">G342/G331</f>
        <v>0.216075590326169</v>
      </c>
    </row>
    <row r="344" customFormat="false" ht="15" hidden="false" customHeight="false" outlineLevel="0" collapsed="false">
      <c r="A344" s="4" t="s">
        <v>282</v>
      </c>
      <c r="B344" s="0" t="s">
        <v>153</v>
      </c>
      <c r="C344" s="17" t="n">
        <f aca="false">a25_nop</f>
        <v>3.934</v>
      </c>
      <c r="D344" s="17" t="n">
        <f aca="false">a26_nop</f>
        <v>11.1666666666667</v>
      </c>
      <c r="E344" s="17" t="n">
        <f aca="false">nop_f</f>
        <v>8</v>
      </c>
      <c r="F344" s="17" t="n">
        <f aca="false">nop_f</f>
        <v>8</v>
      </c>
      <c r="G344" s="17" t="n">
        <f aca="false">nop_f</f>
        <v>8</v>
      </c>
    </row>
    <row r="345" customFormat="false" ht="17.15" hidden="false" customHeight="false" outlineLevel="0" collapsed="false">
      <c r="A345" s="4" t="s">
        <v>195</v>
      </c>
      <c r="B345" s="0" t="s">
        <v>46</v>
      </c>
      <c r="C345" s="12" t="n">
        <f aca="false">a25_ni/(a25_oi+a25_nop)</f>
        <v>0.684336361773345</v>
      </c>
      <c r="D345" s="12" t="n">
        <f aca="false">a26_ni/(a26_oi+a26_nop)</f>
        <v>0.690638510538748</v>
      </c>
      <c r="E345" s="12" t="n">
        <f aca="false">nir_f</f>
        <v>0.69</v>
      </c>
      <c r="F345" s="12" t="n">
        <f aca="false">nir_f</f>
        <v>0.69</v>
      </c>
      <c r="G345" s="12" t="n">
        <f aca="false">nir_f</f>
        <v>0.69</v>
      </c>
    </row>
    <row r="346" customFormat="false" ht="15" hidden="false" customHeight="false" outlineLevel="0" collapsed="false">
      <c r="A346" s="4" t="s">
        <v>285</v>
      </c>
      <c r="B346" s="0" t="s">
        <v>153</v>
      </c>
      <c r="C346" s="17" t="n">
        <f aca="false">a25_ni</f>
        <v>60.108</v>
      </c>
      <c r="D346" s="17" t="n">
        <f aca="false">a26_ni</f>
        <v>98.429235925</v>
      </c>
      <c r="E346" s="17" t="n">
        <f aca="false">(E342+E344)*E345</f>
        <v>179.147825730585</v>
      </c>
      <c r="F346" s="17" t="n">
        <f aca="false">(F342+F344)*F345</f>
        <v>230.067199007922</v>
      </c>
      <c r="G346" s="17" t="n">
        <f aca="false">(G342+G344)*G345</f>
        <v>260.962223145018</v>
      </c>
    </row>
    <row r="347" customFormat="false" ht="15" hidden="false" customHeight="false" outlineLevel="0" collapsed="false">
      <c r="A347" s="4" t="s">
        <v>382</v>
      </c>
      <c r="B347" s="4" t="s">
        <v>179</v>
      </c>
      <c r="C347" s="20" t="n">
        <f aca="false">a25_sh</f>
        <v>2.59757994814175</v>
      </c>
      <c r="D347" s="20" t="n">
        <f aca="false">a26_sh</f>
        <v>2.59806708357021</v>
      </c>
      <c r="E347" s="20" t="n">
        <f aca="false">D347*(1+sh_g)</f>
        <v>2.59806708357021</v>
      </c>
      <c r="F347" s="20" t="n">
        <f aca="false">E347*(1+sh_g)</f>
        <v>2.59806708357021</v>
      </c>
      <c r="G347" s="20" t="n">
        <f aca="false">F347*(1+sh_g)</f>
        <v>2.59806708357021</v>
      </c>
    </row>
    <row r="348" customFormat="false" ht="15" hidden="false" customHeight="false" outlineLevel="0" collapsed="false">
      <c r="A348" s="0" t="s">
        <v>290</v>
      </c>
      <c r="B348" s="0" t="s">
        <v>210</v>
      </c>
      <c r="C348" s="18" t="n">
        <f aca="false">C346/C347</f>
        <v>23.14</v>
      </c>
      <c r="D348" s="18" t="n">
        <f aca="false">D346/D347</f>
        <v>37.8855636744147</v>
      </c>
      <c r="E348" s="18" t="n">
        <f aca="false">E346/E347</f>
        <v>68.9542725295621</v>
      </c>
      <c r="F348" s="18" t="n">
        <f aca="false">F346/F347</f>
        <v>88.553217298673</v>
      </c>
      <c r="G348" s="18" t="n">
        <f aca="false">G346/G347</f>
        <v>100.444759411835</v>
      </c>
    </row>
    <row r="349" customFormat="false" ht="17.15" hidden="false" customHeight="false" outlineLevel="0" collapsed="false">
      <c r="A349" s="0" t="s">
        <v>383</v>
      </c>
      <c r="B349" s="0" t="s">
        <v>46</v>
      </c>
      <c r="D349" s="12" t="n">
        <f aca="false">D348/C348-1</f>
        <v>0.637232656629847</v>
      </c>
      <c r="E349" s="12" t="n">
        <f aca="false">E348/D348-1</f>
        <v>0.820067219327902</v>
      </c>
      <c r="F349" s="12" t="n">
        <f aca="false">F348/E348-1</f>
        <v>0.284231042546471</v>
      </c>
      <c r="G349" s="12" t="n">
        <f aca="false">G348/F348-1</f>
        <v>0.134286957333851</v>
      </c>
    </row>
    <row r="352" customFormat="false" ht="17.15" hidden="false" customHeight="false" outlineLevel="0" collapsed="false">
      <c r="A352" s="1" t="s">
        <v>585</v>
      </c>
    </row>
    <row r="353" customFormat="false" ht="17.15" hidden="false" customHeight="false" outlineLevel="0" collapsed="false">
      <c r="A353" s="5" t="s">
        <v>15</v>
      </c>
      <c r="B353" s="5" t="s">
        <v>16</v>
      </c>
      <c r="C353" s="9" t="s">
        <v>262</v>
      </c>
      <c r="D353" s="9" t="s">
        <v>341</v>
      </c>
      <c r="E353" s="9" t="s">
        <v>342</v>
      </c>
      <c r="F353" s="9" t="s">
        <v>343</v>
      </c>
      <c r="G353" s="9" t="s">
        <v>344</v>
      </c>
      <c r="H353" s="5" t="s">
        <v>317</v>
      </c>
    </row>
    <row r="354" customFormat="false" ht="17.15" hidden="false" customHeight="false" outlineLevel="0" collapsed="false">
      <c r="A354" s="6" t="s">
        <v>359</v>
      </c>
    </row>
    <row r="355" customFormat="false" ht="17.15" hidden="false" customHeight="false" outlineLevel="0" collapsed="false">
      <c r="A355" s="0" t="s">
        <v>360</v>
      </c>
      <c r="B355" s="0" t="s">
        <v>26</v>
      </c>
      <c r="D355" s="18" t="n">
        <f aca="false">itc_26*1</f>
        <v>781.872916666667</v>
      </c>
      <c r="E355" s="18" t="n">
        <f aca="false">itc_27*1*1</f>
        <v>1565.35</v>
      </c>
      <c r="F355" s="18" t="n">
        <f aca="false">itc_28*um28_A*1</f>
        <v>1984.26388888889</v>
      </c>
      <c r="G355" s="18" t="n">
        <f aca="false">itc_29*um29_A*1</f>
        <v>2260.39027777778</v>
      </c>
    </row>
    <row r="356" customFormat="false" ht="17.15" hidden="false" customHeight="false" outlineLevel="0" collapsed="false">
      <c r="A356" s="4" t="s">
        <v>361</v>
      </c>
      <c r="B356" s="0" t="s">
        <v>26</v>
      </c>
      <c r="D356" s="18" t="n">
        <f aca="false">itpg_gb*(1-vr26)+itpg_vr*vr26</f>
        <v>33.41403216</v>
      </c>
      <c r="E356" s="18" t="n">
        <f aca="false">itpg_vr</f>
        <v>37.586352</v>
      </c>
      <c r="F356" s="18" t="n">
        <f aca="false">itpg_vr</f>
        <v>37.586352</v>
      </c>
      <c r="G356" s="18" t="n">
        <f aca="false">itpg_vr</f>
        <v>37.586352</v>
      </c>
    </row>
    <row r="357" customFormat="false" ht="17.15" hidden="false" customHeight="false" outlineLevel="0" collapsed="false">
      <c r="A357" s="4" t="s">
        <v>362</v>
      </c>
      <c r="B357" s="0" t="s">
        <v>319</v>
      </c>
      <c r="D357" s="15" t="n">
        <f aca="false">D355/D356</f>
        <v>23.3995380420639</v>
      </c>
      <c r="E357" s="15" t="n">
        <f aca="false">E355/E356</f>
        <v>41.6467658260637</v>
      </c>
      <c r="F357" s="15" t="n">
        <f aca="false">F355/F356</f>
        <v>52.792138191248</v>
      </c>
      <c r="G357" s="15" t="n">
        <f aca="false">G355/G356</f>
        <v>60.1385917361116</v>
      </c>
    </row>
    <row r="358" customFormat="false" ht="17.15" hidden="false" customHeight="false" outlineLevel="0" collapsed="false">
      <c r="A358" s="0" t="s">
        <v>321</v>
      </c>
      <c r="B358" s="0" t="s">
        <v>89</v>
      </c>
      <c r="D358" s="16" t="n">
        <f aca="false">pkw_26</f>
        <v>450</v>
      </c>
      <c r="E358" s="16" t="n">
        <f aca="false">pkw_27</f>
        <v>600</v>
      </c>
      <c r="F358" s="16" t="n">
        <f aca="false">pkw_28</f>
        <v>680</v>
      </c>
      <c r="G358" s="16" t="n">
        <f aca="false">pkw_29</f>
        <v>720</v>
      </c>
    </row>
    <row r="359" customFormat="false" ht="17.15" hidden="false" customHeight="false" outlineLevel="0" collapsed="false">
      <c r="A359" s="0" t="s">
        <v>363</v>
      </c>
      <c r="B359" s="0" t="s">
        <v>26</v>
      </c>
      <c r="D359" s="18" t="n">
        <f aca="false">D357*D358/1000</f>
        <v>10.5297921189288</v>
      </c>
      <c r="E359" s="18" t="n">
        <f aca="false">E357*E358/1000</f>
        <v>24.9880594956382</v>
      </c>
      <c r="F359" s="18" t="n">
        <f aca="false">F357*F358/1000</f>
        <v>35.8986539700486</v>
      </c>
      <c r="G359" s="18" t="n">
        <f aca="false">G357*G358/1000</f>
        <v>43.2997860500003</v>
      </c>
    </row>
    <row r="360" customFormat="false" ht="17.15" hidden="false" customHeight="false" outlineLevel="0" collapsed="false">
      <c r="A360" s="0" t="s">
        <v>364</v>
      </c>
      <c r="B360" s="0" t="s">
        <v>153</v>
      </c>
      <c r="D360" s="17" t="n">
        <f aca="false">D359*fx</f>
        <v>336.95334780572</v>
      </c>
      <c r="E360" s="17" t="n">
        <f aca="false">E359*fx</f>
        <v>799.617903860422</v>
      </c>
      <c r="F360" s="17" t="n">
        <f aca="false">F359*fx</f>
        <v>1148.75692704156</v>
      </c>
      <c r="G360" s="17" t="n">
        <f aca="false">G359*fx</f>
        <v>1385.59315360001</v>
      </c>
    </row>
    <row r="361" customFormat="false" ht="17.15" hidden="false" customHeight="false" outlineLevel="0" collapsed="false">
      <c r="A361" s="4" t="s">
        <v>365</v>
      </c>
      <c r="B361" s="0" t="s">
        <v>46</v>
      </c>
      <c r="D361" s="12" t="n">
        <f aca="false">a26_aip/D360</f>
        <v>0.583671939396772</v>
      </c>
      <c r="H361" s="8" t="s">
        <v>366</v>
      </c>
    </row>
    <row r="362" customFormat="false" ht="17.15" hidden="false" customHeight="false" outlineLevel="0" collapsed="false">
      <c r="A362" s="4" t="s">
        <v>367</v>
      </c>
      <c r="B362" s="0" t="s">
        <v>62</v>
      </c>
      <c r="D362" s="13" t="n">
        <f aca="false">1</f>
        <v>1</v>
      </c>
      <c r="E362" s="13" t="n">
        <f aca="false">rel_27</f>
        <v>0.95</v>
      </c>
      <c r="F362" s="13" t="n">
        <f aca="false">rel_28</f>
        <v>0.9</v>
      </c>
      <c r="G362" s="13" t="n">
        <f aca="false">rel_29</f>
        <v>0.85</v>
      </c>
    </row>
    <row r="363" customFormat="false" ht="15" hidden="false" customHeight="false" outlineLevel="0" collapsed="false">
      <c r="A363" s="4" t="s">
        <v>328</v>
      </c>
      <c r="B363" s="0" t="s">
        <v>46</v>
      </c>
      <c r="D363" s="12" t="n">
        <f aca="false">$D$361*D362</f>
        <v>0.583671939396772</v>
      </c>
      <c r="E363" s="12" t="n">
        <f aca="false">$D$361*E362</f>
        <v>0.554488342426934</v>
      </c>
      <c r="F363" s="12" t="n">
        <f aca="false">$D$361*F362</f>
        <v>0.525304745457095</v>
      </c>
      <c r="G363" s="12" t="n">
        <f aca="false">$D$361*G362</f>
        <v>0.496121148487257</v>
      </c>
    </row>
    <row r="364" customFormat="false" ht="17.15" hidden="false" customHeight="false" outlineLevel="0" collapsed="false">
      <c r="A364" s="0" t="s">
        <v>368</v>
      </c>
      <c r="B364" s="0" t="s">
        <v>153</v>
      </c>
      <c r="C364" s="17" t="n">
        <f aca="false">a25_aip</f>
        <v>99.8793</v>
      </c>
      <c r="D364" s="17" t="n">
        <f aca="false">D360*D363</f>
        <v>196.670214</v>
      </c>
      <c r="E364" s="17" t="n">
        <f aca="false">E360*E363</f>
        <v>443.378806086465</v>
      </c>
      <c r="F364" s="17" t="n">
        <f aca="false">F360*F363</f>
        <v>603.44746515164</v>
      </c>
      <c r="G364" s="17" t="n">
        <f aca="false">G360*G363</f>
        <v>687.422066700117</v>
      </c>
    </row>
    <row r="365" customFormat="false" ht="17.15" hidden="false" customHeight="false" outlineLevel="0" collapsed="false">
      <c r="A365" s="6" t="s">
        <v>369</v>
      </c>
    </row>
    <row r="366" customFormat="false" ht="17.15" hidden="false" customHeight="false" outlineLevel="0" collapsed="false">
      <c r="A366" s="4" t="s">
        <v>370</v>
      </c>
      <c r="B366" s="0" t="s">
        <v>371</v>
      </c>
      <c r="D366" s="20" t="n">
        <f aca="false">a26_lc/D357</f>
        <v>4.04080573428535</v>
      </c>
    </row>
    <row r="367" customFormat="false" ht="17.15" hidden="false" customHeight="false" outlineLevel="0" collapsed="false">
      <c r="A367" s="4" t="s">
        <v>372</v>
      </c>
      <c r="B367" s="0" t="s">
        <v>62</v>
      </c>
      <c r="D367" s="13" t="n">
        <f aca="false">1</f>
        <v>1</v>
      </c>
      <c r="E367" s="13" t="n">
        <f aca="false">lcr_27</f>
        <v>1.1</v>
      </c>
      <c r="F367" s="13" t="n">
        <f aca="false">lcr_28</f>
        <v>1.15</v>
      </c>
      <c r="G367" s="13" t="n">
        <f aca="false">lcr_29</f>
        <v>1.2</v>
      </c>
    </row>
    <row r="368" customFormat="false" ht="15" hidden="false" customHeight="false" outlineLevel="0" collapsed="false">
      <c r="A368" s="4" t="s">
        <v>373</v>
      </c>
      <c r="B368" s="0" t="s">
        <v>153</v>
      </c>
      <c r="C368" s="17" t="n">
        <f aca="false">a25_lc</f>
        <v>55.4885</v>
      </c>
      <c r="D368" s="17" t="n">
        <f aca="false">D357*$D$366*D367</f>
        <v>94.5529875</v>
      </c>
      <c r="E368" s="17" t="n">
        <f aca="false">E357*$D$366*E367</f>
        <v>185.115139180837</v>
      </c>
      <c r="F368" s="17" t="n">
        <f aca="false">F357*$D$366*F367</f>
        <v>245.321190937636</v>
      </c>
      <c r="G368" s="17" t="n">
        <f aca="false">G357*$D$366*G367</f>
        <v>291.61003960695</v>
      </c>
    </row>
    <row r="369" customFormat="false" ht="17.15" hidden="false" customHeight="false" outlineLevel="0" collapsed="false">
      <c r="A369" s="4" t="s">
        <v>374</v>
      </c>
      <c r="B369" s="0" t="s">
        <v>153</v>
      </c>
      <c r="C369" s="17" t="n">
        <f aca="false">a25_nai</f>
        <v>399.5172</v>
      </c>
      <c r="D369" s="17" t="n">
        <f aca="false">a26_nai</f>
        <v>465.2006985</v>
      </c>
      <c r="E369" s="17" t="n">
        <f aca="false">D369*(1+GNLO27)</f>
        <v>465.2006985</v>
      </c>
      <c r="F369" s="17" t="n">
        <f aca="false">E369*(1+GNLO28)</f>
        <v>465.2006985</v>
      </c>
      <c r="G369" s="17" t="n">
        <f aca="false">F369*(1+GNLO29)</f>
        <v>465.2006985</v>
      </c>
    </row>
    <row r="370" customFormat="false" ht="15" hidden="false" customHeight="false" outlineLevel="0" collapsed="false">
      <c r="A370" s="4" t="s">
        <v>268</v>
      </c>
      <c r="B370" s="0" t="s">
        <v>153</v>
      </c>
      <c r="C370" s="17" t="n">
        <f aca="false">C364+C368+C369</f>
        <v>554.885</v>
      </c>
      <c r="D370" s="17" t="n">
        <f aca="false">D364+D368+D369</f>
        <v>756.4239</v>
      </c>
      <c r="E370" s="17" t="n">
        <f aca="false">E364+E368+E369</f>
        <v>1093.6946437673</v>
      </c>
      <c r="F370" s="17" t="n">
        <f aca="false">F364+F368+F369</f>
        <v>1313.96935458928</v>
      </c>
      <c r="G370" s="17" t="n">
        <f aca="false">G364+G368+G369</f>
        <v>1444.23280480707</v>
      </c>
    </row>
    <row r="371" customFormat="false" ht="15" hidden="false" customHeight="false" outlineLevel="0" collapsed="false">
      <c r="A371" s="4" t="s">
        <v>375</v>
      </c>
      <c r="B371" s="0" t="s">
        <v>46</v>
      </c>
      <c r="D371" s="12" t="n">
        <f aca="false">D370/C370-1</f>
        <v>0.363208412553953</v>
      </c>
      <c r="E371" s="12" t="n">
        <f aca="false">E370/D370-1</f>
        <v>0.445875313785434</v>
      </c>
      <c r="F371" s="12" t="n">
        <f aca="false">F370/E370-1</f>
        <v>0.201404214674787</v>
      </c>
      <c r="G371" s="12" t="n">
        <f aca="false">G370/F370-1</f>
        <v>0.0991373579321482</v>
      </c>
    </row>
    <row r="372" customFormat="false" ht="17.15" hidden="false" customHeight="false" outlineLevel="0" collapsed="false">
      <c r="A372" s="0" t="s">
        <v>376</v>
      </c>
      <c r="B372" s="0" t="s">
        <v>46</v>
      </c>
      <c r="C372" s="12" t="n">
        <f aca="false">C364/C370</f>
        <v>0.18</v>
      </c>
      <c r="D372" s="12" t="n">
        <f aca="false">D364/D370</f>
        <v>0.26</v>
      </c>
      <c r="E372" s="12" t="n">
        <f aca="false">E364/E370</f>
        <v>0.405395426057147</v>
      </c>
      <c r="F372" s="12" t="n">
        <f aca="false">F364/F370</f>
        <v>0.459255357093368</v>
      </c>
      <c r="G372" s="12" t="n">
        <f aca="false">G364/G370</f>
        <v>0.475977324716668</v>
      </c>
    </row>
    <row r="373" customFormat="false" ht="17.15" hidden="false" customHeight="false" outlineLevel="0" collapsed="false">
      <c r="A373" s="0" t="s">
        <v>377</v>
      </c>
      <c r="B373" s="0" t="s">
        <v>46</v>
      </c>
      <c r="C373" s="12" t="n">
        <f aca="false">(C364+C368)/C370</f>
        <v>0.28</v>
      </c>
      <c r="D373" s="12" t="n">
        <f aca="false">(D364+D368)/D370</f>
        <v>0.385</v>
      </c>
      <c r="E373" s="12" t="n">
        <f aca="false">(E364+E368)/E370</f>
        <v>0.574652119628577</v>
      </c>
      <c r="F373" s="12" t="n">
        <f aca="false">(F364+F368)/F370</f>
        <v>0.645957725821228</v>
      </c>
      <c r="G373" s="12" t="n">
        <f aca="false">(G364+G368)/G370</f>
        <v>0.677890782599869</v>
      </c>
    </row>
    <row r="374" customFormat="false" ht="17.15" hidden="false" customHeight="false" outlineLevel="0" collapsed="false">
      <c r="A374" s="4" t="s">
        <v>335</v>
      </c>
      <c r="B374" s="0" t="s">
        <v>336</v>
      </c>
      <c r="D374" s="16" t="n">
        <f aca="false">(D364+D368)/fx/D357*1000</f>
        <v>388.927551924965</v>
      </c>
      <c r="E374" s="16" t="n">
        <f aca="false">(E364+E368)/fx/E357*1000</f>
        <v>471.595702572219</v>
      </c>
      <c r="F374" s="16" t="n">
        <f aca="false">(F364+F368)/fx/F357*1000</f>
        <v>502.423682986704</v>
      </c>
      <c r="G374" s="16" t="n">
        <f aca="false">(G364+G368)/fx/G357*1000</f>
        <v>508.737441946525</v>
      </c>
    </row>
    <row r="375" customFormat="false" ht="17.15" hidden="false" customHeight="false" outlineLevel="0" collapsed="false">
      <c r="A375" s="6" t="s">
        <v>378</v>
      </c>
    </row>
    <row r="376" customFormat="false" ht="17.15" hidden="false" customHeight="false" outlineLevel="0" collapsed="false">
      <c r="A376" s="4" t="s">
        <v>379</v>
      </c>
      <c r="B376" s="0" t="s">
        <v>46</v>
      </c>
      <c r="D376" s="12" t="n">
        <f aca="false">a26_gp/D370-d_ai*D372</f>
        <v>0.340474417690927</v>
      </c>
      <c r="H376" s="8" t="s">
        <v>380</v>
      </c>
    </row>
    <row r="377" customFormat="false" ht="15" hidden="false" customHeight="false" outlineLevel="0" collapsed="false">
      <c r="A377" s="4" t="s">
        <v>272</v>
      </c>
      <c r="B377" s="0" t="s">
        <v>153</v>
      </c>
      <c r="C377" s="17" t="n">
        <f aca="false">a25_gp</f>
        <v>190.2</v>
      </c>
      <c r="D377" s="17" t="n">
        <f aca="false">a26_gp</f>
        <v>273.276604</v>
      </c>
      <c r="E377" s="17" t="n">
        <f aca="false">$D$376*E370+d_ai*E364</f>
        <v>407.845351455275</v>
      </c>
      <c r="F377" s="17" t="n">
        <f aca="false">$D$376*F370+d_ai*F364</f>
        <v>495.648748079638</v>
      </c>
      <c r="G377" s="17" t="n">
        <f aca="false">$D$376*G370+d_ai*G364</f>
        <v>546.71808856283</v>
      </c>
    </row>
    <row r="378" customFormat="false" ht="15" hidden="false" customHeight="false" outlineLevel="0" collapsed="false">
      <c r="A378" s="4" t="s">
        <v>274</v>
      </c>
      <c r="B378" s="0" t="s">
        <v>46</v>
      </c>
      <c r="C378" s="12" t="n">
        <f aca="false">C377/C370</f>
        <v>0.342773727889563</v>
      </c>
      <c r="D378" s="12" t="n">
        <f aca="false">D377/D370</f>
        <v>0.361274417690927</v>
      </c>
      <c r="E378" s="12" t="n">
        <f aca="false">E377/E370</f>
        <v>0.372906051775499</v>
      </c>
      <c r="F378" s="12" t="n">
        <f aca="false">F377/F370</f>
        <v>0.377214846258396</v>
      </c>
      <c r="G378" s="12" t="n">
        <f aca="false">G377/G370</f>
        <v>0.378552603668261</v>
      </c>
    </row>
    <row r="379" customFormat="false" ht="15" hidden="false" customHeight="false" outlineLevel="0" collapsed="false">
      <c r="A379" s="4" t="s">
        <v>381</v>
      </c>
      <c r="B379" s="0" t="s">
        <v>153</v>
      </c>
      <c r="C379" s="17" t="n">
        <f aca="false">a25_opx</f>
        <v>106.3</v>
      </c>
      <c r="D379" s="17" t="n">
        <f aca="false">a26_opx</f>
        <v>141.924088166667</v>
      </c>
      <c r="E379" s="17" t="n">
        <f aca="false">D379*(1+MAX(0,phi*E371))</f>
        <v>192.548446042686</v>
      </c>
      <c r="F379" s="17" t="n">
        <f aca="false">E379*(1+MAX(0,phi*F371))</f>
        <v>223.572500892348</v>
      </c>
      <c r="G379" s="17" t="n">
        <f aca="false">F379*(1+MAX(0,phi*G371))</f>
        <v>241.304010528148</v>
      </c>
    </row>
    <row r="380" customFormat="false" ht="15" hidden="false" customHeight="false" outlineLevel="0" collapsed="false">
      <c r="A380" s="4" t="s">
        <v>276</v>
      </c>
      <c r="B380" s="0" t="s">
        <v>153</v>
      </c>
      <c r="C380" s="17" t="n">
        <f aca="false">C379</f>
        <v>106.3</v>
      </c>
      <c r="D380" s="17" t="n">
        <f aca="false">D379</f>
        <v>141.924088166667</v>
      </c>
      <c r="E380" s="17" t="n">
        <f aca="false">E379+0*E370</f>
        <v>192.548446042686</v>
      </c>
      <c r="F380" s="17" t="n">
        <f aca="false">F379+0*F370</f>
        <v>223.572500892348</v>
      </c>
      <c r="G380" s="17" t="n">
        <f aca="false">G379+0*G370</f>
        <v>241.304010528148</v>
      </c>
    </row>
    <row r="381" customFormat="false" ht="15" hidden="false" customHeight="false" outlineLevel="0" collapsed="false">
      <c r="A381" s="4" t="s">
        <v>278</v>
      </c>
      <c r="B381" s="0" t="s">
        <v>153</v>
      </c>
      <c r="C381" s="17" t="n">
        <f aca="false">C377-C380</f>
        <v>83.9</v>
      </c>
      <c r="D381" s="17" t="n">
        <f aca="false">D377-D380</f>
        <v>131.352515833333</v>
      </c>
      <c r="E381" s="17" t="n">
        <f aca="false">E377-E380</f>
        <v>215.296905412589</v>
      </c>
      <c r="F381" s="17" t="n">
        <f aca="false">F377-F380</f>
        <v>272.07624718729</v>
      </c>
      <c r="G381" s="17" t="n">
        <f aca="false">G377-G380</f>
        <v>305.414078034681</v>
      </c>
    </row>
    <row r="382" customFormat="false" ht="15" hidden="false" customHeight="false" outlineLevel="0" collapsed="false">
      <c r="A382" s="4" t="s">
        <v>280</v>
      </c>
      <c r="B382" s="0" t="s">
        <v>46</v>
      </c>
      <c r="C382" s="12" t="n">
        <f aca="false">C381/C370</f>
        <v>0.151202501419213</v>
      </c>
      <c r="D382" s="12" t="n">
        <f aca="false">D381/D370</f>
        <v>0.173649346396027</v>
      </c>
      <c r="E382" s="12" t="n">
        <f aca="false">E381/E370</f>
        <v>0.196852847949392</v>
      </c>
      <c r="F382" s="12" t="n">
        <f aca="false">F381/F370</f>
        <v>0.207064378051904</v>
      </c>
      <c r="G382" s="12" t="n">
        <f aca="false">G381/G370</f>
        <v>0.211471500313609</v>
      </c>
    </row>
    <row r="383" customFormat="false" ht="15" hidden="false" customHeight="false" outlineLevel="0" collapsed="false">
      <c r="A383" s="4" t="s">
        <v>282</v>
      </c>
      <c r="B383" s="0" t="s">
        <v>153</v>
      </c>
      <c r="C383" s="17" t="n">
        <f aca="false">a25_nop</f>
        <v>3.934</v>
      </c>
      <c r="D383" s="17" t="n">
        <f aca="false">a26_nop</f>
        <v>11.1666666666667</v>
      </c>
      <c r="E383" s="17" t="n">
        <f aca="false">nop_f</f>
        <v>8</v>
      </c>
      <c r="F383" s="17" t="n">
        <f aca="false">nop_f</f>
        <v>8</v>
      </c>
      <c r="G383" s="17" t="n">
        <f aca="false">nop_f</f>
        <v>8</v>
      </c>
    </row>
    <row r="384" customFormat="false" ht="17.15" hidden="false" customHeight="false" outlineLevel="0" collapsed="false">
      <c r="A384" s="4" t="s">
        <v>195</v>
      </c>
      <c r="B384" s="0" t="s">
        <v>46</v>
      </c>
      <c r="C384" s="12" t="n">
        <f aca="false">a25_ni/(a25_oi+a25_nop)</f>
        <v>0.684336361773345</v>
      </c>
      <c r="D384" s="12" t="n">
        <f aca="false">a26_ni/(a26_oi+a26_nop)</f>
        <v>0.690638510538748</v>
      </c>
      <c r="E384" s="12" t="n">
        <f aca="false">nir_f</f>
        <v>0.69</v>
      </c>
      <c r="F384" s="12" t="n">
        <f aca="false">nir_f</f>
        <v>0.69</v>
      </c>
      <c r="G384" s="12" t="n">
        <f aca="false">nir_f</f>
        <v>0.69</v>
      </c>
    </row>
    <row r="385" customFormat="false" ht="15" hidden="false" customHeight="false" outlineLevel="0" collapsed="false">
      <c r="A385" s="4" t="s">
        <v>285</v>
      </c>
      <c r="B385" s="0" t="s">
        <v>153</v>
      </c>
      <c r="C385" s="17" t="n">
        <f aca="false">a25_ni</f>
        <v>60.108</v>
      </c>
      <c r="D385" s="17" t="n">
        <f aca="false">a26_ni</f>
        <v>98.429235925</v>
      </c>
      <c r="E385" s="17" t="n">
        <f aca="false">(E381+E383)*E384</f>
        <v>154.074864734687</v>
      </c>
      <c r="F385" s="17" t="n">
        <f aca="false">(F381+F383)*F384</f>
        <v>193.25261055923</v>
      </c>
      <c r="G385" s="17" t="n">
        <f aca="false">(G381+G383)*G384</f>
        <v>216.25571384393</v>
      </c>
    </row>
    <row r="386" customFormat="false" ht="15" hidden="false" customHeight="false" outlineLevel="0" collapsed="false">
      <c r="A386" s="4" t="s">
        <v>382</v>
      </c>
      <c r="B386" s="4" t="s">
        <v>179</v>
      </c>
      <c r="C386" s="20" t="n">
        <f aca="false">a25_sh</f>
        <v>2.59757994814175</v>
      </c>
      <c r="D386" s="20" t="n">
        <f aca="false">a26_sh</f>
        <v>2.59806708357021</v>
      </c>
      <c r="E386" s="20" t="n">
        <f aca="false">D386*(1+sh_g)</f>
        <v>2.59806708357021</v>
      </c>
      <c r="F386" s="20" t="n">
        <f aca="false">E386*(1+sh_g)</f>
        <v>2.59806708357021</v>
      </c>
      <c r="G386" s="20" t="n">
        <f aca="false">F386*(1+sh_g)</f>
        <v>2.59806708357021</v>
      </c>
    </row>
    <row r="387" customFormat="false" ht="15" hidden="false" customHeight="false" outlineLevel="0" collapsed="false">
      <c r="A387" s="0" t="s">
        <v>290</v>
      </c>
      <c r="B387" s="0" t="s">
        <v>210</v>
      </c>
      <c r="C387" s="18" t="n">
        <f aca="false">C385/C386</f>
        <v>23.14</v>
      </c>
      <c r="D387" s="18" t="n">
        <f aca="false">D385/D386</f>
        <v>37.8855636744147</v>
      </c>
      <c r="E387" s="18" t="n">
        <f aca="false">E385/E386</f>
        <v>59.3036514372678</v>
      </c>
      <c r="F387" s="18" t="n">
        <f aca="false">F385/F386</f>
        <v>74.3832258148109</v>
      </c>
      <c r="G387" s="18" t="n">
        <f aca="false">G385/G386</f>
        <v>83.2371555036046</v>
      </c>
    </row>
    <row r="388" customFormat="false" ht="17.15" hidden="false" customHeight="false" outlineLevel="0" collapsed="false">
      <c r="A388" s="0" t="s">
        <v>383</v>
      </c>
      <c r="B388" s="0" t="s">
        <v>46</v>
      </c>
      <c r="D388" s="12" t="n">
        <f aca="false">D387/C387-1</f>
        <v>0.637232656629847</v>
      </c>
      <c r="E388" s="12" t="n">
        <f aca="false">E387/D387-1</f>
        <v>0.565336388998151</v>
      </c>
      <c r="F388" s="12" t="n">
        <f aca="false">F387/E387-1</f>
        <v>0.25427733389224</v>
      </c>
      <c r="G388" s="12" t="n">
        <f aca="false">G387/F387-1</f>
        <v>0.119031268028588</v>
      </c>
    </row>
    <row r="391" customFormat="false" ht="17.15" hidden="false" customHeight="false" outlineLevel="0" collapsed="false">
      <c r="A391" s="1" t="s">
        <v>586</v>
      </c>
    </row>
    <row r="392" customFormat="false" ht="17.15" hidden="false" customHeight="false" outlineLevel="0" collapsed="false">
      <c r="A392" s="5" t="s">
        <v>15</v>
      </c>
      <c r="B392" s="5" t="s">
        <v>16</v>
      </c>
      <c r="C392" s="9" t="s">
        <v>262</v>
      </c>
      <c r="D392" s="9" t="s">
        <v>341</v>
      </c>
      <c r="E392" s="9" t="s">
        <v>342</v>
      </c>
      <c r="F392" s="9" t="s">
        <v>343</v>
      </c>
      <c r="G392" s="9" t="s">
        <v>344</v>
      </c>
      <c r="H392" s="5" t="s">
        <v>317</v>
      </c>
    </row>
    <row r="393" customFormat="false" ht="17.15" hidden="false" customHeight="false" outlineLevel="0" collapsed="false">
      <c r="A393" s="6" t="s">
        <v>359</v>
      </c>
    </row>
    <row r="394" customFormat="false" ht="17.15" hidden="false" customHeight="false" outlineLevel="0" collapsed="false">
      <c r="A394" s="0" t="s">
        <v>360</v>
      </c>
      <c r="B394" s="0" t="s">
        <v>26</v>
      </c>
      <c r="D394" s="18" t="n">
        <f aca="false">itc_26*1</f>
        <v>781.872916666667</v>
      </c>
      <c r="E394" s="18" t="n">
        <f aca="false">itc_27*1*1</f>
        <v>1565.35</v>
      </c>
      <c r="F394" s="18" t="n">
        <f aca="false">itc_28*um28_A*1</f>
        <v>1984.26388888889</v>
      </c>
      <c r="G394" s="18" t="n">
        <f aca="false">itc_29*um29_A*1</f>
        <v>2260.39027777778</v>
      </c>
    </row>
    <row r="395" customFormat="false" ht="17.15" hidden="false" customHeight="false" outlineLevel="0" collapsed="false">
      <c r="A395" s="4" t="s">
        <v>361</v>
      </c>
      <c r="B395" s="0" t="s">
        <v>26</v>
      </c>
      <c r="D395" s="18" t="n">
        <f aca="false">itpg_gb*(1-vr26)+itpg_vr*vr26</f>
        <v>33.41403216</v>
      </c>
      <c r="E395" s="18" t="n">
        <f aca="false">itpg_vr</f>
        <v>37.586352</v>
      </c>
      <c r="F395" s="18" t="n">
        <f aca="false">itpg_vr</f>
        <v>37.586352</v>
      </c>
      <c r="G395" s="18" t="n">
        <f aca="false">itpg_vr</f>
        <v>37.586352</v>
      </c>
    </row>
    <row r="396" customFormat="false" ht="17.15" hidden="false" customHeight="false" outlineLevel="0" collapsed="false">
      <c r="A396" s="4" t="s">
        <v>362</v>
      </c>
      <c r="B396" s="0" t="s">
        <v>319</v>
      </c>
      <c r="D396" s="15" t="n">
        <f aca="false">D394/D395</f>
        <v>23.3995380420639</v>
      </c>
      <c r="E396" s="15" t="n">
        <f aca="false">E394/E395</f>
        <v>41.6467658260637</v>
      </c>
      <c r="F396" s="15" t="n">
        <f aca="false">F394/F395</f>
        <v>52.792138191248</v>
      </c>
      <c r="G396" s="15" t="n">
        <f aca="false">G394/G395</f>
        <v>60.1385917361116</v>
      </c>
    </row>
    <row r="397" customFormat="false" ht="17.15" hidden="false" customHeight="false" outlineLevel="0" collapsed="false">
      <c r="A397" s="0" t="s">
        <v>321</v>
      </c>
      <c r="B397" s="0" t="s">
        <v>89</v>
      </c>
      <c r="D397" s="16" t="n">
        <f aca="false">pkw_26</f>
        <v>450</v>
      </c>
      <c r="E397" s="16" t="n">
        <f aca="false">pkw_27</f>
        <v>600</v>
      </c>
      <c r="F397" s="16" t="n">
        <f aca="false">pkw_28</f>
        <v>680</v>
      </c>
      <c r="G397" s="16" t="n">
        <f aca="false">pkw_29</f>
        <v>720</v>
      </c>
    </row>
    <row r="398" customFormat="false" ht="17.15" hidden="false" customHeight="false" outlineLevel="0" collapsed="false">
      <c r="A398" s="0" t="s">
        <v>363</v>
      </c>
      <c r="B398" s="0" t="s">
        <v>26</v>
      </c>
      <c r="D398" s="18" t="n">
        <f aca="false">D396*D397/1000</f>
        <v>10.5297921189288</v>
      </c>
      <c r="E398" s="18" t="n">
        <f aca="false">E396*E397/1000</f>
        <v>24.9880594956382</v>
      </c>
      <c r="F398" s="18" t="n">
        <f aca="false">F396*F397/1000</f>
        <v>35.8986539700486</v>
      </c>
      <c r="G398" s="18" t="n">
        <f aca="false">G396*G397/1000</f>
        <v>43.2997860500003</v>
      </c>
    </row>
    <row r="399" customFormat="false" ht="17.15" hidden="false" customHeight="false" outlineLevel="0" collapsed="false">
      <c r="A399" s="0" t="s">
        <v>364</v>
      </c>
      <c r="B399" s="0" t="s">
        <v>153</v>
      </c>
      <c r="D399" s="17" t="n">
        <f aca="false">D398*fx</f>
        <v>336.95334780572</v>
      </c>
      <c r="E399" s="17" t="n">
        <f aca="false">E398*fx</f>
        <v>799.617903860422</v>
      </c>
      <c r="F399" s="17" t="n">
        <f aca="false">F398*fx</f>
        <v>1148.75692704156</v>
      </c>
      <c r="G399" s="17" t="n">
        <f aca="false">G398*fx</f>
        <v>1385.59315360001</v>
      </c>
    </row>
    <row r="400" customFormat="false" ht="17.15" hidden="false" customHeight="false" outlineLevel="0" collapsed="false">
      <c r="A400" s="4" t="s">
        <v>365</v>
      </c>
      <c r="B400" s="0" t="s">
        <v>46</v>
      </c>
      <c r="D400" s="12" t="n">
        <f aca="false">a26_aip/D399</f>
        <v>0.583671939396772</v>
      </c>
      <c r="H400" s="8" t="s">
        <v>366</v>
      </c>
    </row>
    <row r="401" customFormat="false" ht="17.15" hidden="false" customHeight="false" outlineLevel="0" collapsed="false">
      <c r="A401" s="4" t="s">
        <v>367</v>
      </c>
      <c r="B401" s="0" t="s">
        <v>62</v>
      </c>
      <c r="D401" s="13" t="n">
        <f aca="false">1</f>
        <v>1</v>
      </c>
      <c r="E401" s="13" t="n">
        <f aca="false">rel_27</f>
        <v>0.95</v>
      </c>
      <c r="F401" s="13" t="n">
        <f aca="false">rel_28</f>
        <v>0.9</v>
      </c>
      <c r="G401" s="13" t="n">
        <f aca="false">rel_29</f>
        <v>0.85</v>
      </c>
    </row>
    <row r="402" customFormat="false" ht="15" hidden="false" customHeight="false" outlineLevel="0" collapsed="false">
      <c r="A402" s="4" t="s">
        <v>328</v>
      </c>
      <c r="B402" s="0" t="s">
        <v>46</v>
      </c>
      <c r="D402" s="12" t="n">
        <f aca="false">$D$400*D401</f>
        <v>0.583671939396772</v>
      </c>
      <c r="E402" s="12" t="n">
        <f aca="false">$D$400*E401</f>
        <v>0.554488342426934</v>
      </c>
      <c r="F402" s="12" t="n">
        <f aca="false">$D$400*F401</f>
        <v>0.525304745457095</v>
      </c>
      <c r="G402" s="12" t="n">
        <f aca="false">$D$400*G401</f>
        <v>0.496121148487257</v>
      </c>
    </row>
    <row r="403" customFormat="false" ht="17.15" hidden="false" customHeight="false" outlineLevel="0" collapsed="false">
      <c r="A403" s="0" t="s">
        <v>368</v>
      </c>
      <c r="B403" s="0" t="s">
        <v>153</v>
      </c>
      <c r="C403" s="17" t="n">
        <f aca="false">a25_aip</f>
        <v>99.8793</v>
      </c>
      <c r="D403" s="17" t="n">
        <f aca="false">D399*D402</f>
        <v>196.670214</v>
      </c>
      <c r="E403" s="17" t="n">
        <f aca="false">E399*E402</f>
        <v>443.378806086465</v>
      </c>
      <c r="F403" s="17" t="n">
        <f aca="false">F399*F402</f>
        <v>603.44746515164</v>
      </c>
      <c r="G403" s="17" t="n">
        <f aca="false">G399*G402</f>
        <v>687.422066700117</v>
      </c>
    </row>
    <row r="404" customFormat="false" ht="17.15" hidden="false" customHeight="false" outlineLevel="0" collapsed="false">
      <c r="A404" s="6" t="s">
        <v>369</v>
      </c>
    </row>
    <row r="405" customFormat="false" ht="17.15" hidden="false" customHeight="false" outlineLevel="0" collapsed="false">
      <c r="A405" s="4" t="s">
        <v>370</v>
      </c>
      <c r="B405" s="0" t="s">
        <v>371</v>
      </c>
      <c r="D405" s="20" t="n">
        <f aca="false">a26_lc/D396</f>
        <v>4.04080573428535</v>
      </c>
    </row>
    <row r="406" customFormat="false" ht="17.15" hidden="false" customHeight="false" outlineLevel="0" collapsed="false">
      <c r="A406" s="4" t="s">
        <v>372</v>
      </c>
      <c r="B406" s="0" t="s">
        <v>62</v>
      </c>
      <c r="D406" s="13" t="n">
        <f aca="false">1</f>
        <v>1</v>
      </c>
      <c r="E406" s="13" t="n">
        <f aca="false">lcr_27</f>
        <v>1.1</v>
      </c>
      <c r="F406" s="13" t="n">
        <f aca="false">lcr_28</f>
        <v>1.15</v>
      </c>
      <c r="G406" s="13" t="n">
        <f aca="false">lcr_29</f>
        <v>1.2</v>
      </c>
    </row>
    <row r="407" customFormat="false" ht="15" hidden="false" customHeight="false" outlineLevel="0" collapsed="false">
      <c r="A407" s="4" t="s">
        <v>373</v>
      </c>
      <c r="B407" s="0" t="s">
        <v>153</v>
      </c>
      <c r="C407" s="17" t="n">
        <f aca="false">a25_lc</f>
        <v>55.4885</v>
      </c>
      <c r="D407" s="17" t="n">
        <f aca="false">D396*$D$405*D406</f>
        <v>94.5529875</v>
      </c>
      <c r="E407" s="17" t="n">
        <f aca="false">E396*$D$405*E406</f>
        <v>185.115139180837</v>
      </c>
      <c r="F407" s="17" t="n">
        <f aca="false">F396*$D$405*F406</f>
        <v>245.321190937636</v>
      </c>
      <c r="G407" s="17" t="n">
        <f aca="false">G396*$D$405*G406</f>
        <v>291.61003960695</v>
      </c>
    </row>
    <row r="408" customFormat="false" ht="17.15" hidden="false" customHeight="false" outlineLevel="0" collapsed="false">
      <c r="A408" s="4" t="s">
        <v>374</v>
      </c>
      <c r="B408" s="0" t="s">
        <v>153</v>
      </c>
      <c r="C408" s="17" t="n">
        <f aca="false">a25_nai</f>
        <v>399.5172</v>
      </c>
      <c r="D408" s="17" t="n">
        <f aca="false">a26_nai</f>
        <v>465.2006985</v>
      </c>
      <c r="E408" s="17" t="n">
        <f aca="false">D408*(1+GNHI27)</f>
        <v>511.72076835</v>
      </c>
      <c r="F408" s="17" t="n">
        <f aca="false">E408*(1+GNHI28)</f>
        <v>562.892845185</v>
      </c>
      <c r="G408" s="17" t="n">
        <f aca="false">F408*(1+GNHI29)</f>
        <v>607.9242727998</v>
      </c>
    </row>
    <row r="409" customFormat="false" ht="15" hidden="false" customHeight="false" outlineLevel="0" collapsed="false">
      <c r="A409" s="4" t="s">
        <v>268</v>
      </c>
      <c r="B409" s="0" t="s">
        <v>153</v>
      </c>
      <c r="C409" s="17" t="n">
        <f aca="false">C403+C407+C408</f>
        <v>554.885</v>
      </c>
      <c r="D409" s="17" t="n">
        <f aca="false">D403+D407+D408</f>
        <v>756.4239</v>
      </c>
      <c r="E409" s="17" t="n">
        <f aca="false">E403+E407+E408</f>
        <v>1140.2147136173</v>
      </c>
      <c r="F409" s="17" t="n">
        <f aca="false">F403+F407+F408</f>
        <v>1411.66150127428</v>
      </c>
      <c r="G409" s="17" t="n">
        <f aca="false">G403+G407+G408</f>
        <v>1586.95637910687</v>
      </c>
    </row>
    <row r="410" customFormat="false" ht="15" hidden="false" customHeight="false" outlineLevel="0" collapsed="false">
      <c r="A410" s="4" t="s">
        <v>375</v>
      </c>
      <c r="B410" s="0" t="s">
        <v>46</v>
      </c>
      <c r="D410" s="12" t="n">
        <f aca="false">D409/C409-1</f>
        <v>0.363208412553953</v>
      </c>
      <c r="E410" s="12" t="n">
        <f aca="false">E409/D409-1</f>
        <v>0.507375313785434</v>
      </c>
      <c r="F410" s="12" t="n">
        <f aca="false">F409/E409-1</f>
        <v>0.238066378564627</v>
      </c>
      <c r="G410" s="12" t="n">
        <f aca="false">G409/F409-1</f>
        <v>0.124176282823011</v>
      </c>
    </row>
    <row r="411" customFormat="false" ht="17.15" hidden="false" customHeight="false" outlineLevel="0" collapsed="false">
      <c r="A411" s="0" t="s">
        <v>376</v>
      </c>
      <c r="B411" s="0" t="s">
        <v>46</v>
      </c>
      <c r="C411" s="12" t="n">
        <f aca="false">C403/C409</f>
        <v>0.18</v>
      </c>
      <c r="D411" s="12" t="n">
        <f aca="false">D403/D409</f>
        <v>0.26</v>
      </c>
      <c r="E411" s="12" t="n">
        <f aca="false">E403/E409</f>
        <v>0.388855538164261</v>
      </c>
      <c r="F411" s="12" t="n">
        <f aca="false">F403/F409</f>
        <v>0.427473204168932</v>
      </c>
      <c r="G411" s="12" t="n">
        <f aca="false">G403/G409</f>
        <v>0.433170108359875</v>
      </c>
    </row>
    <row r="412" customFormat="false" ht="17.15" hidden="false" customHeight="false" outlineLevel="0" collapsed="false">
      <c r="A412" s="0" t="s">
        <v>377</v>
      </c>
      <c r="B412" s="0" t="s">
        <v>46</v>
      </c>
      <c r="C412" s="12" t="n">
        <f aca="false">(C403+C407)/C409</f>
        <v>0.28</v>
      </c>
      <c r="D412" s="12" t="n">
        <f aca="false">(D403+D407)/D409</f>
        <v>0.385</v>
      </c>
      <c r="E412" s="12" t="n">
        <f aca="false">(E403+E407)/E409</f>
        <v>0.55120666113264</v>
      </c>
      <c r="F412" s="12" t="n">
        <f aca="false">(F403+F407)/F409</f>
        <v>0.601255085105821</v>
      </c>
      <c r="G412" s="12" t="n">
        <f aca="false">(G403+G407)/G409</f>
        <v>0.616924396408465</v>
      </c>
    </row>
    <row r="413" customFormat="false" ht="17.15" hidden="false" customHeight="false" outlineLevel="0" collapsed="false">
      <c r="A413" s="4" t="s">
        <v>335</v>
      </c>
      <c r="B413" s="0" t="s">
        <v>336</v>
      </c>
      <c r="D413" s="16" t="n">
        <f aca="false">(D403+D407)/fx/D396*1000</f>
        <v>388.927551924965</v>
      </c>
      <c r="E413" s="16" t="n">
        <f aca="false">(E403+E407)/fx/E396*1000</f>
        <v>471.595702572219</v>
      </c>
      <c r="F413" s="16" t="n">
        <f aca="false">(F403+F407)/fx/F396*1000</f>
        <v>502.423682986704</v>
      </c>
      <c r="G413" s="16" t="n">
        <f aca="false">(G403+G407)/fx/G396*1000</f>
        <v>508.737441946525</v>
      </c>
    </row>
    <row r="414" customFormat="false" ht="17.15" hidden="false" customHeight="false" outlineLevel="0" collapsed="false">
      <c r="A414" s="6" t="s">
        <v>378</v>
      </c>
    </row>
    <row r="415" customFormat="false" ht="17.15" hidden="false" customHeight="false" outlineLevel="0" collapsed="false">
      <c r="A415" s="4" t="s">
        <v>379</v>
      </c>
      <c r="B415" s="0" t="s">
        <v>46</v>
      </c>
      <c r="D415" s="12" t="n">
        <f aca="false">a26_gp/D409-d_ai*D411</f>
        <v>0.340474417690927</v>
      </c>
      <c r="H415" s="8" t="s">
        <v>380</v>
      </c>
    </row>
    <row r="416" customFormat="false" ht="15" hidden="false" customHeight="false" outlineLevel="0" collapsed="false">
      <c r="A416" s="4" t="s">
        <v>272</v>
      </c>
      <c r="B416" s="0" t="s">
        <v>153</v>
      </c>
      <c r="C416" s="17" t="n">
        <f aca="false">a25_gp</f>
        <v>190.2</v>
      </c>
      <c r="D416" s="17" t="n">
        <f aca="false">a26_gp</f>
        <v>273.276604</v>
      </c>
      <c r="E416" s="17" t="n">
        <f aca="false">$D$415*E409+d_ai*E403</f>
        <v>423.684245148395</v>
      </c>
      <c r="F416" s="17" t="n">
        <f aca="false">$D$415*F409+d_ai*F403</f>
        <v>528.91042483519</v>
      </c>
      <c r="G416" s="17" t="n">
        <f aca="false">$D$415*G409+d_ai*G403</f>
        <v>595.311814413322</v>
      </c>
    </row>
    <row r="417" customFormat="false" ht="15" hidden="false" customHeight="false" outlineLevel="0" collapsed="false">
      <c r="A417" s="4" t="s">
        <v>274</v>
      </c>
      <c r="B417" s="0" t="s">
        <v>46</v>
      </c>
      <c r="C417" s="12" t="n">
        <f aca="false">C416/C409</f>
        <v>0.342773727889563</v>
      </c>
      <c r="D417" s="12" t="n">
        <f aca="false">D416/D409</f>
        <v>0.361274417690927</v>
      </c>
      <c r="E417" s="12" t="n">
        <f aca="false">E416/E409</f>
        <v>0.371582860744068</v>
      </c>
      <c r="F417" s="12" t="n">
        <f aca="false">F416/F409</f>
        <v>0.374672274024442</v>
      </c>
      <c r="G417" s="12" t="n">
        <f aca="false">G416/G409</f>
        <v>0.375128026359717</v>
      </c>
    </row>
    <row r="418" customFormat="false" ht="15" hidden="false" customHeight="false" outlineLevel="0" collapsed="false">
      <c r="A418" s="4" t="s">
        <v>381</v>
      </c>
      <c r="B418" s="0" t="s">
        <v>153</v>
      </c>
      <c r="C418" s="17" t="n">
        <f aca="false">a25_opx</f>
        <v>106.3</v>
      </c>
      <c r="D418" s="17" t="n">
        <f aca="false">a26_opx</f>
        <v>141.924088166667</v>
      </c>
      <c r="E418" s="17" t="n">
        <f aca="false">D418*(1+MAX(0,phi*E410))</f>
        <v>199.531111180486</v>
      </c>
      <c r="F418" s="17" t="n">
        <f aca="false">E418*(1+MAX(0,phi*F410))</f>
        <v>237.532430420257</v>
      </c>
      <c r="G418" s="17" t="n">
        <f aca="false">F418*(1+MAX(0,phi*G410))</f>
        <v>261.12914582786</v>
      </c>
    </row>
    <row r="419" customFormat="false" ht="15" hidden="false" customHeight="false" outlineLevel="0" collapsed="false">
      <c r="A419" s="4" t="s">
        <v>276</v>
      </c>
      <c r="B419" s="0" t="s">
        <v>153</v>
      </c>
      <c r="C419" s="17" t="n">
        <f aca="false">C418</f>
        <v>106.3</v>
      </c>
      <c r="D419" s="17" t="n">
        <f aca="false">D418</f>
        <v>141.924088166667</v>
      </c>
      <c r="E419" s="17" t="n">
        <f aca="false">E418+0*E409</f>
        <v>199.531111180486</v>
      </c>
      <c r="F419" s="17" t="n">
        <f aca="false">F418+0*F409</f>
        <v>237.532430420257</v>
      </c>
      <c r="G419" s="17" t="n">
        <f aca="false">G418+0*G409</f>
        <v>261.12914582786</v>
      </c>
    </row>
    <row r="420" customFormat="false" ht="15" hidden="false" customHeight="false" outlineLevel="0" collapsed="false">
      <c r="A420" s="4" t="s">
        <v>278</v>
      </c>
      <c r="B420" s="0" t="s">
        <v>153</v>
      </c>
      <c r="C420" s="17" t="n">
        <f aca="false">C416-C419</f>
        <v>83.9</v>
      </c>
      <c r="D420" s="17" t="n">
        <f aca="false">D416-D419</f>
        <v>131.352515833333</v>
      </c>
      <c r="E420" s="17" t="n">
        <f aca="false">E416-E419</f>
        <v>224.153133967909</v>
      </c>
      <c r="F420" s="17" t="n">
        <f aca="false">F416-F419</f>
        <v>291.377994414933</v>
      </c>
      <c r="G420" s="17" t="n">
        <f aca="false">G416-G419</f>
        <v>334.182668585462</v>
      </c>
    </row>
    <row r="421" customFormat="false" ht="15" hidden="false" customHeight="false" outlineLevel="0" collapsed="false">
      <c r="A421" s="4" t="s">
        <v>280</v>
      </c>
      <c r="B421" s="0" t="s">
        <v>46</v>
      </c>
      <c r="C421" s="12" t="n">
        <f aca="false">C420/C409</f>
        <v>0.151202501419213</v>
      </c>
      <c r="D421" s="12" t="n">
        <f aca="false">D420/D409</f>
        <v>0.173649346396027</v>
      </c>
      <c r="E421" s="12" t="n">
        <f aca="false">E420/E409</f>
        <v>0.196588529590878</v>
      </c>
      <c r="F421" s="12" t="n">
        <f aca="false">F420/F409</f>
        <v>0.206407835130385</v>
      </c>
      <c r="G421" s="12" t="n">
        <f aca="false">G420/G409</f>
        <v>0.210580878583152</v>
      </c>
    </row>
    <row r="422" customFormat="false" ht="15" hidden="false" customHeight="false" outlineLevel="0" collapsed="false">
      <c r="A422" s="4" t="s">
        <v>282</v>
      </c>
      <c r="B422" s="0" t="s">
        <v>153</v>
      </c>
      <c r="C422" s="17" t="n">
        <f aca="false">a25_nop</f>
        <v>3.934</v>
      </c>
      <c r="D422" s="17" t="n">
        <f aca="false">a26_nop</f>
        <v>11.1666666666667</v>
      </c>
      <c r="E422" s="17" t="n">
        <f aca="false">nop_f</f>
        <v>8</v>
      </c>
      <c r="F422" s="17" t="n">
        <f aca="false">nop_f</f>
        <v>8</v>
      </c>
      <c r="G422" s="17" t="n">
        <f aca="false">nop_f</f>
        <v>8</v>
      </c>
    </row>
    <row r="423" customFormat="false" ht="17.15" hidden="false" customHeight="false" outlineLevel="0" collapsed="false">
      <c r="A423" s="4" t="s">
        <v>195</v>
      </c>
      <c r="B423" s="0" t="s">
        <v>46</v>
      </c>
      <c r="C423" s="12" t="n">
        <f aca="false">a25_ni/(a25_oi+a25_nop)</f>
        <v>0.684336361773345</v>
      </c>
      <c r="D423" s="12" t="n">
        <f aca="false">a26_ni/(a26_oi+a26_nop)</f>
        <v>0.690638510538748</v>
      </c>
      <c r="E423" s="12" t="n">
        <f aca="false">nir_f</f>
        <v>0.69</v>
      </c>
      <c r="F423" s="12" t="n">
        <f aca="false">nir_f</f>
        <v>0.69</v>
      </c>
      <c r="G423" s="12" t="n">
        <f aca="false">nir_f</f>
        <v>0.69</v>
      </c>
    </row>
    <row r="424" customFormat="false" ht="15" hidden="false" customHeight="false" outlineLevel="0" collapsed="false">
      <c r="A424" s="4" t="s">
        <v>285</v>
      </c>
      <c r="B424" s="0" t="s">
        <v>153</v>
      </c>
      <c r="C424" s="17" t="n">
        <f aca="false">a25_ni</f>
        <v>60.108</v>
      </c>
      <c r="D424" s="17" t="n">
        <f aca="false">a26_ni</f>
        <v>98.429235925</v>
      </c>
      <c r="E424" s="17" t="n">
        <f aca="false">(E420+E422)*E423</f>
        <v>160.185662437857</v>
      </c>
      <c r="F424" s="17" t="n">
        <f aca="false">(F420+F422)*F423</f>
        <v>206.570816146304</v>
      </c>
      <c r="G424" s="17" t="n">
        <f aca="false">(G420+G422)*G423</f>
        <v>236.106041323969</v>
      </c>
    </row>
    <row r="425" customFormat="false" ht="15" hidden="false" customHeight="false" outlineLevel="0" collapsed="false">
      <c r="A425" s="4" t="s">
        <v>382</v>
      </c>
      <c r="B425" s="4" t="s">
        <v>179</v>
      </c>
      <c r="C425" s="20" t="n">
        <f aca="false">a25_sh</f>
        <v>2.59757994814175</v>
      </c>
      <c r="D425" s="20" t="n">
        <f aca="false">a26_sh</f>
        <v>2.59806708357021</v>
      </c>
      <c r="E425" s="20" t="n">
        <f aca="false">D425*(1+sh_g)</f>
        <v>2.59806708357021</v>
      </c>
      <c r="F425" s="20" t="n">
        <f aca="false">E425*(1+sh_g)</f>
        <v>2.59806708357021</v>
      </c>
      <c r="G425" s="20" t="n">
        <f aca="false">F425*(1+sh_g)</f>
        <v>2.59806708357021</v>
      </c>
    </row>
    <row r="426" customFormat="false" ht="15" hidden="false" customHeight="false" outlineLevel="0" collapsed="false">
      <c r="A426" s="0" t="s">
        <v>290</v>
      </c>
      <c r="B426" s="0" t="s">
        <v>210</v>
      </c>
      <c r="C426" s="18" t="n">
        <f aca="false">C424/C425</f>
        <v>23.14</v>
      </c>
      <c r="D426" s="18" t="n">
        <f aca="false">D424/D425</f>
        <v>37.8855636744147</v>
      </c>
      <c r="E426" s="18" t="n">
        <f aca="false">E424/E425</f>
        <v>61.6557068333022</v>
      </c>
      <c r="F426" s="18" t="n">
        <f aca="false">F424/F425</f>
        <v>79.5094235451528</v>
      </c>
      <c r="G426" s="18" t="n">
        <f aca="false">G424/G425</f>
        <v>90.8775769559871</v>
      </c>
    </row>
    <row r="427" customFormat="false" ht="17.15" hidden="false" customHeight="false" outlineLevel="0" collapsed="false">
      <c r="A427" s="0" t="s">
        <v>383</v>
      </c>
      <c r="B427" s="0" t="s">
        <v>46</v>
      </c>
      <c r="D427" s="12" t="n">
        <f aca="false">D426/C426-1</f>
        <v>0.637232656629847</v>
      </c>
      <c r="E427" s="12" t="n">
        <f aca="false">E426/D426-1</f>
        <v>0.627419545955979</v>
      </c>
      <c r="F427" s="12" t="n">
        <f aca="false">F426/E426-1</f>
        <v>0.289571195090203</v>
      </c>
      <c r="G427" s="12" t="n">
        <f aca="false">G426/F426-1</f>
        <v>0.142978692385796</v>
      </c>
    </row>
    <row r="430" customFormat="false" ht="17.15" hidden="false" customHeight="false" outlineLevel="0" collapsed="false">
      <c r="A430" s="1" t="s">
        <v>587</v>
      </c>
    </row>
    <row r="431" customFormat="false" ht="17.15" hidden="false" customHeight="false" outlineLevel="0" collapsed="false">
      <c r="A431" s="5" t="s">
        <v>15</v>
      </c>
      <c r="B431" s="5" t="s">
        <v>16</v>
      </c>
      <c r="C431" s="9" t="s">
        <v>262</v>
      </c>
      <c r="D431" s="9" t="s">
        <v>341</v>
      </c>
      <c r="E431" s="9" t="s">
        <v>342</v>
      </c>
      <c r="F431" s="9" t="s">
        <v>343</v>
      </c>
      <c r="G431" s="9" t="s">
        <v>344</v>
      </c>
      <c r="H431" s="5" t="s">
        <v>317</v>
      </c>
    </row>
    <row r="432" customFormat="false" ht="17.15" hidden="false" customHeight="false" outlineLevel="0" collapsed="false">
      <c r="A432" s="6" t="s">
        <v>359</v>
      </c>
    </row>
    <row r="433" customFormat="false" ht="17.15" hidden="false" customHeight="false" outlineLevel="0" collapsed="false">
      <c r="A433" s="0" t="s">
        <v>360</v>
      </c>
      <c r="B433" s="0" t="s">
        <v>26</v>
      </c>
      <c r="D433" s="18" t="n">
        <f aca="false">itc_26*1</f>
        <v>781.872916666667</v>
      </c>
      <c r="E433" s="18" t="n">
        <f aca="false">itc_27*1*1</f>
        <v>1565.35</v>
      </c>
      <c r="F433" s="18" t="n">
        <f aca="false">itc_28*um28_A*1</f>
        <v>1984.26388888889</v>
      </c>
      <c r="G433" s="18" t="n">
        <f aca="false">itc_29*um29_A*1</f>
        <v>2260.39027777778</v>
      </c>
    </row>
    <row r="434" customFormat="false" ht="17.15" hidden="false" customHeight="false" outlineLevel="0" collapsed="false">
      <c r="A434" s="4" t="s">
        <v>361</v>
      </c>
      <c r="B434" s="0" t="s">
        <v>26</v>
      </c>
      <c r="D434" s="18" t="n">
        <f aca="false">itpg_gb*(1-vr26)+itpg_vr*vr26</f>
        <v>33.41403216</v>
      </c>
      <c r="E434" s="18" t="n">
        <f aca="false">itpg_vr</f>
        <v>37.586352</v>
      </c>
      <c r="F434" s="18" t="n">
        <f aca="false">itpg_vr</f>
        <v>37.586352</v>
      </c>
      <c r="G434" s="18" t="n">
        <f aca="false">itpg_vr</f>
        <v>37.586352</v>
      </c>
    </row>
    <row r="435" customFormat="false" ht="17.15" hidden="false" customHeight="false" outlineLevel="0" collapsed="false">
      <c r="A435" s="4" t="s">
        <v>362</v>
      </c>
      <c r="B435" s="0" t="s">
        <v>319</v>
      </c>
      <c r="D435" s="15" t="n">
        <f aca="false">D433/D434</f>
        <v>23.3995380420639</v>
      </c>
      <c r="E435" s="15" t="n">
        <f aca="false">E433/E434</f>
        <v>41.6467658260637</v>
      </c>
      <c r="F435" s="15" t="n">
        <f aca="false">F433/F434</f>
        <v>52.792138191248</v>
      </c>
      <c r="G435" s="15" t="n">
        <f aca="false">G433/G434</f>
        <v>60.1385917361116</v>
      </c>
    </row>
    <row r="436" customFormat="false" ht="17.15" hidden="false" customHeight="false" outlineLevel="0" collapsed="false">
      <c r="A436" s="0" t="s">
        <v>321</v>
      </c>
      <c r="B436" s="0" t="s">
        <v>89</v>
      </c>
      <c r="D436" s="16" t="n">
        <f aca="false">pkw_26</f>
        <v>450</v>
      </c>
      <c r="E436" s="16" t="n">
        <f aca="false">pkw_27</f>
        <v>600</v>
      </c>
      <c r="F436" s="16" t="n">
        <f aca="false">pkw_28</f>
        <v>680</v>
      </c>
      <c r="G436" s="16" t="n">
        <f aca="false">pkw_29</f>
        <v>720</v>
      </c>
    </row>
    <row r="437" customFormat="false" ht="17.15" hidden="false" customHeight="false" outlineLevel="0" collapsed="false">
      <c r="A437" s="0" t="s">
        <v>363</v>
      </c>
      <c r="B437" s="0" t="s">
        <v>26</v>
      </c>
      <c r="D437" s="18" t="n">
        <f aca="false">D435*D436/1000</f>
        <v>10.5297921189288</v>
      </c>
      <c r="E437" s="18" t="n">
        <f aca="false">E435*E436/1000</f>
        <v>24.9880594956382</v>
      </c>
      <c r="F437" s="18" t="n">
        <f aca="false">F435*F436/1000</f>
        <v>35.8986539700486</v>
      </c>
      <c r="G437" s="18" t="n">
        <f aca="false">G435*G436/1000</f>
        <v>43.2997860500003</v>
      </c>
    </row>
    <row r="438" customFormat="false" ht="17.15" hidden="false" customHeight="false" outlineLevel="0" collapsed="false">
      <c r="A438" s="0" t="s">
        <v>364</v>
      </c>
      <c r="B438" s="0" t="s">
        <v>153</v>
      </c>
      <c r="D438" s="17" t="n">
        <f aca="false">D437*fx</f>
        <v>336.95334780572</v>
      </c>
      <c r="E438" s="17" t="n">
        <f aca="false">E437*fx</f>
        <v>799.617903860422</v>
      </c>
      <c r="F438" s="17" t="n">
        <f aca="false">F437*fx</f>
        <v>1148.75692704156</v>
      </c>
      <c r="G438" s="17" t="n">
        <f aca="false">G437*fx</f>
        <v>1385.59315360001</v>
      </c>
    </row>
    <row r="439" customFormat="false" ht="17.15" hidden="false" customHeight="false" outlineLevel="0" collapsed="false">
      <c r="A439" s="4" t="s">
        <v>365</v>
      </c>
      <c r="B439" s="0" t="s">
        <v>46</v>
      </c>
      <c r="D439" s="12" t="n">
        <f aca="false">a26_aip/D438</f>
        <v>0.583671939396772</v>
      </c>
      <c r="H439" s="8" t="s">
        <v>366</v>
      </c>
    </row>
    <row r="440" customFormat="false" ht="17.15" hidden="false" customHeight="false" outlineLevel="0" collapsed="false">
      <c r="A440" s="4" t="s">
        <v>367</v>
      </c>
      <c r="B440" s="0" t="s">
        <v>62</v>
      </c>
      <c r="D440" s="13" t="n">
        <f aca="false">1</f>
        <v>1</v>
      </c>
      <c r="E440" s="13" t="n">
        <f aca="false">rel_27</f>
        <v>0.95</v>
      </c>
      <c r="F440" s="13" t="n">
        <f aca="false">rel_28</f>
        <v>0.9</v>
      </c>
      <c r="G440" s="13" t="n">
        <f aca="false">rel_29</f>
        <v>0.85</v>
      </c>
    </row>
    <row r="441" customFormat="false" ht="15" hidden="false" customHeight="false" outlineLevel="0" collapsed="false">
      <c r="A441" s="4" t="s">
        <v>328</v>
      </c>
      <c r="B441" s="0" t="s">
        <v>46</v>
      </c>
      <c r="D441" s="12" t="n">
        <f aca="false">$D$439*D440</f>
        <v>0.583671939396772</v>
      </c>
      <c r="E441" s="12" t="n">
        <f aca="false">$D$439*E440</f>
        <v>0.554488342426934</v>
      </c>
      <c r="F441" s="12" t="n">
        <f aca="false">$D$439*F440</f>
        <v>0.525304745457095</v>
      </c>
      <c r="G441" s="12" t="n">
        <f aca="false">$D$439*G440</f>
        <v>0.496121148487257</v>
      </c>
    </row>
    <row r="442" customFormat="false" ht="17.15" hidden="false" customHeight="false" outlineLevel="0" collapsed="false">
      <c r="A442" s="0" t="s">
        <v>368</v>
      </c>
      <c r="B442" s="0" t="s">
        <v>153</v>
      </c>
      <c r="C442" s="17" t="n">
        <f aca="false">a25_aip</f>
        <v>99.8793</v>
      </c>
      <c r="D442" s="17" t="n">
        <f aca="false">D438*D441</f>
        <v>196.670214</v>
      </c>
      <c r="E442" s="17" t="n">
        <f aca="false">E438*E441</f>
        <v>443.378806086465</v>
      </c>
      <c r="F442" s="17" t="n">
        <f aca="false">F438*F441</f>
        <v>603.44746515164</v>
      </c>
      <c r="G442" s="17" t="n">
        <f aca="false">G438*G441</f>
        <v>687.422066700117</v>
      </c>
    </row>
    <row r="443" customFormat="false" ht="17.15" hidden="false" customHeight="false" outlineLevel="0" collapsed="false">
      <c r="A443" s="6" t="s">
        <v>369</v>
      </c>
    </row>
    <row r="444" customFormat="false" ht="17.15" hidden="false" customHeight="false" outlineLevel="0" collapsed="false">
      <c r="A444" s="4" t="s">
        <v>370</v>
      </c>
      <c r="B444" s="0" t="s">
        <v>371</v>
      </c>
      <c r="D444" s="20" t="n">
        <f aca="false">a26_lc/D435</f>
        <v>4.04080573428535</v>
      </c>
    </row>
    <row r="445" customFormat="false" ht="17.15" hidden="false" customHeight="false" outlineLevel="0" collapsed="false">
      <c r="A445" s="4" t="s">
        <v>372</v>
      </c>
      <c r="B445" s="0" t="s">
        <v>62</v>
      </c>
      <c r="D445" s="13" t="n">
        <f aca="false">1</f>
        <v>1</v>
      </c>
      <c r="E445" s="13" t="n">
        <f aca="false">lcr_27</f>
        <v>1.1</v>
      </c>
      <c r="F445" s="13" t="n">
        <f aca="false">lcr_28</f>
        <v>1.15</v>
      </c>
      <c r="G445" s="13" t="n">
        <f aca="false">lcr_29</f>
        <v>1.2</v>
      </c>
    </row>
    <row r="446" customFormat="false" ht="15" hidden="false" customHeight="false" outlineLevel="0" collapsed="false">
      <c r="A446" s="4" t="s">
        <v>373</v>
      </c>
      <c r="B446" s="0" t="s">
        <v>153</v>
      </c>
      <c r="C446" s="17" t="n">
        <f aca="false">a25_lc</f>
        <v>55.4885</v>
      </c>
      <c r="D446" s="17" t="n">
        <f aca="false">D435*$D$444*D445</f>
        <v>94.5529875</v>
      </c>
      <c r="E446" s="17" t="n">
        <f aca="false">E435*$D$444*E445</f>
        <v>185.115139180837</v>
      </c>
      <c r="F446" s="17" t="n">
        <f aca="false">F435*$D$444*F445</f>
        <v>245.321190937636</v>
      </c>
      <c r="G446" s="17" t="n">
        <f aca="false">G435*$D$444*G445</f>
        <v>291.61003960695</v>
      </c>
    </row>
    <row r="447" customFormat="false" ht="17.15" hidden="false" customHeight="false" outlineLevel="0" collapsed="false">
      <c r="A447" s="4" t="s">
        <v>374</v>
      </c>
      <c r="B447" s="0" t="s">
        <v>153</v>
      </c>
      <c r="C447" s="17" t="n">
        <f aca="false">a25_nai</f>
        <v>399.5172</v>
      </c>
      <c r="D447" s="17" t="n">
        <f aca="false">a26_nai</f>
        <v>465.2006985</v>
      </c>
      <c r="E447" s="17" t="n">
        <f aca="false">D447*(1+g_nai27)</f>
        <v>493.11274041</v>
      </c>
      <c r="F447" s="17" t="n">
        <f aca="false">E447*(1+g_nai28)</f>
        <v>517.7683774305</v>
      </c>
      <c r="G447" s="17" t="n">
        <f aca="false">F447*(1+g_nai29)</f>
        <v>538.47911252772</v>
      </c>
    </row>
    <row r="448" customFormat="false" ht="15" hidden="false" customHeight="false" outlineLevel="0" collapsed="false">
      <c r="A448" s="4" t="s">
        <v>268</v>
      </c>
      <c r="B448" s="0" t="s">
        <v>153</v>
      </c>
      <c r="C448" s="17" t="n">
        <f aca="false">C442+C446+C447</f>
        <v>554.885</v>
      </c>
      <c r="D448" s="17" t="n">
        <f aca="false">D442+D446+D447</f>
        <v>756.4239</v>
      </c>
      <c r="E448" s="17" t="n">
        <f aca="false">E442+E446+E447</f>
        <v>1121.6066856773</v>
      </c>
      <c r="F448" s="17" t="n">
        <f aca="false">F442+F446+F447</f>
        <v>1366.53703351978</v>
      </c>
      <c r="G448" s="17" t="n">
        <f aca="false">G442+G446+G447</f>
        <v>1517.51121883479</v>
      </c>
    </row>
    <row r="449" customFormat="false" ht="15" hidden="false" customHeight="false" outlineLevel="0" collapsed="false">
      <c r="A449" s="4" t="s">
        <v>375</v>
      </c>
      <c r="B449" s="0" t="s">
        <v>46</v>
      </c>
      <c r="D449" s="12" t="n">
        <f aca="false">D448/C448-1</f>
        <v>0.363208412553953</v>
      </c>
      <c r="E449" s="12" t="n">
        <f aca="false">E448/D448-1</f>
        <v>0.482775313785434</v>
      </c>
      <c r="F449" s="12" t="n">
        <f aca="false">F448/E448-1</f>
        <v>0.218374543385116</v>
      </c>
      <c r="G449" s="12" t="n">
        <f aca="false">G448/F448-1</f>
        <v>0.110479395443933</v>
      </c>
    </row>
    <row r="450" customFormat="false" ht="17.15" hidden="false" customHeight="false" outlineLevel="0" collapsed="false">
      <c r="A450" s="0" t="s">
        <v>376</v>
      </c>
      <c r="B450" s="0" t="s">
        <v>46</v>
      </c>
      <c r="C450" s="12" t="n">
        <f aca="false">C442/C448</f>
        <v>0.18</v>
      </c>
      <c r="D450" s="12" t="n">
        <f aca="false">D442/D448</f>
        <v>0.26</v>
      </c>
      <c r="E450" s="12" t="n">
        <f aca="false">E442/E448</f>
        <v>0.39530685020723</v>
      </c>
      <c r="F450" s="12" t="n">
        <f aca="false">F442/F448</f>
        <v>0.441588811974854</v>
      </c>
      <c r="G450" s="12" t="n">
        <f aca="false">G442/G448</f>
        <v>0.45299307060672</v>
      </c>
    </row>
    <row r="451" customFormat="false" ht="17.15" hidden="false" customHeight="false" outlineLevel="0" collapsed="false">
      <c r="A451" s="0" t="s">
        <v>377</v>
      </c>
      <c r="B451" s="0" t="s">
        <v>46</v>
      </c>
      <c r="C451" s="12" t="n">
        <f aca="false">(C442+C446)/C448</f>
        <v>0.28</v>
      </c>
      <c r="D451" s="12" t="n">
        <f aca="false">(D442+D446)/D448</f>
        <v>0.385</v>
      </c>
      <c r="E451" s="12" t="n">
        <f aca="false">(E442+E446)/E448</f>
        <v>0.560351461250229</v>
      </c>
      <c r="F451" s="12" t="n">
        <f aca="false">(F442+F446)/F448</f>
        <v>0.621109150553433</v>
      </c>
      <c r="G451" s="12" t="n">
        <f aca="false">(G442+G446)/G448</f>
        <v>0.645156420694413</v>
      </c>
    </row>
    <row r="452" customFormat="false" ht="17.15" hidden="false" customHeight="false" outlineLevel="0" collapsed="false">
      <c r="A452" s="4" t="s">
        <v>335</v>
      </c>
      <c r="B452" s="0" t="s">
        <v>336</v>
      </c>
      <c r="D452" s="16" t="n">
        <f aca="false">(D442+D446)/fx/D435*1000</f>
        <v>388.927551924965</v>
      </c>
      <c r="E452" s="16" t="n">
        <f aca="false">(E442+E446)/fx/E435*1000</f>
        <v>471.595702572219</v>
      </c>
      <c r="F452" s="16" t="n">
        <f aca="false">(F442+F446)/fx/F435*1000</f>
        <v>502.423682986704</v>
      </c>
      <c r="G452" s="16" t="n">
        <f aca="false">(G442+G446)/fx/G435*1000</f>
        <v>508.737441946525</v>
      </c>
    </row>
    <row r="453" customFormat="false" ht="17.15" hidden="false" customHeight="false" outlineLevel="0" collapsed="false">
      <c r="A453" s="6" t="s">
        <v>378</v>
      </c>
    </row>
    <row r="454" customFormat="false" ht="17.15" hidden="false" customHeight="false" outlineLevel="0" collapsed="false">
      <c r="A454" s="4" t="s">
        <v>379</v>
      </c>
      <c r="B454" s="0" t="s">
        <v>46</v>
      </c>
      <c r="D454" s="12" t="n">
        <f aca="false">a26_gp/D448-d_ai_lo*D450</f>
        <v>0.350874417690927</v>
      </c>
      <c r="H454" s="8" t="s">
        <v>380</v>
      </c>
    </row>
    <row r="455" customFormat="false" ht="15" hidden="false" customHeight="false" outlineLevel="0" collapsed="false">
      <c r="A455" s="4" t="s">
        <v>272</v>
      </c>
      <c r="B455" s="0" t="s">
        <v>153</v>
      </c>
      <c r="C455" s="17" t="n">
        <f aca="false">a25_gp</f>
        <v>190.2</v>
      </c>
      <c r="D455" s="17" t="n">
        <f aca="false">a26_gp</f>
        <v>273.276604</v>
      </c>
      <c r="E455" s="17" t="n">
        <f aca="false">$D$454*E448+d_ai_lo*E442</f>
        <v>411.278244958733</v>
      </c>
      <c r="F455" s="17" t="n">
        <f aca="false">$D$454*F448+d_ai_lo*F442</f>
        <v>503.620784495404</v>
      </c>
      <c r="G455" s="17" t="n">
        <f aca="false">$D$454*G448+d_ai_lo*G442</f>
        <v>559.952747916109</v>
      </c>
    </row>
    <row r="456" customFormat="false" ht="15" hidden="false" customHeight="false" outlineLevel="0" collapsed="false">
      <c r="A456" s="4" t="s">
        <v>274</v>
      </c>
      <c r="B456" s="0" t="s">
        <v>46</v>
      </c>
      <c r="C456" s="12" t="n">
        <f aca="false">C455/C448</f>
        <v>0.342773727889563</v>
      </c>
      <c r="D456" s="12" t="n">
        <f aca="false">D455/D448</f>
        <v>0.361274417690927</v>
      </c>
      <c r="E456" s="12" t="n">
        <f aca="false">E455/E448</f>
        <v>0.366686691699216</v>
      </c>
      <c r="F456" s="12" t="n">
        <f aca="false">F455/F448</f>
        <v>0.368537970169921</v>
      </c>
      <c r="G456" s="12" t="n">
        <f aca="false">G455/G448</f>
        <v>0.368994140515196</v>
      </c>
    </row>
    <row r="457" customFormat="false" ht="15" hidden="false" customHeight="false" outlineLevel="0" collapsed="false">
      <c r="A457" s="4" t="s">
        <v>381</v>
      </c>
      <c r="B457" s="0" t="s">
        <v>153</v>
      </c>
      <c r="C457" s="17" t="n">
        <f aca="false">a25_opx</f>
        <v>106.3</v>
      </c>
      <c r="D457" s="17" t="n">
        <f aca="false">a26_opx</f>
        <v>141.924088166667</v>
      </c>
      <c r="E457" s="17" t="n">
        <f aca="false">D457*(1+MAX(0,phi*E449))</f>
        <v>196.738045125366</v>
      </c>
      <c r="F457" s="17" t="n">
        <f aca="false">E457*(1+MAX(0,phi*F449))</f>
        <v>231.108109741952</v>
      </c>
      <c r="G457" s="17" t="n">
        <f aca="false">F457*(1+MAX(0,phi*G449))</f>
        <v>251.534257139136</v>
      </c>
    </row>
    <row r="458" customFormat="false" ht="15" hidden="false" customHeight="false" outlineLevel="0" collapsed="false">
      <c r="A458" s="4" t="s">
        <v>276</v>
      </c>
      <c r="B458" s="0" t="s">
        <v>153</v>
      </c>
      <c r="C458" s="17" t="n">
        <f aca="false">C457</f>
        <v>106.3</v>
      </c>
      <c r="D458" s="17" t="n">
        <f aca="false">D457</f>
        <v>141.924088166667</v>
      </c>
      <c r="E458" s="17" t="n">
        <f aca="false">E457+0*E448</f>
        <v>196.738045125366</v>
      </c>
      <c r="F458" s="17" t="n">
        <f aca="false">F457+0*F448</f>
        <v>231.108109741952</v>
      </c>
      <c r="G458" s="17" t="n">
        <f aca="false">G457+0*G448</f>
        <v>251.534257139136</v>
      </c>
    </row>
    <row r="459" customFormat="false" ht="15" hidden="false" customHeight="false" outlineLevel="0" collapsed="false">
      <c r="A459" s="4" t="s">
        <v>278</v>
      </c>
      <c r="B459" s="0" t="s">
        <v>153</v>
      </c>
      <c r="C459" s="17" t="n">
        <f aca="false">C455-C458</f>
        <v>83.9</v>
      </c>
      <c r="D459" s="17" t="n">
        <f aca="false">D455-D458</f>
        <v>131.352515833333</v>
      </c>
      <c r="E459" s="17" t="n">
        <f aca="false">E455-E458</f>
        <v>214.540199833367</v>
      </c>
      <c r="F459" s="17" t="n">
        <f aca="false">F455-F458</f>
        <v>272.512674753452</v>
      </c>
      <c r="G459" s="17" t="n">
        <f aca="false">G455-G458</f>
        <v>308.418490776973</v>
      </c>
    </row>
    <row r="460" customFormat="false" ht="15" hidden="false" customHeight="false" outlineLevel="0" collapsed="false">
      <c r="A460" s="4" t="s">
        <v>280</v>
      </c>
      <c r="B460" s="0" t="s">
        <v>46</v>
      </c>
      <c r="C460" s="12" t="n">
        <f aca="false">C459/C448</f>
        <v>0.151202501419213</v>
      </c>
      <c r="D460" s="12" t="n">
        <f aca="false">D459/D448</f>
        <v>0.173649346396027</v>
      </c>
      <c r="E460" s="12" t="n">
        <f aca="false">E459/E448</f>
        <v>0.19127935182003</v>
      </c>
      <c r="F460" s="12" t="n">
        <f aca="false">F459/F448</f>
        <v>0.199418433653089</v>
      </c>
      <c r="G460" s="12" t="n">
        <f aca="false">G459/G448</f>
        <v>0.203239677538457</v>
      </c>
    </row>
    <row r="461" customFormat="false" ht="15" hidden="false" customHeight="false" outlineLevel="0" collapsed="false">
      <c r="A461" s="4" t="s">
        <v>282</v>
      </c>
      <c r="B461" s="0" t="s">
        <v>153</v>
      </c>
      <c r="C461" s="17" t="n">
        <f aca="false">a25_nop</f>
        <v>3.934</v>
      </c>
      <c r="D461" s="17" t="n">
        <f aca="false">a26_nop</f>
        <v>11.1666666666667</v>
      </c>
      <c r="E461" s="17" t="n">
        <f aca="false">nop_f</f>
        <v>8</v>
      </c>
      <c r="F461" s="17" t="n">
        <f aca="false">nop_f</f>
        <v>8</v>
      </c>
      <c r="G461" s="17" t="n">
        <f aca="false">nop_f</f>
        <v>8</v>
      </c>
    </row>
    <row r="462" customFormat="false" ht="17.15" hidden="false" customHeight="false" outlineLevel="0" collapsed="false">
      <c r="A462" s="4" t="s">
        <v>195</v>
      </c>
      <c r="B462" s="0" t="s">
        <v>46</v>
      </c>
      <c r="C462" s="12" t="n">
        <f aca="false">a25_ni/(a25_oi+a25_nop)</f>
        <v>0.684336361773345</v>
      </c>
      <c r="D462" s="12" t="n">
        <f aca="false">a26_ni/(a26_oi+a26_nop)</f>
        <v>0.690638510538748</v>
      </c>
      <c r="E462" s="12" t="n">
        <f aca="false">nir_f</f>
        <v>0.69</v>
      </c>
      <c r="F462" s="12" t="n">
        <f aca="false">nir_f</f>
        <v>0.69</v>
      </c>
      <c r="G462" s="12" t="n">
        <f aca="false">nir_f</f>
        <v>0.69</v>
      </c>
    </row>
    <row r="463" customFormat="false" ht="15" hidden="false" customHeight="false" outlineLevel="0" collapsed="false">
      <c r="A463" s="4" t="s">
        <v>285</v>
      </c>
      <c r="B463" s="0" t="s">
        <v>153</v>
      </c>
      <c r="C463" s="17" t="n">
        <f aca="false">a25_ni</f>
        <v>60.108</v>
      </c>
      <c r="D463" s="17" t="n">
        <f aca="false">a26_ni</f>
        <v>98.429235925</v>
      </c>
      <c r="E463" s="17" t="n">
        <f aca="false">(E459+E461)*E462</f>
        <v>153.552737885023</v>
      </c>
      <c r="F463" s="17" t="n">
        <f aca="false">(F459+F461)*F462</f>
        <v>193.553745579882</v>
      </c>
      <c r="G463" s="17" t="n">
        <f aca="false">(G459+G461)*G462</f>
        <v>218.328758636111</v>
      </c>
    </row>
    <row r="464" customFormat="false" ht="15" hidden="false" customHeight="false" outlineLevel="0" collapsed="false">
      <c r="A464" s="4" t="s">
        <v>382</v>
      </c>
      <c r="B464" s="4" t="s">
        <v>179</v>
      </c>
      <c r="C464" s="20" t="n">
        <f aca="false">a25_sh</f>
        <v>2.59757994814175</v>
      </c>
      <c r="D464" s="20" t="n">
        <f aca="false">a26_sh</f>
        <v>2.59806708357021</v>
      </c>
      <c r="E464" s="20" t="n">
        <f aca="false">D464*(1+sh_g)</f>
        <v>2.59806708357021</v>
      </c>
      <c r="F464" s="20" t="n">
        <f aca="false">E464*(1+sh_g)</f>
        <v>2.59806708357021</v>
      </c>
      <c r="G464" s="20" t="n">
        <f aca="false">F464*(1+sh_g)</f>
        <v>2.59806708357021</v>
      </c>
    </row>
    <row r="465" customFormat="false" ht="15" hidden="false" customHeight="false" outlineLevel="0" collapsed="false">
      <c r="A465" s="0" t="s">
        <v>290</v>
      </c>
      <c r="B465" s="0" t="s">
        <v>210</v>
      </c>
      <c r="C465" s="18" t="n">
        <f aca="false">C463/C464</f>
        <v>23.14</v>
      </c>
      <c r="D465" s="18" t="n">
        <f aca="false">D463/D464</f>
        <v>37.8855636744147</v>
      </c>
      <c r="E465" s="18" t="n">
        <f aca="false">E463/E464</f>
        <v>59.1026840130756</v>
      </c>
      <c r="F465" s="18" t="n">
        <f aca="false">F463/F464</f>
        <v>74.4991331455169</v>
      </c>
      <c r="G465" s="18" t="n">
        <f aca="false">G463/G464</f>
        <v>84.0350736194573</v>
      </c>
    </row>
    <row r="466" customFormat="false" ht="17.15" hidden="false" customHeight="false" outlineLevel="0" collapsed="false">
      <c r="A466" s="0" t="s">
        <v>383</v>
      </c>
      <c r="B466" s="0" t="s">
        <v>46</v>
      </c>
      <c r="D466" s="12" t="n">
        <f aca="false">D465/C465-1</f>
        <v>0.637232656629847</v>
      </c>
      <c r="E466" s="12" t="n">
        <f aca="false">E465/D465-1</f>
        <v>0.560031797890063</v>
      </c>
      <c r="F466" s="12" t="n">
        <f aca="false">F465/E465-1</f>
        <v>0.260503383044925</v>
      </c>
      <c r="G466" s="12" t="n">
        <f aca="false">G465/F465-1</f>
        <v>0.128000690361243</v>
      </c>
    </row>
    <row r="469" customFormat="false" ht="17.15" hidden="false" customHeight="false" outlineLevel="0" collapsed="false">
      <c r="A469" s="1" t="s">
        <v>588</v>
      </c>
    </row>
    <row r="470" customFormat="false" ht="17.15" hidden="false" customHeight="false" outlineLevel="0" collapsed="false">
      <c r="A470" s="5" t="s">
        <v>15</v>
      </c>
      <c r="B470" s="5" t="s">
        <v>16</v>
      </c>
      <c r="C470" s="9" t="s">
        <v>262</v>
      </c>
      <c r="D470" s="9" t="s">
        <v>341</v>
      </c>
      <c r="E470" s="9" t="s">
        <v>342</v>
      </c>
      <c r="F470" s="9" t="s">
        <v>343</v>
      </c>
      <c r="G470" s="9" t="s">
        <v>344</v>
      </c>
      <c r="H470" s="5" t="s">
        <v>317</v>
      </c>
    </row>
    <row r="471" customFormat="false" ht="17.15" hidden="false" customHeight="false" outlineLevel="0" collapsed="false">
      <c r="A471" s="6" t="s">
        <v>359</v>
      </c>
    </row>
    <row r="472" customFormat="false" ht="17.15" hidden="false" customHeight="false" outlineLevel="0" collapsed="false">
      <c r="A472" s="0" t="s">
        <v>360</v>
      </c>
      <c r="B472" s="0" t="s">
        <v>26</v>
      </c>
      <c r="D472" s="18" t="n">
        <f aca="false">itc_26*1</f>
        <v>781.872916666667</v>
      </c>
      <c r="E472" s="18" t="n">
        <f aca="false">itc_27*1*1</f>
        <v>1565.35</v>
      </c>
      <c r="F472" s="18" t="n">
        <f aca="false">itc_28*um28_A*1</f>
        <v>1984.26388888889</v>
      </c>
      <c r="G472" s="18" t="n">
        <f aca="false">itc_29*um29_A*1</f>
        <v>2260.39027777778</v>
      </c>
    </row>
    <row r="473" customFormat="false" ht="17.15" hidden="false" customHeight="false" outlineLevel="0" collapsed="false">
      <c r="A473" s="4" t="s">
        <v>361</v>
      </c>
      <c r="B473" s="0" t="s">
        <v>26</v>
      </c>
      <c r="D473" s="18" t="n">
        <f aca="false">itpg_gb*(1-vr26)+itpg_vr*vr26</f>
        <v>33.41403216</v>
      </c>
      <c r="E473" s="18" t="n">
        <f aca="false">itpg_vr</f>
        <v>37.586352</v>
      </c>
      <c r="F473" s="18" t="n">
        <f aca="false">itpg_vr</f>
        <v>37.586352</v>
      </c>
      <c r="G473" s="18" t="n">
        <f aca="false">itpg_vr</f>
        <v>37.586352</v>
      </c>
    </row>
    <row r="474" customFormat="false" ht="17.15" hidden="false" customHeight="false" outlineLevel="0" collapsed="false">
      <c r="A474" s="4" t="s">
        <v>362</v>
      </c>
      <c r="B474" s="0" t="s">
        <v>319</v>
      </c>
      <c r="D474" s="15" t="n">
        <f aca="false">D472/D473</f>
        <v>23.3995380420639</v>
      </c>
      <c r="E474" s="15" t="n">
        <f aca="false">E472/E473</f>
        <v>41.6467658260637</v>
      </c>
      <c r="F474" s="15" t="n">
        <f aca="false">F472/F473</f>
        <v>52.792138191248</v>
      </c>
      <c r="G474" s="15" t="n">
        <f aca="false">G472/G473</f>
        <v>60.1385917361116</v>
      </c>
    </row>
    <row r="475" customFormat="false" ht="17.15" hidden="false" customHeight="false" outlineLevel="0" collapsed="false">
      <c r="A475" s="0" t="s">
        <v>321</v>
      </c>
      <c r="B475" s="0" t="s">
        <v>89</v>
      </c>
      <c r="D475" s="16" t="n">
        <f aca="false">pkw_26</f>
        <v>450</v>
      </c>
      <c r="E475" s="16" t="n">
        <f aca="false">pkw_27</f>
        <v>600</v>
      </c>
      <c r="F475" s="16" t="n">
        <f aca="false">pkw_28</f>
        <v>680</v>
      </c>
      <c r="G475" s="16" t="n">
        <f aca="false">pkw_29</f>
        <v>720</v>
      </c>
    </row>
    <row r="476" customFormat="false" ht="17.15" hidden="false" customHeight="false" outlineLevel="0" collapsed="false">
      <c r="A476" s="0" t="s">
        <v>363</v>
      </c>
      <c r="B476" s="0" t="s">
        <v>26</v>
      </c>
      <c r="D476" s="18" t="n">
        <f aca="false">D474*D475/1000</f>
        <v>10.5297921189288</v>
      </c>
      <c r="E476" s="18" t="n">
        <f aca="false">E474*E475/1000</f>
        <v>24.9880594956382</v>
      </c>
      <c r="F476" s="18" t="n">
        <f aca="false">F474*F475/1000</f>
        <v>35.8986539700486</v>
      </c>
      <c r="G476" s="18" t="n">
        <f aca="false">G474*G475/1000</f>
        <v>43.2997860500003</v>
      </c>
    </row>
    <row r="477" customFormat="false" ht="17.15" hidden="false" customHeight="false" outlineLevel="0" collapsed="false">
      <c r="A477" s="0" t="s">
        <v>364</v>
      </c>
      <c r="B477" s="0" t="s">
        <v>153</v>
      </c>
      <c r="D477" s="17" t="n">
        <f aca="false">D476*fx</f>
        <v>336.95334780572</v>
      </c>
      <c r="E477" s="17" t="n">
        <f aca="false">E476*fx</f>
        <v>799.617903860422</v>
      </c>
      <c r="F477" s="17" t="n">
        <f aca="false">F476*fx</f>
        <v>1148.75692704156</v>
      </c>
      <c r="G477" s="17" t="n">
        <f aca="false">G476*fx</f>
        <v>1385.59315360001</v>
      </c>
    </row>
    <row r="478" customFormat="false" ht="17.15" hidden="false" customHeight="false" outlineLevel="0" collapsed="false">
      <c r="A478" s="4" t="s">
        <v>365</v>
      </c>
      <c r="B478" s="0" t="s">
        <v>46</v>
      </c>
      <c r="D478" s="12" t="n">
        <f aca="false">a26_aip/D477</f>
        <v>0.583671939396772</v>
      </c>
      <c r="H478" s="8" t="s">
        <v>366</v>
      </c>
    </row>
    <row r="479" customFormat="false" ht="17.15" hidden="false" customHeight="false" outlineLevel="0" collapsed="false">
      <c r="A479" s="4" t="s">
        <v>367</v>
      </c>
      <c r="B479" s="0" t="s">
        <v>62</v>
      </c>
      <c r="D479" s="13" t="n">
        <f aca="false">1</f>
        <v>1</v>
      </c>
      <c r="E479" s="13" t="n">
        <f aca="false">rel_27</f>
        <v>0.95</v>
      </c>
      <c r="F479" s="13" t="n">
        <f aca="false">rel_28</f>
        <v>0.9</v>
      </c>
      <c r="G479" s="13" t="n">
        <f aca="false">rel_29</f>
        <v>0.85</v>
      </c>
    </row>
    <row r="480" customFormat="false" ht="15" hidden="false" customHeight="false" outlineLevel="0" collapsed="false">
      <c r="A480" s="4" t="s">
        <v>328</v>
      </c>
      <c r="B480" s="0" t="s">
        <v>46</v>
      </c>
      <c r="D480" s="12" t="n">
        <f aca="false">$D$478*D479</f>
        <v>0.583671939396772</v>
      </c>
      <c r="E480" s="12" t="n">
        <f aca="false">$D$478*E479</f>
        <v>0.554488342426934</v>
      </c>
      <c r="F480" s="12" t="n">
        <f aca="false">$D$478*F479</f>
        <v>0.525304745457095</v>
      </c>
      <c r="G480" s="12" t="n">
        <f aca="false">$D$478*G479</f>
        <v>0.496121148487257</v>
      </c>
    </row>
    <row r="481" customFormat="false" ht="17.15" hidden="false" customHeight="false" outlineLevel="0" collapsed="false">
      <c r="A481" s="0" t="s">
        <v>368</v>
      </c>
      <c r="B481" s="0" t="s">
        <v>153</v>
      </c>
      <c r="C481" s="17" t="n">
        <f aca="false">a25_aip</f>
        <v>99.8793</v>
      </c>
      <c r="D481" s="17" t="n">
        <f aca="false">D477*D480</f>
        <v>196.670214</v>
      </c>
      <c r="E481" s="17" t="n">
        <f aca="false">E477*E480</f>
        <v>443.378806086465</v>
      </c>
      <c r="F481" s="17" t="n">
        <f aca="false">F477*F480</f>
        <v>603.44746515164</v>
      </c>
      <c r="G481" s="17" t="n">
        <f aca="false">G477*G480</f>
        <v>687.422066700117</v>
      </c>
    </row>
    <row r="482" customFormat="false" ht="17.15" hidden="false" customHeight="false" outlineLevel="0" collapsed="false">
      <c r="A482" s="6" t="s">
        <v>369</v>
      </c>
    </row>
    <row r="483" customFormat="false" ht="17.15" hidden="false" customHeight="false" outlineLevel="0" collapsed="false">
      <c r="A483" s="4" t="s">
        <v>370</v>
      </c>
      <c r="B483" s="0" t="s">
        <v>371</v>
      </c>
      <c r="D483" s="20" t="n">
        <f aca="false">a26_lc/D474</f>
        <v>4.04080573428535</v>
      </c>
    </row>
    <row r="484" customFormat="false" ht="17.15" hidden="false" customHeight="false" outlineLevel="0" collapsed="false">
      <c r="A484" s="4" t="s">
        <v>372</v>
      </c>
      <c r="B484" s="0" t="s">
        <v>62</v>
      </c>
      <c r="D484" s="13" t="n">
        <f aca="false">1</f>
        <v>1</v>
      </c>
      <c r="E484" s="13" t="n">
        <f aca="false">lcr_27</f>
        <v>1.1</v>
      </c>
      <c r="F484" s="13" t="n">
        <f aca="false">lcr_28</f>
        <v>1.15</v>
      </c>
      <c r="G484" s="13" t="n">
        <f aca="false">lcr_29</f>
        <v>1.2</v>
      </c>
    </row>
    <row r="485" customFormat="false" ht="15" hidden="false" customHeight="false" outlineLevel="0" collapsed="false">
      <c r="A485" s="4" t="s">
        <v>373</v>
      </c>
      <c r="B485" s="0" t="s">
        <v>153</v>
      </c>
      <c r="C485" s="17" t="n">
        <f aca="false">a25_lc</f>
        <v>55.4885</v>
      </c>
      <c r="D485" s="17" t="n">
        <f aca="false">D474*$D$483*D484</f>
        <v>94.5529875</v>
      </c>
      <c r="E485" s="17" t="n">
        <f aca="false">E474*$D$483*E484</f>
        <v>185.115139180837</v>
      </c>
      <c r="F485" s="17" t="n">
        <f aca="false">F474*$D$483*F484</f>
        <v>245.321190937636</v>
      </c>
      <c r="G485" s="17" t="n">
        <f aca="false">G474*$D$483*G484</f>
        <v>291.61003960695</v>
      </c>
    </row>
    <row r="486" customFormat="false" ht="17.15" hidden="false" customHeight="false" outlineLevel="0" collapsed="false">
      <c r="A486" s="4" t="s">
        <v>374</v>
      </c>
      <c r="B486" s="0" t="s">
        <v>153</v>
      </c>
      <c r="C486" s="17" t="n">
        <f aca="false">a25_nai</f>
        <v>399.5172</v>
      </c>
      <c r="D486" s="17" t="n">
        <f aca="false">a26_nai</f>
        <v>465.2006985</v>
      </c>
      <c r="E486" s="17" t="n">
        <f aca="false">D486*(1+g_nai27)</f>
        <v>493.11274041</v>
      </c>
      <c r="F486" s="17" t="n">
        <f aca="false">E486*(1+g_nai28)</f>
        <v>517.7683774305</v>
      </c>
      <c r="G486" s="17" t="n">
        <f aca="false">F486*(1+g_nai29)</f>
        <v>538.47911252772</v>
      </c>
    </row>
    <row r="487" customFormat="false" ht="15" hidden="false" customHeight="false" outlineLevel="0" collapsed="false">
      <c r="A487" s="4" t="s">
        <v>268</v>
      </c>
      <c r="B487" s="0" t="s">
        <v>153</v>
      </c>
      <c r="C487" s="17" t="n">
        <f aca="false">C481+C485+C486</f>
        <v>554.885</v>
      </c>
      <c r="D487" s="17" t="n">
        <f aca="false">D481+D485+D486</f>
        <v>756.4239</v>
      </c>
      <c r="E487" s="17" t="n">
        <f aca="false">E481+E485+E486</f>
        <v>1121.6066856773</v>
      </c>
      <c r="F487" s="17" t="n">
        <f aca="false">F481+F485+F486</f>
        <v>1366.53703351978</v>
      </c>
      <c r="G487" s="17" t="n">
        <f aca="false">G481+G485+G486</f>
        <v>1517.51121883479</v>
      </c>
    </row>
    <row r="488" customFormat="false" ht="15" hidden="false" customHeight="false" outlineLevel="0" collapsed="false">
      <c r="A488" s="4" t="s">
        <v>375</v>
      </c>
      <c r="B488" s="0" t="s">
        <v>46</v>
      </c>
      <c r="D488" s="12" t="n">
        <f aca="false">D487/C487-1</f>
        <v>0.363208412553953</v>
      </c>
      <c r="E488" s="12" t="n">
        <f aca="false">E487/D487-1</f>
        <v>0.482775313785434</v>
      </c>
      <c r="F488" s="12" t="n">
        <f aca="false">F487/E487-1</f>
        <v>0.218374543385116</v>
      </c>
      <c r="G488" s="12" t="n">
        <f aca="false">G487/F487-1</f>
        <v>0.110479395443933</v>
      </c>
    </row>
    <row r="489" customFormat="false" ht="17.15" hidden="false" customHeight="false" outlineLevel="0" collapsed="false">
      <c r="A489" s="0" t="s">
        <v>376</v>
      </c>
      <c r="B489" s="0" t="s">
        <v>46</v>
      </c>
      <c r="C489" s="12" t="n">
        <f aca="false">C481/C487</f>
        <v>0.18</v>
      </c>
      <c r="D489" s="12" t="n">
        <f aca="false">D481/D487</f>
        <v>0.26</v>
      </c>
      <c r="E489" s="12" t="n">
        <f aca="false">E481/E487</f>
        <v>0.39530685020723</v>
      </c>
      <c r="F489" s="12" t="n">
        <f aca="false">F481/F487</f>
        <v>0.441588811974854</v>
      </c>
      <c r="G489" s="12" t="n">
        <f aca="false">G481/G487</f>
        <v>0.45299307060672</v>
      </c>
    </row>
    <row r="490" customFormat="false" ht="17.15" hidden="false" customHeight="false" outlineLevel="0" collapsed="false">
      <c r="A490" s="0" t="s">
        <v>377</v>
      </c>
      <c r="B490" s="0" t="s">
        <v>46</v>
      </c>
      <c r="C490" s="12" t="n">
        <f aca="false">(C481+C485)/C487</f>
        <v>0.28</v>
      </c>
      <c r="D490" s="12" t="n">
        <f aca="false">(D481+D485)/D487</f>
        <v>0.385</v>
      </c>
      <c r="E490" s="12" t="n">
        <f aca="false">(E481+E485)/E487</f>
        <v>0.560351461250229</v>
      </c>
      <c r="F490" s="12" t="n">
        <f aca="false">(F481+F485)/F487</f>
        <v>0.621109150553433</v>
      </c>
      <c r="G490" s="12" t="n">
        <f aca="false">(G481+G485)/G487</f>
        <v>0.645156420694413</v>
      </c>
    </row>
    <row r="491" customFormat="false" ht="17.15" hidden="false" customHeight="false" outlineLevel="0" collapsed="false">
      <c r="A491" s="4" t="s">
        <v>335</v>
      </c>
      <c r="B491" s="0" t="s">
        <v>336</v>
      </c>
      <c r="D491" s="16" t="n">
        <f aca="false">(D481+D485)/fx/D474*1000</f>
        <v>388.927551924965</v>
      </c>
      <c r="E491" s="16" t="n">
        <f aca="false">(E481+E485)/fx/E474*1000</f>
        <v>471.595702572219</v>
      </c>
      <c r="F491" s="16" t="n">
        <f aca="false">(F481+F485)/fx/F474*1000</f>
        <v>502.423682986704</v>
      </c>
      <c r="G491" s="16" t="n">
        <f aca="false">(G481+G485)/fx/G474*1000</f>
        <v>508.737441946525</v>
      </c>
    </row>
    <row r="492" customFormat="false" ht="17.15" hidden="false" customHeight="false" outlineLevel="0" collapsed="false">
      <c r="A492" s="6" t="s">
        <v>378</v>
      </c>
    </row>
    <row r="493" customFormat="false" ht="17.15" hidden="false" customHeight="false" outlineLevel="0" collapsed="false">
      <c r="A493" s="4" t="s">
        <v>379</v>
      </c>
      <c r="B493" s="0" t="s">
        <v>46</v>
      </c>
      <c r="D493" s="12" t="n">
        <f aca="false">a26_gp/D487-d_ai_hi*D489</f>
        <v>0.330074417690927</v>
      </c>
      <c r="H493" s="8" t="s">
        <v>380</v>
      </c>
    </row>
    <row r="494" customFormat="false" ht="15" hidden="false" customHeight="false" outlineLevel="0" collapsed="false">
      <c r="A494" s="4" t="s">
        <v>272</v>
      </c>
      <c r="B494" s="0" t="s">
        <v>153</v>
      </c>
      <c r="C494" s="17" t="n">
        <f aca="false">a25_gp</f>
        <v>190.2</v>
      </c>
      <c r="D494" s="17" t="n">
        <f aca="false">a26_gp</f>
        <v>273.276604</v>
      </c>
      <c r="E494" s="17" t="n">
        <f aca="false">$D$493*E487+d_ai_hi*E481</f>
        <v>423.419130383562</v>
      </c>
      <c r="F494" s="17" t="n">
        <f aca="false">$D$493*F487+d_ai_hi*F481</f>
        <v>523.472611410324</v>
      </c>
      <c r="G494" s="17" t="n">
        <f aca="false">$D$493*G487+d_ai_hi*G481</f>
        <v>583.382279900355</v>
      </c>
    </row>
    <row r="495" customFormat="false" ht="15" hidden="false" customHeight="false" outlineLevel="0" collapsed="false">
      <c r="A495" s="4" t="s">
        <v>274</v>
      </c>
      <c r="B495" s="0" t="s">
        <v>46</v>
      </c>
      <c r="C495" s="12" t="n">
        <f aca="false">C494/C487</f>
        <v>0.342773727889563</v>
      </c>
      <c r="D495" s="12" t="n">
        <f aca="false">D494/D487</f>
        <v>0.361274417690927</v>
      </c>
      <c r="E495" s="12" t="n">
        <f aca="false">E494/E487</f>
        <v>0.377511239715795</v>
      </c>
      <c r="F495" s="12" t="n">
        <f aca="false">F494/F487</f>
        <v>0.38306507512791</v>
      </c>
      <c r="G495" s="12" t="n">
        <f aca="false">G494/G487</f>
        <v>0.384433586163733</v>
      </c>
    </row>
    <row r="496" customFormat="false" ht="15" hidden="false" customHeight="false" outlineLevel="0" collapsed="false">
      <c r="A496" s="4" t="s">
        <v>381</v>
      </c>
      <c r="B496" s="0" t="s">
        <v>153</v>
      </c>
      <c r="C496" s="17" t="n">
        <f aca="false">a25_opx</f>
        <v>106.3</v>
      </c>
      <c r="D496" s="17" t="n">
        <f aca="false">a26_opx</f>
        <v>141.924088166667</v>
      </c>
      <c r="E496" s="17" t="n">
        <f aca="false">D496*(1+MAX(0,phi*E488))</f>
        <v>196.738045125366</v>
      </c>
      <c r="F496" s="17" t="n">
        <f aca="false">E496*(1+MAX(0,phi*F488))</f>
        <v>231.108109741952</v>
      </c>
      <c r="G496" s="17" t="n">
        <f aca="false">F496*(1+MAX(0,phi*G488))</f>
        <v>251.534257139136</v>
      </c>
    </row>
    <row r="497" customFormat="false" ht="15" hidden="false" customHeight="false" outlineLevel="0" collapsed="false">
      <c r="A497" s="4" t="s">
        <v>276</v>
      </c>
      <c r="B497" s="0" t="s">
        <v>153</v>
      </c>
      <c r="C497" s="17" t="n">
        <f aca="false">C496</f>
        <v>106.3</v>
      </c>
      <c r="D497" s="17" t="n">
        <f aca="false">D496</f>
        <v>141.924088166667</v>
      </c>
      <c r="E497" s="17" t="n">
        <f aca="false">E496+0*E487</f>
        <v>196.738045125366</v>
      </c>
      <c r="F497" s="17" t="n">
        <f aca="false">F496+0*F487</f>
        <v>231.108109741952</v>
      </c>
      <c r="G497" s="17" t="n">
        <f aca="false">G496+0*G487</f>
        <v>251.534257139136</v>
      </c>
    </row>
    <row r="498" customFormat="false" ht="15" hidden="false" customHeight="false" outlineLevel="0" collapsed="false">
      <c r="A498" s="4" t="s">
        <v>278</v>
      </c>
      <c r="B498" s="0" t="s">
        <v>153</v>
      </c>
      <c r="C498" s="17" t="n">
        <f aca="false">C494-C497</f>
        <v>83.9</v>
      </c>
      <c r="D498" s="17" t="n">
        <f aca="false">D494-D497</f>
        <v>131.352515833333</v>
      </c>
      <c r="E498" s="17" t="n">
        <f aca="false">E494-E497</f>
        <v>226.681085258196</v>
      </c>
      <c r="F498" s="17" t="n">
        <f aca="false">F494-F497</f>
        <v>292.364501668372</v>
      </c>
      <c r="G498" s="17" t="n">
        <f aca="false">G494-G497</f>
        <v>331.848022761219</v>
      </c>
    </row>
    <row r="499" customFormat="false" ht="15" hidden="false" customHeight="false" outlineLevel="0" collapsed="false">
      <c r="A499" s="4" t="s">
        <v>280</v>
      </c>
      <c r="B499" s="0" t="s">
        <v>46</v>
      </c>
      <c r="C499" s="12" t="n">
        <f aca="false">C498/C487</f>
        <v>0.151202501419213</v>
      </c>
      <c r="D499" s="12" t="n">
        <f aca="false">D498/D487</f>
        <v>0.173649346396027</v>
      </c>
      <c r="E499" s="12" t="n">
        <f aca="false">E498/E487</f>
        <v>0.202103899836609</v>
      </c>
      <c r="F499" s="12" t="n">
        <f aca="false">F498/F487</f>
        <v>0.213945538611077</v>
      </c>
      <c r="G499" s="12" t="n">
        <f aca="false">G498/G487</f>
        <v>0.218679123186995</v>
      </c>
    </row>
    <row r="500" customFormat="false" ht="15" hidden="false" customHeight="false" outlineLevel="0" collapsed="false">
      <c r="A500" s="4" t="s">
        <v>282</v>
      </c>
      <c r="B500" s="0" t="s">
        <v>153</v>
      </c>
      <c r="C500" s="17" t="n">
        <f aca="false">a25_nop</f>
        <v>3.934</v>
      </c>
      <c r="D500" s="17" t="n">
        <f aca="false">a26_nop</f>
        <v>11.1666666666667</v>
      </c>
      <c r="E500" s="17" t="n">
        <f aca="false">nop_f</f>
        <v>8</v>
      </c>
      <c r="F500" s="17" t="n">
        <f aca="false">nop_f</f>
        <v>8</v>
      </c>
      <c r="G500" s="17" t="n">
        <f aca="false">nop_f</f>
        <v>8</v>
      </c>
    </row>
    <row r="501" customFormat="false" ht="17.15" hidden="false" customHeight="false" outlineLevel="0" collapsed="false">
      <c r="A501" s="4" t="s">
        <v>195</v>
      </c>
      <c r="B501" s="0" t="s">
        <v>46</v>
      </c>
      <c r="C501" s="12" t="n">
        <f aca="false">a25_ni/(a25_oi+a25_nop)</f>
        <v>0.684336361773345</v>
      </c>
      <c r="D501" s="12" t="n">
        <f aca="false">a26_ni/(a26_oi+a26_nop)</f>
        <v>0.690638510538748</v>
      </c>
      <c r="E501" s="12" t="n">
        <f aca="false">nir_f</f>
        <v>0.69</v>
      </c>
      <c r="F501" s="12" t="n">
        <f aca="false">nir_f</f>
        <v>0.69</v>
      </c>
      <c r="G501" s="12" t="n">
        <f aca="false">nir_f</f>
        <v>0.69</v>
      </c>
    </row>
    <row r="502" customFormat="false" ht="15" hidden="false" customHeight="false" outlineLevel="0" collapsed="false">
      <c r="A502" s="4" t="s">
        <v>285</v>
      </c>
      <c r="B502" s="0" t="s">
        <v>153</v>
      </c>
      <c r="C502" s="17" t="n">
        <f aca="false">a25_ni</f>
        <v>60.108</v>
      </c>
      <c r="D502" s="17" t="n">
        <f aca="false">a26_ni</f>
        <v>98.429235925</v>
      </c>
      <c r="E502" s="17" t="n">
        <f aca="false">(E498+E500)*E501</f>
        <v>161.929948828155</v>
      </c>
      <c r="F502" s="17" t="n">
        <f aca="false">(F498+F500)*F501</f>
        <v>207.251506151177</v>
      </c>
      <c r="G502" s="17" t="n">
        <f aca="false">(G498+G500)*G501</f>
        <v>234.495135705241</v>
      </c>
    </row>
    <row r="503" customFormat="false" ht="15" hidden="false" customHeight="false" outlineLevel="0" collapsed="false">
      <c r="A503" s="4" t="s">
        <v>382</v>
      </c>
      <c r="B503" s="4" t="s">
        <v>179</v>
      </c>
      <c r="C503" s="20" t="n">
        <f aca="false">a25_sh</f>
        <v>2.59757994814175</v>
      </c>
      <c r="D503" s="20" t="n">
        <f aca="false">a26_sh</f>
        <v>2.59806708357021</v>
      </c>
      <c r="E503" s="20" t="n">
        <f aca="false">D503*(1+sh_g)</f>
        <v>2.59806708357021</v>
      </c>
      <c r="F503" s="20" t="n">
        <f aca="false">E503*(1+sh_g)</f>
        <v>2.59806708357021</v>
      </c>
      <c r="G503" s="20" t="n">
        <f aca="false">F503*(1+sh_g)</f>
        <v>2.59806708357021</v>
      </c>
    </row>
    <row r="504" customFormat="false" ht="15" hidden="false" customHeight="false" outlineLevel="0" collapsed="false">
      <c r="A504" s="0" t="s">
        <v>290</v>
      </c>
      <c r="B504" s="0" t="s">
        <v>210</v>
      </c>
      <c r="C504" s="18" t="n">
        <f aca="false">C502/C503</f>
        <v>23.14</v>
      </c>
      <c r="D504" s="18" t="n">
        <f aca="false">D502/D503</f>
        <v>37.8855636744147</v>
      </c>
      <c r="E504" s="18" t="n">
        <f aca="false">E502/E503</f>
        <v>62.3270853367013</v>
      </c>
      <c r="F504" s="18" t="n">
        <f aca="false">F502/F503</f>
        <v>79.7714221706608</v>
      </c>
      <c r="G504" s="18" t="n">
        <f aca="false">G502/G503</f>
        <v>90.2575369158684</v>
      </c>
    </row>
    <row r="505" customFormat="false" ht="17.15" hidden="false" customHeight="false" outlineLevel="0" collapsed="false">
      <c r="A505" s="0" t="s">
        <v>383</v>
      </c>
      <c r="B505" s="0" t="s">
        <v>46</v>
      </c>
      <c r="D505" s="12" t="n">
        <f aca="false">D504/C504-1</f>
        <v>0.637232656629847</v>
      </c>
      <c r="E505" s="12" t="n">
        <f aca="false">E504/D504-1</f>
        <v>0.645140768455632</v>
      </c>
      <c r="F505" s="12" t="n">
        <f aca="false">F504/E504-1</f>
        <v>0.279883725345447</v>
      </c>
      <c r="G505" s="12" t="n">
        <f aca="false">G504/F504-1</f>
        <v>0.131452022038342</v>
      </c>
    </row>
    <row r="508" customFormat="false" ht="17.15" hidden="false" customHeight="false" outlineLevel="0" collapsed="false">
      <c r="A508" s="1" t="s">
        <v>589</v>
      </c>
    </row>
    <row r="509" customFormat="false" ht="17.15" hidden="false" customHeight="false" outlineLevel="0" collapsed="false">
      <c r="A509" s="5" t="s">
        <v>15</v>
      </c>
      <c r="B509" s="5" t="s">
        <v>16</v>
      </c>
      <c r="C509" s="9" t="s">
        <v>262</v>
      </c>
      <c r="D509" s="9" t="s">
        <v>341</v>
      </c>
      <c r="E509" s="9" t="s">
        <v>342</v>
      </c>
      <c r="F509" s="9" t="s">
        <v>343</v>
      </c>
      <c r="G509" s="9" t="s">
        <v>344</v>
      </c>
      <c r="H509" s="5" t="s">
        <v>317</v>
      </c>
    </row>
    <row r="510" customFormat="false" ht="17.15" hidden="false" customHeight="false" outlineLevel="0" collapsed="false">
      <c r="A510" s="6" t="s">
        <v>359</v>
      </c>
    </row>
    <row r="511" customFormat="false" ht="17.15" hidden="false" customHeight="false" outlineLevel="0" collapsed="false">
      <c r="A511" s="0" t="s">
        <v>360</v>
      </c>
      <c r="B511" s="0" t="s">
        <v>26</v>
      </c>
      <c r="D511" s="18" t="n">
        <f aca="false">itc_26*1</f>
        <v>781.872916666667</v>
      </c>
      <c r="E511" s="18" t="n">
        <f aca="false">itc_27*1*1</f>
        <v>1565.35</v>
      </c>
      <c r="F511" s="18" t="n">
        <f aca="false">itc_28*um28_A*1</f>
        <v>1984.26388888889</v>
      </c>
      <c r="G511" s="18" t="n">
        <f aca="false">itc_29*um29_A*1</f>
        <v>2260.39027777778</v>
      </c>
    </row>
    <row r="512" customFormat="false" ht="17.15" hidden="false" customHeight="false" outlineLevel="0" collapsed="false">
      <c r="A512" s="4" t="s">
        <v>361</v>
      </c>
      <c r="B512" s="0" t="s">
        <v>26</v>
      </c>
      <c r="D512" s="18" t="n">
        <f aca="false">itpg_gb*(1-vr26)+itpg_vr*vr26</f>
        <v>33.41403216</v>
      </c>
      <c r="E512" s="18" t="n">
        <f aca="false">itpg_vr</f>
        <v>37.586352</v>
      </c>
      <c r="F512" s="18" t="n">
        <f aca="false">itpg_vr</f>
        <v>37.586352</v>
      </c>
      <c r="G512" s="18" t="n">
        <f aca="false">itpg_vr</f>
        <v>37.586352</v>
      </c>
    </row>
    <row r="513" customFormat="false" ht="17.15" hidden="false" customHeight="false" outlineLevel="0" collapsed="false">
      <c r="A513" s="4" t="s">
        <v>362</v>
      </c>
      <c r="B513" s="0" t="s">
        <v>319</v>
      </c>
      <c r="D513" s="15" t="n">
        <f aca="false">D511/D512</f>
        <v>23.3995380420639</v>
      </c>
      <c r="E513" s="15" t="n">
        <f aca="false">E511/E512</f>
        <v>41.6467658260637</v>
      </c>
      <c r="F513" s="15" t="n">
        <f aca="false">F511/F512</f>
        <v>52.792138191248</v>
      </c>
      <c r="G513" s="15" t="n">
        <f aca="false">G511/G512</f>
        <v>60.1385917361116</v>
      </c>
    </row>
    <row r="514" customFormat="false" ht="17.15" hidden="false" customHeight="false" outlineLevel="0" collapsed="false">
      <c r="A514" s="0" t="s">
        <v>321</v>
      </c>
      <c r="B514" s="0" t="s">
        <v>89</v>
      </c>
      <c r="D514" s="16" t="n">
        <f aca="false">pkw_26</f>
        <v>450</v>
      </c>
      <c r="E514" s="16" t="n">
        <f aca="false">pkw_27</f>
        <v>600</v>
      </c>
      <c r="F514" s="16" t="n">
        <f aca="false">pkw_28</f>
        <v>680</v>
      </c>
      <c r="G514" s="16" t="n">
        <f aca="false">pkw_29</f>
        <v>720</v>
      </c>
    </row>
    <row r="515" customFormat="false" ht="17.15" hidden="false" customHeight="false" outlineLevel="0" collapsed="false">
      <c r="A515" s="0" t="s">
        <v>363</v>
      </c>
      <c r="B515" s="0" t="s">
        <v>26</v>
      </c>
      <c r="D515" s="18" t="n">
        <f aca="false">D513*D514/1000</f>
        <v>10.5297921189288</v>
      </c>
      <c r="E515" s="18" t="n">
        <f aca="false">E513*E514/1000</f>
        <v>24.9880594956382</v>
      </c>
      <c r="F515" s="18" t="n">
        <f aca="false">F513*F514/1000</f>
        <v>35.8986539700486</v>
      </c>
      <c r="G515" s="18" t="n">
        <f aca="false">G513*G514/1000</f>
        <v>43.2997860500003</v>
      </c>
    </row>
    <row r="516" customFormat="false" ht="17.15" hidden="false" customHeight="false" outlineLevel="0" collapsed="false">
      <c r="A516" s="0" t="s">
        <v>364</v>
      </c>
      <c r="B516" s="0" t="s">
        <v>153</v>
      </c>
      <c r="D516" s="17" t="n">
        <f aca="false">D515*fx</f>
        <v>336.95334780572</v>
      </c>
      <c r="E516" s="17" t="n">
        <f aca="false">E515*fx</f>
        <v>799.617903860422</v>
      </c>
      <c r="F516" s="17" t="n">
        <f aca="false">F515*fx</f>
        <v>1148.75692704156</v>
      </c>
      <c r="G516" s="17" t="n">
        <f aca="false">G515*fx</f>
        <v>1385.59315360001</v>
      </c>
    </row>
    <row r="517" customFormat="false" ht="17.15" hidden="false" customHeight="false" outlineLevel="0" collapsed="false">
      <c r="A517" s="4" t="s">
        <v>365</v>
      </c>
      <c r="B517" s="0" t="s">
        <v>46</v>
      </c>
      <c r="D517" s="12" t="n">
        <f aca="false">a26_aip/D516</f>
        <v>0.583671939396772</v>
      </c>
      <c r="H517" s="8" t="s">
        <v>366</v>
      </c>
    </row>
    <row r="518" customFormat="false" ht="17.15" hidden="false" customHeight="false" outlineLevel="0" collapsed="false">
      <c r="A518" s="4" t="s">
        <v>367</v>
      </c>
      <c r="B518" s="0" t="s">
        <v>62</v>
      </c>
      <c r="D518" s="13" t="n">
        <f aca="false">1</f>
        <v>1</v>
      </c>
      <c r="E518" s="13" t="n">
        <f aca="false">rel_27</f>
        <v>0.95</v>
      </c>
      <c r="F518" s="13" t="n">
        <f aca="false">rel_28</f>
        <v>0.9</v>
      </c>
      <c r="G518" s="13" t="n">
        <f aca="false">rel_29</f>
        <v>0.85</v>
      </c>
    </row>
    <row r="519" customFormat="false" ht="15" hidden="false" customHeight="false" outlineLevel="0" collapsed="false">
      <c r="A519" s="4" t="s">
        <v>328</v>
      </c>
      <c r="B519" s="0" t="s">
        <v>46</v>
      </c>
      <c r="D519" s="12" t="n">
        <f aca="false">$D$517*D518</f>
        <v>0.583671939396772</v>
      </c>
      <c r="E519" s="12" t="n">
        <f aca="false">$D$517*E518</f>
        <v>0.554488342426934</v>
      </c>
      <c r="F519" s="12" t="n">
        <f aca="false">$D$517*F518</f>
        <v>0.525304745457095</v>
      </c>
      <c r="G519" s="12" t="n">
        <f aca="false">$D$517*G518</f>
        <v>0.496121148487257</v>
      </c>
    </row>
    <row r="520" customFormat="false" ht="17.15" hidden="false" customHeight="false" outlineLevel="0" collapsed="false">
      <c r="A520" s="0" t="s">
        <v>368</v>
      </c>
      <c r="B520" s="0" t="s">
        <v>153</v>
      </c>
      <c r="C520" s="17" t="n">
        <f aca="false">a25_aip</f>
        <v>99.8793</v>
      </c>
      <c r="D520" s="17" t="n">
        <f aca="false">D516*D519</f>
        <v>196.670214</v>
      </c>
      <c r="E520" s="17" t="n">
        <f aca="false">E516*E519</f>
        <v>443.378806086465</v>
      </c>
      <c r="F520" s="17" t="n">
        <f aca="false">F516*F519</f>
        <v>603.44746515164</v>
      </c>
      <c r="G520" s="17" t="n">
        <f aca="false">G516*G519</f>
        <v>687.422066700117</v>
      </c>
    </row>
    <row r="521" customFormat="false" ht="17.15" hidden="false" customHeight="false" outlineLevel="0" collapsed="false">
      <c r="A521" s="6" t="s">
        <v>369</v>
      </c>
    </row>
    <row r="522" customFormat="false" ht="17.15" hidden="false" customHeight="false" outlineLevel="0" collapsed="false">
      <c r="A522" s="4" t="s">
        <v>370</v>
      </c>
      <c r="B522" s="0" t="s">
        <v>371</v>
      </c>
      <c r="D522" s="20" t="n">
        <f aca="false">a26_lc/D513</f>
        <v>4.04080573428535</v>
      </c>
    </row>
    <row r="523" customFormat="false" ht="17.15" hidden="false" customHeight="false" outlineLevel="0" collapsed="false">
      <c r="A523" s="4" t="s">
        <v>372</v>
      </c>
      <c r="B523" s="0" t="s">
        <v>62</v>
      </c>
      <c r="D523" s="13" t="n">
        <f aca="false">1</f>
        <v>1</v>
      </c>
      <c r="E523" s="13" t="n">
        <f aca="false">lcr_27</f>
        <v>1.1</v>
      </c>
      <c r="F523" s="13" t="n">
        <f aca="false">lcr_28</f>
        <v>1.15</v>
      </c>
      <c r="G523" s="13" t="n">
        <f aca="false">lcr_29</f>
        <v>1.2</v>
      </c>
    </row>
    <row r="524" customFormat="false" ht="15" hidden="false" customHeight="false" outlineLevel="0" collapsed="false">
      <c r="A524" s="4" t="s">
        <v>373</v>
      </c>
      <c r="B524" s="0" t="s">
        <v>153</v>
      </c>
      <c r="C524" s="17" t="n">
        <f aca="false">a25_lc</f>
        <v>55.4885</v>
      </c>
      <c r="D524" s="17" t="n">
        <f aca="false">D513*$D$522*D523</f>
        <v>94.5529875</v>
      </c>
      <c r="E524" s="17" t="n">
        <f aca="false">E513*$D$522*E523</f>
        <v>185.115139180837</v>
      </c>
      <c r="F524" s="17" t="n">
        <f aca="false">F513*$D$522*F523</f>
        <v>245.321190937636</v>
      </c>
      <c r="G524" s="17" t="n">
        <f aca="false">G513*$D$522*G523</f>
        <v>291.61003960695</v>
      </c>
    </row>
    <row r="525" customFormat="false" ht="17.15" hidden="false" customHeight="false" outlineLevel="0" collapsed="false">
      <c r="A525" s="4" t="s">
        <v>374</v>
      </c>
      <c r="B525" s="0" t="s">
        <v>153</v>
      </c>
      <c r="C525" s="17" t="n">
        <f aca="false">a25_nai</f>
        <v>399.5172</v>
      </c>
      <c r="D525" s="17" t="n">
        <f aca="false">a26_nai</f>
        <v>465.2006985</v>
      </c>
      <c r="E525" s="17" t="n">
        <f aca="false">D525*(1+g_nai27)</f>
        <v>493.11274041</v>
      </c>
      <c r="F525" s="17" t="n">
        <f aca="false">E525*(1+g_nai28)</f>
        <v>517.7683774305</v>
      </c>
      <c r="G525" s="17" t="n">
        <f aca="false">F525*(1+g_nai29)</f>
        <v>538.47911252772</v>
      </c>
    </row>
    <row r="526" customFormat="false" ht="15" hidden="false" customHeight="false" outlineLevel="0" collapsed="false">
      <c r="A526" s="4" t="s">
        <v>268</v>
      </c>
      <c r="B526" s="0" t="s">
        <v>153</v>
      </c>
      <c r="C526" s="17" t="n">
        <f aca="false">C520+C524+C525</f>
        <v>554.885</v>
      </c>
      <c r="D526" s="17" t="n">
        <f aca="false">D520+D524+D525</f>
        <v>756.4239</v>
      </c>
      <c r="E526" s="17" t="n">
        <f aca="false">E520+E524+E525</f>
        <v>1121.6066856773</v>
      </c>
      <c r="F526" s="17" t="n">
        <f aca="false">F520+F524+F525</f>
        <v>1366.53703351978</v>
      </c>
      <c r="G526" s="17" t="n">
        <f aca="false">G520+G524+G525</f>
        <v>1517.51121883479</v>
      </c>
    </row>
    <row r="527" customFormat="false" ht="15" hidden="false" customHeight="false" outlineLevel="0" collapsed="false">
      <c r="A527" s="4" t="s">
        <v>375</v>
      </c>
      <c r="B527" s="0" t="s">
        <v>46</v>
      </c>
      <c r="D527" s="12" t="n">
        <f aca="false">D526/C526-1</f>
        <v>0.363208412553953</v>
      </c>
      <c r="E527" s="12" t="n">
        <f aca="false">E526/D526-1</f>
        <v>0.482775313785434</v>
      </c>
      <c r="F527" s="12" t="n">
        <f aca="false">F526/E526-1</f>
        <v>0.218374543385116</v>
      </c>
      <c r="G527" s="12" t="n">
        <f aca="false">G526/F526-1</f>
        <v>0.110479395443933</v>
      </c>
    </row>
    <row r="528" customFormat="false" ht="17.15" hidden="false" customHeight="false" outlineLevel="0" collapsed="false">
      <c r="A528" s="0" t="s">
        <v>376</v>
      </c>
      <c r="B528" s="0" t="s">
        <v>46</v>
      </c>
      <c r="C528" s="12" t="n">
        <f aca="false">C520/C526</f>
        <v>0.18</v>
      </c>
      <c r="D528" s="12" t="n">
        <f aca="false">D520/D526</f>
        <v>0.26</v>
      </c>
      <c r="E528" s="12" t="n">
        <f aca="false">E520/E526</f>
        <v>0.39530685020723</v>
      </c>
      <c r="F528" s="12" t="n">
        <f aca="false">F520/F526</f>
        <v>0.441588811974854</v>
      </c>
      <c r="G528" s="12" t="n">
        <f aca="false">G520/G526</f>
        <v>0.45299307060672</v>
      </c>
    </row>
    <row r="529" customFormat="false" ht="17.15" hidden="false" customHeight="false" outlineLevel="0" collapsed="false">
      <c r="A529" s="0" t="s">
        <v>377</v>
      </c>
      <c r="B529" s="0" t="s">
        <v>46</v>
      </c>
      <c r="C529" s="12" t="n">
        <f aca="false">(C520+C524)/C526</f>
        <v>0.28</v>
      </c>
      <c r="D529" s="12" t="n">
        <f aca="false">(D520+D524)/D526</f>
        <v>0.385</v>
      </c>
      <c r="E529" s="12" t="n">
        <f aca="false">(E520+E524)/E526</f>
        <v>0.560351461250229</v>
      </c>
      <c r="F529" s="12" t="n">
        <f aca="false">(F520+F524)/F526</f>
        <v>0.621109150553433</v>
      </c>
      <c r="G529" s="12" t="n">
        <f aca="false">(G520+G524)/G526</f>
        <v>0.645156420694413</v>
      </c>
    </row>
    <row r="530" customFormat="false" ht="17.15" hidden="false" customHeight="false" outlineLevel="0" collapsed="false">
      <c r="A530" s="4" t="s">
        <v>335</v>
      </c>
      <c r="B530" s="0" t="s">
        <v>336</v>
      </c>
      <c r="D530" s="16" t="n">
        <f aca="false">(D520+D524)/fx/D513*1000</f>
        <v>388.927551924965</v>
      </c>
      <c r="E530" s="16" t="n">
        <f aca="false">(E520+E524)/fx/E513*1000</f>
        <v>471.595702572219</v>
      </c>
      <c r="F530" s="16" t="n">
        <f aca="false">(F520+F524)/fx/F513*1000</f>
        <v>502.423682986704</v>
      </c>
      <c r="G530" s="16" t="n">
        <f aca="false">(G520+G524)/fx/G513*1000</f>
        <v>508.737441946525</v>
      </c>
    </row>
    <row r="531" customFormat="false" ht="17.15" hidden="false" customHeight="false" outlineLevel="0" collapsed="false">
      <c r="A531" s="6" t="s">
        <v>378</v>
      </c>
    </row>
    <row r="532" customFormat="false" ht="17.15" hidden="false" customHeight="false" outlineLevel="0" collapsed="false">
      <c r="A532" s="4" t="s">
        <v>379</v>
      </c>
      <c r="B532" s="0" t="s">
        <v>46</v>
      </c>
      <c r="D532" s="12" t="n">
        <f aca="false">a26_gp/D526-d_ai*D528</f>
        <v>0.340474417690927</v>
      </c>
      <c r="H532" s="8" t="s">
        <v>380</v>
      </c>
    </row>
    <row r="533" customFormat="false" ht="15" hidden="false" customHeight="false" outlineLevel="0" collapsed="false">
      <c r="A533" s="4" t="s">
        <v>272</v>
      </c>
      <c r="B533" s="0" t="s">
        <v>153</v>
      </c>
      <c r="C533" s="17" t="n">
        <f aca="false">a25_gp</f>
        <v>190.2</v>
      </c>
      <c r="D533" s="17" t="n">
        <f aca="false">a26_gp</f>
        <v>273.276604</v>
      </c>
      <c r="E533" s="17" t="n">
        <f aca="false">$D$532*E526+d_ai*E520</f>
        <v>417.348687671147</v>
      </c>
      <c r="F533" s="17" t="n">
        <f aca="false">$D$532*F526+d_ai*F520</f>
        <v>513.546697952864</v>
      </c>
      <c r="G533" s="17" t="n">
        <f aca="false">$D$532*G526+d_ai*G520</f>
        <v>571.667513908232</v>
      </c>
    </row>
    <row r="534" customFormat="false" ht="15" hidden="false" customHeight="false" outlineLevel="0" collapsed="false">
      <c r="A534" s="4" t="s">
        <v>274</v>
      </c>
      <c r="B534" s="0" t="s">
        <v>46</v>
      </c>
      <c r="C534" s="12" t="n">
        <f aca="false">C533/C526</f>
        <v>0.342773727889563</v>
      </c>
      <c r="D534" s="12" t="n">
        <f aca="false">D533/D526</f>
        <v>0.361274417690927</v>
      </c>
      <c r="E534" s="12" t="n">
        <f aca="false">E533/E526</f>
        <v>0.372098965707506</v>
      </c>
      <c r="F534" s="12" t="n">
        <f aca="false">F533/F526</f>
        <v>0.375801522648915</v>
      </c>
      <c r="G534" s="12" t="n">
        <f aca="false">G533/G526</f>
        <v>0.376713863339465</v>
      </c>
    </row>
    <row r="535" customFormat="false" ht="15" hidden="false" customHeight="false" outlineLevel="0" collapsed="false">
      <c r="A535" s="4" t="s">
        <v>381</v>
      </c>
      <c r="B535" s="0" t="s">
        <v>153</v>
      </c>
      <c r="C535" s="17" t="n">
        <f aca="false">a25_opx</f>
        <v>106.3</v>
      </c>
      <c r="D535" s="17" t="n">
        <f aca="false">a26_opx</f>
        <v>141.924088166667</v>
      </c>
      <c r="E535" s="17" t="n">
        <f aca="false">D535*(1+MAX(0,phi*E527))</f>
        <v>196.738045125366</v>
      </c>
      <c r="F535" s="17" t="n">
        <f aca="false">E535*(1+MAX(0,phi*F527))</f>
        <v>231.108109741952</v>
      </c>
      <c r="G535" s="17" t="n">
        <f aca="false">F535*(1+MAX(0,phi*G527))</f>
        <v>251.534257139136</v>
      </c>
    </row>
    <row r="536" customFormat="false" ht="15" hidden="false" customHeight="false" outlineLevel="0" collapsed="false">
      <c r="A536" s="4" t="s">
        <v>276</v>
      </c>
      <c r="B536" s="0" t="s">
        <v>153</v>
      </c>
      <c r="C536" s="17" t="n">
        <f aca="false">C535</f>
        <v>106.3</v>
      </c>
      <c r="D536" s="17" t="n">
        <f aca="false">D535</f>
        <v>141.924088166667</v>
      </c>
      <c r="E536" s="17" t="n">
        <f aca="false">E535+opx_adj_hi*E526</f>
        <v>219.170178838912</v>
      </c>
      <c r="F536" s="17" t="n">
        <f aca="false">F535+opx_adj_hi*F526</f>
        <v>258.438850412347</v>
      </c>
      <c r="G536" s="17" t="n">
        <f aca="false">G535+opx_adj_hi*G526</f>
        <v>281.884481515832</v>
      </c>
    </row>
    <row r="537" customFormat="false" ht="15" hidden="false" customHeight="false" outlineLevel="0" collapsed="false">
      <c r="A537" s="4" t="s">
        <v>278</v>
      </c>
      <c r="B537" s="0" t="s">
        <v>153</v>
      </c>
      <c r="C537" s="17" t="n">
        <f aca="false">C533-C536</f>
        <v>83.9</v>
      </c>
      <c r="D537" s="17" t="n">
        <f aca="false">D533-D536</f>
        <v>131.352515833333</v>
      </c>
      <c r="E537" s="17" t="n">
        <f aca="false">E533-E536</f>
        <v>198.178508832235</v>
      </c>
      <c r="F537" s="17" t="n">
        <f aca="false">F533-F536</f>
        <v>255.107847540517</v>
      </c>
      <c r="G537" s="17" t="n">
        <f aca="false">G533-G536</f>
        <v>289.7830323924</v>
      </c>
    </row>
    <row r="538" customFormat="false" ht="15" hidden="false" customHeight="false" outlineLevel="0" collapsed="false">
      <c r="A538" s="4" t="s">
        <v>280</v>
      </c>
      <c r="B538" s="0" t="s">
        <v>46</v>
      </c>
      <c r="C538" s="12" t="n">
        <f aca="false">C537/C526</f>
        <v>0.151202501419213</v>
      </c>
      <c r="D538" s="12" t="n">
        <f aca="false">D537/D526</f>
        <v>0.173649346396027</v>
      </c>
      <c r="E538" s="12" t="n">
        <f aca="false">E537/E526</f>
        <v>0.176691625828319</v>
      </c>
      <c r="F538" s="12" t="n">
        <f aca="false">F537/F526</f>
        <v>0.186681986132083</v>
      </c>
      <c r="G538" s="12" t="n">
        <f aca="false">G537/G526</f>
        <v>0.190959400362726</v>
      </c>
    </row>
    <row r="539" customFormat="false" ht="15" hidden="false" customHeight="false" outlineLevel="0" collapsed="false">
      <c r="A539" s="4" t="s">
        <v>282</v>
      </c>
      <c r="B539" s="0" t="s">
        <v>153</v>
      </c>
      <c r="C539" s="17" t="n">
        <f aca="false">a25_nop</f>
        <v>3.934</v>
      </c>
      <c r="D539" s="17" t="n">
        <f aca="false">a26_nop</f>
        <v>11.1666666666667</v>
      </c>
      <c r="E539" s="17" t="n">
        <f aca="false">nop_f</f>
        <v>8</v>
      </c>
      <c r="F539" s="17" t="n">
        <f aca="false">nop_f</f>
        <v>8</v>
      </c>
      <c r="G539" s="17" t="n">
        <f aca="false">nop_f</f>
        <v>8</v>
      </c>
    </row>
    <row r="540" customFormat="false" ht="17.15" hidden="false" customHeight="false" outlineLevel="0" collapsed="false">
      <c r="A540" s="4" t="s">
        <v>195</v>
      </c>
      <c r="B540" s="0" t="s">
        <v>46</v>
      </c>
      <c r="C540" s="12" t="n">
        <f aca="false">a25_ni/(a25_oi+a25_nop)</f>
        <v>0.684336361773345</v>
      </c>
      <c r="D540" s="12" t="n">
        <f aca="false">a26_ni/(a26_oi+a26_nop)</f>
        <v>0.690638510538748</v>
      </c>
      <c r="E540" s="12" t="n">
        <f aca="false">nir_f</f>
        <v>0.69</v>
      </c>
      <c r="F540" s="12" t="n">
        <f aca="false">nir_f</f>
        <v>0.69</v>
      </c>
      <c r="G540" s="12" t="n">
        <f aca="false">nir_f</f>
        <v>0.69</v>
      </c>
    </row>
    <row r="541" customFormat="false" ht="15" hidden="false" customHeight="false" outlineLevel="0" collapsed="false">
      <c r="A541" s="4" t="s">
        <v>285</v>
      </c>
      <c r="B541" s="0" t="s">
        <v>153</v>
      </c>
      <c r="C541" s="17" t="n">
        <f aca="false">a25_ni</f>
        <v>60.108</v>
      </c>
      <c r="D541" s="17" t="n">
        <f aca="false">a26_ni</f>
        <v>98.429235925</v>
      </c>
      <c r="E541" s="17" t="n">
        <f aca="false">(E537+E539)*E540</f>
        <v>142.263171094242</v>
      </c>
      <c r="F541" s="17" t="n">
        <f aca="false">(F537+F539)*F540</f>
        <v>181.544414802956</v>
      </c>
      <c r="G541" s="17" t="n">
        <f aca="false">(G537+G539)*G540</f>
        <v>205.470292350756</v>
      </c>
    </row>
    <row r="542" customFormat="false" ht="15" hidden="false" customHeight="false" outlineLevel="0" collapsed="false">
      <c r="A542" s="4" t="s">
        <v>382</v>
      </c>
      <c r="B542" s="4" t="s">
        <v>179</v>
      </c>
      <c r="C542" s="20" t="n">
        <f aca="false">a25_sh</f>
        <v>2.59757994814175</v>
      </c>
      <c r="D542" s="20" t="n">
        <f aca="false">a26_sh</f>
        <v>2.59806708357021</v>
      </c>
      <c r="E542" s="20" t="n">
        <f aca="false">D542*(1+sh_g)</f>
        <v>2.59806708357021</v>
      </c>
      <c r="F542" s="20" t="n">
        <f aca="false">E542*(1+sh_g)</f>
        <v>2.59806708357021</v>
      </c>
      <c r="G542" s="20" t="n">
        <f aca="false">F542*(1+sh_g)</f>
        <v>2.59806708357021</v>
      </c>
    </row>
    <row r="543" customFormat="false" ht="15" hidden="false" customHeight="false" outlineLevel="0" collapsed="false">
      <c r="A543" s="0" t="s">
        <v>290</v>
      </c>
      <c r="B543" s="0" t="s">
        <v>210</v>
      </c>
      <c r="C543" s="18" t="n">
        <f aca="false">C541/C542</f>
        <v>23.14</v>
      </c>
      <c r="D543" s="18" t="n">
        <f aca="false">D541/D542</f>
        <v>37.8855636744147</v>
      </c>
      <c r="E543" s="18" t="n">
        <f aca="false">E541/E542</f>
        <v>54.757312462751</v>
      </c>
      <c r="F543" s="18" t="n">
        <f aca="false">F541/F542</f>
        <v>69.8767233344421</v>
      </c>
      <c r="G543" s="18" t="n">
        <f aca="false">G541/G542</f>
        <v>79.0858302505427</v>
      </c>
    </row>
    <row r="544" customFormat="false" ht="17.15" hidden="false" customHeight="false" outlineLevel="0" collapsed="false">
      <c r="A544" s="0" t="s">
        <v>383</v>
      </c>
      <c r="B544" s="0" t="s">
        <v>46</v>
      </c>
      <c r="D544" s="12" t="n">
        <f aca="false">D543/C543-1</f>
        <v>0.637232656629847</v>
      </c>
      <c r="E544" s="12" t="n">
        <f aca="false">E543/D543-1</f>
        <v>0.445334506128265</v>
      </c>
      <c r="F544" s="12" t="n">
        <f aca="false">F543/E543-1</f>
        <v>0.276116744808762</v>
      </c>
      <c r="G544" s="12" t="n">
        <f aca="false">G543/F543-1</f>
        <v>0.13179076631891</v>
      </c>
    </row>
    <row r="547" customFormat="false" ht="17.15" hidden="false" customHeight="false" outlineLevel="0" collapsed="false">
      <c r="A547" s="1" t="s">
        <v>590</v>
      </c>
    </row>
    <row r="548" customFormat="false" ht="17.15" hidden="false" customHeight="false" outlineLevel="0" collapsed="false">
      <c r="A548" s="5" t="s">
        <v>15</v>
      </c>
      <c r="B548" s="5" t="s">
        <v>16</v>
      </c>
      <c r="C548" s="9" t="s">
        <v>262</v>
      </c>
      <c r="D548" s="9" t="s">
        <v>341</v>
      </c>
      <c r="E548" s="9" t="s">
        <v>342</v>
      </c>
      <c r="F548" s="9" t="s">
        <v>343</v>
      </c>
      <c r="G548" s="9" t="s">
        <v>344</v>
      </c>
      <c r="H548" s="5" t="s">
        <v>317</v>
      </c>
    </row>
    <row r="549" customFormat="false" ht="17.15" hidden="false" customHeight="false" outlineLevel="0" collapsed="false">
      <c r="A549" s="6" t="s">
        <v>359</v>
      </c>
    </row>
    <row r="550" customFormat="false" ht="17.15" hidden="false" customHeight="false" outlineLevel="0" collapsed="false">
      <c r="A550" s="0" t="s">
        <v>360</v>
      </c>
      <c r="B550" s="0" t="s">
        <v>26</v>
      </c>
      <c r="D550" s="18" t="n">
        <f aca="false">itc_26*1</f>
        <v>781.872916666667</v>
      </c>
      <c r="E550" s="18" t="n">
        <f aca="false">itc_27*1*1</f>
        <v>1565.35</v>
      </c>
      <c r="F550" s="18" t="n">
        <f aca="false">itc_28*um28_A*1</f>
        <v>1984.26388888889</v>
      </c>
      <c r="G550" s="18" t="n">
        <f aca="false">itc_29*um29_A*1</f>
        <v>2260.39027777778</v>
      </c>
    </row>
    <row r="551" customFormat="false" ht="17.15" hidden="false" customHeight="false" outlineLevel="0" collapsed="false">
      <c r="A551" s="4" t="s">
        <v>361</v>
      </c>
      <c r="B551" s="0" t="s">
        <v>26</v>
      </c>
      <c r="D551" s="18" t="n">
        <f aca="false">itpg_gb*(1-vr26)+itpg_vr*vr26</f>
        <v>33.41403216</v>
      </c>
      <c r="E551" s="18" t="n">
        <f aca="false">itpg_vr</f>
        <v>37.586352</v>
      </c>
      <c r="F551" s="18" t="n">
        <f aca="false">itpg_vr</f>
        <v>37.586352</v>
      </c>
      <c r="G551" s="18" t="n">
        <f aca="false">itpg_vr</f>
        <v>37.586352</v>
      </c>
    </row>
    <row r="552" customFormat="false" ht="17.15" hidden="false" customHeight="false" outlineLevel="0" collapsed="false">
      <c r="A552" s="4" t="s">
        <v>362</v>
      </c>
      <c r="B552" s="0" t="s">
        <v>319</v>
      </c>
      <c r="D552" s="15" t="n">
        <f aca="false">D550/D551</f>
        <v>23.3995380420639</v>
      </c>
      <c r="E552" s="15" t="n">
        <f aca="false">E550/E551</f>
        <v>41.6467658260637</v>
      </c>
      <c r="F552" s="15" t="n">
        <f aca="false">F550/F551</f>
        <v>52.792138191248</v>
      </c>
      <c r="G552" s="15" t="n">
        <f aca="false">G550/G551</f>
        <v>60.1385917361116</v>
      </c>
    </row>
    <row r="553" customFormat="false" ht="17.15" hidden="false" customHeight="false" outlineLevel="0" collapsed="false">
      <c r="A553" s="0" t="s">
        <v>321</v>
      </c>
      <c r="B553" s="0" t="s">
        <v>89</v>
      </c>
      <c r="D553" s="16" t="n">
        <f aca="false">pkw_26</f>
        <v>450</v>
      </c>
      <c r="E553" s="16" t="n">
        <f aca="false">pkw_27</f>
        <v>600</v>
      </c>
      <c r="F553" s="16" t="n">
        <f aca="false">pkw_28</f>
        <v>680</v>
      </c>
      <c r="G553" s="16" t="n">
        <f aca="false">pkw_29</f>
        <v>720</v>
      </c>
    </row>
    <row r="554" customFormat="false" ht="17.15" hidden="false" customHeight="false" outlineLevel="0" collapsed="false">
      <c r="A554" s="0" t="s">
        <v>363</v>
      </c>
      <c r="B554" s="0" t="s">
        <v>26</v>
      </c>
      <c r="D554" s="18" t="n">
        <f aca="false">D552*D553/1000</f>
        <v>10.5297921189288</v>
      </c>
      <c r="E554" s="18" t="n">
        <f aca="false">E552*E553/1000</f>
        <v>24.9880594956382</v>
      </c>
      <c r="F554" s="18" t="n">
        <f aca="false">F552*F553/1000</f>
        <v>35.8986539700486</v>
      </c>
      <c r="G554" s="18" t="n">
        <f aca="false">G552*G553/1000</f>
        <v>43.2997860500003</v>
      </c>
    </row>
    <row r="555" customFormat="false" ht="17.15" hidden="false" customHeight="false" outlineLevel="0" collapsed="false">
      <c r="A555" s="0" t="s">
        <v>364</v>
      </c>
      <c r="B555" s="0" t="s">
        <v>153</v>
      </c>
      <c r="D555" s="17" t="n">
        <f aca="false">D554*fx</f>
        <v>336.95334780572</v>
      </c>
      <c r="E555" s="17" t="n">
        <f aca="false">E554*fx</f>
        <v>799.617903860422</v>
      </c>
      <c r="F555" s="17" t="n">
        <f aca="false">F554*fx</f>
        <v>1148.75692704156</v>
      </c>
      <c r="G555" s="17" t="n">
        <f aca="false">G554*fx</f>
        <v>1385.59315360001</v>
      </c>
    </row>
    <row r="556" customFormat="false" ht="17.15" hidden="false" customHeight="false" outlineLevel="0" collapsed="false">
      <c r="A556" s="4" t="s">
        <v>365</v>
      </c>
      <c r="B556" s="0" t="s">
        <v>46</v>
      </c>
      <c r="D556" s="12" t="n">
        <f aca="false">a26_aipx/D555</f>
        <v>0.303060430071401</v>
      </c>
      <c r="H556" s="8" t="s">
        <v>366</v>
      </c>
    </row>
    <row r="557" customFormat="false" ht="17.15" hidden="false" customHeight="false" outlineLevel="0" collapsed="false">
      <c r="A557" s="4" t="s">
        <v>367</v>
      </c>
      <c r="B557" s="0" t="s">
        <v>62</v>
      </c>
      <c r="D557" s="13" t="n">
        <f aca="false">1</f>
        <v>1</v>
      </c>
      <c r="E557" s="13" t="n">
        <f aca="false">rel_27</f>
        <v>0.95</v>
      </c>
      <c r="F557" s="13" t="n">
        <f aca="false">rel_28</f>
        <v>0.9</v>
      </c>
      <c r="G557" s="13" t="n">
        <f aca="false">rel_29</f>
        <v>0.85</v>
      </c>
    </row>
    <row r="558" customFormat="false" ht="15" hidden="false" customHeight="false" outlineLevel="0" collapsed="false">
      <c r="A558" s="4" t="s">
        <v>328</v>
      </c>
      <c r="B558" s="0" t="s">
        <v>46</v>
      </c>
      <c r="D558" s="12" t="n">
        <f aca="false">$D$556*D557</f>
        <v>0.303060430071401</v>
      </c>
      <c r="E558" s="12" t="n">
        <f aca="false">$D$556*E557</f>
        <v>0.287907408567831</v>
      </c>
      <c r="F558" s="12" t="n">
        <f aca="false">$D$556*F557</f>
        <v>0.272754387064261</v>
      </c>
      <c r="G558" s="12" t="n">
        <f aca="false">$D$556*G557</f>
        <v>0.257601365560691</v>
      </c>
    </row>
    <row r="559" customFormat="false" ht="17.15" hidden="false" customHeight="false" outlineLevel="0" collapsed="false">
      <c r="A559" s="0" t="s">
        <v>368</v>
      </c>
      <c r="B559" s="0" t="s">
        <v>153</v>
      </c>
      <c r="C559" s="17" t="n">
        <f aca="false">a25_aipx</f>
        <v>44.3908</v>
      </c>
      <c r="D559" s="17" t="n">
        <f aca="false">D555*D558</f>
        <v>102.1172265</v>
      </c>
      <c r="E559" s="17" t="n">
        <f aca="false">E555*E558</f>
        <v>230.215918544895</v>
      </c>
      <c r="F559" s="17" t="n">
        <f aca="false">F555*F558</f>
        <v>313.328491521044</v>
      </c>
      <c r="G559" s="17" t="n">
        <f aca="false">G555*G558</f>
        <v>356.930688478907</v>
      </c>
    </row>
    <row r="560" customFormat="false" ht="17.15" hidden="false" customHeight="false" outlineLevel="0" collapsed="false">
      <c r="A560" s="6" t="s">
        <v>369</v>
      </c>
    </row>
    <row r="561" customFormat="false" ht="17.15" hidden="false" customHeight="false" outlineLevel="0" collapsed="false">
      <c r="A561" s="4" t="s">
        <v>370</v>
      </c>
      <c r="B561" s="0" t="s">
        <v>371</v>
      </c>
      <c r="D561" s="20" t="n">
        <f aca="false">a26_lc/D552</f>
        <v>4.04080573428535</v>
      </c>
    </row>
    <row r="562" customFormat="false" ht="17.15" hidden="false" customHeight="false" outlineLevel="0" collapsed="false">
      <c r="A562" s="4" t="s">
        <v>372</v>
      </c>
      <c r="B562" s="0" t="s">
        <v>62</v>
      </c>
      <c r="D562" s="13" t="n">
        <f aca="false">1</f>
        <v>1</v>
      </c>
      <c r="E562" s="13" t="n">
        <f aca="false">lcr_27</f>
        <v>1.1</v>
      </c>
      <c r="F562" s="13" t="n">
        <f aca="false">lcr_28</f>
        <v>1.15</v>
      </c>
      <c r="G562" s="13" t="n">
        <f aca="false">lcr_29</f>
        <v>1.2</v>
      </c>
    </row>
    <row r="563" customFormat="false" ht="15" hidden="false" customHeight="false" outlineLevel="0" collapsed="false">
      <c r="A563" s="4" t="s">
        <v>373</v>
      </c>
      <c r="B563" s="0" t="s">
        <v>153</v>
      </c>
      <c r="C563" s="17" t="n">
        <f aca="false">a25_lc</f>
        <v>55.4885</v>
      </c>
      <c r="D563" s="17" t="n">
        <f aca="false">D552*$D$561*D562</f>
        <v>94.5529875</v>
      </c>
      <c r="E563" s="17" t="n">
        <f aca="false">E552*$D$561*E562</f>
        <v>185.115139180837</v>
      </c>
      <c r="F563" s="17" t="n">
        <f aca="false">F552*$D$561*F562</f>
        <v>245.321190937636</v>
      </c>
      <c r="G563" s="17" t="n">
        <f aca="false">G552*$D$561*G562</f>
        <v>291.61003960695</v>
      </c>
    </row>
    <row r="564" customFormat="false" ht="17.15" hidden="false" customHeight="false" outlineLevel="0" collapsed="false">
      <c r="A564" s="4" t="s">
        <v>374</v>
      </c>
      <c r="B564" s="0" t="s">
        <v>153</v>
      </c>
      <c r="C564" s="17" t="n">
        <f aca="false">a25_naix</f>
        <v>455.0057</v>
      </c>
      <c r="D564" s="17" t="n">
        <f aca="false">a26_naix</f>
        <v>559.753686</v>
      </c>
      <c r="E564" s="17" t="n">
        <f aca="false">D564*(1+g_nai27)</f>
        <v>593.33890716</v>
      </c>
      <c r="F564" s="17" t="n">
        <f aca="false">E564*(1+g_nai28)</f>
        <v>623.005852518</v>
      </c>
      <c r="G564" s="17" t="n">
        <f aca="false">F564*(1+g_nai29)</f>
        <v>647.92608661872</v>
      </c>
    </row>
    <row r="565" customFormat="false" ht="15" hidden="false" customHeight="false" outlineLevel="0" collapsed="false">
      <c r="A565" s="4" t="s">
        <v>268</v>
      </c>
      <c r="B565" s="0" t="s">
        <v>153</v>
      </c>
      <c r="C565" s="17" t="n">
        <f aca="false">C559+C563+C564</f>
        <v>554.885</v>
      </c>
      <c r="D565" s="17" t="n">
        <f aca="false">D559+D563+D564</f>
        <v>756.4239</v>
      </c>
      <c r="E565" s="17" t="n">
        <f aca="false">E559+E563+E564</f>
        <v>1008.66996488573</v>
      </c>
      <c r="F565" s="17" t="n">
        <f aca="false">F559+F563+F564</f>
        <v>1181.65553497668</v>
      </c>
      <c r="G565" s="17" t="n">
        <f aca="false">G559+G563+G564</f>
        <v>1296.46681470458</v>
      </c>
    </row>
    <row r="566" customFormat="false" ht="15" hidden="false" customHeight="false" outlineLevel="0" collapsed="false">
      <c r="A566" s="4" t="s">
        <v>375</v>
      </c>
      <c r="B566" s="0" t="s">
        <v>46</v>
      </c>
      <c r="D566" s="12" t="n">
        <f aca="false">D565/C565-1</f>
        <v>0.363208412553953</v>
      </c>
      <c r="E566" s="12" t="n">
        <f aca="false">E565/D565-1</f>
        <v>0.333471833565455</v>
      </c>
      <c r="F566" s="12" t="n">
        <f aca="false">F565/E565-1</f>
        <v>0.171498682535416</v>
      </c>
      <c r="G566" s="12" t="n">
        <f aca="false">G565/F565-1</f>
        <v>0.0971613776853866</v>
      </c>
    </row>
    <row r="567" customFormat="false" ht="17.15" hidden="false" customHeight="false" outlineLevel="0" collapsed="false">
      <c r="A567" s="0" t="s">
        <v>376</v>
      </c>
      <c r="B567" s="0" t="s">
        <v>46</v>
      </c>
      <c r="C567" s="12" t="n">
        <f aca="false">C559/C565</f>
        <v>0.08</v>
      </c>
      <c r="D567" s="12" t="n">
        <f aca="false">D559/D565</f>
        <v>0.135</v>
      </c>
      <c r="E567" s="12" t="n">
        <f aca="false">E559/E565</f>
        <v>0.228237110808564</v>
      </c>
      <c r="F567" s="12" t="n">
        <f aca="false">F559/F565</f>
        <v>0.265160600739053</v>
      </c>
      <c r="G567" s="12" t="n">
        <f aca="false">G559/G565</f>
        <v>0.275310316030141</v>
      </c>
    </row>
    <row r="568" customFormat="false" ht="17.15" hidden="false" customHeight="false" outlineLevel="0" collapsed="false">
      <c r="A568" s="0" t="s">
        <v>377</v>
      </c>
      <c r="B568" s="0" t="s">
        <v>46</v>
      </c>
      <c r="C568" s="12" t="n">
        <f aca="false">(C559+C563)/C565</f>
        <v>0.18</v>
      </c>
      <c r="D568" s="12" t="n">
        <f aca="false">(D559+D563)/D565</f>
        <v>0.26</v>
      </c>
      <c r="E568" s="12" t="n">
        <f aca="false">(E559+E563)/E565</f>
        <v>0.41176110341779</v>
      </c>
      <c r="F568" s="12" t="n">
        <f aca="false">(F559+F563)/F565</f>
        <v>0.472768641895038</v>
      </c>
      <c r="G568" s="12" t="n">
        <f aca="false">(G559+G563)/G565</f>
        <v>0.500237044812935</v>
      </c>
    </row>
    <row r="569" customFormat="false" ht="17.15" hidden="false" customHeight="false" outlineLevel="0" collapsed="false">
      <c r="A569" s="4" t="s">
        <v>335</v>
      </c>
      <c r="B569" s="0" t="s">
        <v>336</v>
      </c>
      <c r="D569" s="16" t="n">
        <f aca="false">(D559+D563)/fx/D552*1000</f>
        <v>262.652372728548</v>
      </c>
      <c r="E569" s="16" t="n">
        <f aca="false">(E559+E563)/fx/E552*1000</f>
        <v>311.647142256757</v>
      </c>
      <c r="F569" s="16" t="n">
        <f aca="false">(F559+F563)/fx/F552*1000</f>
        <v>330.689439279577</v>
      </c>
      <c r="G569" s="16" t="n">
        <f aca="false">(G559+G563)/fx/G552*1000</f>
        <v>337.003198239398</v>
      </c>
    </row>
    <row r="570" customFormat="false" ht="17.15" hidden="false" customHeight="false" outlineLevel="0" collapsed="false">
      <c r="A570" s="6" t="s">
        <v>378</v>
      </c>
    </row>
    <row r="571" customFormat="false" ht="17.15" hidden="false" customHeight="false" outlineLevel="0" collapsed="false">
      <c r="A571" s="4" t="s">
        <v>379</v>
      </c>
      <c r="B571" s="0" t="s">
        <v>46</v>
      </c>
      <c r="D571" s="12" t="n">
        <f aca="false">a26_gp/D565-d_ai*D567</f>
        <v>0.350474417690927</v>
      </c>
      <c r="H571" s="8" t="s">
        <v>380</v>
      </c>
    </row>
    <row r="572" customFormat="false" ht="15" hidden="false" customHeight="false" outlineLevel="0" collapsed="false">
      <c r="A572" s="4" t="s">
        <v>272</v>
      </c>
      <c r="B572" s="0" t="s">
        <v>153</v>
      </c>
      <c r="C572" s="17" t="n">
        <f aca="false">a25_gp</f>
        <v>190.2</v>
      </c>
      <c r="D572" s="17" t="n">
        <f aca="false">a26_gp</f>
        <v>273.276604</v>
      </c>
      <c r="E572" s="17" t="n">
        <f aca="false">$D$571*E565+d_ai*E559</f>
        <v>371.930292069246</v>
      </c>
      <c r="F572" s="17" t="n">
        <f aca="false">$D$571*F565+d_ai*F559</f>
        <v>439.206314853896</v>
      </c>
      <c r="G572" s="17" t="n">
        <f aca="false">$D$571*G565+d_ai*G559</f>
        <v>482.93290701751</v>
      </c>
    </row>
    <row r="573" customFormat="false" ht="15" hidden="false" customHeight="false" outlineLevel="0" collapsed="false">
      <c r="A573" s="4" t="s">
        <v>274</v>
      </c>
      <c r="B573" s="0" t="s">
        <v>46</v>
      </c>
      <c r="C573" s="12" t="n">
        <f aca="false">C572/C565</f>
        <v>0.342773727889563</v>
      </c>
      <c r="D573" s="12" t="n">
        <f aca="false">D572/D565</f>
        <v>0.361274417690927</v>
      </c>
      <c r="E573" s="12" t="n">
        <f aca="false">E572/E565</f>
        <v>0.368733386555612</v>
      </c>
      <c r="F573" s="12" t="n">
        <f aca="false">F572/F565</f>
        <v>0.371687265750051</v>
      </c>
      <c r="G573" s="12" t="n">
        <f aca="false">G572/G565</f>
        <v>0.372499242973338</v>
      </c>
    </row>
    <row r="574" customFormat="false" ht="15" hidden="false" customHeight="false" outlineLevel="0" collapsed="false">
      <c r="A574" s="4" t="s">
        <v>381</v>
      </c>
      <c r="B574" s="0" t="s">
        <v>153</v>
      </c>
      <c r="C574" s="17" t="n">
        <f aca="false">a25_opx</f>
        <v>106.3</v>
      </c>
      <c r="D574" s="17" t="n">
        <f aca="false">a26_opx</f>
        <v>141.924088166667</v>
      </c>
      <c r="E574" s="17" t="n">
        <f aca="false">D574*(1+MAX(0,phi*E566))</f>
        <v>179.786236893102</v>
      </c>
      <c r="F574" s="17" t="n">
        <f aca="false">E574*(1+MAX(0,phi*F566))</f>
        <v>204.452719105235</v>
      </c>
      <c r="G574" s="17" t="n">
        <f aca="false">F574*(1+MAX(0,phi*G566))</f>
        <v>220.344645393066</v>
      </c>
    </row>
    <row r="575" customFormat="false" ht="15" hidden="false" customHeight="false" outlineLevel="0" collapsed="false">
      <c r="A575" s="4" t="s">
        <v>276</v>
      </c>
      <c r="B575" s="0" t="s">
        <v>153</v>
      </c>
      <c r="C575" s="17" t="n">
        <f aca="false">C574</f>
        <v>106.3</v>
      </c>
      <c r="D575" s="17" t="n">
        <f aca="false">D574</f>
        <v>141.924088166667</v>
      </c>
      <c r="E575" s="17" t="n">
        <f aca="false">E574+0*E565</f>
        <v>179.786236893102</v>
      </c>
      <c r="F575" s="17" t="n">
        <f aca="false">F574+0*F565</f>
        <v>204.452719105235</v>
      </c>
      <c r="G575" s="17" t="n">
        <f aca="false">G574+0*G565</f>
        <v>220.344645393066</v>
      </c>
    </row>
    <row r="576" customFormat="false" ht="15" hidden="false" customHeight="false" outlineLevel="0" collapsed="false">
      <c r="A576" s="4" t="s">
        <v>278</v>
      </c>
      <c r="B576" s="0" t="s">
        <v>153</v>
      </c>
      <c r="C576" s="17" t="n">
        <f aca="false">C572-C575</f>
        <v>83.9</v>
      </c>
      <c r="D576" s="17" t="n">
        <f aca="false">D572-D575</f>
        <v>131.352515833333</v>
      </c>
      <c r="E576" s="17" t="n">
        <f aca="false">E572-E575</f>
        <v>192.144055176145</v>
      </c>
      <c r="F576" s="17" t="n">
        <f aca="false">F572-F575</f>
        <v>234.753595748661</v>
      </c>
      <c r="G576" s="17" t="n">
        <f aca="false">G572-G575</f>
        <v>262.588261624444</v>
      </c>
    </row>
    <row r="577" customFormat="false" ht="15" hidden="false" customHeight="false" outlineLevel="0" collapsed="false">
      <c r="A577" s="4" t="s">
        <v>280</v>
      </c>
      <c r="B577" s="0" t="s">
        <v>46</v>
      </c>
      <c r="C577" s="12" t="n">
        <f aca="false">C576/C565</f>
        <v>0.151202501419213</v>
      </c>
      <c r="D577" s="12" t="n">
        <f aca="false">D576/D565</f>
        <v>0.173649346396027</v>
      </c>
      <c r="E577" s="12" t="n">
        <f aca="false">E576/E565</f>
        <v>0.190492491959857</v>
      </c>
      <c r="F577" s="12" t="n">
        <f aca="false">F576/F565</f>
        <v>0.198664999062772</v>
      </c>
      <c r="G577" s="12" t="n">
        <f aca="false">G576/G565</f>
        <v>0.202541444675759</v>
      </c>
    </row>
    <row r="578" customFormat="false" ht="15" hidden="false" customHeight="false" outlineLevel="0" collapsed="false">
      <c r="A578" s="4" t="s">
        <v>282</v>
      </c>
      <c r="B578" s="0" t="s">
        <v>153</v>
      </c>
      <c r="C578" s="17" t="n">
        <f aca="false">a25_nop</f>
        <v>3.934</v>
      </c>
      <c r="D578" s="17" t="n">
        <f aca="false">a26_nop</f>
        <v>11.1666666666667</v>
      </c>
      <c r="E578" s="17" t="n">
        <f aca="false">nop_f</f>
        <v>8</v>
      </c>
      <c r="F578" s="17" t="n">
        <f aca="false">nop_f</f>
        <v>8</v>
      </c>
      <c r="G578" s="17" t="n">
        <f aca="false">nop_f</f>
        <v>8</v>
      </c>
    </row>
    <row r="579" customFormat="false" ht="17.15" hidden="false" customHeight="false" outlineLevel="0" collapsed="false">
      <c r="A579" s="4" t="s">
        <v>195</v>
      </c>
      <c r="B579" s="0" t="s">
        <v>46</v>
      </c>
      <c r="C579" s="12" t="n">
        <f aca="false">a25_ni/(a25_oi+a25_nop)</f>
        <v>0.684336361773345</v>
      </c>
      <c r="D579" s="12" t="n">
        <f aca="false">a26_ni/(a26_oi+a26_nop)</f>
        <v>0.690638510538748</v>
      </c>
      <c r="E579" s="12" t="n">
        <f aca="false">nir_f</f>
        <v>0.69</v>
      </c>
      <c r="F579" s="12" t="n">
        <f aca="false">nir_f</f>
        <v>0.69</v>
      </c>
      <c r="G579" s="12" t="n">
        <f aca="false">nir_f</f>
        <v>0.69</v>
      </c>
    </row>
    <row r="580" customFormat="false" ht="15" hidden="false" customHeight="false" outlineLevel="0" collapsed="false">
      <c r="A580" s="4" t="s">
        <v>285</v>
      </c>
      <c r="B580" s="0" t="s">
        <v>153</v>
      </c>
      <c r="C580" s="17" t="n">
        <f aca="false">a25_ni</f>
        <v>60.108</v>
      </c>
      <c r="D580" s="17" t="n">
        <f aca="false">a26_ni</f>
        <v>98.429235925</v>
      </c>
      <c r="E580" s="17" t="n">
        <f aca="false">(E576+E578)*E579</f>
        <v>138.09939807154</v>
      </c>
      <c r="F580" s="17" t="n">
        <f aca="false">(F576+F578)*F579</f>
        <v>167.499981066576</v>
      </c>
      <c r="G580" s="17" t="n">
        <f aca="false">(G576+G578)*G579</f>
        <v>186.705900520867</v>
      </c>
    </row>
    <row r="581" customFormat="false" ht="15" hidden="false" customHeight="false" outlineLevel="0" collapsed="false">
      <c r="A581" s="4" t="s">
        <v>382</v>
      </c>
      <c r="B581" s="4" t="s">
        <v>179</v>
      </c>
      <c r="C581" s="20" t="n">
        <f aca="false">a25_sh</f>
        <v>2.59757994814175</v>
      </c>
      <c r="D581" s="20" t="n">
        <f aca="false">a26_sh</f>
        <v>2.59806708357021</v>
      </c>
      <c r="E581" s="20" t="n">
        <f aca="false">D581*(1+sh_g)</f>
        <v>2.59806708357021</v>
      </c>
      <c r="F581" s="20" t="n">
        <f aca="false">E581*(1+sh_g)</f>
        <v>2.59806708357021</v>
      </c>
      <c r="G581" s="20" t="n">
        <f aca="false">F581*(1+sh_g)</f>
        <v>2.59806708357021</v>
      </c>
    </row>
    <row r="582" customFormat="false" ht="15" hidden="false" customHeight="false" outlineLevel="0" collapsed="false">
      <c r="A582" s="0" t="s">
        <v>290</v>
      </c>
      <c r="B582" s="0" t="s">
        <v>210</v>
      </c>
      <c r="C582" s="18" t="n">
        <f aca="false">C580/C581</f>
        <v>23.14</v>
      </c>
      <c r="D582" s="18" t="n">
        <f aca="false">D580/D581</f>
        <v>37.8855636744147</v>
      </c>
      <c r="E582" s="18" t="n">
        <f aca="false">E580/E581</f>
        <v>53.1546698485424</v>
      </c>
      <c r="F582" s="18" t="n">
        <f aca="false">F580/F581</f>
        <v>64.4709992770476</v>
      </c>
      <c r="G582" s="18" t="n">
        <f aca="false">G580/G581</f>
        <v>71.8633870932613</v>
      </c>
    </row>
    <row r="583" customFormat="false" ht="17.15" hidden="false" customHeight="false" outlineLevel="0" collapsed="false">
      <c r="A583" s="0" t="s">
        <v>383</v>
      </c>
      <c r="B583" s="0" t="s">
        <v>46</v>
      </c>
      <c r="D583" s="12" t="n">
        <f aca="false">D582/C582-1</f>
        <v>0.637232656629847</v>
      </c>
      <c r="E583" s="12" t="n">
        <f aca="false">E582/D582-1</f>
        <v>0.403032308172822</v>
      </c>
      <c r="F583" s="12" t="n">
        <f aca="false">F582/E582-1</f>
        <v>0.212894360189794</v>
      </c>
      <c r="G583" s="12" t="n">
        <f aca="false">G582/F582-1</f>
        <v>0.114662218658143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591</v>
      </c>
    </row>
    <row r="2" customFormat="false" ht="17.15" hidden="false" customHeight="false" outlineLevel="0" collapsed="false">
      <c r="A2" s="4" t="s">
        <v>592</v>
      </c>
      <c r="B2" s="0" t="s">
        <v>593</v>
      </c>
    </row>
    <row r="3" customFormat="false" ht="17.15" hidden="false" customHeight="false" outlineLevel="0" collapsed="false">
      <c r="A3" s="4" t="s">
        <v>594</v>
      </c>
      <c r="B3" s="0" t="s">
        <v>595</v>
      </c>
    </row>
    <row r="4" customFormat="false" ht="17.15" hidden="false" customHeight="false" outlineLevel="0" collapsed="false">
      <c r="A4" s="4" t="s">
        <v>596</v>
      </c>
      <c r="B4" s="0" t="s">
        <v>597</v>
      </c>
    </row>
    <row r="5" customFormat="false" ht="17.15" hidden="false" customHeight="false" outlineLevel="0" collapsed="false">
      <c r="A5" s="4" t="s">
        <v>598</v>
      </c>
      <c r="B5" s="0" t="s">
        <v>599</v>
      </c>
    </row>
    <row r="6" customFormat="false" ht="17.15" hidden="false" customHeight="false" outlineLevel="0" collapsed="false">
      <c r="A6" s="4" t="s">
        <v>600</v>
      </c>
      <c r="B6" s="0" t="s">
        <v>601</v>
      </c>
    </row>
    <row r="7" customFormat="false" ht="17.15" hidden="false" customHeight="false" outlineLevel="0" collapsed="false">
      <c r="A7" s="4" t="s">
        <v>602</v>
      </c>
      <c r="B7" s="0" t="s">
        <v>603</v>
      </c>
    </row>
    <row r="8" customFormat="false" ht="17.15" hidden="false" customHeight="false" outlineLevel="0" collapsed="false">
      <c r="A8" s="4" t="s">
        <v>604</v>
      </c>
      <c r="B8" s="0" t="s">
        <v>605</v>
      </c>
    </row>
    <row r="9" customFormat="false" ht="17.15" hidden="false" customHeight="false" outlineLevel="0" collapsed="false">
      <c r="A9" s="4" t="s">
        <v>606</v>
      </c>
      <c r="B9" s="0" t="s">
        <v>607</v>
      </c>
    </row>
    <row r="10" customFormat="false" ht="17.15" hidden="false" customHeight="false" outlineLevel="0" collapsed="false">
      <c r="A10" s="4" t="s">
        <v>608</v>
      </c>
      <c r="B10" s="0" t="s">
        <v>609</v>
      </c>
    </row>
    <row r="11" customFormat="false" ht="17.15" hidden="false" customHeight="false" outlineLevel="0" collapsed="false">
      <c r="A11" s="4" t="s">
        <v>610</v>
      </c>
      <c r="B11" s="0" t="s">
        <v>611</v>
      </c>
    </row>
    <row r="12" customFormat="false" ht="17.15" hidden="false" customHeight="false" outlineLevel="0" collapsed="false">
      <c r="A12" s="4" t="s">
        <v>612</v>
      </c>
      <c r="B12" s="0" t="s">
        <v>613</v>
      </c>
    </row>
    <row r="13" customFormat="false" ht="17.15" hidden="false" customHeight="false" outlineLevel="0" collapsed="false">
      <c r="A13" s="4" t="s">
        <v>614</v>
      </c>
      <c r="B13" s="0" t="s">
        <v>615</v>
      </c>
    </row>
    <row r="14" customFormat="false" ht="17.15" hidden="false" customHeight="false" outlineLevel="0" collapsed="false">
      <c r="A14" s="4" t="s">
        <v>616</v>
      </c>
    </row>
    <row r="15" customFormat="false" ht="17.15" hidden="false" customHeight="false" outlineLevel="0" collapsed="false">
      <c r="A15" s="4" t="s">
        <v>617</v>
      </c>
      <c r="B15" s="4" t="s">
        <v>618</v>
      </c>
    </row>
    <row r="16" customFormat="false" ht="15" hidden="false" customHeight="false" outlineLevel="0" collapsed="false">
      <c r="A16" s="0" t="s">
        <v>619</v>
      </c>
      <c r="B16" s="4" t="s">
        <v>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2026-10-25T03:24:35Z</dcterms:created>
  <dc:creator>openpyxl</dc:creator>
  <dc:description/>
  <dc:language>en-US</dc:language>
  <cp:lastModifiedBy/>
  <dcterms:modified xsi:type="dcterms:W3CDTF">2026-10-25T03:24:35Z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