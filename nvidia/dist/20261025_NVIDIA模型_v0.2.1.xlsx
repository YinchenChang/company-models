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<sst xmlns="http://schemas.openxmlformats.org/spreadsheetml/2006/main" count="4303" uniqueCount="1201">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</sst>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260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280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150</v>
      </c>
      <c r="E46" s="7" t="n">
        <v>288</v>
      </c>
      <c r="G46" s="8" t="s">
        <v>35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150</v>
      </c>
      <c r="E47" s="7" t="n">
        <v>288</v>
      </c>
      <c r="G47" s="8" t="s">
        <v>35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150</v>
      </c>
      <c r="E48" s="7" t="n">
        <v>288</v>
      </c>
      <c r="G48" s="8" t="s">
        <v>35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150</v>
      </c>
      <c r="E49" s="7" t="n">
        <v>1024</v>
      </c>
      <c r="G49" s="8" t="s">
        <v>35</v>
      </c>
      <c r="H49" s="8" t="s">
        <v>151</v>
      </c>
      <c r="I49" s="8" t="s">
        <v>152</v>
      </c>
    </row>
    <row r="50" customFormat="false" ht="17.15" hidden="false" customHeight="false" outlineLevel="0" collapsed="false">
      <c r="A50" s="0" t="s">
        <v>165</v>
      </c>
      <c r="B50" s="0" t="s">
        <v>166</v>
      </c>
      <c r="C50" s="0" t="s">
        <v>150</v>
      </c>
      <c r="E50" s="7" t="n">
        <v>1024</v>
      </c>
      <c r="G50" s="8" t="s">
        <v>35</v>
      </c>
      <c r="H50" s="8" t="s">
        <v>151</v>
      </c>
      <c r="I50" s="5" t="s">
        <v>40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150</v>
      </c>
      <c r="E51" s="7" t="n">
        <v>1024</v>
      </c>
      <c r="G51" s="8" t="s">
        <v>35</v>
      </c>
      <c r="H51" s="8" t="s">
        <v>151</v>
      </c>
      <c r="I51" s="5" t="s">
        <v>40</v>
      </c>
    </row>
    <row r="52" customFormat="false" ht="17.15" hidden="false" customHeight="false" outlineLevel="0" collapsed="false">
      <c r="A52" s="0" t="s">
        <v>169</v>
      </c>
      <c r="B52" s="0" t="s">
        <v>170</v>
      </c>
      <c r="C52" s="0" t="s">
        <v>150</v>
      </c>
      <c r="E52" s="7" t="n">
        <v>141</v>
      </c>
      <c r="G52" s="8" t="s">
        <v>35</v>
      </c>
      <c r="H52" s="8" t="s">
        <v>151</v>
      </c>
      <c r="I52" s="8" t="s">
        <v>152</v>
      </c>
    </row>
    <row r="53" customFormat="false" ht="17.15" hidden="false" customHeight="false" outlineLevel="0" collapsed="false">
      <c r="A53" s="0" t="s">
        <v>171</v>
      </c>
      <c r="B53" s="0" t="s">
        <v>172</v>
      </c>
      <c r="C53" s="0" t="s">
        <v>150</v>
      </c>
      <c r="E53" s="7" t="n">
        <v>141</v>
      </c>
      <c r="G53" s="8" t="s">
        <v>35</v>
      </c>
      <c r="H53" s="8" t="s">
        <v>151</v>
      </c>
      <c r="I53" s="5" t="s">
        <v>40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150</v>
      </c>
      <c r="E54" s="7" t="n">
        <v>141</v>
      </c>
      <c r="G54" s="8" t="s">
        <v>35</v>
      </c>
      <c r="H54" s="8" t="s">
        <v>151</v>
      </c>
      <c r="I54" s="5" t="s">
        <v>40</v>
      </c>
    </row>
    <row r="55" customFormat="false" ht="17.15" hidden="false" customHeight="false" outlineLevel="0" collapsed="false">
      <c r="A55" s="1" t="s">
        <v>175</v>
      </c>
    </row>
    <row r="56" customFormat="false" ht="17.15" hidden="false" customHeight="false" outlineLevel="0" collapsed="false">
      <c r="A56" s="0" t="s">
        <v>176</v>
      </c>
      <c r="B56" s="0" t="s">
        <v>177</v>
      </c>
      <c r="C56" s="0" t="s">
        <v>178</v>
      </c>
      <c r="D56" s="7" t="n">
        <v>37.6</v>
      </c>
      <c r="E56" s="7" t="n">
        <v>40.4</v>
      </c>
      <c r="F56" s="7" t="n">
        <v>47</v>
      </c>
      <c r="G56" s="8" t="s">
        <v>179</v>
      </c>
      <c r="H56" s="8" t="s">
        <v>180</v>
      </c>
      <c r="I56" s="5" t="s">
        <v>181</v>
      </c>
    </row>
    <row r="57" customFormat="false" ht="17.15" hidden="false" customHeight="false" outlineLevel="0" collapsed="false">
      <c r="A57" s="0" t="s">
        <v>182</v>
      </c>
      <c r="B57" s="0" t="s">
        <v>183</v>
      </c>
      <c r="C57" s="0" t="s">
        <v>178</v>
      </c>
      <c r="D57" s="7" t="n">
        <v>50</v>
      </c>
      <c r="E57" s="7" t="n">
        <v>55</v>
      </c>
      <c r="F57" s="7" t="n">
        <v>60</v>
      </c>
      <c r="G57" s="8" t="s">
        <v>179</v>
      </c>
      <c r="H57" s="8" t="s">
        <v>184</v>
      </c>
      <c r="I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178</v>
      </c>
      <c r="D58" s="7" t="n">
        <v>60</v>
      </c>
      <c r="E58" s="7" t="n">
        <v>75</v>
      </c>
      <c r="F58" s="7" t="n">
        <v>100</v>
      </c>
      <c r="G58" s="8" t="s">
        <v>46</v>
      </c>
      <c r="H58" s="5" t="s">
        <v>188</v>
      </c>
      <c r="I58" s="8" t="s">
        <v>189</v>
      </c>
    </row>
    <row r="59" customFormat="false" ht="17.15" hidden="false" customHeight="false" outlineLevel="0" collapsed="false">
      <c r="A59" s="0" t="s">
        <v>190</v>
      </c>
      <c r="B59" s="0" t="s">
        <v>191</v>
      </c>
      <c r="C59" s="0" t="s">
        <v>178</v>
      </c>
      <c r="D59" s="7" t="n">
        <v>25</v>
      </c>
      <c r="E59" s="7" t="n">
        <v>30</v>
      </c>
      <c r="F59" s="7" t="n">
        <v>35</v>
      </c>
      <c r="G59" s="8" t="s">
        <v>46</v>
      </c>
      <c r="H59" s="5" t="s">
        <v>192</v>
      </c>
      <c r="I59" s="5" t="s">
        <v>193</v>
      </c>
    </row>
    <row r="60" customFormat="false" ht="17.15" hidden="false" customHeight="false" outlineLevel="0" collapsed="false">
      <c r="A60" s="0" t="s">
        <v>194</v>
      </c>
      <c r="B60" s="0" t="s">
        <v>195</v>
      </c>
      <c r="C60" s="0" t="s">
        <v>178</v>
      </c>
      <c r="E60" s="7" t="n">
        <v>2</v>
      </c>
      <c r="G60" s="8" t="s">
        <v>179</v>
      </c>
      <c r="H60" s="8" t="s">
        <v>196</v>
      </c>
      <c r="I60" s="8" t="s">
        <v>197</v>
      </c>
    </row>
    <row r="61" customFormat="false" ht="17.15" hidden="false" customHeight="false" outlineLevel="0" collapsed="false">
      <c r="A61" s="0" t="s">
        <v>198</v>
      </c>
      <c r="B61" s="0" t="s">
        <v>199</v>
      </c>
      <c r="C61" s="0" t="s">
        <v>178</v>
      </c>
      <c r="E61" s="7" t="n">
        <v>3.069444</v>
      </c>
      <c r="G61" s="8" t="s">
        <v>179</v>
      </c>
      <c r="H61" s="8" t="s">
        <v>200</v>
      </c>
      <c r="I61" s="5" t="s">
        <v>201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178</v>
      </c>
      <c r="E62" s="7" t="n">
        <v>3.072222</v>
      </c>
      <c r="G62" s="8" t="s">
        <v>179</v>
      </c>
      <c r="H62" s="8" t="s">
        <v>204</v>
      </c>
      <c r="I62" s="5" t="s">
        <v>205</v>
      </c>
    </row>
    <row r="63" customFormat="false" ht="17.15" hidden="false" customHeight="false" outlineLevel="0" collapsed="false">
      <c r="A63" s="0" t="s">
        <v>206</v>
      </c>
      <c r="B63" s="0" t="s">
        <v>207</v>
      </c>
      <c r="C63" s="0" t="s">
        <v>178</v>
      </c>
      <c r="E63" s="7" t="n">
        <v>2.5</v>
      </c>
      <c r="G63" s="8" t="s">
        <v>179</v>
      </c>
      <c r="H63" s="8" t="s">
        <v>208</v>
      </c>
      <c r="I63" s="8" t="s">
        <v>197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178</v>
      </c>
      <c r="E64" s="7" t="n">
        <v>5.055556</v>
      </c>
      <c r="G64" s="8" t="s">
        <v>179</v>
      </c>
      <c r="H64" s="8" t="s">
        <v>211</v>
      </c>
      <c r="I64" s="5" t="s">
        <v>201</v>
      </c>
    </row>
    <row r="65" customFormat="false" ht="17.15" hidden="false" customHeight="false" outlineLevel="0" collapsed="false">
      <c r="A65" s="0" t="s">
        <v>212</v>
      </c>
      <c r="B65" s="5" t="s">
        <v>213</v>
      </c>
      <c r="C65" s="0" t="s">
        <v>178</v>
      </c>
      <c r="E65" s="7" t="n">
        <v>19.222222</v>
      </c>
      <c r="G65" s="8" t="s">
        <v>179</v>
      </c>
      <c r="H65" s="8" t="s">
        <v>214</v>
      </c>
      <c r="I65" s="5" t="s">
        <v>205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178</v>
      </c>
      <c r="E66" s="0" t="n">
        <f aca="false">pcpu_rb</f>
        <v>2.5</v>
      </c>
      <c r="G66" s="0" t="s">
        <v>217</v>
      </c>
      <c r="H66" s="5" t="s">
        <v>218</v>
      </c>
      <c r="I66" s="0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178</v>
      </c>
      <c r="E67" s="0" t="n">
        <f aca="false">plp_rb</f>
        <v>5.055556</v>
      </c>
      <c r="G67" s="0" t="s">
        <v>217</v>
      </c>
      <c r="H67" s="5" t="s">
        <v>218</v>
      </c>
      <c r="I67" s="0" t="s">
        <v>219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178</v>
      </c>
      <c r="E68" s="0" t="n">
        <f aca="false">pres_rb</f>
        <v>19.222222</v>
      </c>
      <c r="G68" s="0" t="s">
        <v>217</v>
      </c>
      <c r="H68" s="5" t="s">
        <v>218</v>
      </c>
      <c r="I68" s="0" t="s">
        <v>219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178</v>
      </c>
      <c r="E69" s="7" t="n">
        <v>0</v>
      </c>
      <c r="G69" s="8" t="s">
        <v>46</v>
      </c>
      <c r="H69" s="8" t="s">
        <v>226</v>
      </c>
      <c r="I69" s="8" t="s">
        <v>219</v>
      </c>
    </row>
    <row r="70" customFormat="false" ht="17.15" hidden="false" customHeight="false" outlineLevel="0" collapsed="false">
      <c r="A70" s="0" t="s">
        <v>227</v>
      </c>
      <c r="B70" s="0" t="s">
        <v>228</v>
      </c>
      <c r="C70" s="0" t="s">
        <v>178</v>
      </c>
      <c r="E70" s="7" t="n">
        <v>0</v>
      </c>
      <c r="G70" s="8" t="s">
        <v>46</v>
      </c>
      <c r="H70" s="5" t="s">
        <v>40</v>
      </c>
      <c r="I70" s="8" t="s">
        <v>219</v>
      </c>
    </row>
    <row r="71" customFormat="false" ht="17.15" hidden="false" customHeight="false" outlineLevel="0" collapsed="false">
      <c r="A71" s="0" t="s">
        <v>229</v>
      </c>
      <c r="B71" s="5" t="s">
        <v>230</v>
      </c>
      <c r="C71" s="0" t="s">
        <v>178</v>
      </c>
      <c r="E71" s="7" t="n">
        <v>0</v>
      </c>
      <c r="G71" s="8" t="s">
        <v>46</v>
      </c>
      <c r="H71" s="5" t="s">
        <v>40</v>
      </c>
      <c r="I71" s="8" t="s">
        <v>219</v>
      </c>
    </row>
    <row r="72" customFormat="false" ht="17.15" hidden="false" customHeight="false" outlineLevel="0" collapsed="false">
      <c r="A72" s="0" t="s">
        <v>231</v>
      </c>
      <c r="B72" s="5" t="s">
        <v>232</v>
      </c>
      <c r="C72" s="0" t="s">
        <v>130</v>
      </c>
      <c r="D72" s="7" t="n">
        <v>0</v>
      </c>
      <c r="E72" s="7" t="n">
        <v>0.5</v>
      </c>
      <c r="F72" s="7" t="n">
        <v>1</v>
      </c>
      <c r="G72" s="8" t="s">
        <v>46</v>
      </c>
      <c r="H72" s="5" t="s">
        <v>233</v>
      </c>
      <c r="I72" s="5" t="s">
        <v>234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237</v>
      </c>
      <c r="E73" s="7" t="n">
        <v>15.5</v>
      </c>
      <c r="G73" s="8" t="s">
        <v>179</v>
      </c>
      <c r="H73" s="8" t="s">
        <v>238</v>
      </c>
      <c r="I73" s="5" t="s">
        <v>239</v>
      </c>
    </row>
    <row r="74" customFormat="false" ht="17.15" hidden="false" customHeight="false" outlineLevel="0" collapsed="false">
      <c r="A74" s="0" t="s">
        <v>240</v>
      </c>
      <c r="B74" s="0" t="s">
        <v>241</v>
      </c>
      <c r="C74" s="0" t="s">
        <v>237</v>
      </c>
      <c r="E74" s="7" t="n">
        <v>16.7</v>
      </c>
      <c r="G74" s="8" t="s">
        <v>179</v>
      </c>
      <c r="H74" s="8" t="s">
        <v>242</v>
      </c>
      <c r="I74" s="8" t="s">
        <v>243</v>
      </c>
    </row>
    <row r="75" customFormat="false" ht="17.15" hidden="false" customHeight="false" outlineLevel="0" collapsed="false">
      <c r="A75" s="0" t="s">
        <v>244</v>
      </c>
      <c r="B75" s="0" t="s">
        <v>245</v>
      </c>
      <c r="C75" s="0" t="s">
        <v>237</v>
      </c>
      <c r="E75" s="0" t="n">
        <f aca="false">hpx_rb</f>
        <v>16.7</v>
      </c>
      <c r="G75" s="0" t="s">
        <v>217</v>
      </c>
      <c r="H75" s="5" t="s">
        <v>218</v>
      </c>
      <c r="I75" s="0" t="s">
        <v>219</v>
      </c>
    </row>
    <row r="76" customFormat="false" ht="17.15" hidden="false" customHeight="false" outlineLevel="0" collapsed="false">
      <c r="A76" s="0" t="s">
        <v>246</v>
      </c>
      <c r="B76" s="0" t="s">
        <v>247</v>
      </c>
      <c r="C76" s="0" t="s">
        <v>237</v>
      </c>
      <c r="E76" s="0" t="n">
        <f aca="false">hpx_bw</f>
        <v>15.5</v>
      </c>
      <c r="G76" s="0" t="s">
        <v>217</v>
      </c>
      <c r="H76" s="5" t="s">
        <v>248</v>
      </c>
      <c r="I76" s="0" t="s">
        <v>219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130</v>
      </c>
      <c r="D77" s="7" t="n">
        <v>0</v>
      </c>
      <c r="E77" s="7" t="n">
        <v>0.5</v>
      </c>
      <c r="F77" s="7" t="n">
        <v>1</v>
      </c>
      <c r="G77" s="8" t="s">
        <v>46</v>
      </c>
      <c r="H77" s="5" t="s">
        <v>251</v>
      </c>
      <c r="I77" s="5" t="s">
        <v>252</v>
      </c>
    </row>
    <row r="78" customFormat="false" ht="17.15" hidden="false" customHeight="false" outlineLevel="0" collapsed="false">
      <c r="A78" s="1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237</v>
      </c>
      <c r="E79" s="7" t="n">
        <v>14.6</v>
      </c>
      <c r="G79" s="8" t="s">
        <v>179</v>
      </c>
      <c r="H79" s="8" t="s">
        <v>256</v>
      </c>
      <c r="I79" s="8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237</v>
      </c>
      <c r="E80" s="7" t="n">
        <v>26.28</v>
      </c>
      <c r="G80" s="8" t="s">
        <v>179</v>
      </c>
      <c r="H80" s="8" t="s">
        <v>256</v>
      </c>
      <c r="I80" s="5" t="s">
        <v>40</v>
      </c>
    </row>
    <row r="81" customFormat="false" ht="17.15" hidden="false" customHeight="false" outlineLevel="0" collapsed="false">
      <c r="A81" s="0" t="s">
        <v>260</v>
      </c>
      <c r="B81" s="0" t="s">
        <v>261</v>
      </c>
      <c r="C81" s="0" t="s">
        <v>237</v>
      </c>
      <c r="E81" s="7" t="n">
        <v>28.908</v>
      </c>
      <c r="G81" s="8" t="s">
        <v>179</v>
      </c>
      <c r="H81" s="8" t="s">
        <v>256</v>
      </c>
      <c r="I81" s="5" t="s">
        <v>40</v>
      </c>
    </row>
    <row r="82" customFormat="false" ht="17.15" hidden="false" customHeight="false" outlineLevel="0" collapsed="false">
      <c r="A82" s="0" t="s">
        <v>262</v>
      </c>
      <c r="B82" s="0" t="s">
        <v>263</v>
      </c>
      <c r="C82" s="0" t="s">
        <v>237</v>
      </c>
      <c r="E82" s="7" t="n">
        <v>27.4626</v>
      </c>
      <c r="G82" s="8" t="s">
        <v>179</v>
      </c>
      <c r="H82" s="8" t="s">
        <v>256</v>
      </c>
      <c r="I82" s="5" t="s">
        <v>40</v>
      </c>
    </row>
    <row r="83" customFormat="false" ht="17.15" hidden="false" customHeight="false" outlineLevel="0" collapsed="false">
      <c r="A83" s="0" t="s">
        <v>264</v>
      </c>
      <c r="B83" s="0" t="s">
        <v>265</v>
      </c>
      <c r="C83" s="0" t="s">
        <v>237</v>
      </c>
      <c r="E83" s="7" t="n">
        <v>14.6</v>
      </c>
      <c r="G83" s="8" t="s">
        <v>179</v>
      </c>
      <c r="H83" s="8" t="s">
        <v>266</v>
      </c>
      <c r="I83" s="5" t="s">
        <v>40</v>
      </c>
    </row>
    <row r="84" customFormat="false" ht="17.15" hidden="false" customHeight="false" outlineLevel="0" collapsed="false">
      <c r="A84" s="0" t="s">
        <v>267</v>
      </c>
      <c r="B84" s="0" t="s">
        <v>268</v>
      </c>
      <c r="C84" s="0" t="s">
        <v>237</v>
      </c>
      <c r="E84" s="7" t="n">
        <v>26.28</v>
      </c>
      <c r="G84" s="8" t="s">
        <v>179</v>
      </c>
      <c r="H84" s="8" t="s">
        <v>266</v>
      </c>
      <c r="I84" s="5" t="s">
        <v>40</v>
      </c>
    </row>
    <row r="85" customFormat="false" ht="17.15" hidden="false" customHeight="false" outlineLevel="0" collapsed="false">
      <c r="A85" s="0" t="s">
        <v>269</v>
      </c>
      <c r="B85" s="0" t="s">
        <v>270</v>
      </c>
      <c r="C85" s="0" t="s">
        <v>237</v>
      </c>
      <c r="E85" s="7" t="n">
        <v>19.71</v>
      </c>
      <c r="G85" s="8" t="s">
        <v>179</v>
      </c>
      <c r="H85" s="8" t="s">
        <v>266</v>
      </c>
      <c r="I85" s="5" t="s">
        <v>40</v>
      </c>
    </row>
    <row r="86" customFormat="false" ht="17.15" hidden="false" customHeight="false" outlineLevel="0" collapsed="false">
      <c r="A86" s="0" t="s">
        <v>271</v>
      </c>
      <c r="B86" s="0" t="s">
        <v>272</v>
      </c>
      <c r="C86" s="0" t="s">
        <v>237</v>
      </c>
      <c r="E86" s="7" t="n">
        <v>19.71</v>
      </c>
      <c r="G86" s="8" t="s">
        <v>179</v>
      </c>
      <c r="H86" s="8" t="s">
        <v>266</v>
      </c>
      <c r="I86" s="5" t="s">
        <v>40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237</v>
      </c>
      <c r="E87" s="7" t="n">
        <v>14.6</v>
      </c>
      <c r="G87" s="8" t="s">
        <v>179</v>
      </c>
      <c r="H87" s="8" t="s">
        <v>275</v>
      </c>
      <c r="I87" s="5" t="s">
        <v>40</v>
      </c>
    </row>
    <row r="88" customFormat="false" ht="17.15" hidden="false" customHeight="false" outlineLevel="0" collapsed="false">
      <c r="A88" s="0" t="s">
        <v>276</v>
      </c>
      <c r="B88" s="0" t="s">
        <v>277</v>
      </c>
      <c r="C88" s="0" t="s">
        <v>237</v>
      </c>
      <c r="E88" s="7" t="n">
        <v>26.28</v>
      </c>
      <c r="G88" s="8" t="s">
        <v>179</v>
      </c>
      <c r="H88" s="8" t="s">
        <v>275</v>
      </c>
      <c r="I88" s="5" t="s">
        <v>40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237</v>
      </c>
      <c r="E89" s="7" t="n">
        <v>15.768</v>
      </c>
      <c r="G89" s="8" t="s">
        <v>179</v>
      </c>
      <c r="H89" s="8" t="s">
        <v>275</v>
      </c>
      <c r="I89" s="5" t="s">
        <v>40</v>
      </c>
    </row>
    <row r="90" customFormat="false" ht="17.15" hidden="false" customHeight="false" outlineLevel="0" collapsed="false">
      <c r="A90" s="0" t="s">
        <v>280</v>
      </c>
      <c r="B90" s="0" t="s">
        <v>281</v>
      </c>
      <c r="C90" s="0" t="s">
        <v>237</v>
      </c>
      <c r="E90" s="7" t="n">
        <v>16.5564</v>
      </c>
      <c r="G90" s="8" t="s">
        <v>179</v>
      </c>
      <c r="H90" s="8" t="s">
        <v>275</v>
      </c>
      <c r="I90" s="5" t="s">
        <v>40</v>
      </c>
    </row>
    <row r="91" customFormat="false" ht="17.15" hidden="false" customHeight="false" outlineLevel="0" collapsed="false">
      <c r="A91" s="0" t="s">
        <v>282</v>
      </c>
      <c r="B91" s="5" t="s">
        <v>283</v>
      </c>
      <c r="C91" s="0" t="s">
        <v>130</v>
      </c>
      <c r="E91" s="7" t="n">
        <v>5.16160910558167</v>
      </c>
      <c r="G91" s="8" t="s">
        <v>179</v>
      </c>
      <c r="H91" s="8" t="s">
        <v>284</v>
      </c>
      <c r="I91" s="8" t="s">
        <v>285</v>
      </c>
    </row>
    <row r="92" customFormat="false" ht="17.15" hidden="false" customHeight="false" outlineLevel="0" collapsed="false">
      <c r="A92" s="0" t="s">
        <v>286</v>
      </c>
      <c r="B92" s="5" t="s">
        <v>287</v>
      </c>
      <c r="C92" s="0" t="s">
        <v>130</v>
      </c>
      <c r="E92" s="7" t="n">
        <v>6.6593125157252</v>
      </c>
      <c r="G92" s="8" t="s">
        <v>179</v>
      </c>
      <c r="H92" s="8" t="s">
        <v>284</v>
      </c>
      <c r="I92" s="5" t="s">
        <v>40</v>
      </c>
    </row>
    <row r="93" customFormat="false" ht="17.15" hidden="false" customHeight="false" outlineLevel="0" collapsed="false">
      <c r="A93" s="0" t="s">
        <v>288</v>
      </c>
      <c r="B93" s="5" t="s">
        <v>289</v>
      </c>
      <c r="C93" s="0" t="s">
        <v>130</v>
      </c>
      <c r="E93" s="7" t="n">
        <v>6.01793600154974</v>
      </c>
      <c r="G93" s="8" t="s">
        <v>179</v>
      </c>
      <c r="H93" s="8" t="s">
        <v>284</v>
      </c>
      <c r="I93" s="5" t="s">
        <v>40</v>
      </c>
    </row>
    <row r="94" customFormat="false" ht="17.15" hidden="false" customHeight="false" outlineLevel="0" collapsed="false">
      <c r="A94" s="0" t="s">
        <v>290</v>
      </c>
      <c r="B94" s="5" t="s">
        <v>291</v>
      </c>
      <c r="C94" s="0" t="s">
        <v>130</v>
      </c>
      <c r="E94" s="7" t="n">
        <v>5.43804985489736</v>
      </c>
      <c r="G94" s="8" t="s">
        <v>179</v>
      </c>
      <c r="H94" s="8" t="s">
        <v>284</v>
      </c>
      <c r="I94" s="5" t="s">
        <v>40</v>
      </c>
    </row>
    <row r="95" customFormat="false" ht="17.15" hidden="false" customHeight="false" outlineLevel="0" collapsed="false">
      <c r="A95" s="0" t="s">
        <v>292</v>
      </c>
      <c r="B95" s="5" t="s">
        <v>293</v>
      </c>
      <c r="C95" s="0" t="s">
        <v>130</v>
      </c>
      <c r="E95" s="7" t="n">
        <v>5.16160910558167</v>
      </c>
      <c r="G95" s="8" t="s">
        <v>179</v>
      </c>
      <c r="H95" s="8" t="s">
        <v>294</v>
      </c>
      <c r="I95" s="5" t="s">
        <v>40</v>
      </c>
    </row>
    <row r="96" customFormat="false" ht="17.15" hidden="false" customHeight="false" outlineLevel="0" collapsed="false">
      <c r="A96" s="0" t="s">
        <v>295</v>
      </c>
      <c r="B96" s="5" t="s">
        <v>296</v>
      </c>
      <c r="C96" s="0" t="s">
        <v>130</v>
      </c>
      <c r="E96" s="7" t="n">
        <v>6.48713341292856</v>
      </c>
      <c r="G96" s="8" t="s">
        <v>179</v>
      </c>
      <c r="H96" s="8" t="s">
        <v>294</v>
      </c>
      <c r="I96" s="5" t="s">
        <v>40</v>
      </c>
    </row>
    <row r="97" customFormat="false" ht="17.15" hidden="false" customHeight="false" outlineLevel="0" collapsed="false">
      <c r="A97" s="0" t="s">
        <v>297</v>
      </c>
      <c r="B97" s="5" t="s">
        <v>298</v>
      </c>
      <c r="C97" s="0" t="s">
        <v>130</v>
      </c>
      <c r="E97" s="7" t="n">
        <v>3.45274707414887</v>
      </c>
      <c r="G97" s="8" t="s">
        <v>179</v>
      </c>
      <c r="H97" s="8" t="s">
        <v>294</v>
      </c>
      <c r="I97" s="5" t="s">
        <v>40</v>
      </c>
    </row>
    <row r="98" customFormat="false" ht="17.15" hidden="false" customHeight="false" outlineLevel="0" collapsed="false">
      <c r="A98" s="0" t="s">
        <v>299</v>
      </c>
      <c r="B98" s="5" t="s">
        <v>300</v>
      </c>
      <c r="C98" s="0" t="s">
        <v>130</v>
      </c>
      <c r="E98" s="7" t="n">
        <v>3.34725167569952</v>
      </c>
      <c r="G98" s="8" t="s">
        <v>179</v>
      </c>
      <c r="H98" s="8" t="s">
        <v>294</v>
      </c>
      <c r="I98" s="5" t="s">
        <v>40</v>
      </c>
    </row>
    <row r="99" customFormat="false" ht="17.15" hidden="false" customHeight="false" outlineLevel="0" collapsed="false">
      <c r="A99" s="0" t="s">
        <v>301</v>
      </c>
      <c r="B99" s="5" t="s">
        <v>302</v>
      </c>
      <c r="C99" s="0" t="s">
        <v>130</v>
      </c>
      <c r="E99" s="7" t="n">
        <v>5.16160910558167</v>
      </c>
      <c r="G99" s="8" t="s">
        <v>179</v>
      </c>
      <c r="H99" s="8" t="s">
        <v>303</v>
      </c>
      <c r="I99" s="5" t="s">
        <v>40</v>
      </c>
    </row>
    <row r="100" customFormat="false" ht="17.15" hidden="false" customHeight="false" outlineLevel="0" collapsed="false">
      <c r="A100" s="0" t="s">
        <v>304</v>
      </c>
      <c r="B100" s="5" t="s">
        <v>305</v>
      </c>
      <c r="C100" s="0" t="s">
        <v>130</v>
      </c>
      <c r="E100" s="7" t="n">
        <v>6.48713341292856</v>
      </c>
      <c r="G100" s="8" t="s">
        <v>179</v>
      </c>
      <c r="H100" s="8" t="s">
        <v>303</v>
      </c>
      <c r="I100" s="5" t="s">
        <v>40</v>
      </c>
    </row>
    <row r="101" customFormat="false" ht="17.15" hidden="false" customHeight="false" outlineLevel="0" collapsed="false">
      <c r="A101" s="0" t="s">
        <v>306</v>
      </c>
      <c r="B101" s="5" t="s">
        <v>307</v>
      </c>
      <c r="C101" s="0" t="s">
        <v>130</v>
      </c>
      <c r="E101" s="7" t="n">
        <v>2.36847376663143</v>
      </c>
      <c r="G101" s="8" t="s">
        <v>179</v>
      </c>
      <c r="H101" s="8" t="s">
        <v>303</v>
      </c>
      <c r="I101" s="5" t="s">
        <v>40</v>
      </c>
    </row>
    <row r="102" customFormat="false" ht="17.15" hidden="false" customHeight="false" outlineLevel="0" collapsed="false">
      <c r="A102" s="0" t="s">
        <v>308</v>
      </c>
      <c r="B102" s="5" t="s">
        <v>309</v>
      </c>
      <c r="C102" s="0" t="s">
        <v>130</v>
      </c>
      <c r="E102" s="7" t="n">
        <v>1.66660678743638</v>
      </c>
      <c r="G102" s="8" t="s">
        <v>179</v>
      </c>
      <c r="H102" s="8" t="s">
        <v>303</v>
      </c>
      <c r="I102" s="5" t="s">
        <v>40</v>
      </c>
    </row>
    <row r="103" customFormat="false" ht="17.15" hidden="false" customHeight="false" outlineLevel="0" collapsed="false">
      <c r="A103" s="1" t="s">
        <v>310</v>
      </c>
    </row>
    <row r="104" customFormat="false" ht="17.15" hidden="false" customHeight="false" outlineLevel="0" collapsed="false">
      <c r="A104" s="0" t="s">
        <v>311</v>
      </c>
      <c r="B104" s="0" t="s">
        <v>312</v>
      </c>
      <c r="C104" s="0" t="s">
        <v>313</v>
      </c>
      <c r="E104" s="7" t="n">
        <v>61.733865</v>
      </c>
      <c r="G104" s="8" t="s">
        <v>179</v>
      </c>
      <c r="H104" s="8" t="s">
        <v>314</v>
      </c>
      <c r="I104" s="5" t="s">
        <v>315</v>
      </c>
    </row>
    <row r="105" customFormat="false" ht="17.15" hidden="false" customHeight="false" outlineLevel="0" collapsed="false">
      <c r="A105" s="0" t="s">
        <v>316</v>
      </c>
      <c r="B105" s="0" t="s">
        <v>317</v>
      </c>
      <c r="C105" s="0" t="s">
        <v>313</v>
      </c>
      <c r="E105" s="7" t="n">
        <v>122.488065</v>
      </c>
      <c r="G105" s="8" t="s">
        <v>179</v>
      </c>
      <c r="H105" s="8" t="s">
        <v>314</v>
      </c>
      <c r="I105" s="5" t="s">
        <v>40</v>
      </c>
    </row>
    <row r="106" customFormat="false" ht="17.15" hidden="false" customHeight="false" outlineLevel="0" collapsed="false">
      <c r="A106" s="0" t="s">
        <v>318</v>
      </c>
      <c r="B106" s="0" t="s">
        <v>319</v>
      </c>
      <c r="C106" s="0" t="s">
        <v>313</v>
      </c>
      <c r="E106" s="7" t="n">
        <v>138.6168</v>
      </c>
      <c r="G106" s="8" t="s">
        <v>179</v>
      </c>
      <c r="H106" s="8" t="s">
        <v>314</v>
      </c>
      <c r="I106" s="5" t="s">
        <v>40</v>
      </c>
    </row>
    <row r="107" customFormat="false" ht="17.15" hidden="false" customHeight="false" outlineLevel="0" collapsed="false">
      <c r="A107" s="0" t="s">
        <v>320</v>
      </c>
      <c r="B107" s="0" t="s">
        <v>321</v>
      </c>
      <c r="C107" s="0" t="s">
        <v>313</v>
      </c>
      <c r="E107" s="7" t="n">
        <v>157.2997125</v>
      </c>
      <c r="G107" s="8" t="s">
        <v>179</v>
      </c>
      <c r="H107" s="8" t="s">
        <v>314</v>
      </c>
      <c r="I107" s="5" t="s">
        <v>40</v>
      </c>
    </row>
    <row r="108" customFormat="false" ht="17.15" hidden="false" customHeight="false" outlineLevel="0" collapsed="false">
      <c r="A108" s="0" t="s">
        <v>322</v>
      </c>
      <c r="B108" s="0" t="s">
        <v>323</v>
      </c>
      <c r="C108" s="0" t="s">
        <v>313</v>
      </c>
      <c r="D108" s="7" t="n">
        <v>68</v>
      </c>
      <c r="E108" s="7" t="n">
        <v>74</v>
      </c>
      <c r="F108" s="7" t="n">
        <v>80</v>
      </c>
      <c r="G108" s="8" t="s">
        <v>324</v>
      </c>
      <c r="H108" s="8" t="s">
        <v>325</v>
      </c>
      <c r="I108" s="8" t="s">
        <v>326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313</v>
      </c>
      <c r="E109" s="7" t="n">
        <v>14.8</v>
      </c>
      <c r="G109" s="8" t="s">
        <v>329</v>
      </c>
      <c r="H109" s="8" t="s">
        <v>330</v>
      </c>
      <c r="I109" s="8" t="s">
        <v>331</v>
      </c>
    </row>
    <row r="110" customFormat="false" ht="17.15" hidden="false" customHeight="false" outlineLevel="0" collapsed="false">
      <c r="A110" s="0" t="s">
        <v>332</v>
      </c>
      <c r="B110" s="5" t="s">
        <v>333</v>
      </c>
      <c r="C110" s="0" t="s">
        <v>130</v>
      </c>
      <c r="D110" s="7" t="n">
        <v>0.2</v>
      </c>
      <c r="E110" s="7" t="n">
        <v>0.3</v>
      </c>
      <c r="F110" s="7" t="n">
        <v>0.4</v>
      </c>
      <c r="G110" s="8" t="s">
        <v>46</v>
      </c>
      <c r="H110" s="5" t="s">
        <v>334</v>
      </c>
      <c r="I110" s="5" t="s">
        <v>335</v>
      </c>
    </row>
    <row r="111" customFormat="false" ht="17.15" hidden="false" customHeight="false" outlineLevel="0" collapsed="false">
      <c r="A111" s="1" t="s">
        <v>336</v>
      </c>
    </row>
    <row r="112" customFormat="false" ht="17.15" hidden="false" customHeight="false" outlineLevel="0" collapsed="false">
      <c r="A112" s="0" t="s">
        <v>337</v>
      </c>
      <c r="B112" s="0" t="s">
        <v>338</v>
      </c>
      <c r="C112" s="0" t="s">
        <v>130</v>
      </c>
      <c r="D112" s="7" t="n">
        <v>0.5</v>
      </c>
      <c r="E112" s="7" t="n">
        <v>0.6</v>
      </c>
      <c r="F112" s="7" t="n">
        <v>0.7</v>
      </c>
      <c r="G112" s="8" t="s">
        <v>46</v>
      </c>
      <c r="H112" s="5" t="s">
        <v>339</v>
      </c>
      <c r="I112" s="5" t="s">
        <v>193</v>
      </c>
    </row>
    <row r="113" customFormat="false" ht="17.15" hidden="false" customHeight="false" outlineLevel="0" collapsed="false">
      <c r="A113" s="0" t="s">
        <v>340</v>
      </c>
      <c r="B113" s="0" t="s">
        <v>341</v>
      </c>
      <c r="C113" s="0" t="s">
        <v>45</v>
      </c>
      <c r="D113" s="7" t="n">
        <v>0</v>
      </c>
      <c r="E113" s="7" t="n">
        <v>0.08</v>
      </c>
      <c r="F113" s="7" t="n">
        <v>0.15</v>
      </c>
      <c r="G113" s="8" t="s">
        <v>46</v>
      </c>
      <c r="H113" s="5" t="s">
        <v>342</v>
      </c>
      <c r="I113" s="5" t="s">
        <v>193</v>
      </c>
    </row>
    <row r="114" customFormat="false" ht="17.15" hidden="false" customHeight="false" outlineLevel="0" collapsed="false">
      <c r="A114" s="0" t="s">
        <v>343</v>
      </c>
      <c r="B114" s="0" t="s">
        <v>344</v>
      </c>
      <c r="C114" s="0" t="s">
        <v>45</v>
      </c>
      <c r="D114" s="7" t="n">
        <v>0</v>
      </c>
      <c r="E114" s="7" t="n">
        <v>0.05</v>
      </c>
      <c r="F114" s="7" t="n">
        <v>0.1</v>
      </c>
      <c r="G114" s="8" t="s">
        <v>46</v>
      </c>
      <c r="H114" s="8" t="s">
        <v>345</v>
      </c>
      <c r="I114" s="8" t="s">
        <v>219</v>
      </c>
    </row>
    <row r="115" customFormat="false" ht="17.15" hidden="false" customHeight="false" outlineLevel="0" collapsed="false">
      <c r="A115" s="1" t="s">
        <v>346</v>
      </c>
    </row>
    <row r="116" customFormat="false" ht="17.15" hidden="false" customHeight="false" outlineLevel="0" collapsed="false">
      <c r="A116" s="0" t="s">
        <v>347</v>
      </c>
      <c r="B116" s="5" t="s">
        <v>348</v>
      </c>
      <c r="C116" s="0" t="s">
        <v>313</v>
      </c>
      <c r="D116" s="7" t="n">
        <v>10</v>
      </c>
      <c r="E116" s="7" t="n">
        <v>20</v>
      </c>
      <c r="F116" s="7" t="n">
        <v>40</v>
      </c>
      <c r="G116" s="8" t="s">
        <v>46</v>
      </c>
      <c r="H116" s="5" t="s">
        <v>349</v>
      </c>
      <c r="I116" s="5" t="s">
        <v>350</v>
      </c>
    </row>
    <row r="117" customFormat="false" ht="17.15" hidden="false" customHeight="false" outlineLevel="0" collapsed="false">
      <c r="A117" s="1" t="s">
        <v>351</v>
      </c>
    </row>
    <row r="118" customFormat="false" ht="17.15" hidden="false" customHeight="false" outlineLevel="0" collapsed="false">
      <c r="A118" s="0" t="s">
        <v>352</v>
      </c>
      <c r="B118" s="5" t="s">
        <v>353</v>
      </c>
      <c r="C118" s="0" t="s">
        <v>130</v>
      </c>
      <c r="D118" s="7" t="n">
        <v>0.4</v>
      </c>
      <c r="E118" s="7" t="n">
        <v>0.6</v>
      </c>
      <c r="F118" s="7" t="n">
        <v>0.8</v>
      </c>
      <c r="G118" s="8" t="s">
        <v>179</v>
      </c>
      <c r="H118" s="8" t="s">
        <v>354</v>
      </c>
      <c r="I118" s="5" t="s">
        <v>355</v>
      </c>
    </row>
    <row r="119" customFormat="false" ht="15" hidden="false" customHeight="false" outlineLevel="0" collapsed="false">
      <c r="A119" s="0" t="s">
        <v>356</v>
      </c>
      <c r="B119" s="5" t="s">
        <v>357</v>
      </c>
      <c r="C119" s="0" t="s">
        <v>45</v>
      </c>
      <c r="D119" s="7" t="n">
        <v>0</v>
      </c>
      <c r="E119" s="7" t="n">
        <v>0.05</v>
      </c>
      <c r="F119" s="7" t="n">
        <v>0.1</v>
      </c>
      <c r="G119" s="8" t="s">
        <v>46</v>
      </c>
      <c r="H119" s="5" t="s">
        <v>358</v>
      </c>
      <c r="I119" s="5" t="s">
        <v>359</v>
      </c>
    </row>
    <row r="120" customFormat="false" ht="17.15" hidden="false" customHeight="false" outlineLevel="0" collapsed="false">
      <c r="A120" s="0" t="s">
        <v>360</v>
      </c>
      <c r="B120" s="5" t="s">
        <v>361</v>
      </c>
      <c r="C120" s="0" t="s">
        <v>362</v>
      </c>
      <c r="D120" s="7" t="n">
        <v>-0.02</v>
      </c>
      <c r="E120" s="7" t="n">
        <v>0</v>
      </c>
      <c r="F120" s="7" t="n">
        <v>0.02</v>
      </c>
      <c r="G120" s="8" t="s">
        <v>46</v>
      </c>
      <c r="H120" s="5" t="s">
        <v>358</v>
      </c>
      <c r="I120" s="8" t="s">
        <v>363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45</v>
      </c>
      <c r="D121" s="7" t="n">
        <v>0.16</v>
      </c>
      <c r="E121" s="7" t="n">
        <v>0.17</v>
      </c>
      <c r="F121" s="7" t="n">
        <v>0.18</v>
      </c>
      <c r="G121" s="8" t="s">
        <v>35</v>
      </c>
      <c r="H121" s="5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313</v>
      </c>
      <c r="D122" s="7" t="n">
        <v>0.5</v>
      </c>
      <c r="E122" s="7" t="n">
        <v>1.2</v>
      </c>
      <c r="F122" s="7" t="n">
        <v>2.4</v>
      </c>
      <c r="G122" s="8" t="s">
        <v>46</v>
      </c>
      <c r="H122" s="8" t="s">
        <v>370</v>
      </c>
      <c r="I122" s="5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45</v>
      </c>
      <c r="D123" s="7" t="n">
        <v>-0.025</v>
      </c>
      <c r="E123" s="7" t="n">
        <v>-0.012</v>
      </c>
      <c r="F123" s="7" t="n">
        <v>0</v>
      </c>
      <c r="G123" s="8" t="s">
        <v>179</v>
      </c>
      <c r="H123" s="8" t="s">
        <v>374</v>
      </c>
      <c r="I123" s="5" t="s">
        <v>355</v>
      </c>
    </row>
    <row r="124" customFormat="false" ht="17.15" hidden="false" customHeight="false" outlineLevel="0" collapsed="false">
      <c r="A124" s="1" t="s">
        <v>375</v>
      </c>
    </row>
    <row r="125" customFormat="false" ht="17.15" hidden="false" customHeight="false" outlineLevel="0" collapsed="false">
      <c r="A125" s="0" t="s">
        <v>376</v>
      </c>
      <c r="B125" s="0" t="s">
        <v>377</v>
      </c>
      <c r="C125" s="0" t="s">
        <v>313</v>
      </c>
      <c r="D125" s="7" t="n">
        <v>105.84</v>
      </c>
      <c r="E125" s="7" t="n">
        <v>108</v>
      </c>
      <c r="F125" s="7" t="n">
        <v>110.16</v>
      </c>
      <c r="G125" s="8" t="s">
        <v>35</v>
      </c>
      <c r="H125" s="8" t="s">
        <v>378</v>
      </c>
      <c r="I125" s="8" t="s">
        <v>379</v>
      </c>
    </row>
    <row r="126" customFormat="false" ht="17.15" hidden="false" customHeight="false" outlineLevel="0" collapsed="false">
      <c r="A126" s="0" t="s">
        <v>380</v>
      </c>
      <c r="B126" s="0" t="s">
        <v>381</v>
      </c>
      <c r="C126" s="0" t="s">
        <v>45</v>
      </c>
      <c r="D126" s="7" t="n">
        <v>0.735</v>
      </c>
      <c r="E126" s="7" t="n">
        <v>0.74</v>
      </c>
      <c r="F126" s="7" t="n">
        <v>0.745</v>
      </c>
      <c r="G126" s="8" t="s">
        <v>35</v>
      </c>
      <c r="H126" s="8" t="s">
        <v>382</v>
      </c>
      <c r="I126" s="8" t="s">
        <v>383</v>
      </c>
    </row>
    <row r="127" customFormat="false" ht="17.15" hidden="false" customHeight="false" outlineLevel="0" collapsed="false">
      <c r="A127" s="0" t="s">
        <v>384</v>
      </c>
      <c r="B127" s="0" t="s">
        <v>385</v>
      </c>
      <c r="C127" s="0" t="s">
        <v>313</v>
      </c>
      <c r="E127" s="7" t="n">
        <v>9.2</v>
      </c>
      <c r="G127" s="8" t="s">
        <v>35</v>
      </c>
      <c r="H127" s="8" t="s">
        <v>386</v>
      </c>
      <c r="I127" s="8" t="s">
        <v>219</v>
      </c>
    </row>
    <row r="128" customFormat="false" ht="17.15" hidden="false" customHeight="false" outlineLevel="0" collapsed="false">
      <c r="A128" s="0" t="s">
        <v>387</v>
      </c>
      <c r="B128" s="0" t="s">
        <v>388</v>
      </c>
      <c r="C128" s="0" t="s">
        <v>45</v>
      </c>
      <c r="D128" s="7" t="n">
        <v>0.05</v>
      </c>
      <c r="E128" s="7" t="n">
        <v>0.1</v>
      </c>
      <c r="F128" s="7" t="n">
        <v>0.15</v>
      </c>
      <c r="G128" s="8" t="s">
        <v>46</v>
      </c>
      <c r="H128" s="5" t="s">
        <v>389</v>
      </c>
      <c r="I128" s="5" t="s">
        <v>193</v>
      </c>
    </row>
    <row r="129" customFormat="false" ht="17.15" hidden="false" customHeight="false" outlineLevel="0" collapsed="false">
      <c r="A129" s="0" t="s">
        <v>390</v>
      </c>
      <c r="B129" s="0" t="s">
        <v>391</v>
      </c>
      <c r="C129" s="0" t="s">
        <v>45</v>
      </c>
      <c r="D129" s="7" t="n">
        <v>0.71</v>
      </c>
      <c r="E129" s="7" t="n">
        <v>0.715</v>
      </c>
      <c r="F129" s="7" t="n">
        <v>0.74</v>
      </c>
      <c r="G129" s="8" t="s">
        <v>46</v>
      </c>
      <c r="H129" s="5" t="s">
        <v>392</v>
      </c>
      <c r="I129" s="5" t="s">
        <v>393</v>
      </c>
    </row>
    <row r="130" customFormat="false" ht="17.15" hidden="false" customHeight="false" outlineLevel="0" collapsed="false">
      <c r="A130" s="0" t="s">
        <v>394</v>
      </c>
      <c r="B130" s="0" t="s">
        <v>395</v>
      </c>
      <c r="C130" s="0" t="s">
        <v>45</v>
      </c>
      <c r="D130" s="7" t="n">
        <v>0.05</v>
      </c>
      <c r="E130" s="7" t="n">
        <v>0.08</v>
      </c>
      <c r="F130" s="7" t="n">
        <v>0.12</v>
      </c>
      <c r="G130" s="8" t="s">
        <v>46</v>
      </c>
      <c r="H130" s="8" t="s">
        <v>396</v>
      </c>
      <c r="I130" s="8" t="s">
        <v>219</v>
      </c>
    </row>
    <row r="131" customFormat="false" ht="17.15" hidden="false" customHeight="false" outlineLevel="0" collapsed="false">
      <c r="A131" s="0" t="s">
        <v>397</v>
      </c>
      <c r="B131" s="0" t="s">
        <v>398</v>
      </c>
      <c r="C131" s="0" t="s">
        <v>313</v>
      </c>
      <c r="D131" s="7" t="n">
        <v>0</v>
      </c>
      <c r="E131" s="7" t="n">
        <v>0.35</v>
      </c>
      <c r="F131" s="7" t="n">
        <v>0.45</v>
      </c>
      <c r="G131" s="8" t="s">
        <v>46</v>
      </c>
      <c r="H131" s="8" t="s">
        <v>399</v>
      </c>
      <c r="I131" s="5" t="s">
        <v>400</v>
      </c>
    </row>
    <row r="132" customFormat="false" ht="17.15" hidden="false" customHeight="false" outlineLevel="0" collapsed="false">
      <c r="A132" s="0" t="s">
        <v>401</v>
      </c>
      <c r="B132" s="0" t="s">
        <v>402</v>
      </c>
      <c r="C132" s="0" t="s">
        <v>45</v>
      </c>
      <c r="D132" s="7" t="n">
        <v>0.16</v>
      </c>
      <c r="E132" s="7" t="n">
        <v>0.17</v>
      </c>
      <c r="F132" s="7" t="n">
        <v>0.18</v>
      </c>
      <c r="G132" s="8" t="s">
        <v>35</v>
      </c>
      <c r="H132" s="5" t="s">
        <v>403</v>
      </c>
      <c r="I132" s="8" t="s">
        <v>219</v>
      </c>
    </row>
    <row r="133" customFormat="false" ht="17.15" hidden="false" customHeight="false" outlineLevel="0" collapsed="false">
      <c r="A133" s="0" t="s">
        <v>404</v>
      </c>
      <c r="B133" s="0" t="s">
        <v>405</v>
      </c>
      <c r="C133" s="0" t="s">
        <v>45</v>
      </c>
      <c r="D133" s="7" t="n">
        <v>-0.006</v>
      </c>
      <c r="E133" s="7" t="n">
        <v>-0.003</v>
      </c>
      <c r="F133" s="7" t="n">
        <v>0</v>
      </c>
      <c r="G133" s="8" t="s">
        <v>179</v>
      </c>
      <c r="H133" s="8" t="s">
        <v>406</v>
      </c>
      <c r="I133" s="8" t="s">
        <v>219</v>
      </c>
    </row>
    <row r="134" customFormat="false" ht="17.15" hidden="false" customHeight="false" outlineLevel="0" collapsed="false">
      <c r="A134" s="1" t="s">
        <v>407</v>
      </c>
    </row>
    <row r="135" customFormat="false" ht="17.15" hidden="false" customHeight="false" outlineLevel="0" collapsed="false">
      <c r="A135" s="0" t="s">
        <v>408</v>
      </c>
      <c r="B135" s="5" t="s">
        <v>409</v>
      </c>
      <c r="C135" s="0" t="s">
        <v>45</v>
      </c>
      <c r="E135" s="7" t="n">
        <v>0.7</v>
      </c>
      <c r="G135" s="8" t="s">
        <v>35</v>
      </c>
      <c r="H135" s="8" t="s">
        <v>410</v>
      </c>
      <c r="I135" s="5" t="s">
        <v>411</v>
      </c>
    </row>
    <row r="136" customFormat="false" ht="17.15" hidden="false" customHeight="false" outlineLevel="0" collapsed="false">
      <c r="A136" s="0" t="s">
        <v>412</v>
      </c>
      <c r="B136" s="5" t="s">
        <v>413</v>
      </c>
      <c r="C136" s="0" t="s">
        <v>45</v>
      </c>
      <c r="D136" s="7" t="n">
        <v>0.72</v>
      </c>
      <c r="E136" s="7" t="n">
        <v>0.725</v>
      </c>
      <c r="F136" s="7" t="n">
        <v>0.73</v>
      </c>
      <c r="G136" s="8" t="s">
        <v>35</v>
      </c>
      <c r="H136" s="5" t="s">
        <v>414</v>
      </c>
      <c r="I136" s="5" t="s">
        <v>415</v>
      </c>
    </row>
    <row r="137" customFormat="false" ht="17.15" hidden="false" customHeight="false" outlineLevel="0" collapsed="false">
      <c r="A137" s="0" t="s">
        <v>416</v>
      </c>
      <c r="B137" s="5" t="s">
        <v>417</v>
      </c>
      <c r="C137" s="0" t="s">
        <v>45</v>
      </c>
      <c r="E137" s="7" t="n">
        <v>0.63</v>
      </c>
      <c r="G137" s="8" t="s">
        <v>35</v>
      </c>
      <c r="H137" s="8" t="s">
        <v>418</v>
      </c>
      <c r="I137" s="5" t="s">
        <v>193</v>
      </c>
    </row>
    <row r="138" customFormat="false" ht="17.15" hidden="false" customHeight="false" outlineLevel="0" collapsed="false">
      <c r="A138" s="0" t="s">
        <v>419</v>
      </c>
      <c r="B138" s="5" t="s">
        <v>420</v>
      </c>
      <c r="C138" s="0" t="s">
        <v>313</v>
      </c>
      <c r="E138" s="7" t="n">
        <v>411.7</v>
      </c>
      <c r="G138" s="8" t="s">
        <v>35</v>
      </c>
      <c r="H138" s="8" t="s">
        <v>421</v>
      </c>
      <c r="I138" s="8" t="s">
        <v>219</v>
      </c>
    </row>
    <row r="139" customFormat="false" ht="17.15" hidden="false" customHeight="false" outlineLevel="0" collapsed="false">
      <c r="A139" s="0" t="s">
        <v>422</v>
      </c>
      <c r="B139" s="5" t="s">
        <v>423</v>
      </c>
      <c r="C139" s="0" t="s">
        <v>424</v>
      </c>
      <c r="E139" s="7" t="n">
        <v>9.31</v>
      </c>
      <c r="G139" s="8" t="s">
        <v>35</v>
      </c>
      <c r="H139" s="8" t="s">
        <v>425</v>
      </c>
      <c r="I139" s="5" t="s">
        <v>426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424</v>
      </c>
      <c r="D140" s="7" t="n">
        <v>15.7</v>
      </c>
      <c r="E140" s="7" t="n">
        <v>15.91</v>
      </c>
      <c r="F140" s="7" t="n">
        <v>16.13</v>
      </c>
      <c r="G140" s="8" t="s">
        <v>35</v>
      </c>
      <c r="H140" s="8" t="s">
        <v>429</v>
      </c>
      <c r="I140" s="5" t="s">
        <v>430</v>
      </c>
    </row>
    <row r="141" customFormat="false" ht="17.15" hidden="false" customHeight="false" outlineLevel="0" collapsed="false">
      <c r="A141" s="0" t="s">
        <v>431</v>
      </c>
      <c r="B141" s="5" t="s">
        <v>432</v>
      </c>
      <c r="C141" s="0" t="s">
        <v>130</v>
      </c>
      <c r="E141" s="7" t="n">
        <v>13.5</v>
      </c>
      <c r="G141" s="8" t="s">
        <v>35</v>
      </c>
      <c r="H141" s="5" t="s">
        <v>433</v>
      </c>
      <c r="I141" s="5" t="s">
        <v>434</v>
      </c>
    </row>
    <row r="142" customFormat="false" ht="17.15" hidden="false" customHeight="false" outlineLevel="0" collapsed="false">
      <c r="A142" s="0" t="s">
        <v>435</v>
      </c>
      <c r="B142" s="5" t="s">
        <v>436</v>
      </c>
      <c r="C142" s="0" t="s">
        <v>45</v>
      </c>
      <c r="E142" s="7" t="n">
        <v>0.75</v>
      </c>
      <c r="G142" s="8" t="s">
        <v>35</v>
      </c>
      <c r="H142" s="5" t="s">
        <v>437</v>
      </c>
      <c r="I142" s="8" t="s">
        <v>219</v>
      </c>
    </row>
    <row r="143" customFormat="false" ht="17.15" hidden="false" customHeight="false" outlineLevel="0" collapsed="false">
      <c r="A143" s="0" t="s">
        <v>438</v>
      </c>
      <c r="B143" s="5" t="s">
        <v>439</v>
      </c>
      <c r="C143" s="0" t="s">
        <v>45</v>
      </c>
      <c r="E143" s="7" t="n">
        <v>0.8</v>
      </c>
      <c r="G143" s="8" t="s">
        <v>35</v>
      </c>
      <c r="H143" s="5" t="s">
        <v>40</v>
      </c>
      <c r="I143" s="8" t="s">
        <v>219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0" t="s">
        <v>442</v>
      </c>
      <c r="C145" s="0" t="s">
        <v>178</v>
      </c>
      <c r="D145" s="7" t="n">
        <v>20</v>
      </c>
      <c r="E145" s="7" t="n">
        <v>30</v>
      </c>
      <c r="F145" s="7" t="n">
        <v>45</v>
      </c>
      <c r="G145" s="8" t="s">
        <v>35</v>
      </c>
      <c r="H145" s="8" t="s">
        <v>443</v>
      </c>
      <c r="I145" s="5" t="s">
        <v>444</v>
      </c>
    </row>
    <row r="146" customFormat="false" ht="17.15" hidden="false" customHeight="false" outlineLevel="0" collapsed="false">
      <c r="A146" s="0" t="s">
        <v>445</v>
      </c>
      <c r="B146" s="0" t="s">
        <v>446</v>
      </c>
      <c r="C146" s="0" t="s">
        <v>178</v>
      </c>
      <c r="D146" s="7" t="n">
        <v>8</v>
      </c>
      <c r="E146" s="7" t="n">
        <v>12</v>
      </c>
      <c r="F146" s="7" t="n">
        <v>18</v>
      </c>
      <c r="G146" s="8" t="s">
        <v>46</v>
      </c>
      <c r="H146" s="5" t="s">
        <v>447</v>
      </c>
      <c r="I146" s="5" t="s">
        <v>448</v>
      </c>
    </row>
    <row r="147" customFormat="false" ht="17.15" hidden="false" customHeight="false" outlineLevel="0" collapsed="false">
      <c r="A147" s="0" t="s">
        <v>449</v>
      </c>
      <c r="B147" s="0" t="s">
        <v>450</v>
      </c>
      <c r="C147" s="0" t="s">
        <v>178</v>
      </c>
      <c r="D147" s="7" t="n">
        <v>5</v>
      </c>
      <c r="E147" s="7" t="n">
        <v>8</v>
      </c>
      <c r="F147" s="7" t="n">
        <v>12</v>
      </c>
      <c r="G147" s="8" t="s">
        <v>46</v>
      </c>
      <c r="H147" s="5" t="s">
        <v>451</v>
      </c>
      <c r="I147" s="8" t="s">
        <v>452</v>
      </c>
    </row>
    <row r="148" customFormat="false" ht="17.15" hidden="false" customHeight="false" outlineLevel="0" collapsed="false">
      <c r="A148" s="0" t="s">
        <v>453</v>
      </c>
      <c r="B148" s="5" t="s">
        <v>454</v>
      </c>
      <c r="C148" s="0" t="s">
        <v>178</v>
      </c>
      <c r="D148" s="7" t="n">
        <v>5</v>
      </c>
      <c r="E148" s="7" t="n">
        <v>8</v>
      </c>
      <c r="F148" s="7" t="n">
        <v>12</v>
      </c>
      <c r="G148" s="8" t="s">
        <v>46</v>
      </c>
      <c r="H148" s="5" t="s">
        <v>455</v>
      </c>
      <c r="I148" s="5" t="s">
        <v>40</v>
      </c>
    </row>
    <row r="149" customFormat="false" ht="17.15" hidden="false" customHeight="false" outlineLevel="0" collapsed="false">
      <c r="A149" s="0" t="s">
        <v>456</v>
      </c>
      <c r="B149" s="0" t="s">
        <v>457</v>
      </c>
      <c r="C149" s="0" t="s">
        <v>362</v>
      </c>
      <c r="E149" s="7" t="n">
        <v>0.05</v>
      </c>
      <c r="G149" s="8" t="s">
        <v>46</v>
      </c>
      <c r="H149" s="5" t="s">
        <v>358</v>
      </c>
      <c r="I149" s="8" t="s">
        <v>458</v>
      </c>
    </row>
    <row r="150" customFormat="false" ht="17.15" hidden="false" customHeight="false" outlineLevel="0" collapsed="false">
      <c r="A150" s="0" t="s">
        <v>459</v>
      </c>
      <c r="B150" s="0" t="s">
        <v>460</v>
      </c>
      <c r="C150" s="0" t="s">
        <v>130</v>
      </c>
      <c r="D150" s="7" t="n">
        <v>0.9</v>
      </c>
      <c r="E150" s="7" t="n">
        <v>1</v>
      </c>
      <c r="F150" s="7" t="n">
        <v>1.1</v>
      </c>
      <c r="G150" s="8" t="s">
        <v>46</v>
      </c>
      <c r="H150" s="5" t="s">
        <v>358</v>
      </c>
      <c r="I150" s="8" t="s">
        <v>461</v>
      </c>
    </row>
    <row r="151" customFormat="false" ht="17.15" hidden="false" customHeight="false" outlineLevel="0" collapsed="false">
      <c r="A151" s="1" t="s">
        <v>462</v>
      </c>
    </row>
    <row r="152" customFormat="false" ht="17.15" hidden="false" customHeight="false" outlineLevel="0" collapsed="false">
      <c r="A152" s="0" t="s">
        <v>463</v>
      </c>
      <c r="B152" s="5" t="s">
        <v>464</v>
      </c>
      <c r="C152" s="0" t="s">
        <v>424</v>
      </c>
      <c r="E152" s="7" t="n">
        <v>210.96</v>
      </c>
      <c r="G152" s="8" t="s">
        <v>35</v>
      </c>
      <c r="H152" s="8" t="s">
        <v>465</v>
      </c>
      <c r="I152" s="5" t="s">
        <v>466</v>
      </c>
    </row>
    <row r="153" customFormat="false" ht="17.15" hidden="false" customHeight="false" outlineLevel="0" collapsed="false">
      <c r="A153" s="0" t="s">
        <v>467</v>
      </c>
      <c r="B153" s="5" t="s">
        <v>468</v>
      </c>
      <c r="C153" s="0" t="s">
        <v>45</v>
      </c>
      <c r="D153" s="7" t="n">
        <v>0.08</v>
      </c>
      <c r="E153" s="7" t="n">
        <v>0.1</v>
      </c>
      <c r="F153" s="7" t="n">
        <v>0.12</v>
      </c>
      <c r="G153" s="8" t="s">
        <v>46</v>
      </c>
      <c r="H153" s="5" t="s">
        <v>358</v>
      </c>
      <c r="I153" s="8" t="s">
        <v>469</v>
      </c>
    </row>
    <row r="154" customFormat="false" ht="17.15" hidden="false" customHeight="false" outlineLevel="0" collapsed="false">
      <c r="A154" s="0" t="s">
        <v>470</v>
      </c>
      <c r="B154" s="5" t="s">
        <v>471</v>
      </c>
      <c r="C154" s="5" t="s">
        <v>472</v>
      </c>
      <c r="E154" s="7" t="n">
        <v>2029</v>
      </c>
      <c r="G154" s="8" t="s">
        <v>179</v>
      </c>
      <c r="H154" s="8" t="s">
        <v>473</v>
      </c>
      <c r="I154" s="5" t="s">
        <v>474</v>
      </c>
    </row>
    <row r="155" customFormat="false" ht="17.15" hidden="false" customHeight="false" outlineLevel="0" collapsed="false">
      <c r="A155" s="0" t="s">
        <v>475</v>
      </c>
      <c r="B155" s="5" t="s">
        <v>476</v>
      </c>
      <c r="C155" s="5" t="s">
        <v>472</v>
      </c>
      <c r="E155" s="7" t="n">
        <v>2028</v>
      </c>
      <c r="G155" s="8" t="s">
        <v>179</v>
      </c>
      <c r="H155" s="8" t="s">
        <v>477</v>
      </c>
      <c r="I155" s="5" t="s">
        <v>40</v>
      </c>
    </row>
    <row r="156" customFormat="false" ht="17.15" hidden="false" customHeight="false" outlineLevel="0" collapsed="false">
      <c r="A156" s="0" t="s">
        <v>478</v>
      </c>
      <c r="B156" s="5" t="s">
        <v>479</v>
      </c>
      <c r="C156" s="5" t="s">
        <v>472</v>
      </c>
      <c r="E156" s="7" t="n">
        <v>2027</v>
      </c>
      <c r="G156" s="8" t="s">
        <v>179</v>
      </c>
      <c r="H156" s="8" t="s">
        <v>480</v>
      </c>
      <c r="I156" s="5" t="s">
        <v>40</v>
      </c>
    </row>
    <row r="157" customFormat="false" ht="17.15" hidden="false" customHeight="false" outlineLevel="0" collapsed="false">
      <c r="A157" s="1" t="s">
        <v>481</v>
      </c>
    </row>
    <row r="158" customFormat="false" ht="17.15" hidden="false" customHeight="false" outlineLevel="0" collapsed="false">
      <c r="A158" s="9" t="s">
        <v>482</v>
      </c>
      <c r="B158" s="10" t="s">
        <v>483</v>
      </c>
      <c r="C158" s="9" t="s">
        <v>45</v>
      </c>
      <c r="D158" s="9"/>
      <c r="E158" s="11" t="n">
        <v>0.3</v>
      </c>
      <c r="F158" s="9"/>
      <c r="G158" s="9" t="s">
        <v>46</v>
      </c>
      <c r="H158" s="9" t="s">
        <v>484</v>
      </c>
      <c r="I158" s="10" t="s">
        <v>485</v>
      </c>
    </row>
    <row r="159" customFormat="false" ht="17.15" hidden="false" customHeight="false" outlineLevel="0" collapsed="false">
      <c r="A159" s="9" t="s">
        <v>486</v>
      </c>
      <c r="B159" s="10" t="s">
        <v>487</v>
      </c>
      <c r="C159" s="9" t="s">
        <v>45</v>
      </c>
      <c r="D159" s="9"/>
      <c r="E159" s="11" t="n">
        <v>0.5</v>
      </c>
      <c r="F159" s="9"/>
      <c r="G159" s="9" t="s">
        <v>46</v>
      </c>
      <c r="H159" s="9" t="s">
        <v>484</v>
      </c>
      <c r="I159" s="10" t="s">
        <v>485</v>
      </c>
    </row>
    <row r="160" customFormat="false" ht="17.15" hidden="false" customHeight="false" outlineLevel="0" collapsed="false">
      <c r="A160" s="9" t="s">
        <v>488</v>
      </c>
      <c r="B160" s="10" t="s">
        <v>489</v>
      </c>
      <c r="C160" s="9" t="s">
        <v>45</v>
      </c>
      <c r="D160" s="9"/>
      <c r="E160" s="11" t="n">
        <v>0.2</v>
      </c>
      <c r="F160" s="9"/>
      <c r="G160" s="9" t="s">
        <v>46</v>
      </c>
      <c r="H160" s="9" t="s">
        <v>484</v>
      </c>
      <c r="I160" s="10" t="s">
        <v>485</v>
      </c>
    </row>
    <row r="161" customFormat="false" ht="17.15" hidden="false" customHeight="false" outlineLevel="0" collapsed="false">
      <c r="A161" s="1" t="s">
        <v>490</v>
      </c>
    </row>
    <row r="162" customFormat="false" ht="17.15" hidden="false" customHeight="false" outlineLevel="0" collapsed="false">
      <c r="A162" s="9" t="s">
        <v>491</v>
      </c>
      <c r="B162" s="9" t="s">
        <v>492</v>
      </c>
      <c r="C162" s="9" t="s">
        <v>45</v>
      </c>
      <c r="D162" s="9"/>
      <c r="E162" s="11" t="n">
        <v>0.1</v>
      </c>
      <c r="F162" s="9"/>
      <c r="G162" s="9" t="s">
        <v>46</v>
      </c>
      <c r="H162" s="9" t="s">
        <v>493</v>
      </c>
      <c r="I162" s="9" t="s">
        <v>494</v>
      </c>
    </row>
    <row r="163" customFormat="false" ht="17.15" hidden="false" customHeight="false" outlineLevel="0" collapsed="false">
      <c r="A163" s="9" t="s">
        <v>495</v>
      </c>
      <c r="B163" s="10" t="s">
        <v>496</v>
      </c>
      <c r="C163" s="9" t="s">
        <v>45</v>
      </c>
      <c r="D163" s="9"/>
      <c r="E163" s="11" t="n">
        <v>0.04</v>
      </c>
      <c r="F163" s="9"/>
      <c r="G163" s="9" t="s">
        <v>46</v>
      </c>
      <c r="H163" s="9" t="s">
        <v>497</v>
      </c>
      <c r="I163" s="9" t="s">
        <v>498</v>
      </c>
    </row>
    <row r="164" customFormat="false" ht="17.15" hidden="false" customHeight="false" outlineLevel="0" collapsed="false">
      <c r="A164" s="9" t="s">
        <v>499</v>
      </c>
      <c r="B164" s="10" t="s">
        <v>500</v>
      </c>
      <c r="C164" s="9" t="s">
        <v>362</v>
      </c>
      <c r="D164" s="9"/>
      <c r="E164" s="11" t="n">
        <v>0.02</v>
      </c>
      <c r="F164" s="9"/>
      <c r="G164" s="9" t="s">
        <v>46</v>
      </c>
      <c r="H164" s="10" t="s">
        <v>501</v>
      </c>
      <c r="I164" s="9" t="s">
        <v>219</v>
      </c>
    </row>
    <row r="165" customFormat="false" ht="17.15" hidden="false" customHeight="false" outlineLevel="0" collapsed="false">
      <c r="A165" s="9" t="s">
        <v>502</v>
      </c>
      <c r="B165" s="10" t="s">
        <v>503</v>
      </c>
      <c r="C165" s="9" t="s">
        <v>45</v>
      </c>
      <c r="D165" s="9"/>
      <c r="E165" s="11" t="n">
        <v>0.7915</v>
      </c>
      <c r="F165" s="9"/>
      <c r="G165" s="9" t="s">
        <v>179</v>
      </c>
      <c r="H165" s="9" t="s">
        <v>504</v>
      </c>
      <c r="I165" s="9" t="s">
        <v>505</v>
      </c>
    </row>
    <row r="166" customFormat="false" ht="17.15" hidden="false" customHeight="false" outlineLevel="0" collapsed="false">
      <c r="A166" s="9" t="s">
        <v>506</v>
      </c>
      <c r="B166" s="10" t="s">
        <v>507</v>
      </c>
      <c r="C166" s="9" t="s">
        <v>45</v>
      </c>
      <c r="D166" s="9"/>
      <c r="E166" s="11" t="n">
        <v>0.5</v>
      </c>
      <c r="F166" s="9"/>
      <c r="G166" s="9" t="s">
        <v>46</v>
      </c>
      <c r="H166" s="9" t="s">
        <v>508</v>
      </c>
      <c r="I166" s="9" t="s">
        <v>509</v>
      </c>
    </row>
    <row r="167" customFormat="false" ht="17.15" hidden="false" customHeight="false" outlineLevel="0" collapsed="false">
      <c r="A167" s="9" t="s">
        <v>510</v>
      </c>
      <c r="B167" s="10" t="s">
        <v>511</v>
      </c>
      <c r="C167" s="9" t="s">
        <v>45</v>
      </c>
      <c r="D167" s="9"/>
      <c r="E167" s="11" t="n">
        <v>0.3118</v>
      </c>
      <c r="F167" s="9"/>
      <c r="G167" s="9" t="s">
        <v>179</v>
      </c>
      <c r="H167" s="9" t="s">
        <v>512</v>
      </c>
      <c r="I167" s="9" t="s">
        <v>513</v>
      </c>
    </row>
    <row r="168" customFormat="false" ht="17.15" hidden="false" customHeight="false" outlineLevel="0" collapsed="false">
      <c r="A168" s="0" t="s">
        <v>514</v>
      </c>
      <c r="B168" s="5" t="s">
        <v>515</v>
      </c>
      <c r="C168" s="0" t="s">
        <v>424</v>
      </c>
      <c r="E168" s="7" t="n">
        <v>328.95</v>
      </c>
      <c r="G168" s="8" t="s">
        <v>35</v>
      </c>
      <c r="H168" s="8" t="s">
        <v>516</v>
      </c>
      <c r="I168" s="5" t="s">
        <v>517</v>
      </c>
    </row>
    <row r="170" customFormat="false" ht="17.15" hidden="false" customHeight="false" outlineLevel="0" collapsed="false">
      <c r="A170" s="1" t="s">
        <v>518</v>
      </c>
    </row>
    <row r="171" customFormat="false" ht="17.15" hidden="false" customHeight="false" outlineLevel="0" collapsed="false">
      <c r="A171" s="0" t="s">
        <v>519</v>
      </c>
      <c r="B171" s="5" t="s">
        <v>520</v>
      </c>
      <c r="C171" s="0" t="s">
        <v>45</v>
      </c>
      <c r="E171" s="12" t="n">
        <f aca="false">2.843/215.938</f>
        <v>0.0131658161138845</v>
      </c>
      <c r="G171" s="8" t="s">
        <v>329</v>
      </c>
      <c r="H171" s="8" t="s">
        <v>521</v>
      </c>
      <c r="I171" s="5" t="s">
        <v>522</v>
      </c>
    </row>
    <row r="172" customFormat="false" ht="17.15" hidden="false" customHeight="false" outlineLevel="0" collapsed="false">
      <c r="A172" s="0" t="s">
        <v>523</v>
      </c>
      <c r="B172" s="5" t="s">
        <v>524</v>
      </c>
      <c r="C172" s="0" t="s">
        <v>45</v>
      </c>
      <c r="E172" s="12" t="n">
        <f aca="false">6.042/215.938</f>
        <v>0.0279802535913086</v>
      </c>
      <c r="G172" s="8" t="s">
        <v>329</v>
      </c>
      <c r="H172" s="5" t="s">
        <v>525</v>
      </c>
      <c r="I172" s="5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0" t="s">
        <v>527</v>
      </c>
    </row>
    <row r="3" customFormat="false" ht="17.15" hidden="false" customHeight="false" outlineLevel="0" collapsed="false">
      <c r="A3" s="6" t="s">
        <v>23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13" t="s">
        <v>534</v>
      </c>
      <c r="I3" s="13" t="s">
        <v>535</v>
      </c>
      <c r="J3" s="13" t="s">
        <v>536</v>
      </c>
      <c r="K3" s="13" t="s">
        <v>537</v>
      </c>
      <c r="L3" s="6" t="s">
        <v>28</v>
      </c>
      <c r="M3" s="6" t="s">
        <v>538</v>
      </c>
      <c r="N3" s="6" t="s">
        <v>30</v>
      </c>
    </row>
    <row r="4" customFormat="false" ht="17.15" hidden="false" customHeight="false" outlineLevel="0" collapsed="false">
      <c r="A4" s="5" t="s">
        <v>539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540</v>
      </c>
      <c r="M4" s="8" t="s">
        <v>541</v>
      </c>
      <c r="N4" s="5" t="s">
        <v>542</v>
      </c>
    </row>
    <row r="5" customFormat="false" ht="17.15" hidden="false" customHeight="false" outlineLevel="0" collapsed="false">
      <c r="A5" s="0" t="s">
        <v>543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544</v>
      </c>
      <c r="M5" s="8" t="s">
        <v>541</v>
      </c>
      <c r="N5" s="5" t="s">
        <v>545</v>
      </c>
    </row>
    <row r="6" customFormat="false" ht="17.15" hidden="false" customHeight="false" outlineLevel="0" collapsed="false">
      <c r="A6" s="0" t="s">
        <v>546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547</v>
      </c>
      <c r="M6" s="5" t="s">
        <v>548</v>
      </c>
      <c r="N6" s="8" t="s">
        <v>549</v>
      </c>
    </row>
    <row r="7" customFormat="false" ht="17.15" hidden="false" customHeight="false" outlineLevel="0" collapsed="false">
      <c r="A7" s="5" t="s">
        <v>550</v>
      </c>
      <c r="G7" s="16" t="n">
        <v>6.4</v>
      </c>
      <c r="H7" s="16" t="n">
        <v>7.2</v>
      </c>
      <c r="L7" s="8" t="s">
        <v>329</v>
      </c>
      <c r="M7" s="8" t="s">
        <v>551</v>
      </c>
      <c r="N7" s="5" t="s">
        <v>552</v>
      </c>
    </row>
    <row r="8" customFormat="false" ht="17.15" hidden="false" customHeight="false" outlineLevel="0" collapsed="false">
      <c r="A8" s="5" t="s">
        <v>553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554</v>
      </c>
      <c r="M8" s="8" t="s">
        <v>541</v>
      </c>
      <c r="N8" s="5" t="s">
        <v>542</v>
      </c>
    </row>
    <row r="9" customFormat="false" ht="17.15" hidden="false" customHeight="false" outlineLevel="0" collapsed="false">
      <c r="A9" s="5" t="s">
        <v>555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179</v>
      </c>
      <c r="M9" s="8" t="s">
        <v>219</v>
      </c>
      <c r="N9" s="5" t="s">
        <v>556</v>
      </c>
    </row>
    <row r="10" customFormat="false" ht="17.15" hidden="false" customHeight="false" outlineLevel="0" collapsed="false">
      <c r="A10" s="5" t="s">
        <v>557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554</v>
      </c>
      <c r="M10" s="8" t="s">
        <v>541</v>
      </c>
      <c r="N10" s="5" t="s">
        <v>542</v>
      </c>
    </row>
    <row r="11" customFormat="false" ht="17.15" hidden="false" customHeight="false" outlineLevel="0" collapsed="false">
      <c r="A11" s="5" t="s">
        <v>558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544</v>
      </c>
      <c r="M11" s="8" t="s">
        <v>541</v>
      </c>
      <c r="N11" s="5" t="s">
        <v>542</v>
      </c>
    </row>
    <row r="12" customFormat="false" ht="17.15" hidden="false" customHeight="false" outlineLevel="0" collapsed="false">
      <c r="A12" s="5" t="s">
        <v>559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219</v>
      </c>
      <c r="M12" s="8" t="s">
        <v>219</v>
      </c>
      <c r="N12" s="8" t="s">
        <v>219</v>
      </c>
    </row>
    <row r="13" customFormat="false" ht="17.15" hidden="false" customHeight="false" outlineLevel="0" collapsed="false">
      <c r="A13" s="5" t="s">
        <v>560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329</v>
      </c>
      <c r="M13" s="8" t="s">
        <v>541</v>
      </c>
      <c r="N13" s="5" t="s">
        <v>542</v>
      </c>
    </row>
    <row r="14" customFormat="false" ht="17.15" hidden="false" customHeight="false" outlineLevel="0" collapsed="false">
      <c r="A14" s="5" t="s">
        <v>561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329</v>
      </c>
      <c r="M14" s="8" t="s">
        <v>562</v>
      </c>
      <c r="N14" s="5" t="s">
        <v>542</v>
      </c>
    </row>
    <row r="15" customFormat="false" ht="17.15" hidden="false" customHeight="false" outlineLevel="0" collapsed="false">
      <c r="A15" s="5" t="s">
        <v>563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564</v>
      </c>
      <c r="M15" s="8" t="s">
        <v>565</v>
      </c>
      <c r="N15" s="5" t="s">
        <v>566</v>
      </c>
    </row>
    <row r="16" customFormat="false" ht="17.15" hidden="false" customHeight="false" outlineLevel="0" collapsed="false">
      <c r="A16" s="5" t="s">
        <v>567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179</v>
      </c>
      <c r="M16" s="8" t="s">
        <v>541</v>
      </c>
      <c r="N16" s="5" t="s">
        <v>542</v>
      </c>
    </row>
    <row r="17" customFormat="false" ht="17.15" hidden="false" customHeight="false" outlineLevel="0" collapsed="false">
      <c r="A17" s="5" t="s">
        <v>568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329</v>
      </c>
      <c r="M17" s="8" t="s">
        <v>541</v>
      </c>
      <c r="N17" s="5" t="s">
        <v>542</v>
      </c>
    </row>
    <row r="18" customFormat="false" ht="17.15" hidden="false" customHeight="false" outlineLevel="0" collapsed="false">
      <c r="A18" s="5" t="s">
        <v>569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179</v>
      </c>
      <c r="M18" s="5" t="s">
        <v>570</v>
      </c>
      <c r="N18" s="5" t="s">
        <v>571</v>
      </c>
    </row>
    <row r="19" customFormat="false" ht="17.15" hidden="false" customHeight="false" outlineLevel="0" collapsed="false">
      <c r="A19" s="5" t="s">
        <v>572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573</v>
      </c>
      <c r="M19" s="8" t="s">
        <v>574</v>
      </c>
      <c r="N19" s="5" t="s">
        <v>575</v>
      </c>
    </row>
    <row r="20" customFormat="false" ht="17.15" hidden="false" customHeight="false" outlineLevel="0" collapsed="false">
      <c r="A20" s="5" t="s">
        <v>576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179</v>
      </c>
      <c r="M20" s="8" t="s">
        <v>541</v>
      </c>
      <c r="N20" s="5" t="s">
        <v>542</v>
      </c>
    </row>
    <row r="21" customFormat="false" ht="17.15" hidden="false" customHeight="false" outlineLevel="0" collapsed="false">
      <c r="A21" s="5" t="s">
        <v>577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544</v>
      </c>
      <c r="M21" s="8" t="s">
        <v>541</v>
      </c>
      <c r="N21" s="5" t="s">
        <v>542</v>
      </c>
    </row>
    <row r="22" customFormat="false" ht="17.15" hidden="false" customHeight="false" outlineLevel="0" collapsed="false">
      <c r="A22" s="0" t="s">
        <v>578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179</v>
      </c>
      <c r="M22" s="5" t="s">
        <v>579</v>
      </c>
      <c r="N22" s="8" t="s">
        <v>580</v>
      </c>
    </row>
    <row r="23" customFormat="false" ht="17.15" hidden="false" customHeight="false" outlineLevel="0" collapsed="false">
      <c r="A23" s="5" t="s">
        <v>581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329</v>
      </c>
      <c r="M23" s="8" t="s">
        <v>541</v>
      </c>
      <c r="N23" s="5" t="s">
        <v>542</v>
      </c>
    </row>
    <row r="24" customFormat="false" ht="17.15" hidden="false" customHeight="false" outlineLevel="0" collapsed="false">
      <c r="A24" s="0" t="s">
        <v>582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329</v>
      </c>
      <c r="M24" s="8" t="s">
        <v>541</v>
      </c>
      <c r="N24" s="5" t="s">
        <v>583</v>
      </c>
    </row>
    <row r="25" customFormat="false" ht="17.15" hidden="false" customHeight="false" outlineLevel="0" collapsed="false">
      <c r="A25" s="0" t="s">
        <v>584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329</v>
      </c>
      <c r="M25" s="8" t="s">
        <v>585</v>
      </c>
      <c r="N25" s="5" t="s">
        <v>586</v>
      </c>
    </row>
    <row r="26" customFormat="false" ht="17.15" hidden="false" customHeight="false" outlineLevel="0" collapsed="false">
      <c r="A26" s="5" t="s">
        <v>587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329</v>
      </c>
      <c r="M26" s="8" t="s">
        <v>541</v>
      </c>
      <c r="N26" s="5" t="s">
        <v>542</v>
      </c>
    </row>
    <row r="27" customFormat="false" ht="17.15" hidden="false" customHeight="false" outlineLevel="0" collapsed="false">
      <c r="A27" s="5" t="s">
        <v>588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219</v>
      </c>
      <c r="M27" s="8" t="s">
        <v>219</v>
      </c>
      <c r="N27" s="8" t="s">
        <v>219</v>
      </c>
    </row>
    <row r="28" customFormat="false" ht="17.15" hidden="false" customHeight="false" outlineLevel="0" collapsed="false">
      <c r="A28" s="5" t="s">
        <v>589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219</v>
      </c>
      <c r="M28" s="5" t="s">
        <v>590</v>
      </c>
      <c r="N28" s="8" t="s">
        <v>591</v>
      </c>
    </row>
    <row r="29" customFormat="false" ht="17.15" hidden="false" customHeight="false" outlineLevel="0" collapsed="false">
      <c r="A29" s="5" t="s">
        <v>592</v>
      </c>
      <c r="F29" s="19" t="n">
        <f aca="false">(F4-215.938)+(F11-130.387)</f>
        <v>0</v>
      </c>
      <c r="L29" s="8" t="s">
        <v>219</v>
      </c>
      <c r="M29" s="8" t="s">
        <v>219</v>
      </c>
      <c r="N29" s="8" t="s">
        <v>219</v>
      </c>
    </row>
    <row r="31" customFormat="false" ht="17.15" hidden="false" customHeight="false" outlineLevel="0" collapsed="false">
      <c r="A31" s="1" t="s">
        <v>593</v>
      </c>
    </row>
    <row r="32" customFormat="false" ht="17.15" hidden="false" customHeight="false" outlineLevel="0" collapsed="false">
      <c r="A32" s="0" t="s">
        <v>594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595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596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597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598</v>
      </c>
      <c r="B36" s="21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599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600</v>
      </c>
      <c r="D3" s="13" t="s">
        <v>601</v>
      </c>
      <c r="E3" s="13" t="s">
        <v>602</v>
      </c>
      <c r="F3" s="13" t="s">
        <v>603</v>
      </c>
      <c r="G3" s="6" t="s">
        <v>604</v>
      </c>
    </row>
    <row r="4" customFormat="false" ht="17.15" hidden="false" customHeight="false" outlineLevel="0" collapsed="false">
      <c r="A4" s="4" t="s">
        <v>605</v>
      </c>
    </row>
    <row r="5" customFormat="false" ht="15" hidden="false" customHeight="false" outlineLevel="0" collapsed="false">
      <c r="A5" s="4" t="s">
        <v>606</v>
      </c>
    </row>
    <row r="6" customFormat="false" ht="17.15" hidden="false" customHeight="false" outlineLevel="0" collapsed="false">
      <c r="A6" s="0" t="s">
        <v>607</v>
      </c>
      <c r="B6" s="5" t="s">
        <v>34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608</v>
      </c>
      <c r="B7" s="5" t="s">
        <v>34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609</v>
      </c>
      <c r="B8" s="5" t="s">
        <v>34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610</v>
      </c>
      <c r="B9" s="5" t="s">
        <v>34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611</v>
      </c>
      <c r="B10" s="5" t="s">
        <v>34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612</v>
      </c>
      <c r="B11" s="5" t="s">
        <v>34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613</v>
      </c>
      <c r="B12" s="5" t="s">
        <v>34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614</v>
      </c>
      <c r="B13" s="5" t="s">
        <v>34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615</v>
      </c>
      <c r="B14" s="5" t="s">
        <v>34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616</v>
      </c>
    </row>
    <row r="16" customFormat="false" ht="17.15" hidden="false" customHeight="false" outlineLevel="0" collapsed="false">
      <c r="A16" s="0" t="s">
        <v>607</v>
      </c>
      <c r="B16" s="0" t="s">
        <v>313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608</v>
      </c>
      <c r="B17" s="0" t="s">
        <v>313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609</v>
      </c>
      <c r="B18" s="0" t="s">
        <v>313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610</v>
      </c>
      <c r="B19" s="0" t="s">
        <v>313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611</v>
      </c>
      <c r="B20" s="0" t="s">
        <v>313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612</v>
      </c>
      <c r="B21" s="0" t="s">
        <v>313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613</v>
      </c>
      <c r="B22" s="0" t="s">
        <v>313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614</v>
      </c>
      <c r="B23" s="0" t="s">
        <v>313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615</v>
      </c>
      <c r="B24" s="8" t="s">
        <v>313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617</v>
      </c>
    </row>
    <row r="26" customFormat="false" ht="15" hidden="false" customHeight="false" outlineLevel="0" collapsed="false">
      <c r="A26" s="0" t="s">
        <v>618</v>
      </c>
      <c r="B26" s="0" t="s">
        <v>45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619</v>
      </c>
      <c r="B27" s="0" t="s">
        <v>45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612</v>
      </c>
      <c r="B28" s="0" t="s">
        <v>45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613</v>
      </c>
      <c r="B29" s="0" t="s">
        <v>45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620</v>
      </c>
      <c r="B30" s="0" t="s">
        <v>45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621</v>
      </c>
    </row>
    <row r="32" customFormat="false" ht="15" hidden="false" customHeight="false" outlineLevel="0" collapsed="false">
      <c r="A32" s="0" t="s">
        <v>618</v>
      </c>
      <c r="B32" s="0" t="s">
        <v>45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619</v>
      </c>
      <c r="B33" s="0" t="s">
        <v>45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612</v>
      </c>
      <c r="B34" s="0" t="s">
        <v>45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613</v>
      </c>
      <c r="B35" s="0" t="s">
        <v>45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620</v>
      </c>
      <c r="B36" s="0" t="s">
        <v>45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622</v>
      </c>
    </row>
    <row r="39" customFormat="false" ht="15" hidden="false" customHeight="false" outlineLevel="0" collapsed="false">
      <c r="A39" s="4" t="s">
        <v>606</v>
      </c>
    </row>
    <row r="40" customFormat="false" ht="17.15" hidden="false" customHeight="false" outlineLevel="0" collapsed="false">
      <c r="A40" s="0" t="s">
        <v>607</v>
      </c>
      <c r="B40" s="5" t="s">
        <v>34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608</v>
      </c>
      <c r="B41" s="5" t="s">
        <v>34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609</v>
      </c>
      <c r="B42" s="5" t="s">
        <v>34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610</v>
      </c>
      <c r="B43" s="5" t="s">
        <v>34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611</v>
      </c>
      <c r="B44" s="5" t="s">
        <v>34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612</v>
      </c>
      <c r="B45" s="5" t="s">
        <v>34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613</v>
      </c>
      <c r="B46" s="5" t="s">
        <v>34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614</v>
      </c>
      <c r="B47" s="5" t="s">
        <v>34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615</v>
      </c>
      <c r="B48" s="5" t="s">
        <v>34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616</v>
      </c>
    </row>
    <row r="50" customFormat="false" ht="17.15" hidden="false" customHeight="false" outlineLevel="0" collapsed="false">
      <c r="A50" s="0" t="s">
        <v>607</v>
      </c>
      <c r="B50" s="0" t="s">
        <v>313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608</v>
      </c>
      <c r="B51" s="0" t="s">
        <v>313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609</v>
      </c>
      <c r="B52" s="0" t="s">
        <v>313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610</v>
      </c>
      <c r="B53" s="0" t="s">
        <v>313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611</v>
      </c>
      <c r="B54" s="0" t="s">
        <v>313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612</v>
      </c>
      <c r="B55" s="0" t="s">
        <v>313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613</v>
      </c>
      <c r="B56" s="0" t="s">
        <v>313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614</v>
      </c>
      <c r="B57" s="0" t="s">
        <v>313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615</v>
      </c>
      <c r="B58" s="8" t="s">
        <v>313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617</v>
      </c>
    </row>
    <row r="60" customFormat="false" ht="15" hidden="false" customHeight="false" outlineLevel="0" collapsed="false">
      <c r="A60" s="0" t="s">
        <v>618</v>
      </c>
      <c r="B60" s="0" t="s">
        <v>45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619</v>
      </c>
      <c r="B61" s="0" t="s">
        <v>45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612</v>
      </c>
      <c r="B62" s="0" t="s">
        <v>45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613</v>
      </c>
      <c r="B63" s="0" t="s">
        <v>45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620</v>
      </c>
      <c r="B64" s="0" t="s">
        <v>45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621</v>
      </c>
    </row>
    <row r="66" customFormat="false" ht="15" hidden="false" customHeight="false" outlineLevel="0" collapsed="false">
      <c r="A66" s="0" t="s">
        <v>618</v>
      </c>
      <c r="B66" s="0" t="s">
        <v>45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619</v>
      </c>
      <c r="B67" s="0" t="s">
        <v>45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612</v>
      </c>
      <c r="B68" s="0" t="s">
        <v>45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613</v>
      </c>
      <c r="B69" s="0" t="s">
        <v>45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620</v>
      </c>
      <c r="B70" s="0" t="s">
        <v>45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623</v>
      </c>
    </row>
    <row r="73" customFormat="false" ht="15" hidden="false" customHeight="false" outlineLevel="0" collapsed="false">
      <c r="A73" s="4" t="s">
        <v>606</v>
      </c>
    </row>
    <row r="74" customFormat="false" ht="17.15" hidden="false" customHeight="false" outlineLevel="0" collapsed="false">
      <c r="A74" s="0" t="s">
        <v>607</v>
      </c>
      <c r="B74" s="5" t="s">
        <v>34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608</v>
      </c>
      <c r="B75" s="5" t="s">
        <v>34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609</v>
      </c>
      <c r="B76" s="5" t="s">
        <v>34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610</v>
      </c>
      <c r="B77" s="5" t="s">
        <v>34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611</v>
      </c>
      <c r="B78" s="5" t="s">
        <v>34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612</v>
      </c>
      <c r="B79" s="5" t="s">
        <v>34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613</v>
      </c>
      <c r="B80" s="5" t="s">
        <v>34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614</v>
      </c>
      <c r="B81" s="5" t="s">
        <v>34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615</v>
      </c>
      <c r="B82" s="5" t="s">
        <v>34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616</v>
      </c>
    </row>
    <row r="84" customFormat="false" ht="17.15" hidden="false" customHeight="false" outlineLevel="0" collapsed="false">
      <c r="A84" s="0" t="s">
        <v>607</v>
      </c>
      <c r="B84" s="0" t="s">
        <v>313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608</v>
      </c>
      <c r="B85" s="0" t="s">
        <v>313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609</v>
      </c>
      <c r="B86" s="0" t="s">
        <v>313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610</v>
      </c>
      <c r="B87" s="0" t="s">
        <v>313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611</v>
      </c>
      <c r="B88" s="0" t="s">
        <v>313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612</v>
      </c>
      <c r="B89" s="0" t="s">
        <v>313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613</v>
      </c>
      <c r="B90" s="0" t="s">
        <v>313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614</v>
      </c>
      <c r="B91" s="0" t="s">
        <v>313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615</v>
      </c>
      <c r="B92" s="8" t="s">
        <v>313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617</v>
      </c>
    </row>
    <row r="94" customFormat="false" ht="15" hidden="false" customHeight="false" outlineLevel="0" collapsed="false">
      <c r="A94" s="0" t="s">
        <v>618</v>
      </c>
      <c r="B94" s="0" t="s">
        <v>45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619</v>
      </c>
      <c r="B95" s="0" t="s">
        <v>45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612</v>
      </c>
      <c r="B96" s="0" t="s">
        <v>45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613</v>
      </c>
      <c r="B97" s="0" t="s">
        <v>45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620</v>
      </c>
      <c r="B98" s="0" t="s">
        <v>45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621</v>
      </c>
    </row>
    <row r="100" customFormat="false" ht="15" hidden="false" customHeight="false" outlineLevel="0" collapsed="false">
      <c r="A100" s="0" t="s">
        <v>618</v>
      </c>
      <c r="B100" s="0" t="s">
        <v>45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619</v>
      </c>
      <c r="B101" s="0" t="s">
        <v>45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612</v>
      </c>
      <c r="B102" s="0" t="s">
        <v>45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613</v>
      </c>
      <c r="B103" s="0" t="s">
        <v>45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620</v>
      </c>
      <c r="B104" s="0" t="s">
        <v>45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624</v>
      </c>
    </row>
    <row r="108" customFormat="false" ht="17.15" hidden="false" customHeight="false" outlineLevel="0" collapsed="false">
      <c r="A108" s="4" t="s">
        <v>625</v>
      </c>
    </row>
    <row r="109" customFormat="false" ht="17.15" hidden="false" customHeight="false" outlineLevel="0" collapsed="false">
      <c r="A109" s="6" t="s">
        <v>626</v>
      </c>
      <c r="B109" s="6" t="s">
        <v>24</v>
      </c>
      <c r="C109" s="6" t="s">
        <v>627</v>
      </c>
      <c r="D109" s="13" t="s">
        <v>628</v>
      </c>
      <c r="E109" s="13" t="s">
        <v>629</v>
      </c>
      <c r="F109" s="6" t="s">
        <v>630</v>
      </c>
      <c r="G109" s="6" t="s">
        <v>631</v>
      </c>
    </row>
    <row r="110" customFormat="false" ht="17.15" hidden="false" customHeight="false" outlineLevel="0" collapsed="false">
      <c r="A110" s="0" t="s">
        <v>632</v>
      </c>
      <c r="B110" s="0" t="s">
        <v>178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633</v>
      </c>
      <c r="B111" s="0" t="s">
        <v>178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634</v>
      </c>
      <c r="B112" s="0" t="s">
        <v>178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635</v>
      </c>
      <c r="B113" s="0" t="s">
        <v>178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636</v>
      </c>
    </row>
    <row r="116" customFormat="false" ht="17.15" hidden="false" customHeight="false" outlineLevel="0" collapsed="false">
      <c r="A116" s="0" t="s">
        <v>637</v>
      </c>
      <c r="B116" s="0" t="s">
        <v>130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179</v>
      </c>
      <c r="G116" s="8" t="s">
        <v>638</v>
      </c>
    </row>
    <row r="117" customFormat="false" ht="17.15" hidden="false" customHeight="false" outlineLevel="0" collapsed="false">
      <c r="A117" s="5" t="s">
        <v>639</v>
      </c>
      <c r="B117" s="0" t="s">
        <v>130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640</v>
      </c>
    </row>
    <row r="118" customFormat="false" ht="17.15" hidden="false" customHeight="false" outlineLevel="0" collapsed="false">
      <c r="A118" s="0" t="s">
        <v>641</v>
      </c>
      <c r="B118" s="0" t="s">
        <v>130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642</v>
      </c>
    </row>
    <row r="119" customFormat="false" ht="17.15" hidden="false" customHeight="false" outlineLevel="0" collapsed="false">
      <c r="A119" s="0" t="s">
        <v>643</v>
      </c>
      <c r="B119" s="0" t="s">
        <v>313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644</v>
      </c>
      <c r="B120" s="0" t="s">
        <v>313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645</v>
      </c>
      <c r="B121" s="0" t="s">
        <v>45</v>
      </c>
      <c r="C121" s="18" t="n">
        <f aca="false">C119/C120-1</f>
        <v>0.207188680343442</v>
      </c>
      <c r="G121" s="5" t="s">
        <v>646</v>
      </c>
    </row>
    <row r="122" customFormat="false" ht="17.15" hidden="false" customHeight="false" outlineLevel="0" collapsed="false">
      <c r="A122" s="0" t="s">
        <v>647</v>
      </c>
      <c r="B122" s="0" t="s">
        <v>313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648</v>
      </c>
      <c r="B123" s="0" t="s">
        <v>130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649</v>
      </c>
    </row>
    <row r="3" customFormat="false" ht="15" hidden="false" customHeight="false" outlineLevel="0" collapsed="false">
      <c r="A3" s="6" t="s">
        <v>650</v>
      </c>
      <c r="B3" s="6" t="s">
        <v>24</v>
      </c>
      <c r="C3" s="13" t="s">
        <v>651</v>
      </c>
      <c r="D3" s="13" t="s">
        <v>652</v>
      </c>
      <c r="E3" s="13" t="s">
        <v>653</v>
      </c>
      <c r="F3" s="13" t="s">
        <v>654</v>
      </c>
      <c r="G3" s="13" t="s">
        <v>655</v>
      </c>
      <c r="H3" s="6" t="s">
        <v>604</v>
      </c>
    </row>
    <row r="4" customFormat="false" ht="17.15" hidden="false" customHeight="false" outlineLevel="0" collapsed="false">
      <c r="A4" s="4" t="s">
        <v>656</v>
      </c>
    </row>
    <row r="5" customFormat="false" ht="15" hidden="false" customHeight="false" outlineLevel="0" collapsed="false">
      <c r="A5" s="5" t="s">
        <v>539</v>
      </c>
      <c r="B5" s="0" t="s">
        <v>313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657</v>
      </c>
      <c r="B6" s="0" t="s">
        <v>45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658</v>
      </c>
      <c r="B7" s="0" t="s">
        <v>313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659</v>
      </c>
      <c r="B8" s="0" t="s">
        <v>313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555</v>
      </c>
      <c r="B9" s="0" t="s">
        <v>45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558</v>
      </c>
      <c r="B10" s="0" t="s">
        <v>313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660</v>
      </c>
      <c r="B11" s="0" t="s">
        <v>45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661</v>
      </c>
      <c r="B12" s="0" t="s">
        <v>313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662</v>
      </c>
      <c r="B13" s="0" t="s">
        <v>424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663</v>
      </c>
      <c r="B14" s="0" t="s">
        <v>45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664</v>
      </c>
    </row>
    <row r="17" customFormat="false" ht="15" hidden="false" customHeight="false" outlineLevel="0" collapsed="false">
      <c r="A17" s="5" t="s">
        <v>539</v>
      </c>
      <c r="B17" s="0" t="s">
        <v>313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657</v>
      </c>
      <c r="B18" s="0" t="s">
        <v>45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658</v>
      </c>
      <c r="B19" s="0" t="s">
        <v>313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659</v>
      </c>
      <c r="B20" s="0" t="s">
        <v>313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555</v>
      </c>
      <c r="B21" s="0" t="s">
        <v>45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558</v>
      </c>
      <c r="B22" s="0" t="s">
        <v>313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660</v>
      </c>
      <c r="B23" s="0" t="s">
        <v>45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661</v>
      </c>
      <c r="B24" s="0" t="s">
        <v>313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662</v>
      </c>
      <c r="B25" s="0" t="s">
        <v>424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663</v>
      </c>
      <c r="B26" s="0" t="s">
        <v>45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665</v>
      </c>
    </row>
    <row r="29" customFormat="false" ht="15" hidden="false" customHeight="false" outlineLevel="0" collapsed="false">
      <c r="A29" s="5" t="s">
        <v>539</v>
      </c>
      <c r="B29" s="0" t="s">
        <v>313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657</v>
      </c>
      <c r="B30" s="0" t="s">
        <v>45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658</v>
      </c>
      <c r="B31" s="0" t="s">
        <v>313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659</v>
      </c>
      <c r="B32" s="0" t="s">
        <v>313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555</v>
      </c>
      <c r="B33" s="0" t="s">
        <v>45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558</v>
      </c>
      <c r="B34" s="0" t="s">
        <v>313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660</v>
      </c>
      <c r="B35" s="0" t="s">
        <v>45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661</v>
      </c>
      <c r="B36" s="0" t="s">
        <v>313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662</v>
      </c>
      <c r="B37" s="0" t="s">
        <v>424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663</v>
      </c>
      <c r="B38" s="0" t="s">
        <v>45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666</v>
      </c>
    </row>
    <row r="41" customFormat="false" ht="17.15" hidden="false" customHeight="false" outlineLevel="0" collapsed="false">
      <c r="A41" s="5" t="s">
        <v>667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668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669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651</v>
      </c>
      <c r="D71" s="13" t="s">
        <v>652</v>
      </c>
      <c r="E71" s="13" t="s">
        <v>653</v>
      </c>
      <c r="F71" s="13" t="s">
        <v>654</v>
      </c>
      <c r="G71" s="13" t="s">
        <v>655</v>
      </c>
      <c r="H71" s="6" t="s">
        <v>604</v>
      </c>
    </row>
    <row r="72" customFormat="false" ht="17.15" hidden="false" customHeight="false" outlineLevel="0" collapsed="false">
      <c r="A72" s="1" t="s">
        <v>670</v>
      </c>
    </row>
    <row r="73" customFormat="false" ht="17.15" hidden="false" customHeight="false" outlineLevel="0" collapsed="false">
      <c r="A73" s="0" t="s">
        <v>671</v>
      </c>
      <c r="B73" s="0" t="s">
        <v>130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672</v>
      </c>
      <c r="B74" s="5" t="s">
        <v>34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673</v>
      </c>
      <c r="B75" s="5" t="s">
        <v>34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674</v>
      </c>
      <c r="B76" s="5" t="s">
        <v>34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675</v>
      </c>
      <c r="B77" s="5" t="s">
        <v>34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676</v>
      </c>
      <c r="B78" s="5" t="s">
        <v>34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677</v>
      </c>
    </row>
    <row r="79" customFormat="false" ht="17.15" hidden="false" customHeight="false" outlineLevel="0" collapsed="false">
      <c r="A79" s="0" t="s">
        <v>678</v>
      </c>
      <c r="B79" s="0" t="s">
        <v>178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679</v>
      </c>
    </row>
    <row r="80" customFormat="false" ht="17.15" hidden="false" customHeight="false" outlineLevel="0" collapsed="false">
      <c r="A80" s="0" t="s">
        <v>680</v>
      </c>
      <c r="B80" s="0" t="s">
        <v>178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681</v>
      </c>
      <c r="B81" s="0" t="s">
        <v>178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682</v>
      </c>
      <c r="B82" s="0" t="s">
        <v>178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683</v>
      </c>
      <c r="B83" s="0" t="s">
        <v>178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684</v>
      </c>
    </row>
    <row r="84" customFormat="false" ht="17.15" hidden="false" customHeight="false" outlineLevel="0" collapsed="false">
      <c r="A84" s="0" t="s">
        <v>685</v>
      </c>
      <c r="B84" s="0" t="s">
        <v>178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686</v>
      </c>
      <c r="B85" s="0" t="s">
        <v>178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687</v>
      </c>
      <c r="B86" s="0" t="s">
        <v>178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688</v>
      </c>
      <c r="B87" s="0" t="s">
        <v>178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689</v>
      </c>
    </row>
    <row r="88" customFormat="false" ht="17.15" hidden="false" customHeight="false" outlineLevel="0" collapsed="false">
      <c r="A88" s="0" t="s">
        <v>690</v>
      </c>
      <c r="B88" s="0" t="s">
        <v>178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691</v>
      </c>
      <c r="B89" s="0" t="s">
        <v>178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692</v>
      </c>
      <c r="B90" s="0" t="s">
        <v>178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693</v>
      </c>
      <c r="B91" s="0" t="s">
        <v>313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694</v>
      </c>
      <c r="B92" s="0" t="s">
        <v>313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695</v>
      </c>
      <c r="B93" s="0" t="s">
        <v>313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696</v>
      </c>
      <c r="B94" s="0" t="s">
        <v>313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697</v>
      </c>
      <c r="B95" s="0" t="s">
        <v>313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698</v>
      </c>
      <c r="B96" s="0" t="s">
        <v>313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699</v>
      </c>
      <c r="B97" s="0" t="s">
        <v>313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700</v>
      </c>
      <c r="B98" s="0" t="s">
        <v>313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701</v>
      </c>
      <c r="B99" s="0" t="s">
        <v>313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702</v>
      </c>
      <c r="B100" s="0" t="s">
        <v>313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703</v>
      </c>
    </row>
    <row r="101" customFormat="false" ht="17.15" hidden="false" customHeight="false" outlineLevel="0" collapsed="false">
      <c r="A101" s="5" t="s">
        <v>704</v>
      </c>
      <c r="B101" s="0" t="s">
        <v>313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705</v>
      </c>
      <c r="B102" s="0" t="s">
        <v>313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706</v>
      </c>
      <c r="B103" s="0" t="s">
        <v>313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707</v>
      </c>
      <c r="B104" s="0" t="s">
        <v>313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708</v>
      </c>
      <c r="B105" s="0" t="s">
        <v>313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709</v>
      </c>
      <c r="B106" s="0" t="s">
        <v>45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710</v>
      </c>
    </row>
    <row r="107" customFormat="false" ht="17.15" hidden="false" customHeight="false" outlineLevel="0" collapsed="false">
      <c r="A107" s="0" t="s">
        <v>711</v>
      </c>
      <c r="B107" s="0" t="s">
        <v>45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712</v>
      </c>
    </row>
    <row r="109" customFormat="false" ht="15" hidden="false" customHeight="false" outlineLevel="0" collapsed="false">
      <c r="A109" s="5" t="s">
        <v>539</v>
      </c>
      <c r="B109" s="0" t="s">
        <v>313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713</v>
      </c>
      <c r="B110" s="0" t="s">
        <v>313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659</v>
      </c>
      <c r="B111" s="0" t="s">
        <v>313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714</v>
      </c>
      <c r="B112" s="0" t="s">
        <v>45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715</v>
      </c>
      <c r="B113" s="0" t="s">
        <v>313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555</v>
      </c>
      <c r="B114" s="0" t="s">
        <v>45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716</v>
      </c>
      <c r="B115" s="0" t="s">
        <v>313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717</v>
      </c>
    </row>
    <row r="116" customFormat="false" ht="15" hidden="false" customHeight="false" outlineLevel="0" collapsed="false">
      <c r="A116" s="5" t="s">
        <v>718</v>
      </c>
      <c r="B116" s="0" t="s">
        <v>313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558</v>
      </c>
      <c r="B117" s="0" t="s">
        <v>313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660</v>
      </c>
      <c r="B118" s="0" t="s">
        <v>45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563</v>
      </c>
      <c r="B119" s="0" t="s">
        <v>313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572</v>
      </c>
      <c r="B120" s="0" t="s">
        <v>45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661</v>
      </c>
      <c r="B121" s="0" t="s">
        <v>313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719</v>
      </c>
      <c r="B122" s="5" t="s">
        <v>720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662</v>
      </c>
      <c r="B123" s="0" t="s">
        <v>424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721</v>
      </c>
      <c r="B124" s="0" t="s">
        <v>45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722</v>
      </c>
    </row>
    <row r="128" customFormat="false" ht="15" hidden="false" customHeight="false" outlineLevel="0" collapsed="false">
      <c r="A128" s="6" t="s">
        <v>23</v>
      </c>
      <c r="B128" s="6" t="s">
        <v>24</v>
      </c>
      <c r="C128" s="13" t="s">
        <v>651</v>
      </c>
      <c r="D128" s="13" t="s">
        <v>652</v>
      </c>
      <c r="E128" s="13" t="s">
        <v>653</v>
      </c>
      <c r="F128" s="13" t="s">
        <v>654</v>
      </c>
      <c r="G128" s="13" t="s">
        <v>655</v>
      </c>
      <c r="H128" s="6" t="s">
        <v>604</v>
      </c>
    </row>
    <row r="129" customFormat="false" ht="17.15" hidden="false" customHeight="false" outlineLevel="0" collapsed="false">
      <c r="A129" s="1" t="s">
        <v>670</v>
      </c>
    </row>
    <row r="130" customFormat="false" ht="17.15" hidden="false" customHeight="false" outlineLevel="0" collapsed="false">
      <c r="A130" s="0" t="s">
        <v>671</v>
      </c>
      <c r="B130" s="0" t="s">
        <v>130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672</v>
      </c>
      <c r="B131" s="5" t="s">
        <v>34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673</v>
      </c>
      <c r="B132" s="5" t="s">
        <v>34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674</v>
      </c>
      <c r="B133" s="5" t="s">
        <v>34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675</v>
      </c>
      <c r="B134" s="5" t="s">
        <v>34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676</v>
      </c>
      <c r="B135" s="5" t="s">
        <v>34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677</v>
      </c>
    </row>
    <row r="136" customFormat="false" ht="17.15" hidden="false" customHeight="false" outlineLevel="0" collapsed="false">
      <c r="A136" s="0" t="s">
        <v>678</v>
      </c>
      <c r="B136" s="0" t="s">
        <v>178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679</v>
      </c>
    </row>
    <row r="137" customFormat="false" ht="17.15" hidden="false" customHeight="false" outlineLevel="0" collapsed="false">
      <c r="A137" s="0" t="s">
        <v>680</v>
      </c>
      <c r="B137" s="0" t="s">
        <v>178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681</v>
      </c>
      <c r="B138" s="0" t="s">
        <v>178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682</v>
      </c>
      <c r="B139" s="0" t="s">
        <v>178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683</v>
      </c>
      <c r="B140" s="0" t="s">
        <v>178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684</v>
      </c>
    </row>
    <row r="141" customFormat="false" ht="17.15" hidden="false" customHeight="false" outlineLevel="0" collapsed="false">
      <c r="A141" s="0" t="s">
        <v>685</v>
      </c>
      <c r="B141" s="0" t="s">
        <v>178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686</v>
      </c>
      <c r="B142" s="0" t="s">
        <v>178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687</v>
      </c>
      <c r="B143" s="0" t="s">
        <v>178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688</v>
      </c>
      <c r="B144" s="0" t="s">
        <v>178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689</v>
      </c>
    </row>
    <row r="145" customFormat="false" ht="17.15" hidden="false" customHeight="false" outlineLevel="0" collapsed="false">
      <c r="A145" s="0" t="s">
        <v>690</v>
      </c>
      <c r="B145" s="0" t="s">
        <v>178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691</v>
      </c>
      <c r="B146" s="0" t="s">
        <v>178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692</v>
      </c>
      <c r="B147" s="0" t="s">
        <v>178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693</v>
      </c>
      <c r="B148" s="0" t="s">
        <v>313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694</v>
      </c>
      <c r="B149" s="0" t="s">
        <v>313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695</v>
      </c>
      <c r="B150" s="0" t="s">
        <v>313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696</v>
      </c>
      <c r="B151" s="0" t="s">
        <v>313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697</v>
      </c>
      <c r="B152" s="0" t="s">
        <v>313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698</v>
      </c>
      <c r="B153" s="0" t="s">
        <v>313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699</v>
      </c>
      <c r="B154" s="0" t="s">
        <v>313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700</v>
      </c>
      <c r="B155" s="0" t="s">
        <v>313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701</v>
      </c>
      <c r="B156" s="0" t="s">
        <v>313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702</v>
      </c>
      <c r="B157" s="0" t="s">
        <v>313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703</v>
      </c>
    </row>
    <row r="158" customFormat="false" ht="17.15" hidden="false" customHeight="false" outlineLevel="0" collapsed="false">
      <c r="A158" s="5" t="s">
        <v>704</v>
      </c>
      <c r="B158" s="0" t="s">
        <v>313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705</v>
      </c>
      <c r="B159" s="0" t="s">
        <v>313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706</v>
      </c>
      <c r="B160" s="0" t="s">
        <v>313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707</v>
      </c>
      <c r="B161" s="0" t="s">
        <v>313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708</v>
      </c>
      <c r="B162" s="0" t="s">
        <v>313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709</v>
      </c>
      <c r="B163" s="0" t="s">
        <v>45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710</v>
      </c>
    </row>
    <row r="164" customFormat="false" ht="17.15" hidden="false" customHeight="false" outlineLevel="0" collapsed="false">
      <c r="A164" s="0" t="s">
        <v>711</v>
      </c>
      <c r="B164" s="0" t="s">
        <v>45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712</v>
      </c>
    </row>
    <row r="166" customFormat="false" ht="15" hidden="false" customHeight="false" outlineLevel="0" collapsed="false">
      <c r="A166" s="5" t="s">
        <v>539</v>
      </c>
      <c r="B166" s="0" t="s">
        <v>313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713</v>
      </c>
      <c r="B167" s="0" t="s">
        <v>313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659</v>
      </c>
      <c r="B168" s="0" t="s">
        <v>313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714</v>
      </c>
      <c r="B169" s="0" t="s">
        <v>45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715</v>
      </c>
      <c r="B170" s="0" t="s">
        <v>313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555</v>
      </c>
      <c r="B171" s="0" t="s">
        <v>45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716</v>
      </c>
      <c r="B172" s="0" t="s">
        <v>313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717</v>
      </c>
    </row>
    <row r="173" customFormat="false" ht="15" hidden="false" customHeight="false" outlineLevel="0" collapsed="false">
      <c r="A173" s="5" t="s">
        <v>718</v>
      </c>
      <c r="B173" s="0" t="s">
        <v>313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558</v>
      </c>
      <c r="B174" s="0" t="s">
        <v>313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660</v>
      </c>
      <c r="B175" s="0" t="s">
        <v>45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563</v>
      </c>
      <c r="B176" s="0" t="s">
        <v>313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572</v>
      </c>
      <c r="B177" s="0" t="s">
        <v>45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661</v>
      </c>
      <c r="B178" s="0" t="s">
        <v>313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719</v>
      </c>
      <c r="B179" s="5" t="s">
        <v>720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662</v>
      </c>
      <c r="B180" s="0" t="s">
        <v>424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721</v>
      </c>
      <c r="B181" s="0" t="s">
        <v>45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723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651</v>
      </c>
      <c r="D185" s="13" t="s">
        <v>652</v>
      </c>
      <c r="E185" s="13" t="s">
        <v>653</v>
      </c>
      <c r="F185" s="13" t="s">
        <v>654</v>
      </c>
      <c r="G185" s="13" t="s">
        <v>655</v>
      </c>
      <c r="H185" s="6" t="s">
        <v>604</v>
      </c>
    </row>
    <row r="186" customFormat="false" ht="17.15" hidden="false" customHeight="false" outlineLevel="0" collapsed="false">
      <c r="A186" s="1" t="s">
        <v>670</v>
      </c>
    </row>
    <row r="187" customFormat="false" ht="17.15" hidden="false" customHeight="false" outlineLevel="0" collapsed="false">
      <c r="A187" s="0" t="s">
        <v>671</v>
      </c>
      <c r="B187" s="0" t="s">
        <v>130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672</v>
      </c>
      <c r="B188" s="5" t="s">
        <v>34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673</v>
      </c>
      <c r="B189" s="5" t="s">
        <v>34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674</v>
      </c>
      <c r="B190" s="5" t="s">
        <v>34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675</v>
      </c>
      <c r="B191" s="5" t="s">
        <v>34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676</v>
      </c>
      <c r="B192" s="5" t="s">
        <v>34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677</v>
      </c>
    </row>
    <row r="193" customFormat="false" ht="17.15" hidden="false" customHeight="false" outlineLevel="0" collapsed="false">
      <c r="A193" s="0" t="s">
        <v>678</v>
      </c>
      <c r="B193" s="0" t="s">
        <v>178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679</v>
      </c>
    </row>
    <row r="194" customFormat="false" ht="17.15" hidden="false" customHeight="false" outlineLevel="0" collapsed="false">
      <c r="A194" s="0" t="s">
        <v>680</v>
      </c>
      <c r="B194" s="0" t="s">
        <v>178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681</v>
      </c>
      <c r="B195" s="0" t="s">
        <v>178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682</v>
      </c>
      <c r="B196" s="0" t="s">
        <v>178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683</v>
      </c>
      <c r="B197" s="0" t="s">
        <v>178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684</v>
      </c>
    </row>
    <row r="198" customFormat="false" ht="17.15" hidden="false" customHeight="false" outlineLevel="0" collapsed="false">
      <c r="A198" s="0" t="s">
        <v>685</v>
      </c>
      <c r="B198" s="0" t="s">
        <v>178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686</v>
      </c>
      <c r="B199" s="0" t="s">
        <v>178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687</v>
      </c>
      <c r="B200" s="0" t="s">
        <v>178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688</v>
      </c>
      <c r="B201" s="0" t="s">
        <v>178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689</v>
      </c>
    </row>
    <row r="202" customFormat="false" ht="17.15" hidden="false" customHeight="false" outlineLevel="0" collapsed="false">
      <c r="A202" s="0" t="s">
        <v>690</v>
      </c>
      <c r="B202" s="0" t="s">
        <v>178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691</v>
      </c>
      <c r="B203" s="0" t="s">
        <v>178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692</v>
      </c>
      <c r="B204" s="0" t="s">
        <v>178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693</v>
      </c>
      <c r="B205" s="0" t="s">
        <v>313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694</v>
      </c>
      <c r="B206" s="0" t="s">
        <v>313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695</v>
      </c>
      <c r="B207" s="0" t="s">
        <v>313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696</v>
      </c>
      <c r="B208" s="0" t="s">
        <v>313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697</v>
      </c>
      <c r="B209" s="0" t="s">
        <v>313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698</v>
      </c>
      <c r="B210" s="0" t="s">
        <v>313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699</v>
      </c>
      <c r="B211" s="0" t="s">
        <v>313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700</v>
      </c>
      <c r="B212" s="0" t="s">
        <v>313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701</v>
      </c>
      <c r="B213" s="0" t="s">
        <v>313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702</v>
      </c>
      <c r="B214" s="0" t="s">
        <v>313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703</v>
      </c>
    </row>
    <row r="215" customFormat="false" ht="17.15" hidden="false" customHeight="false" outlineLevel="0" collapsed="false">
      <c r="A215" s="5" t="s">
        <v>704</v>
      </c>
      <c r="B215" s="0" t="s">
        <v>313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705</v>
      </c>
      <c r="B216" s="0" t="s">
        <v>313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706</v>
      </c>
      <c r="B217" s="0" t="s">
        <v>313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707</v>
      </c>
      <c r="B218" s="0" t="s">
        <v>313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708</v>
      </c>
      <c r="B219" s="0" t="s">
        <v>313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709</v>
      </c>
      <c r="B220" s="0" t="s">
        <v>45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710</v>
      </c>
    </row>
    <row r="221" customFormat="false" ht="17.15" hidden="false" customHeight="false" outlineLevel="0" collapsed="false">
      <c r="A221" s="0" t="s">
        <v>711</v>
      </c>
      <c r="B221" s="0" t="s">
        <v>45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712</v>
      </c>
    </row>
    <row r="223" customFormat="false" ht="15" hidden="false" customHeight="false" outlineLevel="0" collapsed="false">
      <c r="A223" s="5" t="s">
        <v>539</v>
      </c>
      <c r="B223" s="0" t="s">
        <v>313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713</v>
      </c>
      <c r="B224" s="0" t="s">
        <v>313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659</v>
      </c>
      <c r="B225" s="0" t="s">
        <v>313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714</v>
      </c>
      <c r="B226" s="0" t="s">
        <v>45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715</v>
      </c>
      <c r="B227" s="0" t="s">
        <v>313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555</v>
      </c>
      <c r="B228" s="0" t="s">
        <v>45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716</v>
      </c>
      <c r="B229" s="0" t="s">
        <v>313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717</v>
      </c>
    </row>
    <row r="230" customFormat="false" ht="15" hidden="false" customHeight="false" outlineLevel="0" collapsed="false">
      <c r="A230" s="5" t="s">
        <v>718</v>
      </c>
      <c r="B230" s="0" t="s">
        <v>313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558</v>
      </c>
      <c r="B231" s="0" t="s">
        <v>313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660</v>
      </c>
      <c r="B232" s="0" t="s">
        <v>45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563</v>
      </c>
      <c r="B233" s="0" t="s">
        <v>313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572</v>
      </c>
      <c r="B234" s="0" t="s">
        <v>45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661</v>
      </c>
      <c r="B235" s="0" t="s">
        <v>313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719</v>
      </c>
      <c r="B236" s="5" t="s">
        <v>720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662</v>
      </c>
      <c r="B237" s="0" t="s">
        <v>424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721</v>
      </c>
      <c r="B238" s="0" t="s">
        <v>45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724</v>
      </c>
    </row>
    <row r="242" customFormat="false" ht="15" hidden="false" customHeight="false" outlineLevel="0" collapsed="false">
      <c r="A242" s="6" t="s">
        <v>23</v>
      </c>
      <c r="B242" s="6" t="s">
        <v>24</v>
      </c>
      <c r="C242" s="13" t="s">
        <v>651</v>
      </c>
      <c r="D242" s="13" t="s">
        <v>652</v>
      </c>
      <c r="E242" s="13" t="s">
        <v>653</v>
      </c>
      <c r="F242" s="13" t="s">
        <v>654</v>
      </c>
      <c r="G242" s="13" t="s">
        <v>655</v>
      </c>
      <c r="H242" s="6" t="s">
        <v>604</v>
      </c>
    </row>
    <row r="243" customFormat="false" ht="17.15" hidden="false" customHeight="false" outlineLevel="0" collapsed="false">
      <c r="A243" s="1" t="s">
        <v>670</v>
      </c>
    </row>
    <row r="244" customFormat="false" ht="17.15" hidden="false" customHeight="false" outlineLevel="0" collapsed="false">
      <c r="A244" s="0" t="s">
        <v>671</v>
      </c>
      <c r="B244" s="0" t="s">
        <v>130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672</v>
      </c>
      <c r="B245" s="5" t="s">
        <v>34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673</v>
      </c>
      <c r="B246" s="5" t="s">
        <v>34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674</v>
      </c>
      <c r="B247" s="5" t="s">
        <v>34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675</v>
      </c>
      <c r="B248" s="5" t="s">
        <v>34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676</v>
      </c>
      <c r="B249" s="5" t="s">
        <v>34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677</v>
      </c>
    </row>
    <row r="250" customFormat="false" ht="17.15" hidden="false" customHeight="false" outlineLevel="0" collapsed="false">
      <c r="A250" s="0" t="s">
        <v>678</v>
      </c>
      <c r="B250" s="0" t="s">
        <v>178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679</v>
      </c>
    </row>
    <row r="251" customFormat="false" ht="17.15" hidden="false" customHeight="false" outlineLevel="0" collapsed="false">
      <c r="A251" s="0" t="s">
        <v>680</v>
      </c>
      <c r="B251" s="0" t="s">
        <v>178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681</v>
      </c>
      <c r="B252" s="0" t="s">
        <v>178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682</v>
      </c>
      <c r="B253" s="0" t="s">
        <v>178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683</v>
      </c>
      <c r="B254" s="0" t="s">
        <v>178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684</v>
      </c>
    </row>
    <row r="255" customFormat="false" ht="17.15" hidden="false" customHeight="false" outlineLevel="0" collapsed="false">
      <c r="A255" s="0" t="s">
        <v>685</v>
      </c>
      <c r="B255" s="0" t="s">
        <v>178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686</v>
      </c>
      <c r="B256" s="0" t="s">
        <v>178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687</v>
      </c>
      <c r="B257" s="0" t="s">
        <v>178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688</v>
      </c>
      <c r="B258" s="0" t="s">
        <v>178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689</v>
      </c>
    </row>
    <row r="259" customFormat="false" ht="17.15" hidden="false" customHeight="false" outlineLevel="0" collapsed="false">
      <c r="A259" s="0" t="s">
        <v>690</v>
      </c>
      <c r="B259" s="0" t="s">
        <v>178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691</v>
      </c>
      <c r="B260" s="0" t="s">
        <v>178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692</v>
      </c>
      <c r="B261" s="0" t="s">
        <v>178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693</v>
      </c>
      <c r="B262" s="0" t="s">
        <v>313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694</v>
      </c>
      <c r="B263" s="0" t="s">
        <v>313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695</v>
      </c>
      <c r="B264" s="0" t="s">
        <v>313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696</v>
      </c>
      <c r="B265" s="0" t="s">
        <v>313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697</v>
      </c>
      <c r="B266" s="0" t="s">
        <v>313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698</v>
      </c>
      <c r="B267" s="0" t="s">
        <v>313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699</v>
      </c>
      <c r="B268" s="0" t="s">
        <v>313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700</v>
      </c>
      <c r="B269" s="0" t="s">
        <v>313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701</v>
      </c>
      <c r="B270" s="0" t="s">
        <v>313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702</v>
      </c>
      <c r="B271" s="0" t="s">
        <v>313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703</v>
      </c>
    </row>
    <row r="272" customFormat="false" ht="17.15" hidden="false" customHeight="false" outlineLevel="0" collapsed="false">
      <c r="A272" s="5" t="s">
        <v>704</v>
      </c>
      <c r="B272" s="0" t="s">
        <v>313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705</v>
      </c>
      <c r="B273" s="0" t="s">
        <v>313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706</v>
      </c>
      <c r="B274" s="0" t="s">
        <v>313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707</v>
      </c>
      <c r="B275" s="0" t="s">
        <v>313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708</v>
      </c>
      <c r="B276" s="0" t="s">
        <v>313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709</v>
      </c>
      <c r="B277" s="0" t="s">
        <v>45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710</v>
      </c>
    </row>
    <row r="278" customFormat="false" ht="17.15" hidden="false" customHeight="false" outlineLevel="0" collapsed="false">
      <c r="A278" s="0" t="s">
        <v>711</v>
      </c>
      <c r="B278" s="0" t="s">
        <v>45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712</v>
      </c>
    </row>
    <row r="280" customFormat="false" ht="15" hidden="false" customHeight="false" outlineLevel="0" collapsed="false">
      <c r="A280" s="5" t="s">
        <v>539</v>
      </c>
      <c r="B280" s="0" t="s">
        <v>313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713</v>
      </c>
      <c r="B281" s="0" t="s">
        <v>313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659</v>
      </c>
      <c r="B282" s="0" t="s">
        <v>313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714</v>
      </c>
      <c r="B283" s="0" t="s">
        <v>45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715</v>
      </c>
      <c r="B284" s="0" t="s">
        <v>313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555</v>
      </c>
      <c r="B285" s="0" t="s">
        <v>45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716</v>
      </c>
      <c r="B286" s="0" t="s">
        <v>313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717</v>
      </c>
    </row>
    <row r="287" customFormat="false" ht="15" hidden="false" customHeight="false" outlineLevel="0" collapsed="false">
      <c r="A287" s="5" t="s">
        <v>718</v>
      </c>
      <c r="B287" s="0" t="s">
        <v>313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558</v>
      </c>
      <c r="B288" s="0" t="s">
        <v>313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660</v>
      </c>
      <c r="B289" s="0" t="s">
        <v>45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563</v>
      </c>
      <c r="B290" s="0" t="s">
        <v>313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572</v>
      </c>
      <c r="B291" s="0" t="s">
        <v>45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661</v>
      </c>
      <c r="B292" s="0" t="s">
        <v>313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719</v>
      </c>
      <c r="B293" s="5" t="s">
        <v>720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662</v>
      </c>
      <c r="B294" s="0" t="s">
        <v>424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721</v>
      </c>
      <c r="B295" s="0" t="s">
        <v>45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725</v>
      </c>
    </row>
    <row r="299" customFormat="false" ht="17.15" hidden="false" customHeight="false" outlineLevel="0" collapsed="false">
      <c r="A299" s="5" t="s">
        <v>726</v>
      </c>
    </row>
    <row r="300" customFormat="false" ht="15" hidden="false" customHeight="false" outlineLevel="0" collapsed="false">
      <c r="A300" s="6" t="s">
        <v>727</v>
      </c>
      <c r="B300" s="6" t="s">
        <v>24</v>
      </c>
      <c r="C300" s="13" t="s">
        <v>651</v>
      </c>
      <c r="D300" s="13" t="s">
        <v>652</v>
      </c>
      <c r="E300" s="13" t="s">
        <v>653</v>
      </c>
      <c r="F300" s="13" t="s">
        <v>654</v>
      </c>
      <c r="G300" s="13" t="s">
        <v>655</v>
      </c>
      <c r="H300" s="13" t="s">
        <v>728</v>
      </c>
      <c r="I300" s="13" t="s">
        <v>729</v>
      </c>
      <c r="J300" s="6" t="s">
        <v>604</v>
      </c>
    </row>
    <row r="301" customFormat="false" ht="17.15" hidden="false" customHeight="false" outlineLevel="0" collapsed="false">
      <c r="A301" s="4" t="s">
        <v>656</v>
      </c>
    </row>
    <row r="302" customFormat="false" ht="15" hidden="false" customHeight="false" outlineLevel="0" collapsed="false">
      <c r="A302" s="5" t="s">
        <v>539</v>
      </c>
      <c r="B302" s="0" t="s">
        <v>313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657</v>
      </c>
      <c r="B303" s="0" t="s">
        <v>45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730</v>
      </c>
    </row>
    <row r="304" customFormat="false" ht="17.15" hidden="false" customHeight="false" outlineLevel="0" collapsed="false">
      <c r="A304" s="5" t="s">
        <v>731</v>
      </c>
      <c r="B304" s="0" t="s">
        <v>45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732</v>
      </c>
    </row>
    <row r="305" customFormat="false" ht="15" hidden="false" customHeight="false" outlineLevel="0" collapsed="false">
      <c r="A305" s="5" t="s">
        <v>733</v>
      </c>
      <c r="B305" s="0" t="s">
        <v>313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719</v>
      </c>
      <c r="B306" s="5" t="s">
        <v>720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734</v>
      </c>
    </row>
    <row r="307" customFormat="false" ht="17.15" hidden="false" customHeight="false" outlineLevel="0" collapsed="false">
      <c r="A307" s="0" t="s">
        <v>735</v>
      </c>
      <c r="B307" s="0" t="s">
        <v>424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663</v>
      </c>
      <c r="B308" s="0" t="s">
        <v>45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664</v>
      </c>
    </row>
    <row r="311" customFormat="false" ht="15" hidden="false" customHeight="false" outlineLevel="0" collapsed="false">
      <c r="A311" s="5" t="s">
        <v>539</v>
      </c>
      <c r="B311" s="0" t="s">
        <v>313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657</v>
      </c>
      <c r="B312" s="0" t="s">
        <v>45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736</v>
      </c>
    </row>
    <row r="313" customFormat="false" ht="17.15" hidden="false" customHeight="false" outlineLevel="0" collapsed="false">
      <c r="A313" s="5" t="s">
        <v>731</v>
      </c>
      <c r="B313" s="0" t="s">
        <v>45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737</v>
      </c>
    </row>
    <row r="314" customFormat="false" ht="15" hidden="false" customHeight="false" outlineLevel="0" collapsed="false">
      <c r="A314" s="5" t="s">
        <v>733</v>
      </c>
      <c r="B314" s="0" t="s">
        <v>313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719</v>
      </c>
      <c r="B315" s="5" t="s">
        <v>720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734</v>
      </c>
    </row>
    <row r="316" customFormat="false" ht="17.15" hidden="false" customHeight="false" outlineLevel="0" collapsed="false">
      <c r="A316" s="0" t="s">
        <v>735</v>
      </c>
      <c r="B316" s="0" t="s">
        <v>424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663</v>
      </c>
      <c r="B317" s="0" t="s">
        <v>45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665</v>
      </c>
    </row>
    <row r="320" customFormat="false" ht="15" hidden="false" customHeight="false" outlineLevel="0" collapsed="false">
      <c r="A320" s="5" t="s">
        <v>539</v>
      </c>
      <c r="B320" s="0" t="s">
        <v>313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657</v>
      </c>
      <c r="B321" s="0" t="s">
        <v>45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738</v>
      </c>
    </row>
    <row r="322" customFormat="false" ht="17.15" hidden="false" customHeight="false" outlineLevel="0" collapsed="false">
      <c r="A322" s="5" t="s">
        <v>731</v>
      </c>
      <c r="B322" s="0" t="s">
        <v>45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739</v>
      </c>
    </row>
    <row r="323" customFormat="false" ht="15" hidden="false" customHeight="false" outlineLevel="0" collapsed="false">
      <c r="A323" s="5" t="s">
        <v>733</v>
      </c>
      <c r="B323" s="0" t="s">
        <v>313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719</v>
      </c>
      <c r="B324" s="5" t="s">
        <v>720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734</v>
      </c>
    </row>
    <row r="325" customFormat="false" ht="17.15" hidden="false" customHeight="false" outlineLevel="0" collapsed="false">
      <c r="A325" s="0" t="s">
        <v>735</v>
      </c>
      <c r="B325" s="0" t="s">
        <v>424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663</v>
      </c>
      <c r="B326" s="0" t="s">
        <v>45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740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741</v>
      </c>
      <c r="D329" s="13" t="s">
        <v>742</v>
      </c>
      <c r="E329" s="13" t="s">
        <v>743</v>
      </c>
      <c r="F329" s="13" t="s">
        <v>744</v>
      </c>
      <c r="G329" s="13" t="s">
        <v>745</v>
      </c>
      <c r="H329" s="13" t="s">
        <v>746</v>
      </c>
      <c r="I329" s="13" t="s">
        <v>747</v>
      </c>
      <c r="J329" s="13" t="s">
        <v>748</v>
      </c>
      <c r="K329" s="13" t="s">
        <v>749</v>
      </c>
      <c r="L329" s="13" t="s">
        <v>750</v>
      </c>
      <c r="M329" s="13" t="s">
        <v>751</v>
      </c>
      <c r="N329" s="13" t="s">
        <v>752</v>
      </c>
      <c r="O329" s="13" t="s">
        <v>753</v>
      </c>
      <c r="P329" s="13" t="s">
        <v>754</v>
      </c>
      <c r="Q329" s="13" t="s">
        <v>755</v>
      </c>
      <c r="R329" s="13" t="s">
        <v>756</v>
      </c>
      <c r="S329" s="13" t="s">
        <v>757</v>
      </c>
      <c r="T329" s="13" t="s">
        <v>758</v>
      </c>
      <c r="U329" s="6" t="s">
        <v>604</v>
      </c>
    </row>
    <row r="330" customFormat="false" ht="17.15" hidden="false" customHeight="false" outlineLevel="0" collapsed="false">
      <c r="A330" s="5" t="s">
        <v>759</v>
      </c>
      <c r="B330" s="0" t="s">
        <v>313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761</v>
      </c>
    </row>
    <row r="2" customFormat="false" ht="17.15" hidden="false" customHeight="false" outlineLevel="0" collapsed="false">
      <c r="A2" s="5" t="s">
        <v>762</v>
      </c>
    </row>
    <row r="3" customFormat="false" ht="17.15" hidden="false" customHeight="false" outlineLevel="0" collapsed="false">
      <c r="A3" s="1" t="s">
        <v>763</v>
      </c>
    </row>
    <row r="4" customFormat="false" ht="17.15" hidden="false" customHeight="false" outlineLevel="0" collapsed="false">
      <c r="A4" s="1" t="s">
        <v>764</v>
      </c>
    </row>
    <row r="5" customFormat="false" ht="17.15" hidden="false" customHeight="false" outlineLevel="0" collapsed="false">
      <c r="A5" s="6" t="s">
        <v>23</v>
      </c>
      <c r="B5" s="13" t="s">
        <v>765</v>
      </c>
      <c r="C5" s="13" t="s">
        <v>766</v>
      </c>
      <c r="D5" s="13" t="s">
        <v>767</v>
      </c>
      <c r="E5" s="6" t="s">
        <v>604</v>
      </c>
      <c r="F5" s="6" t="s">
        <v>768</v>
      </c>
      <c r="G5" s="6" t="s">
        <v>769</v>
      </c>
    </row>
    <row r="6" customFormat="false" ht="17.15" hidden="false" customHeight="false" outlineLevel="0" collapsed="false">
      <c r="A6" s="5" t="s">
        <v>770</v>
      </c>
      <c r="E6" s="5" t="s">
        <v>771</v>
      </c>
    </row>
    <row r="7" customFormat="false" ht="15" hidden="false" customHeight="false" outlineLevel="0" collapsed="false">
      <c r="A7" s="0" t="s">
        <v>772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773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774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775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776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777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778</v>
      </c>
      <c r="B13" s="18" t="n">
        <f aca="false">1-MIN(0.8,tp_g/tp_roe)</f>
        <v>0.949463044851548</v>
      </c>
      <c r="E13" s="8" t="s">
        <v>779</v>
      </c>
    </row>
    <row r="14" customFormat="false" ht="17.15" hidden="false" customHeight="false" outlineLevel="0" collapsed="false">
      <c r="A14" s="0" t="s">
        <v>780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781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782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783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784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785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786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787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788</v>
      </c>
    </row>
    <row r="22" customFormat="false" ht="15" hidden="false" customHeight="false" outlineLevel="0" collapsed="false">
      <c r="A22" s="5" t="s">
        <v>789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790</v>
      </c>
      <c r="B23" s="29" t="n">
        <f aca="false">(tp_wA*B21+tp_wB*C21+tp_wC*D21)*(1+tp_r)</f>
        <v>235.04668098705</v>
      </c>
      <c r="C23" s="9"/>
      <c r="D23" s="9"/>
      <c r="E23" s="9" t="s">
        <v>791</v>
      </c>
    </row>
    <row r="25" customFormat="false" ht="17.15" hidden="false" customHeight="false" outlineLevel="0" collapsed="false">
      <c r="A25" s="1" t="s">
        <v>792</v>
      </c>
    </row>
    <row r="26" customFormat="false" ht="17.15" hidden="false" customHeight="false" outlineLevel="0" collapsed="false">
      <c r="A26" s="6" t="s">
        <v>793</v>
      </c>
      <c r="B26" s="6" t="s">
        <v>794</v>
      </c>
      <c r="C26" s="6" t="s">
        <v>795</v>
      </c>
      <c r="D26" s="6" t="s">
        <v>796</v>
      </c>
      <c r="E26" s="6" t="s">
        <v>797</v>
      </c>
      <c r="F26" s="6" t="s">
        <v>28</v>
      </c>
    </row>
    <row r="27" customFormat="false" ht="17.15" hidden="false" customHeight="false" outlineLevel="0" collapsed="false">
      <c r="A27" s="0" t="s">
        <v>798</v>
      </c>
      <c r="B27" s="0" t="s">
        <v>798</v>
      </c>
      <c r="C27" s="30" t="n">
        <v>46.49</v>
      </c>
      <c r="D27" s="8" t="s">
        <v>799</v>
      </c>
      <c r="E27" s="8" t="s">
        <v>800</v>
      </c>
      <c r="F27" s="8" t="s">
        <v>801</v>
      </c>
    </row>
    <row r="28" customFormat="false" ht="17.15" hidden="false" customHeight="false" outlineLevel="0" collapsed="false">
      <c r="A28" s="0" t="s">
        <v>802</v>
      </c>
      <c r="B28" s="0" t="s">
        <v>803</v>
      </c>
      <c r="C28" s="30" t="n">
        <v>18.52</v>
      </c>
      <c r="D28" s="8" t="s">
        <v>799</v>
      </c>
      <c r="E28" s="5" t="s">
        <v>40</v>
      </c>
      <c r="F28" s="8" t="s">
        <v>804</v>
      </c>
    </row>
    <row r="29" customFormat="false" ht="17.15" hidden="false" customHeight="false" outlineLevel="0" collapsed="false">
      <c r="A29" s="0" t="s">
        <v>805</v>
      </c>
      <c r="B29" s="0" t="s">
        <v>806</v>
      </c>
      <c r="C29" s="30" t="n">
        <v>40.44</v>
      </c>
      <c r="D29" s="8" t="s">
        <v>799</v>
      </c>
      <c r="E29" s="5" t="s">
        <v>40</v>
      </c>
      <c r="F29" s="8" t="s">
        <v>804</v>
      </c>
    </row>
    <row r="30" customFormat="false" ht="17.15" hidden="false" customHeight="false" outlineLevel="0" collapsed="false">
      <c r="A30" s="5" t="s">
        <v>807</v>
      </c>
      <c r="B30" s="0" t="s">
        <v>808</v>
      </c>
      <c r="C30" s="30" t="n">
        <v>19.61</v>
      </c>
      <c r="D30" s="8" t="s">
        <v>799</v>
      </c>
      <c r="E30" s="5" t="s">
        <v>40</v>
      </c>
      <c r="F30" s="8" t="s">
        <v>804</v>
      </c>
    </row>
    <row r="31" customFormat="false" ht="17.15" hidden="false" customHeight="false" outlineLevel="0" collapsed="false">
      <c r="A31" s="0" t="s">
        <v>809</v>
      </c>
      <c r="B31" s="0" t="s">
        <v>810</v>
      </c>
      <c r="C31" s="30" t="n">
        <v>18.98</v>
      </c>
      <c r="D31" s="8" t="s">
        <v>799</v>
      </c>
      <c r="E31" s="5" t="s">
        <v>40</v>
      </c>
      <c r="F31" s="8" t="s">
        <v>804</v>
      </c>
    </row>
    <row r="32" customFormat="false" ht="17.15" hidden="false" customHeight="false" outlineLevel="0" collapsed="false">
      <c r="A32" s="5" t="s">
        <v>811</v>
      </c>
      <c r="E32" s="5" t="s">
        <v>812</v>
      </c>
    </row>
    <row r="33" customFormat="false" ht="17.15" hidden="false" customHeight="false" outlineLevel="0" collapsed="false">
      <c r="A33" s="10" t="s">
        <v>813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814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815</v>
      </c>
    </row>
    <row r="35" customFormat="false" ht="17.15" hidden="false" customHeight="false" outlineLevel="0" collapsed="false">
      <c r="A35" s="0" t="s">
        <v>816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817</v>
      </c>
      <c r="B36" s="29" t="n">
        <f aca="false">B33*B35</f>
        <v>268.713911794101</v>
      </c>
      <c r="C36" s="9"/>
      <c r="D36" s="9"/>
      <c r="E36" s="10" t="s">
        <v>818</v>
      </c>
    </row>
    <row r="38" customFormat="false" ht="17.15" hidden="false" customHeight="false" outlineLevel="0" collapsed="false">
      <c r="A38" s="1" t="s">
        <v>819</v>
      </c>
    </row>
    <row r="39" customFormat="false" ht="15" hidden="false" customHeight="false" outlineLevel="0" collapsed="false">
      <c r="A39" s="6" t="s">
        <v>23</v>
      </c>
      <c r="B39" s="6" t="s">
        <v>820</v>
      </c>
      <c r="C39" s="6" t="s">
        <v>821</v>
      </c>
      <c r="D39" s="6" t="s">
        <v>821</v>
      </c>
      <c r="E39" s="6" t="s">
        <v>604</v>
      </c>
    </row>
    <row r="40" customFormat="false" ht="17.15" hidden="false" customHeight="false" outlineLevel="0" collapsed="false">
      <c r="A40" s="10" t="s">
        <v>822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823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824</v>
      </c>
      <c r="B42" s="27" t="n">
        <f aca="false">cons_tp</f>
        <v>328.95</v>
      </c>
      <c r="E42" s="8" t="s">
        <v>825</v>
      </c>
    </row>
    <row r="43" customFormat="false" ht="15" hidden="false" customHeight="false" outlineLevel="0" collapsed="false">
      <c r="A43" s="5" t="s">
        <v>826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827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828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829</v>
      </c>
    </row>
    <row r="46" customFormat="false" ht="17.15" hidden="false" customHeight="false" outlineLevel="0" collapsed="false">
      <c r="A46" s="5" t="s">
        <v>830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831</v>
      </c>
    </row>
    <row r="47" customFormat="false" ht="17.15" hidden="false" customHeight="false" outlineLevel="0" collapsed="false">
      <c r="A47" s="5" t="s">
        <v>832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833</v>
      </c>
    </row>
    <row r="48" customFormat="false" ht="17.15" hidden="false" customHeight="false" outlineLevel="0" collapsed="false">
      <c r="A48" s="5" t="s">
        <v>834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835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836</v>
      </c>
    </row>
    <row r="50" customFormat="false" ht="17.15" hidden="false" customHeight="false" outlineLevel="0" collapsed="false">
      <c r="A50" s="5" t="s">
        <v>837</v>
      </c>
      <c r="B50" s="0" t="s">
        <v>838</v>
      </c>
    </row>
    <row r="51" customFormat="false" ht="17.15" hidden="false" customHeight="false" outlineLevel="0" collapsed="false">
      <c r="A51" s="5" t="s">
        <v>839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840</v>
      </c>
    </row>
    <row r="56" customFormat="false" ht="15" hidden="false" customHeight="false" outlineLevel="0" collapsed="false">
      <c r="A56" s="6" t="s">
        <v>23</v>
      </c>
      <c r="B56" s="13" t="s">
        <v>765</v>
      </c>
      <c r="C56" s="13" t="s">
        <v>766</v>
      </c>
      <c r="D56" s="13" t="s">
        <v>767</v>
      </c>
      <c r="E56" s="6" t="s">
        <v>604</v>
      </c>
    </row>
    <row r="57" customFormat="false" ht="17.15" hidden="false" customHeight="false" outlineLevel="0" collapsed="false">
      <c r="A57" s="5" t="s">
        <v>841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842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843</v>
      </c>
    </row>
    <row r="59" customFormat="false" ht="17.15" hidden="false" customHeight="false" outlineLevel="0" collapsed="false">
      <c r="A59" s="5" t="s">
        <v>844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845</v>
      </c>
      <c r="B60" s="22" t="n">
        <f aca="false">px/cons_eps28</f>
        <v>13.2595851665619</v>
      </c>
      <c r="E60" s="5" t="s">
        <v>846</v>
      </c>
    </row>
    <row r="61" customFormat="false" ht="17.15" hidden="false" customHeight="false" outlineLevel="0" collapsed="false">
      <c r="A61" s="5" t="s">
        <v>847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848</v>
      </c>
    </row>
    <row r="64" customFormat="false" ht="17.15" hidden="false" customHeight="false" outlineLevel="0" collapsed="false">
      <c r="A64" s="5" t="s">
        <v>849</v>
      </c>
    </row>
    <row r="65" customFormat="false" ht="17.15" hidden="false" customHeight="false" outlineLevel="0" collapsed="false">
      <c r="A65" s="6" t="s">
        <v>850</v>
      </c>
      <c r="B65" s="6" t="s">
        <v>851</v>
      </c>
      <c r="C65" s="13" t="s">
        <v>852</v>
      </c>
      <c r="D65" s="13" t="s">
        <v>853</v>
      </c>
      <c r="E65" s="13" t="s">
        <v>854</v>
      </c>
      <c r="F65" s="13" t="s">
        <v>855</v>
      </c>
      <c r="G65" s="13" t="s">
        <v>856</v>
      </c>
      <c r="H65" s="13" t="s">
        <v>857</v>
      </c>
      <c r="I65" s="6" t="s">
        <v>858</v>
      </c>
    </row>
    <row r="66" customFormat="false" ht="17.15" hidden="false" customHeight="false" outlineLevel="0" collapsed="false">
      <c r="A66" s="0" t="s">
        <v>765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859</v>
      </c>
    </row>
    <row r="67" customFormat="false" ht="17.15" hidden="false" customHeight="false" outlineLevel="0" collapsed="false">
      <c r="A67" s="0" t="s">
        <v>766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859</v>
      </c>
    </row>
    <row r="68" customFormat="false" ht="17.15" hidden="false" customHeight="false" outlineLevel="0" collapsed="false">
      <c r="A68" s="0" t="s">
        <v>767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859</v>
      </c>
    </row>
    <row r="70" customFormat="false" ht="17.15" hidden="false" customHeight="false" outlineLevel="0" collapsed="false">
      <c r="A70" s="4" t="s">
        <v>860</v>
      </c>
    </row>
    <row r="71" customFormat="false" ht="17.15" hidden="false" customHeight="false" outlineLevel="0" collapsed="false">
      <c r="A71" s="6" t="s">
        <v>850</v>
      </c>
      <c r="B71" s="6" t="s">
        <v>861</v>
      </c>
      <c r="C71" s="6" t="s">
        <v>862</v>
      </c>
      <c r="D71" s="13" t="s">
        <v>853</v>
      </c>
      <c r="E71" s="13" t="s">
        <v>854</v>
      </c>
      <c r="F71" s="6" t="s">
        <v>863</v>
      </c>
      <c r="G71" s="6" t="s">
        <v>604</v>
      </c>
    </row>
    <row r="72" customFormat="false" ht="17.15" hidden="false" customHeight="false" outlineLevel="0" collapsed="false">
      <c r="A72" s="0" t="s">
        <v>765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864</v>
      </c>
    </row>
    <row r="73" customFormat="false" ht="15" hidden="false" customHeight="false" outlineLevel="0" collapsed="false">
      <c r="A73" s="0" t="s">
        <v>766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40</v>
      </c>
    </row>
    <row r="74" customFormat="false" ht="15" hidden="false" customHeight="false" outlineLevel="0" collapsed="false">
      <c r="A74" s="0" t="s">
        <v>767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40</v>
      </c>
    </row>
    <row r="76" customFormat="false" ht="17.15" hidden="false" customHeight="false" outlineLevel="0" collapsed="false">
      <c r="A76" s="1" t="s">
        <v>865</v>
      </c>
    </row>
    <row r="77" customFormat="false" ht="17.15" hidden="false" customHeight="false" outlineLevel="0" collapsed="false">
      <c r="A77" s="6" t="s">
        <v>850</v>
      </c>
      <c r="B77" s="13" t="s">
        <v>866</v>
      </c>
      <c r="C77" s="13" t="s">
        <v>867</v>
      </c>
      <c r="D77" s="6" t="s">
        <v>868</v>
      </c>
      <c r="E77" s="6" t="s">
        <v>869</v>
      </c>
      <c r="F77" s="6" t="s">
        <v>870</v>
      </c>
      <c r="G77" s="6" t="s">
        <v>871</v>
      </c>
      <c r="H77" s="6" t="s">
        <v>872</v>
      </c>
    </row>
    <row r="78" customFormat="false" ht="15" hidden="false" customHeight="false" outlineLevel="0" collapsed="false">
      <c r="A78" s="9" t="s">
        <v>765</v>
      </c>
      <c r="B78" s="9" t="s">
        <v>653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765</v>
      </c>
      <c r="B79" s="0" t="s">
        <v>653</v>
      </c>
      <c r="C79" s="21" t="n">
        <f aca="false">PL!E13</f>
        <v>14.7153352636455</v>
      </c>
      <c r="D79" s="5" t="s">
        <v>873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765</v>
      </c>
      <c r="B80" s="0" t="s">
        <v>653</v>
      </c>
      <c r="C80" s="21" t="n">
        <f aca="false">PL!E13</f>
        <v>14.7153352636455</v>
      </c>
      <c r="D80" s="5" t="s">
        <v>874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765</v>
      </c>
      <c r="B81" s="0" t="s">
        <v>653</v>
      </c>
      <c r="C81" s="21" t="n">
        <f aca="false">PL!E13</f>
        <v>14.7153352636455</v>
      </c>
      <c r="D81" s="5" t="s">
        <v>875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765</v>
      </c>
      <c r="B82" s="9" t="s">
        <v>654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766</v>
      </c>
      <c r="B83" s="9" t="s">
        <v>653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766</v>
      </c>
      <c r="B84" s="0" t="s">
        <v>653</v>
      </c>
      <c r="C84" s="21" t="n">
        <f aca="false">PL!E25</f>
        <v>14.7376238214589</v>
      </c>
      <c r="D84" s="5" t="s">
        <v>873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766</v>
      </c>
      <c r="B85" s="0" t="s">
        <v>653</v>
      </c>
      <c r="C85" s="21" t="n">
        <f aca="false">PL!E25</f>
        <v>14.7376238214589</v>
      </c>
      <c r="D85" s="5" t="s">
        <v>874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766</v>
      </c>
      <c r="B86" s="0" t="s">
        <v>653</v>
      </c>
      <c r="C86" s="21" t="n">
        <f aca="false">PL!E25</f>
        <v>14.7376238214589</v>
      </c>
      <c r="D86" s="5" t="s">
        <v>875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766</v>
      </c>
      <c r="B87" s="9" t="s">
        <v>654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767</v>
      </c>
      <c r="B88" s="9" t="s">
        <v>653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767</v>
      </c>
      <c r="B89" s="0" t="s">
        <v>653</v>
      </c>
      <c r="C89" s="21" t="n">
        <f aca="false">PL!E37</f>
        <v>14.7376238214589</v>
      </c>
      <c r="D89" s="5" t="s">
        <v>873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767</v>
      </c>
      <c r="B90" s="0" t="s">
        <v>653</v>
      </c>
      <c r="C90" s="21" t="n">
        <f aca="false">PL!E37</f>
        <v>14.7376238214589</v>
      </c>
      <c r="D90" s="5" t="s">
        <v>874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767</v>
      </c>
      <c r="B91" s="0" t="s">
        <v>653</v>
      </c>
      <c r="C91" s="21" t="n">
        <f aca="false">PL!E37</f>
        <v>14.7376238214589</v>
      </c>
      <c r="D91" s="5" t="s">
        <v>875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767</v>
      </c>
      <c r="B92" s="9" t="s">
        <v>654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876</v>
      </c>
    </row>
    <row r="95" customFormat="false" ht="17.15" hidden="false" customHeight="false" outlineLevel="0" collapsed="false">
      <c r="A95" s="1" t="s">
        <v>877</v>
      </c>
    </row>
    <row r="96" customFormat="false" ht="17.15" hidden="false" customHeight="false" outlineLevel="0" collapsed="false">
      <c r="A96" s="13" t="s">
        <v>878</v>
      </c>
      <c r="B96" s="6" t="s">
        <v>879</v>
      </c>
      <c r="C96" s="6" t="s">
        <v>880</v>
      </c>
      <c r="D96" s="6" t="s">
        <v>881</v>
      </c>
      <c r="E96" s="6" t="s">
        <v>882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883</v>
      </c>
    </row>
    <row r="121" customFormat="false" ht="17.15" hidden="false" customHeight="false" outlineLevel="0" collapsed="false">
      <c r="A121" s="1" t="s">
        <v>884</v>
      </c>
    </row>
    <row r="122" customFormat="false" ht="17.15" hidden="false" customHeight="false" outlineLevel="0" collapsed="false">
      <c r="A122" s="5" t="s">
        <v>885</v>
      </c>
    </row>
    <row r="124" customFormat="false" ht="17.15" hidden="false" customHeight="false" outlineLevel="0" collapsed="false">
      <c r="A124" s="1" t="s">
        <v>886</v>
      </c>
    </row>
    <row r="125" customFormat="false" ht="17.15" hidden="false" customHeight="false" outlineLevel="0" collapsed="false">
      <c r="A125" s="6" t="s">
        <v>887</v>
      </c>
      <c r="B125" s="13" t="s">
        <v>888</v>
      </c>
      <c r="C125" s="13" t="s">
        <v>889</v>
      </c>
      <c r="D125" s="6" t="s">
        <v>890</v>
      </c>
    </row>
    <row r="126" customFormat="false" ht="17.15" hidden="false" customHeight="false" outlineLevel="0" collapsed="false">
      <c r="A126" s="0" t="s">
        <v>891</v>
      </c>
      <c r="C126" s="20" t="n">
        <v>24.4</v>
      </c>
      <c r="D126" s="8" t="s">
        <v>892</v>
      </c>
    </row>
    <row r="127" customFormat="false" ht="15" hidden="false" customHeight="false" outlineLevel="0" collapsed="false">
      <c r="A127" s="0" t="s">
        <v>893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894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895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896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897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898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899</v>
      </c>
      <c r="B133" s="20" t="n">
        <v>114.67</v>
      </c>
    </row>
    <row r="134" customFormat="false" ht="15" hidden="false" customHeight="false" outlineLevel="0" collapsed="false">
      <c r="A134" s="0" t="s">
        <v>900</v>
      </c>
      <c r="B134" s="20" t="n">
        <v>51.61</v>
      </c>
    </row>
    <row r="135" customFormat="false" ht="15" hidden="false" customHeight="false" outlineLevel="0" collapsed="false">
      <c r="A135" s="0" t="s">
        <v>901</v>
      </c>
      <c r="B135" s="20" t="n">
        <v>40.78</v>
      </c>
    </row>
    <row r="136" customFormat="false" ht="17.15" hidden="false" customHeight="false" outlineLevel="0" collapsed="false">
      <c r="A136" s="0" t="s">
        <v>902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903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904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905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906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907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908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909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910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911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912</v>
      </c>
    </row>
    <row r="148" customFormat="false" ht="17.15" hidden="false" customHeight="false" outlineLevel="0" collapsed="false">
      <c r="A148" s="6" t="s">
        <v>913</v>
      </c>
      <c r="B148" s="6" t="s">
        <v>914</v>
      </c>
      <c r="C148" s="6" t="s">
        <v>869</v>
      </c>
      <c r="D148" s="6" t="s">
        <v>26</v>
      </c>
      <c r="E148" s="6" t="s">
        <v>915</v>
      </c>
      <c r="F148" s="6" t="s">
        <v>916</v>
      </c>
      <c r="G148" s="6" t="s">
        <v>917</v>
      </c>
      <c r="H148" s="6" t="s">
        <v>918</v>
      </c>
    </row>
    <row r="149" customFormat="false" ht="17.15" hidden="false" customHeight="false" outlineLevel="0" collapsed="false">
      <c r="A149" s="5" t="s">
        <v>919</v>
      </c>
      <c r="B149" s="0" t="s">
        <v>920</v>
      </c>
      <c r="C149" s="21" t="n">
        <f aca="false">B141</f>
        <v>42.09</v>
      </c>
      <c r="D149" s="8" t="s">
        <v>921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922</v>
      </c>
      <c r="B150" s="5" t="s">
        <v>923</v>
      </c>
      <c r="C150" s="21" t="n">
        <f aca="false">B142</f>
        <v>51.61</v>
      </c>
      <c r="D150" s="8" t="s">
        <v>921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924</v>
      </c>
      <c r="B151" s="0" t="s">
        <v>925</v>
      </c>
      <c r="C151" s="21" t="n">
        <f aca="false">B143</f>
        <v>63.4</v>
      </c>
      <c r="D151" s="8" t="s">
        <v>921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926</v>
      </c>
    </row>
    <row r="156" customFormat="false" ht="17.15" hidden="false" customHeight="false" outlineLevel="0" collapsed="false">
      <c r="A156" s="6" t="s">
        <v>927</v>
      </c>
      <c r="B156" s="13" t="s">
        <v>928</v>
      </c>
      <c r="C156" s="6" t="s">
        <v>929</v>
      </c>
      <c r="D156" s="6" t="s">
        <v>930</v>
      </c>
      <c r="E156" s="13" t="s">
        <v>931</v>
      </c>
      <c r="F156" s="6" t="s">
        <v>797</v>
      </c>
    </row>
    <row r="157" customFormat="false" ht="17.15" hidden="false" customHeight="false" outlineLevel="0" collapsed="false">
      <c r="A157" s="0" t="s">
        <v>932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933</v>
      </c>
    </row>
    <row r="158" customFormat="false" ht="17.15" hidden="false" customHeight="false" outlineLevel="0" collapsed="false">
      <c r="A158" s="0" t="s">
        <v>934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933</v>
      </c>
    </row>
    <row r="159" customFormat="false" ht="17.15" hidden="false" customHeight="false" outlineLevel="0" collapsed="false">
      <c r="A159" s="0" t="s">
        <v>935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933</v>
      </c>
    </row>
    <row r="160" customFormat="false" ht="17.15" hidden="false" customHeight="false" outlineLevel="0" collapsed="false">
      <c r="A160" s="0" t="s">
        <v>936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933</v>
      </c>
    </row>
    <row r="161" customFormat="false" ht="17.15" hidden="false" customHeight="false" outlineLevel="0" collapsed="false">
      <c r="A161" s="0" t="s">
        <v>937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933</v>
      </c>
    </row>
    <row r="162" customFormat="false" ht="17.15" hidden="false" customHeight="false" outlineLevel="0" collapsed="false">
      <c r="A162" s="0" t="s">
        <v>938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933</v>
      </c>
    </row>
    <row r="163" customFormat="false" ht="17.15" hidden="false" customHeight="false" outlineLevel="0" collapsed="false">
      <c r="A163" s="0" t="s">
        <v>939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933</v>
      </c>
    </row>
    <row r="164" customFormat="false" ht="17.15" hidden="false" customHeight="false" outlineLevel="0" collapsed="false">
      <c r="A164" s="0" t="s">
        <v>940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933</v>
      </c>
    </row>
    <row r="165" customFormat="false" ht="17.15" hidden="false" customHeight="false" outlineLevel="0" collapsed="false">
      <c r="A165" s="0" t="s">
        <v>941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933</v>
      </c>
    </row>
    <row r="166" customFormat="false" ht="17.15" hidden="false" customHeight="false" outlineLevel="0" collapsed="false">
      <c r="A166" s="0" t="s">
        <v>942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933</v>
      </c>
    </row>
    <row r="168" customFormat="false" ht="15" hidden="false" customHeight="false" outlineLevel="0" collapsed="false">
      <c r="A168" s="4" t="s">
        <v>943</v>
      </c>
    </row>
    <row r="169" customFormat="false" ht="15" hidden="false" customHeight="false" outlineLevel="0" collapsed="false">
      <c r="A169" s="6" t="s">
        <v>23</v>
      </c>
      <c r="B169" s="6" t="s">
        <v>820</v>
      </c>
      <c r="C169" s="13"/>
      <c r="D169" s="13"/>
      <c r="E169" s="6" t="s">
        <v>604</v>
      </c>
    </row>
    <row r="170" customFormat="false" ht="17.15" hidden="false" customHeight="false" outlineLevel="0" collapsed="false">
      <c r="A170" s="5" t="s">
        <v>944</v>
      </c>
      <c r="B170" s="27" t="n">
        <f aca="false">tp_wA*B172+tp_wB*B173+tp_wC*B174</f>
        <v>467.571184194614</v>
      </c>
      <c r="E170" s="5" t="s">
        <v>945</v>
      </c>
    </row>
    <row r="171" customFormat="false" ht="17.15" hidden="false" customHeight="false" outlineLevel="0" collapsed="false">
      <c r="A171" s="5" t="s">
        <v>946</v>
      </c>
      <c r="B171" s="18" t="n">
        <f aca="false">B170/px-1</f>
        <v>1.21639734639085</v>
      </c>
      <c r="E171" s="5" t="s">
        <v>947</v>
      </c>
    </row>
    <row r="172" customFormat="false" ht="17.15" hidden="false" customHeight="false" outlineLevel="0" collapsed="false">
      <c r="A172" s="5" t="s">
        <v>948</v>
      </c>
      <c r="B172" s="27" t="n">
        <f aca="false">pe_mid*PL!D13</f>
        <v>467.571184194614</v>
      </c>
      <c r="E172" s="5" t="s">
        <v>949</v>
      </c>
    </row>
    <row r="173" customFormat="false" ht="17.15" hidden="false" customHeight="false" outlineLevel="0" collapsed="false">
      <c r="A173" s="5" t="s">
        <v>950</v>
      </c>
      <c r="B173" s="27" t="n">
        <f aca="false">pe_mid*PL!D25</f>
        <v>467.571184194614</v>
      </c>
      <c r="E173" s="5" t="s">
        <v>951</v>
      </c>
    </row>
    <row r="174" customFormat="false" ht="17.15" hidden="false" customHeight="false" outlineLevel="0" collapsed="false">
      <c r="A174" s="5" t="s">
        <v>952</v>
      </c>
      <c r="B174" s="27" t="n">
        <f aca="false">pe_mid*PL!D37</f>
        <v>467.571184194614</v>
      </c>
      <c r="E174" s="5" t="s">
        <v>953</v>
      </c>
    </row>
    <row r="175" customFormat="false" ht="17.15" hidden="false" customHeight="false" outlineLevel="0" collapsed="false">
      <c r="A175" s="5" t="s">
        <v>954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955</v>
      </c>
      <c r="B176" s="0" t="s">
        <v>956</v>
      </c>
    </row>
    <row r="178" customFormat="false" ht="17.15" hidden="false" customHeight="false" outlineLevel="0" collapsed="false">
      <c r="A178" s="5" t="s">
        <v>957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958</v>
      </c>
    </row>
    <row r="179" customFormat="false" ht="17.15" hidden="false" customHeight="false" outlineLevel="0" collapsed="false">
      <c r="A179" s="5" t="s">
        <v>959</v>
      </c>
      <c r="B179" s="0" t="str">
        <f aca="false">IF(B43&gt;0.5,"強力買進",IF(B43&gt;0.25,"買進",IF(B43&gt;=-0.25,"中立",IF(B43&gt;=-0.5,"放空","強力放空"))))</f>
        <v>中立</v>
      </c>
      <c r="E179" s="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961</v>
      </c>
    </row>
    <row r="3" customFormat="false" ht="17.15" hidden="false" customHeight="false" outlineLevel="0" collapsed="false">
      <c r="A3" s="6" t="s">
        <v>23</v>
      </c>
      <c r="B3" s="6" t="s">
        <v>962</v>
      </c>
      <c r="C3" s="6" t="s">
        <v>963</v>
      </c>
      <c r="D3" s="6" t="s">
        <v>964</v>
      </c>
      <c r="E3" s="6" t="s">
        <v>965</v>
      </c>
      <c r="F3" s="6" t="s">
        <v>966</v>
      </c>
      <c r="G3" s="6" t="s">
        <v>967</v>
      </c>
      <c r="H3" s="6" t="s">
        <v>968</v>
      </c>
      <c r="I3" s="6" t="s">
        <v>969</v>
      </c>
      <c r="J3" s="6" t="s">
        <v>604</v>
      </c>
    </row>
    <row r="4" customFormat="false" ht="17.15" hidden="false" customHeight="false" outlineLevel="0" collapsed="false">
      <c r="A4" s="1" t="s">
        <v>970</v>
      </c>
    </row>
    <row r="5" customFormat="false" ht="17.15" hidden="false" customHeight="false" outlineLevel="0" collapsed="false">
      <c r="A5" s="0" t="s">
        <v>971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972</v>
      </c>
      <c r="J5" s="5" t="s">
        <v>973</v>
      </c>
    </row>
    <row r="6" customFormat="false" ht="17.15" hidden="false" customHeight="false" outlineLevel="0" collapsed="false">
      <c r="A6" s="0" t="s">
        <v>974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40</v>
      </c>
    </row>
    <row r="7" customFormat="false" ht="17.15" hidden="false" customHeight="false" outlineLevel="0" collapsed="false">
      <c r="A7" s="0" t="s">
        <v>975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976</v>
      </c>
      <c r="J7" s="5" t="s">
        <v>977</v>
      </c>
    </row>
    <row r="8" customFormat="false" ht="17.15" hidden="false" customHeight="false" outlineLevel="0" collapsed="false">
      <c r="A8" s="0" t="s">
        <v>978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979</v>
      </c>
    </row>
    <row r="9" customFormat="false" ht="17.15" hidden="false" customHeight="false" outlineLevel="0" collapsed="false">
      <c r="A9" s="0" t="s">
        <v>980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981</v>
      </c>
    </row>
    <row r="10" customFormat="false" ht="17.15" hidden="false" customHeight="false" outlineLevel="0" collapsed="false">
      <c r="A10" s="0" t="s">
        <v>982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983</v>
      </c>
      <c r="J10" s="5" t="s">
        <v>984</v>
      </c>
    </row>
    <row r="11" customFormat="false" ht="17.15" hidden="false" customHeight="false" outlineLevel="0" collapsed="false">
      <c r="A11" s="0" t="s">
        <v>985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986</v>
      </c>
      <c r="J11" s="5" t="s">
        <v>987</v>
      </c>
    </row>
    <row r="12" customFormat="false" ht="17.15" hidden="false" customHeight="false" outlineLevel="0" collapsed="false">
      <c r="A12" s="0" t="s">
        <v>988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219</v>
      </c>
      <c r="J12" s="8" t="s">
        <v>989</v>
      </c>
    </row>
    <row r="13" customFormat="false" ht="17.15" hidden="false" customHeight="false" outlineLevel="0" collapsed="false">
      <c r="A13" s="1" t="s">
        <v>990</v>
      </c>
    </row>
    <row r="14" customFormat="false" ht="17.15" hidden="false" customHeight="false" outlineLevel="0" collapsed="false">
      <c r="A14" s="0" t="s">
        <v>991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992</v>
      </c>
      <c r="J14" s="8" t="s">
        <v>993</v>
      </c>
    </row>
    <row r="15" customFormat="false" ht="17.15" hidden="false" customHeight="false" outlineLevel="0" collapsed="false">
      <c r="A15" s="5" t="s">
        <v>994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995</v>
      </c>
      <c r="J15" s="5" t="s">
        <v>996</v>
      </c>
    </row>
    <row r="16" customFormat="false" ht="17.15" hidden="false" customHeight="false" outlineLevel="0" collapsed="false">
      <c r="A16" s="5" t="s">
        <v>997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998</v>
      </c>
    </row>
    <row r="17" customFormat="false" ht="17.15" hidden="false" customHeight="false" outlineLevel="0" collapsed="false">
      <c r="A17" s="5" t="s">
        <v>999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1000</v>
      </c>
    </row>
    <row r="18" customFormat="false" ht="17.15" hidden="false" customHeight="false" outlineLevel="0" collapsed="false">
      <c r="A18" s="5" t="s">
        <v>1001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1002</v>
      </c>
      <c r="J18" s="5" t="s">
        <v>1003</v>
      </c>
    </row>
    <row r="19" customFormat="false" ht="17.15" hidden="false" customHeight="false" outlineLevel="0" collapsed="false">
      <c r="A19" s="5" t="s">
        <v>1004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1005</v>
      </c>
      <c r="J19" s="5" t="s">
        <v>1006</v>
      </c>
    </row>
    <row r="20" customFormat="false" ht="17.15" hidden="false" customHeight="false" outlineLevel="0" collapsed="false">
      <c r="A20" s="5" t="s">
        <v>1007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1008</v>
      </c>
      <c r="J20" s="5" t="s">
        <v>1009</v>
      </c>
    </row>
    <row r="21" customFormat="false" ht="17.15" hidden="false" customHeight="false" outlineLevel="0" collapsed="false">
      <c r="A21" s="5" t="s">
        <v>1010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1011</v>
      </c>
      <c r="J21" s="5" t="s">
        <v>1012</v>
      </c>
    </row>
    <row r="22" customFormat="false" ht="17.15" hidden="false" customHeight="false" outlineLevel="0" collapsed="false">
      <c r="A22" s="1" t="s">
        <v>1013</v>
      </c>
    </row>
    <row r="23" customFormat="false" ht="17.15" hidden="false" customHeight="false" outlineLevel="0" collapsed="false">
      <c r="A23" s="6" t="s">
        <v>1014</v>
      </c>
      <c r="B23" s="6" t="s">
        <v>962</v>
      </c>
      <c r="C23" s="6" t="s">
        <v>963</v>
      </c>
      <c r="D23" s="6" t="s">
        <v>964</v>
      </c>
      <c r="E23" s="6" t="s">
        <v>965</v>
      </c>
      <c r="F23" s="6" t="s">
        <v>966</v>
      </c>
      <c r="G23" s="6" t="s">
        <v>967</v>
      </c>
      <c r="H23" s="6" t="s">
        <v>968</v>
      </c>
      <c r="I23" s="6" t="s">
        <v>1015</v>
      </c>
      <c r="J23" s="6" t="s">
        <v>1016</v>
      </c>
    </row>
    <row r="24" customFormat="false" ht="17.15" hidden="false" customHeight="false" outlineLevel="0" collapsed="false">
      <c r="A24" s="0" t="s">
        <v>1017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1018</v>
      </c>
      <c r="J24" s="5" t="s">
        <v>1019</v>
      </c>
    </row>
    <row r="25" customFormat="false" ht="17.15" hidden="false" customHeight="false" outlineLevel="0" collapsed="false">
      <c r="A25" s="5" t="s">
        <v>1020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219</v>
      </c>
      <c r="J25" s="5" t="s">
        <v>1021</v>
      </c>
    </row>
    <row r="26" customFormat="false" ht="17.15" hidden="false" customHeight="false" outlineLevel="0" collapsed="false">
      <c r="A26" s="0" t="s">
        <v>1022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1023</v>
      </c>
      <c r="J26" s="5" t="s">
        <v>1024</v>
      </c>
    </row>
    <row r="27" customFormat="false" ht="17.15" hidden="false" customHeight="false" outlineLevel="0" collapsed="false">
      <c r="A27" s="5" t="s">
        <v>1025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1026</v>
      </c>
      <c r="J27" s="5" t="s">
        <v>1027</v>
      </c>
    </row>
    <row r="28" customFormat="false" ht="17.15" hidden="false" customHeight="false" outlineLevel="0" collapsed="false">
      <c r="A28" s="5" t="s">
        <v>1028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1029</v>
      </c>
      <c r="J28" s="5" t="s">
        <v>1030</v>
      </c>
    </row>
    <row r="29" customFormat="false" ht="17.15" hidden="false" customHeight="false" outlineLevel="0" collapsed="false">
      <c r="A29" s="5" t="s">
        <v>1031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1032</v>
      </c>
      <c r="J29" s="5" t="s">
        <v>1033</v>
      </c>
    </row>
    <row r="30" customFormat="false" ht="17.15" hidden="false" customHeight="false" outlineLevel="0" collapsed="false">
      <c r="A30" s="1" t="s">
        <v>1034</v>
      </c>
    </row>
    <row r="31" customFormat="false" ht="17.15" hidden="false" customHeight="false" outlineLevel="0" collapsed="false">
      <c r="A31" s="0" t="s">
        <v>1035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1036</v>
      </c>
      <c r="J31" s="5" t="s">
        <v>1037</v>
      </c>
    </row>
    <row r="32" customFormat="false" ht="17.15" hidden="false" customHeight="false" outlineLevel="0" collapsed="false">
      <c r="A32" s="0" t="s">
        <v>1038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1039</v>
      </c>
      <c r="J32" s="5" t="s">
        <v>1040</v>
      </c>
    </row>
    <row r="33" customFormat="false" ht="17.15" hidden="false" customHeight="false" outlineLevel="0" collapsed="false">
      <c r="A33" s="1" t="s">
        <v>1041</v>
      </c>
    </row>
    <row r="34" customFormat="false" ht="17.15" hidden="false" customHeight="false" outlineLevel="0" collapsed="false">
      <c r="A34" s="0" t="s">
        <v>1042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1043</v>
      </c>
      <c r="J34" s="5" t="s">
        <v>1044</v>
      </c>
    </row>
    <row r="35" customFormat="false" ht="17.15" hidden="false" customHeight="false" outlineLevel="0" collapsed="false">
      <c r="A35" s="0" t="s">
        <v>1045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40</v>
      </c>
    </row>
    <row r="36" customFormat="false" ht="17.15" hidden="false" customHeight="false" outlineLevel="0" collapsed="false">
      <c r="A36" s="0" t="s">
        <v>1046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1047</v>
      </c>
      <c r="J36" s="5" t="s">
        <v>1048</v>
      </c>
    </row>
    <row r="37" customFormat="false" ht="17.15" hidden="false" customHeight="false" outlineLevel="0" collapsed="false">
      <c r="A37" s="0" t="s">
        <v>1049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1050</v>
      </c>
      <c r="J37" s="5" t="s">
        <v>1051</v>
      </c>
    </row>
    <row r="38" customFormat="false" ht="17.15" hidden="false" customHeight="false" outlineLevel="0" collapsed="false">
      <c r="A38" s="0" t="s">
        <v>1052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219</v>
      </c>
      <c r="J38" s="5" t="s">
        <v>1053</v>
      </c>
    </row>
    <row r="39" customFormat="false" ht="17.15" hidden="false" customHeight="false" outlineLevel="0" collapsed="false">
      <c r="A39" s="5" t="s">
        <v>1054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1055</v>
      </c>
      <c r="J39" s="8" t="s">
        <v>1056</v>
      </c>
    </row>
    <row r="40" customFormat="false" ht="17.15" hidden="false" customHeight="false" outlineLevel="0" collapsed="false">
      <c r="A40" s="1" t="s">
        <v>1057</v>
      </c>
    </row>
    <row r="41" customFormat="false" ht="17.15" hidden="false" customHeight="false" outlineLevel="0" collapsed="false">
      <c r="A41" s="0" t="s">
        <v>1058</v>
      </c>
      <c r="J4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1060</v>
      </c>
    </row>
    <row r="3" customFormat="false" ht="17.15" hidden="false" customHeight="false" outlineLevel="0" collapsed="false">
      <c r="A3" s="6" t="s">
        <v>1061</v>
      </c>
      <c r="B3" s="6" t="s">
        <v>1062</v>
      </c>
      <c r="C3" s="13" t="s">
        <v>1063</v>
      </c>
      <c r="D3" s="13" t="s">
        <v>1064</v>
      </c>
      <c r="E3" s="13" t="s">
        <v>1065</v>
      </c>
      <c r="F3" s="13" t="s">
        <v>1066</v>
      </c>
      <c r="G3" s="6" t="s">
        <v>1067</v>
      </c>
      <c r="H3" s="13" t="s">
        <v>1068</v>
      </c>
      <c r="I3" s="13" t="s">
        <v>1069</v>
      </c>
      <c r="J3" s="13" t="s">
        <v>1070</v>
      </c>
      <c r="K3" s="13" t="s">
        <v>1071</v>
      </c>
      <c r="L3" s="6" t="s">
        <v>1067</v>
      </c>
      <c r="M3" s="13" t="s">
        <v>1072</v>
      </c>
      <c r="N3" s="13" t="s">
        <v>1073</v>
      </c>
    </row>
    <row r="4" customFormat="false" ht="17.15" hidden="false" customHeight="false" outlineLevel="0" collapsed="false">
      <c r="A4" s="5" t="s">
        <v>1074</v>
      </c>
      <c r="B4" s="0" t="s">
        <v>1075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1076</v>
      </c>
      <c r="B5" s="0" t="s">
        <v>1077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1078</v>
      </c>
      <c r="B6" s="0" t="s">
        <v>1079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1080</v>
      </c>
      <c r="B7" s="0" t="s">
        <v>1081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1082</v>
      </c>
      <c r="B8" s="0" t="s">
        <v>1083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1084</v>
      </c>
      <c r="B9" s="0" t="s">
        <v>1085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1086</v>
      </c>
      <c r="B10" s="0" t="s">
        <v>1087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1088</v>
      </c>
      <c r="B11" s="5" t="s">
        <v>1089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1090</v>
      </c>
      <c r="B12" s="5" t="s">
        <v>1091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1092</v>
      </c>
      <c r="B13" s="0" t="s">
        <v>1093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1094</v>
      </c>
      <c r="B14" s="5" t="s">
        <v>1095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1096</v>
      </c>
      <c r="B15" s="5" t="s">
        <v>1097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1098</v>
      </c>
      <c r="B16" s="5" t="s">
        <v>1099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1100</v>
      </c>
      <c r="B17" s="0" t="s">
        <v>1101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1102</v>
      </c>
      <c r="B18" s="5" t="s">
        <v>1103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1104</v>
      </c>
      <c r="B19" s="5" t="s">
        <v>1105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1106</v>
      </c>
      <c r="B20" s="0" t="s">
        <v>1107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1108</v>
      </c>
      <c r="B21" s="0" t="s">
        <v>1109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1110</v>
      </c>
      <c r="B22" s="0" t="s">
        <v>1111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1112</v>
      </c>
    </row>
    <row r="26" customFormat="false" ht="17.15" hidden="false" customHeight="false" outlineLevel="0" collapsed="false">
      <c r="A26" s="4" t="s">
        <v>1113</v>
      </c>
    </row>
    <row r="27" customFormat="false" ht="15" hidden="false" customHeight="false" outlineLevel="0" collapsed="false">
      <c r="A27" s="6" t="s">
        <v>1114</v>
      </c>
      <c r="B27" s="6" t="s">
        <v>1115</v>
      </c>
      <c r="C27" s="6" t="s">
        <v>1116</v>
      </c>
      <c r="D27" s="6" t="s">
        <v>1117</v>
      </c>
      <c r="E27" s="6" t="s">
        <v>1118</v>
      </c>
      <c r="F27" s="6" t="s">
        <v>1119</v>
      </c>
      <c r="G27" s="6" t="s">
        <v>1120</v>
      </c>
    </row>
    <row r="28" customFormat="false" ht="17.15" hidden="false" customHeight="false" outlineLevel="0" collapsed="false">
      <c r="A28" s="0" t="s">
        <v>1121</v>
      </c>
      <c r="B28" s="5" t="s">
        <v>1122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1123</v>
      </c>
      <c r="B29" s="5" t="s">
        <v>1124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1125</v>
      </c>
      <c r="B30" s="0" t="s">
        <v>1126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1127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651</v>
      </c>
      <c r="D41" s="13" t="s">
        <v>652</v>
      </c>
      <c r="E41" s="13" t="s">
        <v>653</v>
      </c>
      <c r="F41" s="13" t="s">
        <v>654</v>
      </c>
      <c r="G41" s="13" t="s">
        <v>655</v>
      </c>
      <c r="H41" s="6" t="s">
        <v>604</v>
      </c>
    </row>
    <row r="42" customFormat="false" ht="17.15" hidden="false" customHeight="false" outlineLevel="0" collapsed="false">
      <c r="A42" s="1" t="s">
        <v>670</v>
      </c>
    </row>
    <row r="43" customFormat="false" ht="17.15" hidden="false" customHeight="false" outlineLevel="0" collapsed="false">
      <c r="A43" s="0" t="s">
        <v>671</v>
      </c>
      <c r="B43" s="0" t="s">
        <v>130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672</v>
      </c>
      <c r="B44" s="5" t="s">
        <v>34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673</v>
      </c>
      <c r="B45" s="5" t="s">
        <v>34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674</v>
      </c>
      <c r="B46" s="5" t="s">
        <v>34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675</v>
      </c>
      <c r="B47" s="5" t="s">
        <v>34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676</v>
      </c>
      <c r="B48" s="5" t="s">
        <v>34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677</v>
      </c>
    </row>
    <row r="49" customFormat="false" ht="17.15" hidden="false" customHeight="false" outlineLevel="0" collapsed="false">
      <c r="A49" s="0" t="s">
        <v>678</v>
      </c>
      <c r="B49" s="0" t="s">
        <v>178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679</v>
      </c>
    </row>
    <row r="50" customFormat="false" ht="17.15" hidden="false" customHeight="false" outlineLevel="0" collapsed="false">
      <c r="A50" s="0" t="s">
        <v>680</v>
      </c>
      <c r="B50" s="0" t="s">
        <v>178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681</v>
      </c>
      <c r="B51" s="0" t="s">
        <v>178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682</v>
      </c>
      <c r="B52" s="0" t="s">
        <v>178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683</v>
      </c>
      <c r="B53" s="0" t="s">
        <v>178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684</v>
      </c>
    </row>
    <row r="54" customFormat="false" ht="17.15" hidden="false" customHeight="false" outlineLevel="0" collapsed="false">
      <c r="A54" s="0" t="s">
        <v>685</v>
      </c>
      <c r="B54" s="0" t="s">
        <v>178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686</v>
      </c>
      <c r="B55" s="0" t="s">
        <v>178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687</v>
      </c>
      <c r="B56" s="0" t="s">
        <v>178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688</v>
      </c>
      <c r="B57" s="0" t="s">
        <v>178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689</v>
      </c>
    </row>
    <row r="58" customFormat="false" ht="17.15" hidden="false" customHeight="false" outlineLevel="0" collapsed="false">
      <c r="A58" s="0" t="s">
        <v>690</v>
      </c>
      <c r="B58" s="0" t="s">
        <v>178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691</v>
      </c>
      <c r="B59" s="0" t="s">
        <v>178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692</v>
      </c>
      <c r="B60" s="0" t="s">
        <v>178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693</v>
      </c>
      <c r="B61" s="0" t="s">
        <v>313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694</v>
      </c>
      <c r="B62" s="0" t="s">
        <v>313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695</v>
      </c>
      <c r="B63" s="0" t="s">
        <v>313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696</v>
      </c>
      <c r="B64" s="0" t="s">
        <v>313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697</v>
      </c>
      <c r="B65" s="0" t="s">
        <v>313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698</v>
      </c>
      <c r="B66" s="0" t="s">
        <v>313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699</v>
      </c>
      <c r="B67" s="0" t="s">
        <v>313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700</v>
      </c>
      <c r="B68" s="0" t="s">
        <v>313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701</v>
      </c>
      <c r="B69" s="0" t="s">
        <v>313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702</v>
      </c>
      <c r="B70" s="0" t="s">
        <v>313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703</v>
      </c>
    </row>
    <row r="71" customFormat="false" ht="17.15" hidden="false" customHeight="false" outlineLevel="0" collapsed="false">
      <c r="A71" s="5" t="s">
        <v>704</v>
      </c>
      <c r="B71" s="0" t="s">
        <v>313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705</v>
      </c>
      <c r="B72" s="0" t="s">
        <v>313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706</v>
      </c>
      <c r="B73" s="0" t="s">
        <v>313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707</v>
      </c>
      <c r="B74" s="0" t="s">
        <v>313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708</v>
      </c>
      <c r="B75" s="0" t="s">
        <v>313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709</v>
      </c>
      <c r="B76" s="0" t="s">
        <v>45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710</v>
      </c>
    </row>
    <row r="77" customFormat="false" ht="17.15" hidden="false" customHeight="false" outlineLevel="0" collapsed="false">
      <c r="A77" s="0" t="s">
        <v>711</v>
      </c>
      <c r="B77" s="0" t="s">
        <v>45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712</v>
      </c>
    </row>
    <row r="79" customFormat="false" ht="15" hidden="false" customHeight="false" outlineLevel="0" collapsed="false">
      <c r="A79" s="5" t="s">
        <v>539</v>
      </c>
      <c r="B79" s="0" t="s">
        <v>313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713</v>
      </c>
      <c r="B80" s="0" t="s">
        <v>313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659</v>
      </c>
      <c r="B81" s="0" t="s">
        <v>313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714</v>
      </c>
      <c r="B82" s="0" t="s">
        <v>45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715</v>
      </c>
      <c r="B83" s="0" t="s">
        <v>313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555</v>
      </c>
      <c r="B84" s="0" t="s">
        <v>45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716</v>
      </c>
      <c r="B85" s="0" t="s">
        <v>313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717</v>
      </c>
    </row>
    <row r="86" customFormat="false" ht="15" hidden="false" customHeight="false" outlineLevel="0" collapsed="false">
      <c r="A86" s="5" t="s">
        <v>718</v>
      </c>
      <c r="B86" s="0" t="s">
        <v>313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558</v>
      </c>
      <c r="B87" s="0" t="s">
        <v>313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660</v>
      </c>
      <c r="B88" s="0" t="s">
        <v>45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563</v>
      </c>
      <c r="B89" s="0" t="s">
        <v>313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572</v>
      </c>
      <c r="B90" s="0" t="s">
        <v>45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661</v>
      </c>
      <c r="B91" s="0" t="s">
        <v>313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719</v>
      </c>
      <c r="B92" s="5" t="s">
        <v>720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662</v>
      </c>
      <c r="B93" s="0" t="s">
        <v>424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721</v>
      </c>
      <c r="B94" s="0" t="s">
        <v>45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1128</v>
      </c>
    </row>
    <row r="98" customFormat="false" ht="15" hidden="false" customHeight="false" outlineLevel="0" collapsed="false">
      <c r="A98" s="6" t="s">
        <v>23</v>
      </c>
      <c r="B98" s="6" t="s">
        <v>24</v>
      </c>
      <c r="C98" s="13" t="s">
        <v>651</v>
      </c>
      <c r="D98" s="13" t="s">
        <v>652</v>
      </c>
      <c r="E98" s="13" t="s">
        <v>653</v>
      </c>
      <c r="F98" s="13" t="s">
        <v>654</v>
      </c>
      <c r="G98" s="13" t="s">
        <v>655</v>
      </c>
      <c r="H98" s="6" t="s">
        <v>604</v>
      </c>
    </row>
    <row r="99" customFormat="false" ht="17.15" hidden="false" customHeight="false" outlineLevel="0" collapsed="false">
      <c r="A99" s="1" t="s">
        <v>670</v>
      </c>
    </row>
    <row r="100" customFormat="false" ht="17.15" hidden="false" customHeight="false" outlineLevel="0" collapsed="false">
      <c r="A100" s="0" t="s">
        <v>671</v>
      </c>
      <c r="B100" s="0" t="s">
        <v>130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672</v>
      </c>
      <c r="B101" s="5" t="s">
        <v>34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673</v>
      </c>
      <c r="B102" s="5" t="s">
        <v>34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674</v>
      </c>
      <c r="B103" s="5" t="s">
        <v>34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675</v>
      </c>
      <c r="B104" s="5" t="s">
        <v>34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676</v>
      </c>
      <c r="B105" s="5" t="s">
        <v>34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677</v>
      </c>
    </row>
    <row r="106" customFormat="false" ht="17.15" hidden="false" customHeight="false" outlineLevel="0" collapsed="false">
      <c r="A106" s="0" t="s">
        <v>678</v>
      </c>
      <c r="B106" s="0" t="s">
        <v>178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679</v>
      </c>
    </row>
    <row r="107" customFormat="false" ht="17.15" hidden="false" customHeight="false" outlineLevel="0" collapsed="false">
      <c r="A107" s="0" t="s">
        <v>680</v>
      </c>
      <c r="B107" s="0" t="s">
        <v>178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681</v>
      </c>
      <c r="B108" s="0" t="s">
        <v>178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682</v>
      </c>
      <c r="B109" s="0" t="s">
        <v>178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683</v>
      </c>
      <c r="B110" s="0" t="s">
        <v>178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684</v>
      </c>
    </row>
    <row r="111" customFormat="false" ht="17.15" hidden="false" customHeight="false" outlineLevel="0" collapsed="false">
      <c r="A111" s="0" t="s">
        <v>685</v>
      </c>
      <c r="B111" s="0" t="s">
        <v>178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686</v>
      </c>
      <c r="B112" s="0" t="s">
        <v>178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687</v>
      </c>
      <c r="B113" s="0" t="s">
        <v>178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688</v>
      </c>
      <c r="B114" s="0" t="s">
        <v>178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689</v>
      </c>
    </row>
    <row r="115" customFormat="false" ht="17.15" hidden="false" customHeight="false" outlineLevel="0" collapsed="false">
      <c r="A115" s="0" t="s">
        <v>690</v>
      </c>
      <c r="B115" s="0" t="s">
        <v>178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691</v>
      </c>
      <c r="B116" s="0" t="s">
        <v>178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692</v>
      </c>
      <c r="B117" s="0" t="s">
        <v>178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693</v>
      </c>
      <c r="B118" s="0" t="s">
        <v>313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694</v>
      </c>
      <c r="B119" s="0" t="s">
        <v>313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695</v>
      </c>
      <c r="B120" s="0" t="s">
        <v>313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696</v>
      </c>
      <c r="B121" s="0" t="s">
        <v>313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697</v>
      </c>
      <c r="B122" s="0" t="s">
        <v>313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698</v>
      </c>
      <c r="B123" s="0" t="s">
        <v>313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699</v>
      </c>
      <c r="B124" s="0" t="s">
        <v>313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700</v>
      </c>
      <c r="B125" s="0" t="s">
        <v>313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701</v>
      </c>
      <c r="B126" s="0" t="s">
        <v>313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702</v>
      </c>
      <c r="B127" s="0" t="s">
        <v>313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703</v>
      </c>
    </row>
    <row r="128" customFormat="false" ht="17.15" hidden="false" customHeight="false" outlineLevel="0" collapsed="false">
      <c r="A128" s="5" t="s">
        <v>704</v>
      </c>
      <c r="B128" s="0" t="s">
        <v>313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705</v>
      </c>
      <c r="B129" s="0" t="s">
        <v>313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706</v>
      </c>
      <c r="B130" s="0" t="s">
        <v>313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707</v>
      </c>
      <c r="B131" s="0" t="s">
        <v>313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708</v>
      </c>
      <c r="B132" s="0" t="s">
        <v>313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709</v>
      </c>
      <c r="B133" s="0" t="s">
        <v>45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710</v>
      </c>
    </row>
    <row r="134" customFormat="false" ht="17.15" hidden="false" customHeight="false" outlineLevel="0" collapsed="false">
      <c r="A134" s="0" t="s">
        <v>711</v>
      </c>
      <c r="B134" s="0" t="s">
        <v>45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712</v>
      </c>
    </row>
    <row r="136" customFormat="false" ht="15" hidden="false" customHeight="false" outlineLevel="0" collapsed="false">
      <c r="A136" s="5" t="s">
        <v>539</v>
      </c>
      <c r="B136" s="0" t="s">
        <v>313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713</v>
      </c>
      <c r="B137" s="0" t="s">
        <v>313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659</v>
      </c>
      <c r="B138" s="0" t="s">
        <v>313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714</v>
      </c>
      <c r="B139" s="0" t="s">
        <v>45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715</v>
      </c>
      <c r="B140" s="0" t="s">
        <v>313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555</v>
      </c>
      <c r="B141" s="0" t="s">
        <v>45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716</v>
      </c>
      <c r="B142" s="0" t="s">
        <v>313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717</v>
      </c>
    </row>
    <row r="143" customFormat="false" ht="15" hidden="false" customHeight="false" outlineLevel="0" collapsed="false">
      <c r="A143" s="5" t="s">
        <v>718</v>
      </c>
      <c r="B143" s="0" t="s">
        <v>313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558</v>
      </c>
      <c r="B144" s="0" t="s">
        <v>313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660</v>
      </c>
      <c r="B145" s="0" t="s">
        <v>45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563</v>
      </c>
      <c r="B146" s="0" t="s">
        <v>313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572</v>
      </c>
      <c r="B147" s="0" t="s">
        <v>45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661</v>
      </c>
      <c r="B148" s="0" t="s">
        <v>313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719</v>
      </c>
      <c r="B149" s="5" t="s">
        <v>720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662</v>
      </c>
      <c r="B150" s="0" t="s">
        <v>424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721</v>
      </c>
      <c r="B151" s="0" t="s">
        <v>45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1129</v>
      </c>
    </row>
    <row r="155" customFormat="false" ht="15" hidden="false" customHeight="false" outlineLevel="0" collapsed="false">
      <c r="A155" s="6" t="s">
        <v>23</v>
      </c>
      <c r="B155" s="6" t="s">
        <v>24</v>
      </c>
      <c r="C155" s="13" t="s">
        <v>651</v>
      </c>
      <c r="D155" s="13" t="s">
        <v>652</v>
      </c>
      <c r="E155" s="13" t="s">
        <v>653</v>
      </c>
      <c r="F155" s="13" t="s">
        <v>654</v>
      </c>
      <c r="G155" s="13" t="s">
        <v>655</v>
      </c>
      <c r="H155" s="6" t="s">
        <v>604</v>
      </c>
    </row>
    <row r="156" customFormat="false" ht="17.15" hidden="false" customHeight="false" outlineLevel="0" collapsed="false">
      <c r="A156" s="1" t="s">
        <v>670</v>
      </c>
    </row>
    <row r="157" customFormat="false" ht="17.15" hidden="false" customHeight="false" outlineLevel="0" collapsed="false">
      <c r="A157" s="0" t="s">
        <v>671</v>
      </c>
      <c r="B157" s="0" t="s">
        <v>130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672</v>
      </c>
      <c r="B158" s="5" t="s">
        <v>34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673</v>
      </c>
      <c r="B159" s="5" t="s">
        <v>34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674</v>
      </c>
      <c r="B160" s="5" t="s">
        <v>34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675</v>
      </c>
      <c r="B161" s="5" t="s">
        <v>34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676</v>
      </c>
      <c r="B162" s="5" t="s">
        <v>34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677</v>
      </c>
    </row>
    <row r="163" customFormat="false" ht="17.15" hidden="false" customHeight="false" outlineLevel="0" collapsed="false">
      <c r="A163" s="0" t="s">
        <v>678</v>
      </c>
      <c r="B163" s="0" t="s">
        <v>178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679</v>
      </c>
    </row>
    <row r="164" customFormat="false" ht="17.15" hidden="false" customHeight="false" outlineLevel="0" collapsed="false">
      <c r="A164" s="0" t="s">
        <v>680</v>
      </c>
      <c r="B164" s="0" t="s">
        <v>178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681</v>
      </c>
      <c r="B165" s="0" t="s">
        <v>178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682</v>
      </c>
      <c r="B166" s="0" t="s">
        <v>178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683</v>
      </c>
      <c r="B167" s="0" t="s">
        <v>178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684</v>
      </c>
    </row>
    <row r="168" customFormat="false" ht="17.15" hidden="false" customHeight="false" outlineLevel="0" collapsed="false">
      <c r="A168" s="0" t="s">
        <v>685</v>
      </c>
      <c r="B168" s="0" t="s">
        <v>178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686</v>
      </c>
      <c r="B169" s="0" t="s">
        <v>178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687</v>
      </c>
      <c r="B170" s="0" t="s">
        <v>178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688</v>
      </c>
      <c r="B171" s="0" t="s">
        <v>178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689</v>
      </c>
    </row>
    <row r="172" customFormat="false" ht="17.15" hidden="false" customHeight="false" outlineLevel="0" collapsed="false">
      <c r="A172" s="0" t="s">
        <v>690</v>
      </c>
      <c r="B172" s="0" t="s">
        <v>178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691</v>
      </c>
      <c r="B173" s="0" t="s">
        <v>178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692</v>
      </c>
      <c r="B174" s="0" t="s">
        <v>178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693</v>
      </c>
      <c r="B175" s="0" t="s">
        <v>313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694</v>
      </c>
      <c r="B176" s="0" t="s">
        <v>313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695</v>
      </c>
      <c r="B177" s="0" t="s">
        <v>313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696</v>
      </c>
      <c r="B178" s="0" t="s">
        <v>313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697</v>
      </c>
      <c r="B179" s="0" t="s">
        <v>313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698</v>
      </c>
      <c r="B180" s="0" t="s">
        <v>313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699</v>
      </c>
      <c r="B181" s="0" t="s">
        <v>313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700</v>
      </c>
      <c r="B182" s="0" t="s">
        <v>313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701</v>
      </c>
      <c r="B183" s="0" t="s">
        <v>313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702</v>
      </c>
      <c r="B184" s="0" t="s">
        <v>313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703</v>
      </c>
    </row>
    <row r="185" customFormat="false" ht="17.15" hidden="false" customHeight="false" outlineLevel="0" collapsed="false">
      <c r="A185" s="5" t="s">
        <v>704</v>
      </c>
      <c r="B185" s="0" t="s">
        <v>313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705</v>
      </c>
      <c r="B186" s="0" t="s">
        <v>313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706</v>
      </c>
      <c r="B187" s="0" t="s">
        <v>313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707</v>
      </c>
      <c r="B188" s="0" t="s">
        <v>313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708</v>
      </c>
      <c r="B189" s="0" t="s">
        <v>313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709</v>
      </c>
      <c r="B190" s="0" t="s">
        <v>45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710</v>
      </c>
    </row>
    <row r="191" customFormat="false" ht="17.15" hidden="false" customHeight="false" outlineLevel="0" collapsed="false">
      <c r="A191" s="0" t="s">
        <v>711</v>
      </c>
      <c r="B191" s="0" t="s">
        <v>45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712</v>
      </c>
    </row>
    <row r="193" customFormat="false" ht="15" hidden="false" customHeight="false" outlineLevel="0" collapsed="false">
      <c r="A193" s="5" t="s">
        <v>539</v>
      </c>
      <c r="B193" s="0" t="s">
        <v>313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713</v>
      </c>
      <c r="B194" s="0" t="s">
        <v>313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659</v>
      </c>
      <c r="B195" s="0" t="s">
        <v>313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714</v>
      </c>
      <c r="B196" s="0" t="s">
        <v>45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715</v>
      </c>
      <c r="B197" s="0" t="s">
        <v>313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555</v>
      </c>
      <c r="B198" s="0" t="s">
        <v>45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716</v>
      </c>
      <c r="B199" s="0" t="s">
        <v>313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717</v>
      </c>
    </row>
    <row r="200" customFormat="false" ht="15" hidden="false" customHeight="false" outlineLevel="0" collapsed="false">
      <c r="A200" s="5" t="s">
        <v>718</v>
      </c>
      <c r="B200" s="0" t="s">
        <v>313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558</v>
      </c>
      <c r="B201" s="0" t="s">
        <v>313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660</v>
      </c>
      <c r="B202" s="0" t="s">
        <v>45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563</v>
      </c>
      <c r="B203" s="0" t="s">
        <v>313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572</v>
      </c>
      <c r="B204" s="0" t="s">
        <v>45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661</v>
      </c>
      <c r="B205" s="0" t="s">
        <v>313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719</v>
      </c>
      <c r="B206" s="5" t="s">
        <v>720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662</v>
      </c>
      <c r="B207" s="0" t="s">
        <v>424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721</v>
      </c>
      <c r="B208" s="0" t="s">
        <v>45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1130</v>
      </c>
    </row>
    <row r="212" customFormat="false" ht="15" hidden="false" customHeight="false" outlineLevel="0" collapsed="false">
      <c r="A212" s="6" t="s">
        <v>23</v>
      </c>
      <c r="B212" s="6" t="s">
        <v>24</v>
      </c>
      <c r="C212" s="13" t="s">
        <v>651</v>
      </c>
      <c r="D212" s="13" t="s">
        <v>652</v>
      </c>
      <c r="E212" s="13" t="s">
        <v>653</v>
      </c>
      <c r="F212" s="13" t="s">
        <v>654</v>
      </c>
      <c r="G212" s="13" t="s">
        <v>655</v>
      </c>
      <c r="H212" s="6" t="s">
        <v>604</v>
      </c>
    </row>
    <row r="213" customFormat="false" ht="17.15" hidden="false" customHeight="false" outlineLevel="0" collapsed="false">
      <c r="A213" s="1" t="s">
        <v>670</v>
      </c>
    </row>
    <row r="214" customFormat="false" ht="17.15" hidden="false" customHeight="false" outlineLevel="0" collapsed="false">
      <c r="A214" s="0" t="s">
        <v>671</v>
      </c>
      <c r="B214" s="0" t="s">
        <v>130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672</v>
      </c>
      <c r="B215" s="5" t="s">
        <v>34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673</v>
      </c>
      <c r="B216" s="5" t="s">
        <v>34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674</v>
      </c>
      <c r="B217" s="5" t="s">
        <v>34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675</v>
      </c>
      <c r="B218" s="5" t="s">
        <v>34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676</v>
      </c>
      <c r="B219" s="5" t="s">
        <v>34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677</v>
      </c>
    </row>
    <row r="220" customFormat="false" ht="17.15" hidden="false" customHeight="false" outlineLevel="0" collapsed="false">
      <c r="A220" s="0" t="s">
        <v>678</v>
      </c>
      <c r="B220" s="0" t="s">
        <v>178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679</v>
      </c>
    </row>
    <row r="221" customFormat="false" ht="17.15" hidden="false" customHeight="false" outlineLevel="0" collapsed="false">
      <c r="A221" s="0" t="s">
        <v>680</v>
      </c>
      <c r="B221" s="0" t="s">
        <v>178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681</v>
      </c>
      <c r="B222" s="0" t="s">
        <v>178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682</v>
      </c>
      <c r="B223" s="0" t="s">
        <v>178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683</v>
      </c>
      <c r="B224" s="0" t="s">
        <v>178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684</v>
      </c>
    </row>
    <row r="225" customFormat="false" ht="17.15" hidden="false" customHeight="false" outlineLevel="0" collapsed="false">
      <c r="A225" s="0" t="s">
        <v>685</v>
      </c>
      <c r="B225" s="0" t="s">
        <v>178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686</v>
      </c>
      <c r="B226" s="0" t="s">
        <v>178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687</v>
      </c>
      <c r="B227" s="0" t="s">
        <v>178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688</v>
      </c>
      <c r="B228" s="0" t="s">
        <v>178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689</v>
      </c>
    </row>
    <row r="229" customFormat="false" ht="17.15" hidden="false" customHeight="false" outlineLevel="0" collapsed="false">
      <c r="A229" s="0" t="s">
        <v>690</v>
      </c>
      <c r="B229" s="0" t="s">
        <v>178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691</v>
      </c>
      <c r="B230" s="0" t="s">
        <v>178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692</v>
      </c>
      <c r="B231" s="0" t="s">
        <v>178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693</v>
      </c>
      <c r="B232" s="0" t="s">
        <v>313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694</v>
      </c>
      <c r="B233" s="0" t="s">
        <v>313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695</v>
      </c>
      <c r="B234" s="0" t="s">
        <v>313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696</v>
      </c>
      <c r="B235" s="0" t="s">
        <v>313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697</v>
      </c>
      <c r="B236" s="0" t="s">
        <v>313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698</v>
      </c>
      <c r="B237" s="0" t="s">
        <v>313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699</v>
      </c>
      <c r="B238" s="0" t="s">
        <v>313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700</v>
      </c>
      <c r="B239" s="0" t="s">
        <v>313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701</v>
      </c>
      <c r="B240" s="0" t="s">
        <v>313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702</v>
      </c>
      <c r="B241" s="0" t="s">
        <v>313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703</v>
      </c>
    </row>
    <row r="242" customFormat="false" ht="17.15" hidden="false" customHeight="false" outlineLevel="0" collapsed="false">
      <c r="A242" s="5" t="s">
        <v>704</v>
      </c>
      <c r="B242" s="0" t="s">
        <v>313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705</v>
      </c>
      <c r="B243" s="0" t="s">
        <v>313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706</v>
      </c>
      <c r="B244" s="0" t="s">
        <v>313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707</v>
      </c>
      <c r="B245" s="0" t="s">
        <v>313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708</v>
      </c>
      <c r="B246" s="0" t="s">
        <v>313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709</v>
      </c>
      <c r="B247" s="0" t="s">
        <v>45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710</v>
      </c>
    </row>
    <row r="248" customFormat="false" ht="17.15" hidden="false" customHeight="false" outlineLevel="0" collapsed="false">
      <c r="A248" s="0" t="s">
        <v>711</v>
      </c>
      <c r="B248" s="0" t="s">
        <v>45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712</v>
      </c>
    </row>
    <row r="250" customFormat="false" ht="15" hidden="false" customHeight="false" outlineLevel="0" collapsed="false">
      <c r="A250" s="5" t="s">
        <v>539</v>
      </c>
      <c r="B250" s="0" t="s">
        <v>313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713</v>
      </c>
      <c r="B251" s="0" t="s">
        <v>313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659</v>
      </c>
      <c r="B252" s="0" t="s">
        <v>313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714</v>
      </c>
      <c r="B253" s="0" t="s">
        <v>45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715</v>
      </c>
      <c r="B254" s="0" t="s">
        <v>313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555</v>
      </c>
      <c r="B255" s="0" t="s">
        <v>45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716</v>
      </c>
      <c r="B256" s="0" t="s">
        <v>313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717</v>
      </c>
    </row>
    <row r="257" customFormat="false" ht="15" hidden="false" customHeight="false" outlineLevel="0" collapsed="false">
      <c r="A257" s="5" t="s">
        <v>718</v>
      </c>
      <c r="B257" s="0" t="s">
        <v>313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558</v>
      </c>
      <c r="B258" s="0" t="s">
        <v>313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660</v>
      </c>
      <c r="B259" s="0" t="s">
        <v>45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563</v>
      </c>
      <c r="B260" s="0" t="s">
        <v>313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572</v>
      </c>
      <c r="B261" s="0" t="s">
        <v>45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661</v>
      </c>
      <c r="B262" s="0" t="s">
        <v>313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719</v>
      </c>
      <c r="B263" s="5" t="s">
        <v>720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662</v>
      </c>
      <c r="B264" s="0" t="s">
        <v>424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721</v>
      </c>
      <c r="B265" s="0" t="s">
        <v>45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1131</v>
      </c>
    </row>
    <row r="269" customFormat="false" ht="15" hidden="false" customHeight="false" outlineLevel="0" collapsed="false">
      <c r="A269" s="6" t="s">
        <v>23</v>
      </c>
      <c r="B269" s="6" t="s">
        <v>24</v>
      </c>
      <c r="C269" s="13" t="s">
        <v>651</v>
      </c>
      <c r="D269" s="13" t="s">
        <v>652</v>
      </c>
      <c r="E269" s="13" t="s">
        <v>653</v>
      </c>
      <c r="F269" s="13" t="s">
        <v>654</v>
      </c>
      <c r="G269" s="13" t="s">
        <v>655</v>
      </c>
      <c r="H269" s="6" t="s">
        <v>604</v>
      </c>
    </row>
    <row r="270" customFormat="false" ht="17.15" hidden="false" customHeight="false" outlineLevel="0" collapsed="false">
      <c r="A270" s="1" t="s">
        <v>670</v>
      </c>
    </row>
    <row r="271" customFormat="false" ht="17.15" hidden="false" customHeight="false" outlineLevel="0" collapsed="false">
      <c r="A271" s="0" t="s">
        <v>671</v>
      </c>
      <c r="B271" s="0" t="s">
        <v>130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672</v>
      </c>
      <c r="B272" s="5" t="s">
        <v>34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673</v>
      </c>
      <c r="B273" s="5" t="s">
        <v>34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674</v>
      </c>
      <c r="B274" s="5" t="s">
        <v>34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675</v>
      </c>
      <c r="B275" s="5" t="s">
        <v>34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676</v>
      </c>
      <c r="B276" s="5" t="s">
        <v>34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677</v>
      </c>
    </row>
    <row r="277" customFormat="false" ht="17.15" hidden="false" customHeight="false" outlineLevel="0" collapsed="false">
      <c r="A277" s="0" t="s">
        <v>678</v>
      </c>
      <c r="B277" s="0" t="s">
        <v>178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679</v>
      </c>
    </row>
    <row r="278" customFormat="false" ht="17.15" hidden="false" customHeight="false" outlineLevel="0" collapsed="false">
      <c r="A278" s="0" t="s">
        <v>680</v>
      </c>
      <c r="B278" s="0" t="s">
        <v>178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681</v>
      </c>
      <c r="B279" s="0" t="s">
        <v>178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682</v>
      </c>
      <c r="B280" s="0" t="s">
        <v>178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683</v>
      </c>
      <c r="B281" s="0" t="s">
        <v>178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684</v>
      </c>
    </row>
    <row r="282" customFormat="false" ht="17.15" hidden="false" customHeight="false" outlineLevel="0" collapsed="false">
      <c r="A282" s="0" t="s">
        <v>685</v>
      </c>
      <c r="B282" s="0" t="s">
        <v>178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686</v>
      </c>
      <c r="B283" s="0" t="s">
        <v>178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687</v>
      </c>
      <c r="B284" s="0" t="s">
        <v>178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688</v>
      </c>
      <c r="B285" s="0" t="s">
        <v>178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689</v>
      </c>
    </row>
    <row r="286" customFormat="false" ht="17.15" hidden="false" customHeight="false" outlineLevel="0" collapsed="false">
      <c r="A286" s="0" t="s">
        <v>690</v>
      </c>
      <c r="B286" s="0" t="s">
        <v>178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691</v>
      </c>
      <c r="B287" s="0" t="s">
        <v>178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692</v>
      </c>
      <c r="B288" s="0" t="s">
        <v>178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693</v>
      </c>
      <c r="B289" s="0" t="s">
        <v>313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694</v>
      </c>
      <c r="B290" s="0" t="s">
        <v>313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695</v>
      </c>
      <c r="B291" s="0" t="s">
        <v>313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696</v>
      </c>
      <c r="B292" s="0" t="s">
        <v>313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697</v>
      </c>
      <c r="B293" s="0" t="s">
        <v>313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698</v>
      </c>
      <c r="B294" s="0" t="s">
        <v>313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699</v>
      </c>
      <c r="B295" s="0" t="s">
        <v>313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700</v>
      </c>
      <c r="B296" s="0" t="s">
        <v>313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701</v>
      </c>
      <c r="B297" s="0" t="s">
        <v>313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702</v>
      </c>
      <c r="B298" s="0" t="s">
        <v>313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703</v>
      </c>
    </row>
    <row r="299" customFormat="false" ht="17.15" hidden="false" customHeight="false" outlineLevel="0" collapsed="false">
      <c r="A299" s="5" t="s">
        <v>704</v>
      </c>
      <c r="B299" s="0" t="s">
        <v>313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705</v>
      </c>
      <c r="B300" s="0" t="s">
        <v>313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706</v>
      </c>
      <c r="B301" s="0" t="s">
        <v>313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707</v>
      </c>
      <c r="B302" s="0" t="s">
        <v>313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708</v>
      </c>
      <c r="B303" s="0" t="s">
        <v>313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709</v>
      </c>
      <c r="B304" s="0" t="s">
        <v>45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710</v>
      </c>
    </row>
    <row r="305" customFormat="false" ht="17.15" hidden="false" customHeight="false" outlineLevel="0" collapsed="false">
      <c r="A305" s="0" t="s">
        <v>711</v>
      </c>
      <c r="B305" s="0" t="s">
        <v>45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712</v>
      </c>
    </row>
    <row r="307" customFormat="false" ht="15" hidden="false" customHeight="false" outlineLevel="0" collapsed="false">
      <c r="A307" s="5" t="s">
        <v>539</v>
      </c>
      <c r="B307" s="0" t="s">
        <v>313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713</v>
      </c>
      <c r="B308" s="0" t="s">
        <v>313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659</v>
      </c>
      <c r="B309" s="0" t="s">
        <v>313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714</v>
      </c>
      <c r="B310" s="0" t="s">
        <v>45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715</v>
      </c>
      <c r="B311" s="0" t="s">
        <v>313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555</v>
      </c>
      <c r="B312" s="0" t="s">
        <v>45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716</v>
      </c>
      <c r="B313" s="0" t="s">
        <v>313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717</v>
      </c>
    </row>
    <row r="314" customFormat="false" ht="15" hidden="false" customHeight="false" outlineLevel="0" collapsed="false">
      <c r="A314" s="5" t="s">
        <v>718</v>
      </c>
      <c r="B314" s="0" t="s">
        <v>313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558</v>
      </c>
      <c r="B315" s="0" t="s">
        <v>313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660</v>
      </c>
      <c r="B316" s="0" t="s">
        <v>45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563</v>
      </c>
      <c r="B317" s="0" t="s">
        <v>313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572</v>
      </c>
      <c r="B318" s="0" t="s">
        <v>45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661</v>
      </c>
      <c r="B319" s="0" t="s">
        <v>313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719</v>
      </c>
      <c r="B320" s="5" t="s">
        <v>720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662</v>
      </c>
      <c r="B321" s="0" t="s">
        <v>424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721</v>
      </c>
      <c r="B322" s="0" t="s">
        <v>45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1132</v>
      </c>
    </row>
    <row r="326" customFormat="false" ht="15" hidden="false" customHeight="false" outlineLevel="0" collapsed="false">
      <c r="A326" s="6" t="s">
        <v>23</v>
      </c>
      <c r="B326" s="6" t="s">
        <v>24</v>
      </c>
      <c r="C326" s="13" t="s">
        <v>651</v>
      </c>
      <c r="D326" s="13" t="s">
        <v>652</v>
      </c>
      <c r="E326" s="13" t="s">
        <v>653</v>
      </c>
      <c r="F326" s="13" t="s">
        <v>654</v>
      </c>
      <c r="G326" s="13" t="s">
        <v>655</v>
      </c>
      <c r="H326" s="6" t="s">
        <v>604</v>
      </c>
    </row>
    <row r="327" customFormat="false" ht="17.15" hidden="false" customHeight="false" outlineLevel="0" collapsed="false">
      <c r="A327" s="1" t="s">
        <v>670</v>
      </c>
    </row>
    <row r="328" customFormat="false" ht="17.15" hidden="false" customHeight="false" outlineLevel="0" collapsed="false">
      <c r="A328" s="0" t="s">
        <v>671</v>
      </c>
      <c r="B328" s="0" t="s">
        <v>130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672</v>
      </c>
      <c r="B329" s="5" t="s">
        <v>34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673</v>
      </c>
      <c r="B330" s="5" t="s">
        <v>34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674</v>
      </c>
      <c r="B331" s="5" t="s">
        <v>34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675</v>
      </c>
      <c r="B332" s="5" t="s">
        <v>34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676</v>
      </c>
      <c r="B333" s="5" t="s">
        <v>34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677</v>
      </c>
    </row>
    <row r="334" customFormat="false" ht="17.15" hidden="false" customHeight="false" outlineLevel="0" collapsed="false">
      <c r="A334" s="0" t="s">
        <v>678</v>
      </c>
      <c r="B334" s="0" t="s">
        <v>178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679</v>
      </c>
    </row>
    <row r="335" customFormat="false" ht="17.15" hidden="false" customHeight="false" outlineLevel="0" collapsed="false">
      <c r="A335" s="0" t="s">
        <v>680</v>
      </c>
      <c r="B335" s="0" t="s">
        <v>178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681</v>
      </c>
      <c r="B336" s="0" t="s">
        <v>178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682</v>
      </c>
      <c r="B337" s="0" t="s">
        <v>178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683</v>
      </c>
      <c r="B338" s="0" t="s">
        <v>178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684</v>
      </c>
    </row>
    <row r="339" customFormat="false" ht="17.15" hidden="false" customHeight="false" outlineLevel="0" collapsed="false">
      <c r="A339" s="0" t="s">
        <v>685</v>
      </c>
      <c r="B339" s="0" t="s">
        <v>178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686</v>
      </c>
      <c r="B340" s="0" t="s">
        <v>178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687</v>
      </c>
      <c r="B341" s="0" t="s">
        <v>178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688</v>
      </c>
      <c r="B342" s="0" t="s">
        <v>178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689</v>
      </c>
    </row>
    <row r="343" customFormat="false" ht="17.15" hidden="false" customHeight="false" outlineLevel="0" collapsed="false">
      <c r="A343" s="0" t="s">
        <v>690</v>
      </c>
      <c r="B343" s="0" t="s">
        <v>178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691</v>
      </c>
      <c r="B344" s="0" t="s">
        <v>178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692</v>
      </c>
      <c r="B345" s="0" t="s">
        <v>178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693</v>
      </c>
      <c r="B346" s="0" t="s">
        <v>313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694</v>
      </c>
      <c r="B347" s="0" t="s">
        <v>313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695</v>
      </c>
      <c r="B348" s="0" t="s">
        <v>313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696</v>
      </c>
      <c r="B349" s="0" t="s">
        <v>313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697</v>
      </c>
      <c r="B350" s="0" t="s">
        <v>313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698</v>
      </c>
      <c r="B351" s="0" t="s">
        <v>313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699</v>
      </c>
      <c r="B352" s="0" t="s">
        <v>313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700</v>
      </c>
      <c r="B353" s="0" t="s">
        <v>313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701</v>
      </c>
      <c r="B354" s="0" t="s">
        <v>313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702</v>
      </c>
      <c r="B355" s="0" t="s">
        <v>313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703</v>
      </c>
    </row>
    <row r="356" customFormat="false" ht="17.15" hidden="false" customHeight="false" outlineLevel="0" collapsed="false">
      <c r="A356" s="5" t="s">
        <v>704</v>
      </c>
      <c r="B356" s="0" t="s">
        <v>313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705</v>
      </c>
      <c r="B357" s="0" t="s">
        <v>313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706</v>
      </c>
      <c r="B358" s="0" t="s">
        <v>313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707</v>
      </c>
      <c r="B359" s="0" t="s">
        <v>313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708</v>
      </c>
      <c r="B360" s="0" t="s">
        <v>313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709</v>
      </c>
      <c r="B361" s="0" t="s">
        <v>45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710</v>
      </c>
    </row>
    <row r="362" customFormat="false" ht="17.15" hidden="false" customHeight="false" outlineLevel="0" collapsed="false">
      <c r="A362" s="0" t="s">
        <v>711</v>
      </c>
      <c r="B362" s="0" t="s">
        <v>45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712</v>
      </c>
    </row>
    <row r="364" customFormat="false" ht="15" hidden="false" customHeight="false" outlineLevel="0" collapsed="false">
      <c r="A364" s="5" t="s">
        <v>539</v>
      </c>
      <c r="B364" s="0" t="s">
        <v>313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713</v>
      </c>
      <c r="B365" s="0" t="s">
        <v>313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659</v>
      </c>
      <c r="B366" s="0" t="s">
        <v>313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714</v>
      </c>
      <c r="B367" s="0" t="s">
        <v>45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715</v>
      </c>
      <c r="B368" s="0" t="s">
        <v>313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555</v>
      </c>
      <c r="B369" s="0" t="s">
        <v>45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716</v>
      </c>
      <c r="B370" s="0" t="s">
        <v>313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717</v>
      </c>
    </row>
    <row r="371" customFormat="false" ht="15" hidden="false" customHeight="false" outlineLevel="0" collapsed="false">
      <c r="A371" s="5" t="s">
        <v>718</v>
      </c>
      <c r="B371" s="0" t="s">
        <v>313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558</v>
      </c>
      <c r="B372" s="0" t="s">
        <v>313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660</v>
      </c>
      <c r="B373" s="0" t="s">
        <v>45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563</v>
      </c>
      <c r="B374" s="0" t="s">
        <v>313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572</v>
      </c>
      <c r="B375" s="0" t="s">
        <v>45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661</v>
      </c>
      <c r="B376" s="0" t="s">
        <v>313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719</v>
      </c>
      <c r="B377" s="5" t="s">
        <v>720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662</v>
      </c>
      <c r="B378" s="0" t="s">
        <v>424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721</v>
      </c>
      <c r="B379" s="0" t="s">
        <v>45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1133</v>
      </c>
    </row>
    <row r="383" customFormat="false" ht="15" hidden="false" customHeight="false" outlineLevel="0" collapsed="false">
      <c r="A383" s="6" t="s">
        <v>23</v>
      </c>
      <c r="B383" s="6" t="s">
        <v>24</v>
      </c>
      <c r="C383" s="13" t="s">
        <v>651</v>
      </c>
      <c r="D383" s="13" t="s">
        <v>652</v>
      </c>
      <c r="E383" s="13" t="s">
        <v>653</v>
      </c>
      <c r="F383" s="13" t="s">
        <v>654</v>
      </c>
      <c r="G383" s="13" t="s">
        <v>655</v>
      </c>
      <c r="H383" s="6" t="s">
        <v>604</v>
      </c>
    </row>
    <row r="384" customFormat="false" ht="17.15" hidden="false" customHeight="false" outlineLevel="0" collapsed="false">
      <c r="A384" s="1" t="s">
        <v>670</v>
      </c>
    </row>
    <row r="385" customFormat="false" ht="17.15" hidden="false" customHeight="false" outlineLevel="0" collapsed="false">
      <c r="A385" s="0" t="s">
        <v>671</v>
      </c>
      <c r="B385" s="0" t="s">
        <v>130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672</v>
      </c>
      <c r="B386" s="5" t="s">
        <v>34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673</v>
      </c>
      <c r="B387" s="5" t="s">
        <v>34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674</v>
      </c>
      <c r="B388" s="5" t="s">
        <v>34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675</v>
      </c>
      <c r="B389" s="5" t="s">
        <v>34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676</v>
      </c>
      <c r="B390" s="5" t="s">
        <v>34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677</v>
      </c>
    </row>
    <row r="391" customFormat="false" ht="17.15" hidden="false" customHeight="false" outlineLevel="0" collapsed="false">
      <c r="A391" s="0" t="s">
        <v>678</v>
      </c>
      <c r="B391" s="0" t="s">
        <v>178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679</v>
      </c>
    </row>
    <row r="392" customFormat="false" ht="17.15" hidden="false" customHeight="false" outlineLevel="0" collapsed="false">
      <c r="A392" s="0" t="s">
        <v>680</v>
      </c>
      <c r="B392" s="0" t="s">
        <v>178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681</v>
      </c>
      <c r="B393" s="0" t="s">
        <v>178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682</v>
      </c>
      <c r="B394" s="0" t="s">
        <v>178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683</v>
      </c>
      <c r="B395" s="0" t="s">
        <v>178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684</v>
      </c>
    </row>
    <row r="396" customFormat="false" ht="17.15" hidden="false" customHeight="false" outlineLevel="0" collapsed="false">
      <c r="A396" s="0" t="s">
        <v>685</v>
      </c>
      <c r="B396" s="0" t="s">
        <v>178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686</v>
      </c>
      <c r="B397" s="0" t="s">
        <v>178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687</v>
      </c>
      <c r="B398" s="0" t="s">
        <v>178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688</v>
      </c>
      <c r="B399" s="0" t="s">
        <v>178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689</v>
      </c>
    </row>
    <row r="400" customFormat="false" ht="17.15" hidden="false" customHeight="false" outlineLevel="0" collapsed="false">
      <c r="A400" s="0" t="s">
        <v>690</v>
      </c>
      <c r="B400" s="0" t="s">
        <v>178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691</v>
      </c>
      <c r="B401" s="0" t="s">
        <v>178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692</v>
      </c>
      <c r="B402" s="0" t="s">
        <v>178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693</v>
      </c>
      <c r="B403" s="0" t="s">
        <v>313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694</v>
      </c>
      <c r="B404" s="0" t="s">
        <v>313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695</v>
      </c>
      <c r="B405" s="0" t="s">
        <v>313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696</v>
      </c>
      <c r="B406" s="0" t="s">
        <v>313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697</v>
      </c>
      <c r="B407" s="0" t="s">
        <v>313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698</v>
      </c>
      <c r="B408" s="0" t="s">
        <v>313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699</v>
      </c>
      <c r="B409" s="0" t="s">
        <v>313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700</v>
      </c>
      <c r="B410" s="0" t="s">
        <v>313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701</v>
      </c>
      <c r="B411" s="0" t="s">
        <v>313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702</v>
      </c>
      <c r="B412" s="0" t="s">
        <v>313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703</v>
      </c>
    </row>
    <row r="413" customFormat="false" ht="17.15" hidden="false" customHeight="false" outlineLevel="0" collapsed="false">
      <c r="A413" s="5" t="s">
        <v>704</v>
      </c>
      <c r="B413" s="0" t="s">
        <v>313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705</v>
      </c>
      <c r="B414" s="0" t="s">
        <v>313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706</v>
      </c>
      <c r="B415" s="0" t="s">
        <v>313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707</v>
      </c>
      <c r="B416" s="0" t="s">
        <v>313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708</v>
      </c>
      <c r="B417" s="0" t="s">
        <v>313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709</v>
      </c>
      <c r="B418" s="0" t="s">
        <v>45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710</v>
      </c>
    </row>
    <row r="419" customFormat="false" ht="17.15" hidden="false" customHeight="false" outlineLevel="0" collapsed="false">
      <c r="A419" s="0" t="s">
        <v>711</v>
      </c>
      <c r="B419" s="0" t="s">
        <v>45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712</v>
      </c>
    </row>
    <row r="421" customFormat="false" ht="15" hidden="false" customHeight="false" outlineLevel="0" collapsed="false">
      <c r="A421" s="5" t="s">
        <v>539</v>
      </c>
      <c r="B421" s="0" t="s">
        <v>313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713</v>
      </c>
      <c r="B422" s="0" t="s">
        <v>313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659</v>
      </c>
      <c r="B423" s="0" t="s">
        <v>313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714</v>
      </c>
      <c r="B424" s="0" t="s">
        <v>45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715</v>
      </c>
      <c r="B425" s="0" t="s">
        <v>313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555</v>
      </c>
      <c r="B426" s="0" t="s">
        <v>45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716</v>
      </c>
      <c r="B427" s="0" t="s">
        <v>313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717</v>
      </c>
    </row>
    <row r="428" customFormat="false" ht="15" hidden="false" customHeight="false" outlineLevel="0" collapsed="false">
      <c r="A428" s="5" t="s">
        <v>718</v>
      </c>
      <c r="B428" s="0" t="s">
        <v>313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558</v>
      </c>
      <c r="B429" s="0" t="s">
        <v>313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660</v>
      </c>
      <c r="B430" s="0" t="s">
        <v>45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563</v>
      </c>
      <c r="B431" s="0" t="s">
        <v>313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572</v>
      </c>
      <c r="B432" s="0" t="s">
        <v>45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661</v>
      </c>
      <c r="B433" s="0" t="s">
        <v>313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719</v>
      </c>
      <c r="B434" s="5" t="s">
        <v>720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662</v>
      </c>
      <c r="B435" s="0" t="s">
        <v>424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721</v>
      </c>
      <c r="B436" s="0" t="s">
        <v>45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1134</v>
      </c>
    </row>
    <row r="440" customFormat="false" ht="15" hidden="false" customHeight="false" outlineLevel="0" collapsed="false">
      <c r="A440" s="6" t="s">
        <v>23</v>
      </c>
      <c r="B440" s="6" t="s">
        <v>24</v>
      </c>
      <c r="C440" s="13" t="s">
        <v>651</v>
      </c>
      <c r="D440" s="13" t="s">
        <v>652</v>
      </c>
      <c r="E440" s="13" t="s">
        <v>653</v>
      </c>
      <c r="F440" s="13" t="s">
        <v>654</v>
      </c>
      <c r="G440" s="13" t="s">
        <v>655</v>
      </c>
      <c r="H440" s="6" t="s">
        <v>604</v>
      </c>
    </row>
    <row r="441" customFormat="false" ht="17.15" hidden="false" customHeight="false" outlineLevel="0" collapsed="false">
      <c r="A441" s="1" t="s">
        <v>670</v>
      </c>
    </row>
    <row r="442" customFormat="false" ht="17.15" hidden="false" customHeight="false" outlineLevel="0" collapsed="false">
      <c r="A442" s="0" t="s">
        <v>671</v>
      </c>
      <c r="B442" s="0" t="s">
        <v>130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672</v>
      </c>
      <c r="B443" s="5" t="s">
        <v>34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673</v>
      </c>
      <c r="B444" s="5" t="s">
        <v>34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674</v>
      </c>
      <c r="B445" s="5" t="s">
        <v>34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675</v>
      </c>
      <c r="B446" s="5" t="s">
        <v>34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676</v>
      </c>
      <c r="B447" s="5" t="s">
        <v>34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677</v>
      </c>
    </row>
    <row r="448" customFormat="false" ht="17.15" hidden="false" customHeight="false" outlineLevel="0" collapsed="false">
      <c r="A448" s="0" t="s">
        <v>678</v>
      </c>
      <c r="B448" s="0" t="s">
        <v>178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679</v>
      </c>
    </row>
    <row r="449" customFormat="false" ht="17.15" hidden="false" customHeight="false" outlineLevel="0" collapsed="false">
      <c r="A449" s="0" t="s">
        <v>680</v>
      </c>
      <c r="B449" s="0" t="s">
        <v>178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681</v>
      </c>
      <c r="B450" s="0" t="s">
        <v>178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682</v>
      </c>
      <c r="B451" s="0" t="s">
        <v>178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683</v>
      </c>
      <c r="B452" s="0" t="s">
        <v>178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684</v>
      </c>
    </row>
    <row r="453" customFormat="false" ht="17.15" hidden="false" customHeight="false" outlineLevel="0" collapsed="false">
      <c r="A453" s="0" t="s">
        <v>685</v>
      </c>
      <c r="B453" s="0" t="s">
        <v>178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686</v>
      </c>
      <c r="B454" s="0" t="s">
        <v>178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687</v>
      </c>
      <c r="B455" s="0" t="s">
        <v>178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688</v>
      </c>
      <c r="B456" s="0" t="s">
        <v>178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689</v>
      </c>
    </row>
    <row r="457" customFormat="false" ht="17.15" hidden="false" customHeight="false" outlineLevel="0" collapsed="false">
      <c r="A457" s="0" t="s">
        <v>690</v>
      </c>
      <c r="B457" s="0" t="s">
        <v>178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691</v>
      </c>
      <c r="B458" s="0" t="s">
        <v>178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692</v>
      </c>
      <c r="B459" s="0" t="s">
        <v>178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693</v>
      </c>
      <c r="B460" s="0" t="s">
        <v>313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694</v>
      </c>
      <c r="B461" s="0" t="s">
        <v>313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695</v>
      </c>
      <c r="B462" s="0" t="s">
        <v>313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696</v>
      </c>
      <c r="B463" s="0" t="s">
        <v>313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697</v>
      </c>
      <c r="B464" s="0" t="s">
        <v>313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698</v>
      </c>
      <c r="B465" s="0" t="s">
        <v>313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699</v>
      </c>
      <c r="B466" s="0" t="s">
        <v>313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700</v>
      </c>
      <c r="B467" s="0" t="s">
        <v>313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701</v>
      </c>
      <c r="B468" s="0" t="s">
        <v>313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702</v>
      </c>
      <c r="B469" s="0" t="s">
        <v>313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703</v>
      </c>
    </row>
    <row r="470" customFormat="false" ht="17.15" hidden="false" customHeight="false" outlineLevel="0" collapsed="false">
      <c r="A470" s="5" t="s">
        <v>704</v>
      </c>
      <c r="B470" s="0" t="s">
        <v>313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705</v>
      </c>
      <c r="B471" s="0" t="s">
        <v>313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706</v>
      </c>
      <c r="B472" s="0" t="s">
        <v>313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707</v>
      </c>
      <c r="B473" s="0" t="s">
        <v>313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708</v>
      </c>
      <c r="B474" s="0" t="s">
        <v>313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709</v>
      </c>
      <c r="B475" s="0" t="s">
        <v>45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710</v>
      </c>
    </row>
    <row r="476" customFormat="false" ht="17.15" hidden="false" customHeight="false" outlineLevel="0" collapsed="false">
      <c r="A476" s="0" t="s">
        <v>711</v>
      </c>
      <c r="B476" s="0" t="s">
        <v>45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712</v>
      </c>
    </row>
    <row r="478" customFormat="false" ht="15" hidden="false" customHeight="false" outlineLevel="0" collapsed="false">
      <c r="A478" s="5" t="s">
        <v>539</v>
      </c>
      <c r="B478" s="0" t="s">
        <v>313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713</v>
      </c>
      <c r="B479" s="0" t="s">
        <v>313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659</v>
      </c>
      <c r="B480" s="0" t="s">
        <v>313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714</v>
      </c>
      <c r="B481" s="0" t="s">
        <v>45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715</v>
      </c>
      <c r="B482" s="0" t="s">
        <v>313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555</v>
      </c>
      <c r="B483" s="0" t="s">
        <v>45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716</v>
      </c>
      <c r="B484" s="0" t="s">
        <v>313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717</v>
      </c>
    </row>
    <row r="485" customFormat="false" ht="15" hidden="false" customHeight="false" outlineLevel="0" collapsed="false">
      <c r="A485" s="5" t="s">
        <v>718</v>
      </c>
      <c r="B485" s="0" t="s">
        <v>313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558</v>
      </c>
      <c r="B486" s="0" t="s">
        <v>313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660</v>
      </c>
      <c r="B487" s="0" t="s">
        <v>45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563</v>
      </c>
      <c r="B488" s="0" t="s">
        <v>313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572</v>
      </c>
      <c r="B489" s="0" t="s">
        <v>45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661</v>
      </c>
      <c r="B490" s="0" t="s">
        <v>313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719</v>
      </c>
      <c r="B491" s="5" t="s">
        <v>720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662</v>
      </c>
      <c r="B492" s="0" t="s">
        <v>424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721</v>
      </c>
      <c r="B493" s="0" t="s">
        <v>45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1135</v>
      </c>
    </row>
    <row r="497" customFormat="false" ht="15" hidden="false" customHeight="false" outlineLevel="0" collapsed="false">
      <c r="A497" s="6" t="s">
        <v>23</v>
      </c>
      <c r="B497" s="6" t="s">
        <v>24</v>
      </c>
      <c r="C497" s="13" t="s">
        <v>651</v>
      </c>
      <c r="D497" s="13" t="s">
        <v>652</v>
      </c>
      <c r="E497" s="13" t="s">
        <v>653</v>
      </c>
      <c r="F497" s="13" t="s">
        <v>654</v>
      </c>
      <c r="G497" s="13" t="s">
        <v>655</v>
      </c>
      <c r="H497" s="6" t="s">
        <v>604</v>
      </c>
    </row>
    <row r="498" customFormat="false" ht="17.15" hidden="false" customHeight="false" outlineLevel="0" collapsed="false">
      <c r="A498" s="1" t="s">
        <v>670</v>
      </c>
    </row>
    <row r="499" customFormat="false" ht="17.15" hidden="false" customHeight="false" outlineLevel="0" collapsed="false">
      <c r="A499" s="0" t="s">
        <v>671</v>
      </c>
      <c r="B499" s="0" t="s">
        <v>130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672</v>
      </c>
      <c r="B500" s="5" t="s">
        <v>34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673</v>
      </c>
      <c r="B501" s="5" t="s">
        <v>34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674</v>
      </c>
      <c r="B502" s="5" t="s">
        <v>34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675</v>
      </c>
      <c r="B503" s="5" t="s">
        <v>34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676</v>
      </c>
      <c r="B504" s="5" t="s">
        <v>34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677</v>
      </c>
    </row>
    <row r="505" customFormat="false" ht="17.15" hidden="false" customHeight="false" outlineLevel="0" collapsed="false">
      <c r="A505" s="0" t="s">
        <v>678</v>
      </c>
      <c r="B505" s="0" t="s">
        <v>178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679</v>
      </c>
    </row>
    <row r="506" customFormat="false" ht="17.15" hidden="false" customHeight="false" outlineLevel="0" collapsed="false">
      <c r="A506" s="0" t="s">
        <v>680</v>
      </c>
      <c r="B506" s="0" t="s">
        <v>178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681</v>
      </c>
      <c r="B507" s="0" t="s">
        <v>178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682</v>
      </c>
      <c r="B508" s="0" t="s">
        <v>178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683</v>
      </c>
      <c r="B509" s="0" t="s">
        <v>178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684</v>
      </c>
    </row>
    <row r="510" customFormat="false" ht="17.15" hidden="false" customHeight="false" outlineLevel="0" collapsed="false">
      <c r="A510" s="0" t="s">
        <v>685</v>
      </c>
      <c r="B510" s="0" t="s">
        <v>178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686</v>
      </c>
      <c r="B511" s="0" t="s">
        <v>178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687</v>
      </c>
      <c r="B512" s="0" t="s">
        <v>178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688</v>
      </c>
      <c r="B513" s="0" t="s">
        <v>178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689</v>
      </c>
    </row>
    <row r="514" customFormat="false" ht="17.15" hidden="false" customHeight="false" outlineLevel="0" collapsed="false">
      <c r="A514" s="0" t="s">
        <v>690</v>
      </c>
      <c r="B514" s="0" t="s">
        <v>178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691</v>
      </c>
      <c r="B515" s="0" t="s">
        <v>178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692</v>
      </c>
      <c r="B516" s="0" t="s">
        <v>178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693</v>
      </c>
      <c r="B517" s="0" t="s">
        <v>313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694</v>
      </c>
      <c r="B518" s="0" t="s">
        <v>313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695</v>
      </c>
      <c r="B519" s="0" t="s">
        <v>313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696</v>
      </c>
      <c r="B520" s="0" t="s">
        <v>313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697</v>
      </c>
      <c r="B521" s="0" t="s">
        <v>313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698</v>
      </c>
      <c r="B522" s="0" t="s">
        <v>313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699</v>
      </c>
      <c r="B523" s="0" t="s">
        <v>313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700</v>
      </c>
      <c r="B524" s="0" t="s">
        <v>313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701</v>
      </c>
      <c r="B525" s="0" t="s">
        <v>313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702</v>
      </c>
      <c r="B526" s="0" t="s">
        <v>313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703</v>
      </c>
    </row>
    <row r="527" customFormat="false" ht="17.15" hidden="false" customHeight="false" outlineLevel="0" collapsed="false">
      <c r="A527" s="5" t="s">
        <v>704</v>
      </c>
      <c r="B527" s="0" t="s">
        <v>313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705</v>
      </c>
      <c r="B528" s="0" t="s">
        <v>313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706</v>
      </c>
      <c r="B529" s="0" t="s">
        <v>313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707</v>
      </c>
      <c r="B530" s="0" t="s">
        <v>313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708</v>
      </c>
      <c r="B531" s="0" t="s">
        <v>313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709</v>
      </c>
      <c r="B532" s="0" t="s">
        <v>45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710</v>
      </c>
    </row>
    <row r="533" customFormat="false" ht="17.15" hidden="false" customHeight="false" outlineLevel="0" collapsed="false">
      <c r="A533" s="0" t="s">
        <v>711</v>
      </c>
      <c r="B533" s="0" t="s">
        <v>45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712</v>
      </c>
    </row>
    <row r="535" customFormat="false" ht="15" hidden="false" customHeight="false" outlineLevel="0" collapsed="false">
      <c r="A535" s="5" t="s">
        <v>539</v>
      </c>
      <c r="B535" s="0" t="s">
        <v>313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713</v>
      </c>
      <c r="B536" s="0" t="s">
        <v>313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659</v>
      </c>
      <c r="B537" s="0" t="s">
        <v>313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714</v>
      </c>
      <c r="B538" s="0" t="s">
        <v>45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715</v>
      </c>
      <c r="B539" s="0" t="s">
        <v>313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555</v>
      </c>
      <c r="B540" s="0" t="s">
        <v>45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716</v>
      </c>
      <c r="B541" s="0" t="s">
        <v>313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717</v>
      </c>
    </row>
    <row r="542" customFormat="false" ht="15" hidden="false" customHeight="false" outlineLevel="0" collapsed="false">
      <c r="A542" s="5" t="s">
        <v>718</v>
      </c>
      <c r="B542" s="0" t="s">
        <v>313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558</v>
      </c>
      <c r="B543" s="0" t="s">
        <v>313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660</v>
      </c>
      <c r="B544" s="0" t="s">
        <v>45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563</v>
      </c>
      <c r="B545" s="0" t="s">
        <v>313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572</v>
      </c>
      <c r="B546" s="0" t="s">
        <v>45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661</v>
      </c>
      <c r="B547" s="0" t="s">
        <v>313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719</v>
      </c>
      <c r="B548" s="5" t="s">
        <v>720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662</v>
      </c>
      <c r="B549" s="0" t="s">
        <v>424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721</v>
      </c>
      <c r="B550" s="0" t="s">
        <v>45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1136</v>
      </c>
    </row>
    <row r="554" customFormat="false" ht="15" hidden="false" customHeight="false" outlineLevel="0" collapsed="false">
      <c r="A554" s="6" t="s">
        <v>23</v>
      </c>
      <c r="B554" s="6" t="s">
        <v>24</v>
      </c>
      <c r="C554" s="13" t="s">
        <v>651</v>
      </c>
      <c r="D554" s="13" t="s">
        <v>652</v>
      </c>
      <c r="E554" s="13" t="s">
        <v>653</v>
      </c>
      <c r="F554" s="13" t="s">
        <v>654</v>
      </c>
      <c r="G554" s="13" t="s">
        <v>655</v>
      </c>
      <c r="H554" s="6" t="s">
        <v>604</v>
      </c>
    </row>
    <row r="555" customFormat="false" ht="17.15" hidden="false" customHeight="false" outlineLevel="0" collapsed="false">
      <c r="A555" s="1" t="s">
        <v>670</v>
      </c>
    </row>
    <row r="556" customFormat="false" ht="17.15" hidden="false" customHeight="false" outlineLevel="0" collapsed="false">
      <c r="A556" s="0" t="s">
        <v>671</v>
      </c>
      <c r="B556" s="0" t="s">
        <v>130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672</v>
      </c>
      <c r="B557" s="5" t="s">
        <v>34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673</v>
      </c>
      <c r="B558" s="5" t="s">
        <v>34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674</v>
      </c>
      <c r="B559" s="5" t="s">
        <v>34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675</v>
      </c>
      <c r="B560" s="5" t="s">
        <v>34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676</v>
      </c>
      <c r="B561" s="5" t="s">
        <v>34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677</v>
      </c>
    </row>
    <row r="562" customFormat="false" ht="17.15" hidden="false" customHeight="false" outlineLevel="0" collapsed="false">
      <c r="A562" s="0" t="s">
        <v>678</v>
      </c>
      <c r="B562" s="0" t="s">
        <v>178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679</v>
      </c>
    </row>
    <row r="563" customFormat="false" ht="17.15" hidden="false" customHeight="false" outlineLevel="0" collapsed="false">
      <c r="A563" s="0" t="s">
        <v>680</v>
      </c>
      <c r="B563" s="0" t="s">
        <v>178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681</v>
      </c>
      <c r="B564" s="0" t="s">
        <v>178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682</v>
      </c>
      <c r="B565" s="0" t="s">
        <v>178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683</v>
      </c>
      <c r="B566" s="0" t="s">
        <v>178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684</v>
      </c>
    </row>
    <row r="567" customFormat="false" ht="17.15" hidden="false" customHeight="false" outlineLevel="0" collapsed="false">
      <c r="A567" s="0" t="s">
        <v>685</v>
      </c>
      <c r="B567" s="0" t="s">
        <v>178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686</v>
      </c>
      <c r="B568" s="0" t="s">
        <v>178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687</v>
      </c>
      <c r="B569" s="0" t="s">
        <v>178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688</v>
      </c>
      <c r="B570" s="0" t="s">
        <v>178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689</v>
      </c>
    </row>
    <row r="571" customFormat="false" ht="17.15" hidden="false" customHeight="false" outlineLevel="0" collapsed="false">
      <c r="A571" s="0" t="s">
        <v>690</v>
      </c>
      <c r="B571" s="0" t="s">
        <v>178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691</v>
      </c>
      <c r="B572" s="0" t="s">
        <v>178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692</v>
      </c>
      <c r="B573" s="0" t="s">
        <v>178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693</v>
      </c>
      <c r="B574" s="0" t="s">
        <v>313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694</v>
      </c>
      <c r="B575" s="0" t="s">
        <v>313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695</v>
      </c>
      <c r="B576" s="0" t="s">
        <v>313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696</v>
      </c>
      <c r="B577" s="0" t="s">
        <v>313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697</v>
      </c>
      <c r="B578" s="0" t="s">
        <v>313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698</v>
      </c>
      <c r="B579" s="0" t="s">
        <v>313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699</v>
      </c>
      <c r="B580" s="0" t="s">
        <v>313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700</v>
      </c>
      <c r="B581" s="0" t="s">
        <v>313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701</v>
      </c>
      <c r="B582" s="0" t="s">
        <v>313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702</v>
      </c>
      <c r="B583" s="0" t="s">
        <v>313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703</v>
      </c>
    </row>
    <row r="584" customFormat="false" ht="17.15" hidden="false" customHeight="false" outlineLevel="0" collapsed="false">
      <c r="A584" s="5" t="s">
        <v>704</v>
      </c>
      <c r="B584" s="0" t="s">
        <v>313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705</v>
      </c>
      <c r="B585" s="0" t="s">
        <v>313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706</v>
      </c>
      <c r="B586" s="0" t="s">
        <v>313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707</v>
      </c>
      <c r="B587" s="0" t="s">
        <v>313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708</v>
      </c>
      <c r="B588" s="0" t="s">
        <v>313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709</v>
      </c>
      <c r="B589" s="0" t="s">
        <v>45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710</v>
      </c>
    </row>
    <row r="590" customFormat="false" ht="17.15" hidden="false" customHeight="false" outlineLevel="0" collapsed="false">
      <c r="A590" s="0" t="s">
        <v>711</v>
      </c>
      <c r="B590" s="0" t="s">
        <v>45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712</v>
      </c>
    </row>
    <row r="592" customFormat="false" ht="15" hidden="false" customHeight="false" outlineLevel="0" collapsed="false">
      <c r="A592" s="5" t="s">
        <v>539</v>
      </c>
      <c r="B592" s="0" t="s">
        <v>313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713</v>
      </c>
      <c r="B593" s="0" t="s">
        <v>313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659</v>
      </c>
      <c r="B594" s="0" t="s">
        <v>313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714</v>
      </c>
      <c r="B595" s="0" t="s">
        <v>45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715</v>
      </c>
      <c r="B596" s="0" t="s">
        <v>313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555</v>
      </c>
      <c r="B597" s="0" t="s">
        <v>45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716</v>
      </c>
      <c r="B598" s="0" t="s">
        <v>313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717</v>
      </c>
    </row>
    <row r="599" customFormat="false" ht="15" hidden="false" customHeight="false" outlineLevel="0" collapsed="false">
      <c r="A599" s="5" t="s">
        <v>718</v>
      </c>
      <c r="B599" s="0" t="s">
        <v>313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558</v>
      </c>
      <c r="B600" s="0" t="s">
        <v>313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660</v>
      </c>
      <c r="B601" s="0" t="s">
        <v>45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563</v>
      </c>
      <c r="B602" s="0" t="s">
        <v>313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572</v>
      </c>
      <c r="B603" s="0" t="s">
        <v>45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661</v>
      </c>
      <c r="B604" s="0" t="s">
        <v>313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719</v>
      </c>
      <c r="B605" s="5" t="s">
        <v>720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662</v>
      </c>
      <c r="B606" s="0" t="s">
        <v>424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721</v>
      </c>
      <c r="B607" s="0" t="s">
        <v>45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1137</v>
      </c>
    </row>
    <row r="611" customFormat="false" ht="15" hidden="false" customHeight="false" outlineLevel="0" collapsed="false">
      <c r="A611" s="6" t="s">
        <v>23</v>
      </c>
      <c r="B611" s="6" t="s">
        <v>24</v>
      </c>
      <c r="C611" s="13" t="s">
        <v>651</v>
      </c>
      <c r="D611" s="13" t="s">
        <v>652</v>
      </c>
      <c r="E611" s="13" t="s">
        <v>653</v>
      </c>
      <c r="F611" s="13" t="s">
        <v>654</v>
      </c>
      <c r="G611" s="13" t="s">
        <v>655</v>
      </c>
      <c r="H611" s="6" t="s">
        <v>604</v>
      </c>
    </row>
    <row r="612" customFormat="false" ht="17.15" hidden="false" customHeight="false" outlineLevel="0" collapsed="false">
      <c r="A612" s="1" t="s">
        <v>670</v>
      </c>
    </row>
    <row r="613" customFormat="false" ht="17.15" hidden="false" customHeight="false" outlineLevel="0" collapsed="false">
      <c r="A613" s="0" t="s">
        <v>671</v>
      </c>
      <c r="B613" s="0" t="s">
        <v>130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672</v>
      </c>
      <c r="B614" s="5" t="s">
        <v>34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673</v>
      </c>
      <c r="B615" s="5" t="s">
        <v>34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674</v>
      </c>
      <c r="B616" s="5" t="s">
        <v>34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675</v>
      </c>
      <c r="B617" s="5" t="s">
        <v>34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676</v>
      </c>
      <c r="B618" s="5" t="s">
        <v>34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677</v>
      </c>
    </row>
    <row r="619" customFormat="false" ht="17.15" hidden="false" customHeight="false" outlineLevel="0" collapsed="false">
      <c r="A619" s="0" t="s">
        <v>678</v>
      </c>
      <c r="B619" s="0" t="s">
        <v>178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679</v>
      </c>
    </row>
    <row r="620" customFormat="false" ht="17.15" hidden="false" customHeight="false" outlineLevel="0" collapsed="false">
      <c r="A620" s="0" t="s">
        <v>680</v>
      </c>
      <c r="B620" s="0" t="s">
        <v>178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681</v>
      </c>
      <c r="B621" s="0" t="s">
        <v>178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682</v>
      </c>
      <c r="B622" s="0" t="s">
        <v>178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683</v>
      </c>
      <c r="B623" s="0" t="s">
        <v>178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684</v>
      </c>
    </row>
    <row r="624" customFormat="false" ht="17.15" hidden="false" customHeight="false" outlineLevel="0" collapsed="false">
      <c r="A624" s="0" t="s">
        <v>685</v>
      </c>
      <c r="B624" s="0" t="s">
        <v>178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686</v>
      </c>
      <c r="B625" s="0" t="s">
        <v>178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687</v>
      </c>
      <c r="B626" s="0" t="s">
        <v>178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688</v>
      </c>
      <c r="B627" s="0" t="s">
        <v>178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689</v>
      </c>
    </row>
    <row r="628" customFormat="false" ht="17.15" hidden="false" customHeight="false" outlineLevel="0" collapsed="false">
      <c r="A628" s="0" t="s">
        <v>690</v>
      </c>
      <c r="B628" s="0" t="s">
        <v>178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691</v>
      </c>
      <c r="B629" s="0" t="s">
        <v>178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692</v>
      </c>
      <c r="B630" s="0" t="s">
        <v>178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693</v>
      </c>
      <c r="B631" s="0" t="s">
        <v>313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694</v>
      </c>
      <c r="B632" s="0" t="s">
        <v>313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695</v>
      </c>
      <c r="B633" s="0" t="s">
        <v>313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696</v>
      </c>
      <c r="B634" s="0" t="s">
        <v>313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697</v>
      </c>
      <c r="B635" s="0" t="s">
        <v>313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698</v>
      </c>
      <c r="B636" s="0" t="s">
        <v>313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699</v>
      </c>
      <c r="B637" s="0" t="s">
        <v>313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700</v>
      </c>
      <c r="B638" s="0" t="s">
        <v>313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701</v>
      </c>
      <c r="B639" s="0" t="s">
        <v>313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702</v>
      </c>
      <c r="B640" s="0" t="s">
        <v>313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703</v>
      </c>
    </row>
    <row r="641" customFormat="false" ht="17.15" hidden="false" customHeight="false" outlineLevel="0" collapsed="false">
      <c r="A641" s="5" t="s">
        <v>704</v>
      </c>
      <c r="B641" s="0" t="s">
        <v>313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705</v>
      </c>
      <c r="B642" s="0" t="s">
        <v>313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706</v>
      </c>
      <c r="B643" s="0" t="s">
        <v>313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707</v>
      </c>
      <c r="B644" s="0" t="s">
        <v>313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708</v>
      </c>
      <c r="B645" s="0" t="s">
        <v>313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709</v>
      </c>
      <c r="B646" s="0" t="s">
        <v>45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710</v>
      </c>
    </row>
    <row r="647" customFormat="false" ht="17.15" hidden="false" customHeight="false" outlineLevel="0" collapsed="false">
      <c r="A647" s="0" t="s">
        <v>711</v>
      </c>
      <c r="B647" s="0" t="s">
        <v>45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712</v>
      </c>
    </row>
    <row r="649" customFormat="false" ht="15" hidden="false" customHeight="false" outlineLevel="0" collapsed="false">
      <c r="A649" s="5" t="s">
        <v>539</v>
      </c>
      <c r="B649" s="0" t="s">
        <v>313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713</v>
      </c>
      <c r="B650" s="0" t="s">
        <v>313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659</v>
      </c>
      <c r="B651" s="0" t="s">
        <v>313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714</v>
      </c>
      <c r="B652" s="0" t="s">
        <v>45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715</v>
      </c>
      <c r="B653" s="0" t="s">
        <v>313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555</v>
      </c>
      <c r="B654" s="0" t="s">
        <v>45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716</v>
      </c>
      <c r="B655" s="0" t="s">
        <v>313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717</v>
      </c>
    </row>
    <row r="656" customFormat="false" ht="15" hidden="false" customHeight="false" outlineLevel="0" collapsed="false">
      <c r="A656" s="5" t="s">
        <v>718</v>
      </c>
      <c r="B656" s="0" t="s">
        <v>313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558</v>
      </c>
      <c r="B657" s="0" t="s">
        <v>313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660</v>
      </c>
      <c r="B658" s="0" t="s">
        <v>45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563</v>
      </c>
      <c r="B659" s="0" t="s">
        <v>313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572</v>
      </c>
      <c r="B660" s="0" t="s">
        <v>45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661</v>
      </c>
      <c r="B661" s="0" t="s">
        <v>313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719</v>
      </c>
      <c r="B662" s="5" t="s">
        <v>720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662</v>
      </c>
      <c r="B663" s="0" t="s">
        <v>424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721</v>
      </c>
      <c r="B664" s="0" t="s">
        <v>45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1138</v>
      </c>
    </row>
    <row r="668" customFormat="false" ht="15" hidden="false" customHeight="false" outlineLevel="0" collapsed="false">
      <c r="A668" s="6" t="s">
        <v>23</v>
      </c>
      <c r="B668" s="6" t="s">
        <v>24</v>
      </c>
      <c r="C668" s="13" t="s">
        <v>651</v>
      </c>
      <c r="D668" s="13" t="s">
        <v>652</v>
      </c>
      <c r="E668" s="13" t="s">
        <v>653</v>
      </c>
      <c r="F668" s="13" t="s">
        <v>654</v>
      </c>
      <c r="G668" s="13" t="s">
        <v>655</v>
      </c>
      <c r="H668" s="6" t="s">
        <v>604</v>
      </c>
    </row>
    <row r="669" customFormat="false" ht="17.15" hidden="false" customHeight="false" outlineLevel="0" collapsed="false">
      <c r="A669" s="1" t="s">
        <v>670</v>
      </c>
    </row>
    <row r="670" customFormat="false" ht="17.15" hidden="false" customHeight="false" outlineLevel="0" collapsed="false">
      <c r="A670" s="0" t="s">
        <v>671</v>
      </c>
      <c r="B670" s="0" t="s">
        <v>130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672</v>
      </c>
      <c r="B671" s="5" t="s">
        <v>34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673</v>
      </c>
      <c r="B672" s="5" t="s">
        <v>34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674</v>
      </c>
      <c r="B673" s="5" t="s">
        <v>34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675</v>
      </c>
      <c r="B674" s="5" t="s">
        <v>34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676</v>
      </c>
      <c r="B675" s="5" t="s">
        <v>34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677</v>
      </c>
    </row>
    <row r="676" customFormat="false" ht="17.15" hidden="false" customHeight="false" outlineLevel="0" collapsed="false">
      <c r="A676" s="0" t="s">
        <v>678</v>
      </c>
      <c r="B676" s="0" t="s">
        <v>178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679</v>
      </c>
    </row>
    <row r="677" customFormat="false" ht="17.15" hidden="false" customHeight="false" outlineLevel="0" collapsed="false">
      <c r="A677" s="0" t="s">
        <v>680</v>
      </c>
      <c r="B677" s="0" t="s">
        <v>178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681</v>
      </c>
      <c r="B678" s="0" t="s">
        <v>178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682</v>
      </c>
      <c r="B679" s="0" t="s">
        <v>178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683</v>
      </c>
      <c r="B680" s="0" t="s">
        <v>178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684</v>
      </c>
    </row>
    <row r="681" customFormat="false" ht="17.15" hidden="false" customHeight="false" outlineLevel="0" collapsed="false">
      <c r="A681" s="0" t="s">
        <v>685</v>
      </c>
      <c r="B681" s="0" t="s">
        <v>178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686</v>
      </c>
      <c r="B682" s="0" t="s">
        <v>178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687</v>
      </c>
      <c r="B683" s="0" t="s">
        <v>178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688</v>
      </c>
      <c r="B684" s="0" t="s">
        <v>178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689</v>
      </c>
    </row>
    <row r="685" customFormat="false" ht="17.15" hidden="false" customHeight="false" outlineLevel="0" collapsed="false">
      <c r="A685" s="0" t="s">
        <v>690</v>
      </c>
      <c r="B685" s="0" t="s">
        <v>178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691</v>
      </c>
      <c r="B686" s="0" t="s">
        <v>178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692</v>
      </c>
      <c r="B687" s="0" t="s">
        <v>178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693</v>
      </c>
      <c r="B688" s="0" t="s">
        <v>313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694</v>
      </c>
      <c r="B689" s="0" t="s">
        <v>313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695</v>
      </c>
      <c r="B690" s="0" t="s">
        <v>313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696</v>
      </c>
      <c r="B691" s="0" t="s">
        <v>313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697</v>
      </c>
      <c r="B692" s="0" t="s">
        <v>313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698</v>
      </c>
      <c r="B693" s="0" t="s">
        <v>313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699</v>
      </c>
      <c r="B694" s="0" t="s">
        <v>313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700</v>
      </c>
      <c r="B695" s="0" t="s">
        <v>313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701</v>
      </c>
      <c r="B696" s="0" t="s">
        <v>313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702</v>
      </c>
      <c r="B697" s="0" t="s">
        <v>313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703</v>
      </c>
    </row>
    <row r="698" customFormat="false" ht="17.15" hidden="false" customHeight="false" outlineLevel="0" collapsed="false">
      <c r="A698" s="5" t="s">
        <v>704</v>
      </c>
      <c r="B698" s="0" t="s">
        <v>313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705</v>
      </c>
      <c r="B699" s="0" t="s">
        <v>313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706</v>
      </c>
      <c r="B700" s="0" t="s">
        <v>313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707</v>
      </c>
      <c r="B701" s="0" t="s">
        <v>313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708</v>
      </c>
      <c r="B702" s="0" t="s">
        <v>313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709</v>
      </c>
      <c r="B703" s="0" t="s">
        <v>45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710</v>
      </c>
    </row>
    <row r="704" customFormat="false" ht="17.15" hidden="false" customHeight="false" outlineLevel="0" collapsed="false">
      <c r="A704" s="0" t="s">
        <v>711</v>
      </c>
      <c r="B704" s="0" t="s">
        <v>45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712</v>
      </c>
    </row>
    <row r="706" customFormat="false" ht="15" hidden="false" customHeight="false" outlineLevel="0" collapsed="false">
      <c r="A706" s="5" t="s">
        <v>539</v>
      </c>
      <c r="B706" s="0" t="s">
        <v>313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713</v>
      </c>
      <c r="B707" s="0" t="s">
        <v>313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659</v>
      </c>
      <c r="B708" s="0" t="s">
        <v>313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714</v>
      </c>
      <c r="B709" s="0" t="s">
        <v>45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715</v>
      </c>
      <c r="B710" s="0" t="s">
        <v>313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555</v>
      </c>
      <c r="B711" s="0" t="s">
        <v>45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716</v>
      </c>
      <c r="B712" s="0" t="s">
        <v>313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717</v>
      </c>
    </row>
    <row r="713" customFormat="false" ht="15" hidden="false" customHeight="false" outlineLevel="0" collapsed="false">
      <c r="A713" s="5" t="s">
        <v>718</v>
      </c>
      <c r="B713" s="0" t="s">
        <v>313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558</v>
      </c>
      <c r="B714" s="0" t="s">
        <v>313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660</v>
      </c>
      <c r="B715" s="0" t="s">
        <v>45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563</v>
      </c>
      <c r="B716" s="0" t="s">
        <v>313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572</v>
      </c>
      <c r="B717" s="0" t="s">
        <v>45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661</v>
      </c>
      <c r="B718" s="0" t="s">
        <v>313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719</v>
      </c>
      <c r="B719" s="5" t="s">
        <v>720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662</v>
      </c>
      <c r="B720" s="0" t="s">
        <v>424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721</v>
      </c>
      <c r="B721" s="0" t="s">
        <v>45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1139</v>
      </c>
    </row>
    <row r="725" customFormat="false" ht="15" hidden="false" customHeight="false" outlineLevel="0" collapsed="false">
      <c r="A725" s="6" t="s">
        <v>23</v>
      </c>
      <c r="B725" s="6" t="s">
        <v>24</v>
      </c>
      <c r="C725" s="13" t="s">
        <v>651</v>
      </c>
      <c r="D725" s="13" t="s">
        <v>652</v>
      </c>
      <c r="E725" s="13" t="s">
        <v>653</v>
      </c>
      <c r="F725" s="13" t="s">
        <v>654</v>
      </c>
      <c r="G725" s="13" t="s">
        <v>655</v>
      </c>
      <c r="H725" s="6" t="s">
        <v>604</v>
      </c>
    </row>
    <row r="726" customFormat="false" ht="17.15" hidden="false" customHeight="false" outlineLevel="0" collapsed="false">
      <c r="A726" s="1" t="s">
        <v>670</v>
      </c>
    </row>
    <row r="727" customFormat="false" ht="17.15" hidden="false" customHeight="false" outlineLevel="0" collapsed="false">
      <c r="A727" s="0" t="s">
        <v>671</v>
      </c>
      <c r="B727" s="0" t="s">
        <v>130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672</v>
      </c>
      <c r="B728" s="5" t="s">
        <v>34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673</v>
      </c>
      <c r="B729" s="5" t="s">
        <v>34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674</v>
      </c>
      <c r="B730" s="5" t="s">
        <v>34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675</v>
      </c>
      <c r="B731" s="5" t="s">
        <v>34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676</v>
      </c>
      <c r="B732" s="5" t="s">
        <v>34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677</v>
      </c>
    </row>
    <row r="733" customFormat="false" ht="17.15" hidden="false" customHeight="false" outlineLevel="0" collapsed="false">
      <c r="A733" s="0" t="s">
        <v>678</v>
      </c>
      <c r="B733" s="0" t="s">
        <v>178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679</v>
      </c>
    </row>
    <row r="734" customFormat="false" ht="17.15" hidden="false" customHeight="false" outlineLevel="0" collapsed="false">
      <c r="A734" s="0" t="s">
        <v>680</v>
      </c>
      <c r="B734" s="0" t="s">
        <v>178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681</v>
      </c>
      <c r="B735" s="0" t="s">
        <v>178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682</v>
      </c>
      <c r="B736" s="0" t="s">
        <v>178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683</v>
      </c>
      <c r="B737" s="0" t="s">
        <v>178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684</v>
      </c>
    </row>
    <row r="738" customFormat="false" ht="17.15" hidden="false" customHeight="false" outlineLevel="0" collapsed="false">
      <c r="A738" s="0" t="s">
        <v>685</v>
      </c>
      <c r="B738" s="0" t="s">
        <v>178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686</v>
      </c>
      <c r="B739" s="0" t="s">
        <v>178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687</v>
      </c>
      <c r="B740" s="0" t="s">
        <v>178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688</v>
      </c>
      <c r="B741" s="0" t="s">
        <v>178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689</v>
      </c>
    </row>
    <row r="742" customFormat="false" ht="17.15" hidden="false" customHeight="false" outlineLevel="0" collapsed="false">
      <c r="A742" s="0" t="s">
        <v>690</v>
      </c>
      <c r="B742" s="0" t="s">
        <v>178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691</v>
      </c>
      <c r="B743" s="0" t="s">
        <v>178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692</v>
      </c>
      <c r="B744" s="0" t="s">
        <v>178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693</v>
      </c>
      <c r="B745" s="0" t="s">
        <v>313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694</v>
      </c>
      <c r="B746" s="0" t="s">
        <v>313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695</v>
      </c>
      <c r="B747" s="0" t="s">
        <v>313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696</v>
      </c>
      <c r="B748" s="0" t="s">
        <v>313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697</v>
      </c>
      <c r="B749" s="0" t="s">
        <v>313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698</v>
      </c>
      <c r="B750" s="0" t="s">
        <v>313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699</v>
      </c>
      <c r="B751" s="0" t="s">
        <v>313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700</v>
      </c>
      <c r="B752" s="0" t="s">
        <v>313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701</v>
      </c>
      <c r="B753" s="0" t="s">
        <v>313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702</v>
      </c>
      <c r="B754" s="0" t="s">
        <v>313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703</v>
      </c>
    </row>
    <row r="755" customFormat="false" ht="17.15" hidden="false" customHeight="false" outlineLevel="0" collapsed="false">
      <c r="A755" s="5" t="s">
        <v>704</v>
      </c>
      <c r="B755" s="0" t="s">
        <v>313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705</v>
      </c>
      <c r="B756" s="0" t="s">
        <v>313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706</v>
      </c>
      <c r="B757" s="0" t="s">
        <v>313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707</v>
      </c>
      <c r="B758" s="0" t="s">
        <v>313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708</v>
      </c>
      <c r="B759" s="0" t="s">
        <v>313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709</v>
      </c>
      <c r="B760" s="0" t="s">
        <v>45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710</v>
      </c>
    </row>
    <row r="761" customFormat="false" ht="17.15" hidden="false" customHeight="false" outlineLevel="0" collapsed="false">
      <c r="A761" s="0" t="s">
        <v>711</v>
      </c>
      <c r="B761" s="0" t="s">
        <v>45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712</v>
      </c>
    </row>
    <row r="763" customFormat="false" ht="15" hidden="false" customHeight="false" outlineLevel="0" collapsed="false">
      <c r="A763" s="5" t="s">
        <v>539</v>
      </c>
      <c r="B763" s="0" t="s">
        <v>313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713</v>
      </c>
      <c r="B764" s="0" t="s">
        <v>313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659</v>
      </c>
      <c r="B765" s="0" t="s">
        <v>313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714</v>
      </c>
      <c r="B766" s="0" t="s">
        <v>45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715</v>
      </c>
      <c r="B767" s="0" t="s">
        <v>313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555</v>
      </c>
      <c r="B768" s="0" t="s">
        <v>45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716</v>
      </c>
      <c r="B769" s="0" t="s">
        <v>313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717</v>
      </c>
    </row>
    <row r="770" customFormat="false" ht="15" hidden="false" customHeight="false" outlineLevel="0" collapsed="false">
      <c r="A770" s="5" t="s">
        <v>718</v>
      </c>
      <c r="B770" s="0" t="s">
        <v>313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558</v>
      </c>
      <c r="B771" s="0" t="s">
        <v>313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660</v>
      </c>
      <c r="B772" s="0" t="s">
        <v>45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563</v>
      </c>
      <c r="B773" s="0" t="s">
        <v>313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572</v>
      </c>
      <c r="B774" s="0" t="s">
        <v>45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661</v>
      </c>
      <c r="B775" s="0" t="s">
        <v>313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719</v>
      </c>
      <c r="B776" s="5" t="s">
        <v>720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662</v>
      </c>
      <c r="B777" s="0" t="s">
        <v>424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721</v>
      </c>
      <c r="B778" s="0" t="s">
        <v>45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1140</v>
      </c>
    </row>
    <row r="782" customFormat="false" ht="15" hidden="false" customHeight="false" outlineLevel="0" collapsed="false">
      <c r="A782" s="6" t="s">
        <v>23</v>
      </c>
      <c r="B782" s="6" t="s">
        <v>24</v>
      </c>
      <c r="C782" s="13" t="s">
        <v>651</v>
      </c>
      <c r="D782" s="13" t="s">
        <v>652</v>
      </c>
      <c r="E782" s="13" t="s">
        <v>653</v>
      </c>
      <c r="F782" s="13" t="s">
        <v>654</v>
      </c>
      <c r="G782" s="13" t="s">
        <v>655</v>
      </c>
      <c r="H782" s="6" t="s">
        <v>604</v>
      </c>
    </row>
    <row r="783" customFormat="false" ht="17.15" hidden="false" customHeight="false" outlineLevel="0" collapsed="false">
      <c r="A783" s="1" t="s">
        <v>670</v>
      </c>
    </row>
    <row r="784" customFormat="false" ht="17.15" hidden="false" customHeight="false" outlineLevel="0" collapsed="false">
      <c r="A784" s="0" t="s">
        <v>671</v>
      </c>
      <c r="B784" s="0" t="s">
        <v>130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672</v>
      </c>
      <c r="B785" s="5" t="s">
        <v>34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673</v>
      </c>
      <c r="B786" s="5" t="s">
        <v>34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674</v>
      </c>
      <c r="B787" s="5" t="s">
        <v>34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675</v>
      </c>
      <c r="B788" s="5" t="s">
        <v>34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676</v>
      </c>
      <c r="B789" s="5" t="s">
        <v>34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677</v>
      </c>
    </row>
    <row r="790" customFormat="false" ht="17.15" hidden="false" customHeight="false" outlineLevel="0" collapsed="false">
      <c r="A790" s="0" t="s">
        <v>678</v>
      </c>
      <c r="B790" s="0" t="s">
        <v>178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679</v>
      </c>
    </row>
    <row r="791" customFormat="false" ht="17.15" hidden="false" customHeight="false" outlineLevel="0" collapsed="false">
      <c r="A791" s="0" t="s">
        <v>680</v>
      </c>
      <c r="B791" s="0" t="s">
        <v>178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681</v>
      </c>
      <c r="B792" s="0" t="s">
        <v>178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682</v>
      </c>
      <c r="B793" s="0" t="s">
        <v>178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683</v>
      </c>
      <c r="B794" s="0" t="s">
        <v>178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684</v>
      </c>
    </row>
    <row r="795" customFormat="false" ht="17.15" hidden="false" customHeight="false" outlineLevel="0" collapsed="false">
      <c r="A795" s="0" t="s">
        <v>685</v>
      </c>
      <c r="B795" s="0" t="s">
        <v>178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686</v>
      </c>
      <c r="B796" s="0" t="s">
        <v>178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687</v>
      </c>
      <c r="B797" s="0" t="s">
        <v>178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688</v>
      </c>
      <c r="B798" s="0" t="s">
        <v>178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689</v>
      </c>
    </row>
    <row r="799" customFormat="false" ht="17.15" hidden="false" customHeight="false" outlineLevel="0" collapsed="false">
      <c r="A799" s="0" t="s">
        <v>690</v>
      </c>
      <c r="B799" s="0" t="s">
        <v>178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691</v>
      </c>
      <c r="B800" s="0" t="s">
        <v>178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692</v>
      </c>
      <c r="B801" s="0" t="s">
        <v>178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693</v>
      </c>
      <c r="B802" s="0" t="s">
        <v>313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694</v>
      </c>
      <c r="B803" s="0" t="s">
        <v>313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695</v>
      </c>
      <c r="B804" s="0" t="s">
        <v>313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696</v>
      </c>
      <c r="B805" s="0" t="s">
        <v>313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697</v>
      </c>
      <c r="B806" s="0" t="s">
        <v>313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698</v>
      </c>
      <c r="B807" s="0" t="s">
        <v>313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699</v>
      </c>
      <c r="B808" s="0" t="s">
        <v>313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700</v>
      </c>
      <c r="B809" s="0" t="s">
        <v>313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701</v>
      </c>
      <c r="B810" s="0" t="s">
        <v>313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702</v>
      </c>
      <c r="B811" s="0" t="s">
        <v>313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703</v>
      </c>
    </row>
    <row r="812" customFormat="false" ht="17.15" hidden="false" customHeight="false" outlineLevel="0" collapsed="false">
      <c r="A812" s="5" t="s">
        <v>704</v>
      </c>
      <c r="B812" s="0" t="s">
        <v>313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705</v>
      </c>
      <c r="B813" s="0" t="s">
        <v>313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706</v>
      </c>
      <c r="B814" s="0" t="s">
        <v>313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707</v>
      </c>
      <c r="B815" s="0" t="s">
        <v>313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708</v>
      </c>
      <c r="B816" s="0" t="s">
        <v>313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709</v>
      </c>
      <c r="B817" s="0" t="s">
        <v>45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710</v>
      </c>
    </row>
    <row r="818" customFormat="false" ht="17.15" hidden="false" customHeight="false" outlineLevel="0" collapsed="false">
      <c r="A818" s="0" t="s">
        <v>711</v>
      </c>
      <c r="B818" s="0" t="s">
        <v>45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712</v>
      </c>
    </row>
    <row r="820" customFormat="false" ht="15" hidden="false" customHeight="false" outlineLevel="0" collapsed="false">
      <c r="A820" s="5" t="s">
        <v>539</v>
      </c>
      <c r="B820" s="0" t="s">
        <v>313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713</v>
      </c>
      <c r="B821" s="0" t="s">
        <v>313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659</v>
      </c>
      <c r="B822" s="0" t="s">
        <v>313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714</v>
      </c>
      <c r="B823" s="0" t="s">
        <v>45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715</v>
      </c>
      <c r="B824" s="0" t="s">
        <v>313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555</v>
      </c>
      <c r="B825" s="0" t="s">
        <v>45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716</v>
      </c>
      <c r="B826" s="0" t="s">
        <v>313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717</v>
      </c>
    </row>
    <row r="827" customFormat="false" ht="15" hidden="false" customHeight="false" outlineLevel="0" collapsed="false">
      <c r="A827" s="5" t="s">
        <v>718</v>
      </c>
      <c r="B827" s="0" t="s">
        <v>313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558</v>
      </c>
      <c r="B828" s="0" t="s">
        <v>313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660</v>
      </c>
      <c r="B829" s="0" t="s">
        <v>45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563</v>
      </c>
      <c r="B830" s="0" t="s">
        <v>313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572</v>
      </c>
      <c r="B831" s="0" t="s">
        <v>45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661</v>
      </c>
      <c r="B832" s="0" t="s">
        <v>313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719</v>
      </c>
      <c r="B833" s="5" t="s">
        <v>720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662</v>
      </c>
      <c r="B834" s="0" t="s">
        <v>424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721</v>
      </c>
      <c r="B835" s="0" t="s">
        <v>45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1141</v>
      </c>
    </row>
    <row r="839" customFormat="false" ht="15" hidden="false" customHeight="false" outlineLevel="0" collapsed="false">
      <c r="A839" s="6" t="s">
        <v>23</v>
      </c>
      <c r="B839" s="6" t="s">
        <v>24</v>
      </c>
      <c r="C839" s="13" t="s">
        <v>651</v>
      </c>
      <c r="D839" s="13" t="s">
        <v>652</v>
      </c>
      <c r="E839" s="13" t="s">
        <v>653</v>
      </c>
      <c r="F839" s="13" t="s">
        <v>654</v>
      </c>
      <c r="G839" s="13" t="s">
        <v>655</v>
      </c>
      <c r="H839" s="6" t="s">
        <v>604</v>
      </c>
    </row>
    <row r="840" customFormat="false" ht="17.15" hidden="false" customHeight="false" outlineLevel="0" collapsed="false">
      <c r="A840" s="1" t="s">
        <v>670</v>
      </c>
    </row>
    <row r="841" customFormat="false" ht="17.15" hidden="false" customHeight="false" outlineLevel="0" collapsed="false">
      <c r="A841" s="0" t="s">
        <v>671</v>
      </c>
      <c r="B841" s="0" t="s">
        <v>130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672</v>
      </c>
      <c r="B842" s="5" t="s">
        <v>34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673</v>
      </c>
      <c r="B843" s="5" t="s">
        <v>34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674</v>
      </c>
      <c r="B844" s="5" t="s">
        <v>34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675</v>
      </c>
      <c r="B845" s="5" t="s">
        <v>34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676</v>
      </c>
      <c r="B846" s="5" t="s">
        <v>34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677</v>
      </c>
    </row>
    <row r="847" customFormat="false" ht="17.15" hidden="false" customHeight="false" outlineLevel="0" collapsed="false">
      <c r="A847" s="0" t="s">
        <v>678</v>
      </c>
      <c r="B847" s="0" t="s">
        <v>178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679</v>
      </c>
    </row>
    <row r="848" customFormat="false" ht="17.15" hidden="false" customHeight="false" outlineLevel="0" collapsed="false">
      <c r="A848" s="0" t="s">
        <v>680</v>
      </c>
      <c r="B848" s="0" t="s">
        <v>178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681</v>
      </c>
      <c r="B849" s="0" t="s">
        <v>178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682</v>
      </c>
      <c r="B850" s="0" t="s">
        <v>178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683</v>
      </c>
      <c r="B851" s="0" t="s">
        <v>178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684</v>
      </c>
    </row>
    <row r="852" customFormat="false" ht="17.15" hidden="false" customHeight="false" outlineLevel="0" collapsed="false">
      <c r="A852" s="0" t="s">
        <v>685</v>
      </c>
      <c r="B852" s="0" t="s">
        <v>178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686</v>
      </c>
      <c r="B853" s="0" t="s">
        <v>178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687</v>
      </c>
      <c r="B854" s="0" t="s">
        <v>178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688</v>
      </c>
      <c r="B855" s="0" t="s">
        <v>178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689</v>
      </c>
    </row>
    <row r="856" customFormat="false" ht="17.15" hidden="false" customHeight="false" outlineLevel="0" collapsed="false">
      <c r="A856" s="0" t="s">
        <v>690</v>
      </c>
      <c r="B856" s="0" t="s">
        <v>178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691</v>
      </c>
      <c r="B857" s="0" t="s">
        <v>178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692</v>
      </c>
      <c r="B858" s="0" t="s">
        <v>178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693</v>
      </c>
      <c r="B859" s="0" t="s">
        <v>313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694</v>
      </c>
      <c r="B860" s="0" t="s">
        <v>313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695</v>
      </c>
      <c r="B861" s="0" t="s">
        <v>313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696</v>
      </c>
      <c r="B862" s="0" t="s">
        <v>313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697</v>
      </c>
      <c r="B863" s="0" t="s">
        <v>313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698</v>
      </c>
      <c r="B864" s="0" t="s">
        <v>313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699</v>
      </c>
      <c r="B865" s="0" t="s">
        <v>313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700</v>
      </c>
      <c r="B866" s="0" t="s">
        <v>313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701</v>
      </c>
      <c r="B867" s="0" t="s">
        <v>313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702</v>
      </c>
      <c r="B868" s="0" t="s">
        <v>313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703</v>
      </c>
    </row>
    <row r="869" customFormat="false" ht="17.15" hidden="false" customHeight="false" outlineLevel="0" collapsed="false">
      <c r="A869" s="5" t="s">
        <v>704</v>
      </c>
      <c r="B869" s="0" t="s">
        <v>313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705</v>
      </c>
      <c r="B870" s="0" t="s">
        <v>313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706</v>
      </c>
      <c r="B871" s="0" t="s">
        <v>313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707</v>
      </c>
      <c r="B872" s="0" t="s">
        <v>313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708</v>
      </c>
      <c r="B873" s="0" t="s">
        <v>313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709</v>
      </c>
      <c r="B874" s="0" t="s">
        <v>45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710</v>
      </c>
    </row>
    <row r="875" customFormat="false" ht="17.15" hidden="false" customHeight="false" outlineLevel="0" collapsed="false">
      <c r="A875" s="0" t="s">
        <v>711</v>
      </c>
      <c r="B875" s="0" t="s">
        <v>45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712</v>
      </c>
    </row>
    <row r="877" customFormat="false" ht="15" hidden="false" customHeight="false" outlineLevel="0" collapsed="false">
      <c r="A877" s="5" t="s">
        <v>539</v>
      </c>
      <c r="B877" s="0" t="s">
        <v>313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713</v>
      </c>
      <c r="B878" s="0" t="s">
        <v>313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659</v>
      </c>
      <c r="B879" s="0" t="s">
        <v>313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714</v>
      </c>
      <c r="B880" s="0" t="s">
        <v>45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715</v>
      </c>
      <c r="B881" s="0" t="s">
        <v>313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555</v>
      </c>
      <c r="B882" s="0" t="s">
        <v>45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716</v>
      </c>
      <c r="B883" s="0" t="s">
        <v>313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717</v>
      </c>
    </row>
    <row r="884" customFormat="false" ht="15" hidden="false" customHeight="false" outlineLevel="0" collapsed="false">
      <c r="A884" s="5" t="s">
        <v>718</v>
      </c>
      <c r="B884" s="0" t="s">
        <v>313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558</v>
      </c>
      <c r="B885" s="0" t="s">
        <v>313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660</v>
      </c>
      <c r="B886" s="0" t="s">
        <v>45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563</v>
      </c>
      <c r="B887" s="0" t="s">
        <v>313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572</v>
      </c>
      <c r="B888" s="0" t="s">
        <v>45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661</v>
      </c>
      <c r="B889" s="0" t="s">
        <v>313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719</v>
      </c>
      <c r="B890" s="5" t="s">
        <v>720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662</v>
      </c>
      <c r="B891" s="0" t="s">
        <v>424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721</v>
      </c>
      <c r="B892" s="0" t="s">
        <v>45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1142</v>
      </c>
    </row>
    <row r="2" customFormat="false" ht="17.15" hidden="false" customHeight="false" outlineLevel="0" collapsed="false">
      <c r="A2" s="5" t="s">
        <v>1143</v>
      </c>
      <c r="B2" s="0" t="s">
        <v>1144</v>
      </c>
    </row>
    <row r="3" customFormat="false" ht="17.15" hidden="false" customHeight="false" outlineLevel="0" collapsed="false">
      <c r="A3" s="5" t="s">
        <v>1145</v>
      </c>
      <c r="B3" s="0" t="s">
        <v>1146</v>
      </c>
    </row>
    <row r="4" customFormat="false" ht="17.15" hidden="false" customHeight="false" outlineLevel="0" collapsed="false">
      <c r="A4" s="5" t="s">
        <v>1147</v>
      </c>
      <c r="B4" s="0" t="s">
        <v>1148</v>
      </c>
    </row>
    <row r="5" customFormat="false" ht="17.15" hidden="false" customHeight="false" outlineLevel="0" collapsed="false">
      <c r="A5" s="5" t="s">
        <v>1149</v>
      </c>
      <c r="B5" s="0" t="s">
        <v>1150</v>
      </c>
    </row>
    <row r="6" customFormat="false" ht="17.15" hidden="false" customHeight="false" outlineLevel="0" collapsed="false">
      <c r="A6" s="5" t="s">
        <v>1151</v>
      </c>
      <c r="B6" s="0" t="s">
        <v>1152</v>
      </c>
    </row>
    <row r="7" customFormat="false" ht="17.15" hidden="false" customHeight="false" outlineLevel="0" collapsed="false">
      <c r="A7" s="5" t="s">
        <v>1153</v>
      </c>
      <c r="B7" s="0" t="s">
        <v>1154</v>
      </c>
    </row>
    <row r="8" customFormat="false" ht="17.15" hidden="false" customHeight="false" outlineLevel="0" collapsed="false">
      <c r="A8" s="5" t="s">
        <v>1155</v>
      </c>
      <c r="B8" s="0" t="s">
        <v>1156</v>
      </c>
    </row>
    <row r="9" customFormat="false" ht="17.15" hidden="false" customHeight="false" outlineLevel="0" collapsed="false">
      <c r="A9" s="5" t="s">
        <v>1157</v>
      </c>
      <c r="B9" s="0" t="s">
        <v>1158</v>
      </c>
    </row>
    <row r="10" customFormat="false" ht="17.15" hidden="false" customHeight="false" outlineLevel="0" collapsed="false">
      <c r="A10" s="5" t="s">
        <v>1159</v>
      </c>
      <c r="B10" s="0" t="s">
        <v>1160</v>
      </c>
    </row>
    <row r="11" customFormat="false" ht="17.15" hidden="false" customHeight="false" outlineLevel="0" collapsed="false">
      <c r="A11" s="5" t="s">
        <v>1161</v>
      </c>
      <c r="B11" s="0" t="s">
        <v>1162</v>
      </c>
    </row>
    <row r="12" customFormat="false" ht="17.15" hidden="false" customHeight="false" outlineLevel="0" collapsed="false">
      <c r="A12" s="5" t="s">
        <v>1163</v>
      </c>
      <c r="B12" s="0" t="s">
        <v>1164</v>
      </c>
    </row>
    <row r="13" customFormat="false" ht="17.15" hidden="false" customHeight="false" outlineLevel="0" collapsed="false">
      <c r="A13" s="5" t="s">
        <v>1165</v>
      </c>
      <c r="B13" s="0" t="s">
        <v>1166</v>
      </c>
    </row>
    <row r="14" customFormat="false" ht="17.15" hidden="false" customHeight="false" outlineLevel="0" collapsed="false">
      <c r="A14" s="5" t="s">
        <v>1167</v>
      </c>
      <c r="B14" s="0" t="s">
        <v>1168</v>
      </c>
    </row>
    <row r="15" customFormat="false" ht="17.15" hidden="false" customHeight="false" outlineLevel="0" collapsed="false">
      <c r="A15" s="5" t="s">
        <v>1169</v>
      </c>
      <c r="B15" s="0" t="s">
        <v>1170</v>
      </c>
    </row>
    <row r="16" customFormat="false" ht="17.15" hidden="false" customHeight="false" outlineLevel="0" collapsed="false">
      <c r="A16" s="5" t="s">
        <v>1171</v>
      </c>
      <c r="B16" s="0" t="s">
        <v>1172</v>
      </c>
    </row>
    <row r="17" customFormat="false" ht="17.15" hidden="false" customHeight="false" outlineLevel="0" collapsed="false">
      <c r="A17" s="5" t="s">
        <v>1173</v>
      </c>
      <c r="B17" s="0" t="s">
        <v>1174</v>
      </c>
    </row>
    <row r="18" customFormat="false" ht="17.15" hidden="false" customHeight="false" outlineLevel="0" collapsed="false">
      <c r="A18" s="5" t="s">
        <v>1175</v>
      </c>
      <c r="B18" s="0" t="s">
        <v>1176</v>
      </c>
    </row>
    <row r="19" customFormat="false" ht="17.15" hidden="false" customHeight="false" outlineLevel="0" collapsed="false">
      <c r="A19" s="5" t="s">
        <v>1177</v>
      </c>
      <c r="B19" s="0" t="s">
        <v>1178</v>
      </c>
    </row>
    <row r="20" customFormat="false" ht="17.15" hidden="false" customHeight="false" outlineLevel="0" collapsed="false">
      <c r="A20" s="5" t="s">
        <v>1179</v>
      </c>
      <c r="B20" s="0" t="s">
        <v>1180</v>
      </c>
    </row>
    <row r="21" customFormat="false" ht="17.15" hidden="false" customHeight="false" outlineLevel="0" collapsed="false">
      <c r="A21" s="5" t="s">
        <v>1181</v>
      </c>
      <c r="B21" s="0" t="s">
        <v>1182</v>
      </c>
    </row>
    <row r="22" customFormat="false" ht="17.15" hidden="false" customHeight="false" outlineLevel="0" collapsed="false">
      <c r="A22" s="5" t="s">
        <v>1183</v>
      </c>
      <c r="B22" s="0" t="s">
        <v>1184</v>
      </c>
    </row>
    <row r="23" customFormat="false" ht="17.15" hidden="false" customHeight="false" outlineLevel="0" collapsed="false">
      <c r="A23" s="5" t="s">
        <v>1185</v>
      </c>
      <c r="B23" s="0" t="s">
        <v>1186</v>
      </c>
    </row>
    <row r="24" customFormat="false" ht="17.15" hidden="false" customHeight="false" outlineLevel="0" collapsed="false">
      <c r="A24" s="5" t="s">
        <v>1187</v>
      </c>
      <c r="B24" s="0" t="s">
        <v>1188</v>
      </c>
    </row>
    <row r="25" customFormat="false" ht="17.15" hidden="false" customHeight="false" outlineLevel="0" collapsed="false">
      <c r="A25" s="5" t="s">
        <v>1189</v>
      </c>
      <c r="B25" s="0" t="s">
        <v>1190</v>
      </c>
    </row>
    <row r="26" customFormat="false" ht="17.15" hidden="false" customHeight="false" outlineLevel="0" collapsed="false">
      <c r="A26" s="5" t="s">
        <v>1191</v>
      </c>
      <c r="B26" s="0" t="s">
        <v>1192</v>
      </c>
    </row>
    <row r="27" customFormat="false" ht="17.15" hidden="false" customHeight="false" outlineLevel="0" collapsed="false">
      <c r="A27" s="5" t="s">
        <v>1193</v>
      </c>
    </row>
    <row r="28" customFormat="false" ht="17.15" hidden="false" customHeight="false" outlineLevel="0" collapsed="false">
      <c r="A28" s="5" t="s">
        <v>1194</v>
      </c>
      <c r="B28" s="5" t="s">
        <v>448</v>
      </c>
    </row>
    <row r="29" customFormat="false" ht="17.15" hidden="false" customHeight="false" outlineLevel="0" collapsed="false">
      <c r="A29" s="0" t="s">
        <v>1195</v>
      </c>
      <c r="B29" s="5" t="s">
        <v>1196</v>
      </c>
    </row>
    <row r="30" customFormat="false" ht="17.15" hidden="false" customHeight="false" outlineLevel="0" collapsed="false">
      <c r="A30" s="5" t="s">
        <v>1197</v>
      </c>
      <c r="B30" s="0" t="s">
        <v>1198</v>
      </c>
    </row>
    <row r="31" customFormat="false" ht="17.15" hidden="false" customHeight="false" outlineLevel="0" collapsed="false">
      <c r="A31" s="5" t="s">
        <v>1199</v>
      </c>
      <c r="B31" s="5" t="s"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2026-10-25T07:43:30Z</dcterms:created>
  <dc:creator>openpyxl</dc:creator>
  <dc:description/>
  <dc:language>en-US</dc:language>
  <cp:lastModifiedBy/>
  <dcterms:modified xsi:type="dcterms:W3CDTF">2026-10-25T07:43:30Z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